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leaned Data" sheetId="2" r:id="rId6"/>
    <sheet state="visible" name="Summary Statistics" sheetId="3" r:id="rId7"/>
    <sheet state="visible" name="Status Summary" sheetId="4" r:id="rId8"/>
    <sheet state="visible" name="Top 10 Planets" sheetId="5" r:id="rId9"/>
    <sheet state="visible" name="Mass Classification" sheetId="6" r:id="rId10"/>
    <sheet state="visible" name="Radius Classification" sheetId="7" r:id="rId11"/>
    <sheet state="visible" name="Outlier Analysis" sheetId="8" r:id="rId12"/>
    <sheet state="visible" name="Chart Data" sheetId="9" r:id="rId13"/>
    <sheet state="visible" name="Mass vs Radius" sheetId="10" r:id="rId14"/>
  </sheets>
  <definedNames/>
  <calcPr/>
</workbook>
</file>

<file path=xl/sharedStrings.xml><?xml version="1.0" encoding="utf-8"?>
<sst xmlns="http://schemas.openxmlformats.org/spreadsheetml/2006/main" count="13698" uniqueCount="6094">
  <si>
    <t>name</t>
  </si>
  <si>
    <t>planet_status</t>
  </si>
  <si>
    <t>mass</t>
  </si>
  <si>
    <t>mass_error_min</t>
  </si>
  <si>
    <t>mass_error_max</t>
  </si>
  <si>
    <t>mass_sini</t>
  </si>
  <si>
    <t>Descriptive Statistics — Mass, Mass·sin(i) &amp; Radius (Jupiter Units)</t>
  </si>
  <si>
    <t>mass_sini_error_min</t>
  </si>
  <si>
    <t>mass_sini_error_max</t>
  </si>
  <si>
    <t>radius</t>
  </si>
  <si>
    <t>radius_error_min</t>
  </si>
  <si>
    <t>Number of Planets</t>
  </si>
  <si>
    <t>mass_outlier_flag</t>
  </si>
  <si>
    <t>Confirmed</t>
  </si>
  <si>
    <t>mass_sini_outlier_flag</t>
  </si>
  <si>
    <t>radius_outlier_flag</t>
  </si>
  <si>
    <t>mass_log1p</t>
  </si>
  <si>
    <t>mass_sini_log1p</t>
  </si>
  <si>
    <t>radius_log1p</t>
  </si>
  <si>
    <t>mass_zscore</t>
  </si>
  <si>
    <t>mass_sini_zscore</t>
  </si>
  <si>
    <t>radius_zscore</t>
  </si>
  <si>
    <t>mass_rank</t>
  </si>
  <si>
    <t>Metric</t>
  </si>
  <si>
    <t>radius_rank</t>
  </si>
  <si>
    <t>Mass (Mj)</t>
  </si>
  <si>
    <t>109 Psc b</t>
  </si>
  <si>
    <t>Mass·sin(i) (Mj)</t>
  </si>
  <si>
    <t>Radius (Rj)</t>
  </si>
  <si>
    <t>Count (non-null)</t>
  </si>
  <si>
    <t>112 Psc b</t>
  </si>
  <si>
    <t>Mean</t>
  </si>
  <si>
    <t>112 Psc c</t>
  </si>
  <si>
    <t>Median</t>
  </si>
  <si>
    <t>11 UMi b</t>
  </si>
  <si>
    <t>14 And Ab</t>
  </si>
  <si>
    <t>Top 10 Planets by Mass and by Radius</t>
  </si>
  <si>
    <t>Rank</t>
  </si>
  <si>
    <t>14 Her b</t>
  </si>
  <si>
    <t>Std. Deviation</t>
  </si>
  <si>
    <t>Planet Name</t>
  </si>
  <si>
    <t>14 Her c</t>
  </si>
  <si>
    <t>Variance</t>
  </si>
  <si>
    <t>16 Cyg Bb</t>
  </si>
  <si>
    <t>18 Del Ab</t>
  </si>
  <si>
    <t>Minimum</t>
  </si>
  <si>
    <t>23 Lib b</t>
  </si>
  <si>
    <t>1st Quartile (Q1)</t>
  </si>
  <si>
    <t>23 Lib c</t>
  </si>
  <si>
    <t>3rd Quartile (Q3)</t>
  </si>
  <si>
    <t>24 Boo b</t>
  </si>
  <si>
    <t>24 Sex b</t>
  </si>
  <si>
    <t>Maximum</t>
  </si>
  <si>
    <t>Range</t>
  </si>
  <si>
    <t>24 Sex c</t>
  </si>
  <si>
    <t>2M 1253+2734 b</t>
  </si>
  <si>
    <t>Interquartile Range</t>
  </si>
  <si>
    <t>2M1510 (AB)b</t>
  </si>
  <si>
    <t>2MASS J0437+2651 b</t>
  </si>
  <si>
    <t>2MASS J0558-4501 b</t>
  </si>
  <si>
    <t>2MASS J1155-7919 b</t>
  </si>
  <si>
    <t>Coeff. of Variation (%)</t>
  </si>
  <si>
    <t>2MASS J1252+2735 b</t>
  </si>
  <si>
    <t>2MASS J1258+2630 b</t>
  </si>
  <si>
    <t>2MASS J2236+4751 b</t>
  </si>
  <si>
    <t>Data Completeness</t>
  </si>
  <si>
    <t>38 Vir b</t>
  </si>
  <si>
    <t>Field</t>
  </si>
  <si>
    <t>Non-null Count</t>
  </si>
  <si>
    <t>41 Com Ab</t>
  </si>
  <si>
    <t>Total Rows</t>
  </si>
  <si>
    <t>Completeness %</t>
  </si>
  <si>
    <t>Mass</t>
  </si>
  <si>
    <t>44 Uma b</t>
  </si>
  <si>
    <t>47 UMa b</t>
  </si>
  <si>
    <t>47 UMa c</t>
  </si>
  <si>
    <t>Mass·sin(i)</t>
  </si>
  <si>
    <t>47 UMa d</t>
  </si>
  <si>
    <t>51 Eri Ab</t>
  </si>
  <si>
    <t>Radius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</si>
  <si>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</si>
  <si>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</si>
  <si>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</si>
  <si>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</si>
  <si>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</si>
  <si>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</si>
  <si>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</si>
  <si>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</si>
  <si>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</si>
  <si>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</si>
  <si>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</si>
  <si>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</si>
  <si>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</si>
  <si>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</si>
  <si>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</si>
  <si>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</si>
  <si>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</si>
  <si>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</si>
  <si>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</si>
  <si>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</si>
  <si>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Planet Mass Classification (Jupiter Masses, Mj)</t>
  </si>
  <si>
    <t>Mass Category</t>
  </si>
  <si>
    <t>Planet Count</t>
  </si>
  <si>
    <t>Share of Classified (%)</t>
  </si>
  <si>
    <t>Sub-Neptune (&lt; 0.1 Mj)</t>
  </si>
  <si>
    <t>8 Umi b</t>
  </si>
  <si>
    <t>94 Cet Ab</t>
  </si>
  <si>
    <t>Neptune-like (0.1 – 0.5 Mj)</t>
  </si>
  <si>
    <t>AB Aur b</t>
  </si>
  <si>
    <t>AB Pic c</t>
  </si>
  <si>
    <t>Saturn-like (0.5 – 1 Mj)</t>
  </si>
  <si>
    <t>AF Lep b</t>
  </si>
  <si>
    <t>Jupiter-like (1 – 2 Mj)</t>
  </si>
  <si>
    <t>Super-Jupiter (&gt; 2 Mj)</t>
  </si>
  <si>
    <t>alf Ari b</t>
  </si>
  <si>
    <t>Total Classified</t>
  </si>
  <si>
    <t>AT2021uey b</t>
  </si>
  <si>
    <t>AU Mic b</t>
  </si>
  <si>
    <t>AU Mic c</t>
  </si>
  <si>
    <t>Planet Radius Classification (Jupiter Radii, Rj)</t>
  </si>
  <si>
    <t>Radius Category</t>
  </si>
  <si>
    <t>AU Mic d</t>
  </si>
  <si>
    <t>Sub-Neptune (&lt; 0.15 Rj)</t>
  </si>
  <si>
    <t>Barnard's star b</t>
  </si>
  <si>
    <t>Barnard's star c</t>
  </si>
  <si>
    <t>Barnard's star d</t>
  </si>
  <si>
    <t>Neptune-size (0.15 – 0.5 Rj)</t>
  </si>
  <si>
    <t>Barnard's star e</t>
  </si>
  <si>
    <t>b Cen (AB)b</t>
  </si>
  <si>
    <t>Saturn-size (0.5 – 0.9 Rj)</t>
  </si>
  <si>
    <t>BD+03 2562 b</t>
  </si>
  <si>
    <t>Jupiter-size (0.9 – 1.3 Rj)</t>
  </si>
  <si>
    <t>BD-06 1339 c</t>
  </si>
  <si>
    <t>Inflated / Large (&gt; 1.3 Rj)</t>
  </si>
  <si>
    <t>BD-06 1339 d</t>
  </si>
  <si>
    <t>Outlier Analysis (IQR Method, 1.5×IQR Fences)</t>
  </si>
  <si>
    <t>BD-06 1339 e</t>
  </si>
  <si>
    <t>Outlier Count</t>
  </si>
  <si>
    <t>Total Non-null</t>
  </si>
  <si>
    <t>Outlier %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</si>
  <si>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</si>
  <si>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</si>
  <si>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</si>
  <si>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</si>
  <si>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</si>
  <si>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</si>
  <si>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</si>
  <si>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</si>
  <si>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</si>
  <si>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</si>
  <si>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</si>
  <si>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</si>
  <si>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</si>
  <si>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</si>
  <si>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</si>
  <si>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</si>
  <si>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Planet Status</t>
  </si>
  <si>
    <t>BD+49 828 b</t>
  </si>
  <si>
    <t>BD+55 362 b</t>
  </si>
  <si>
    <t>Percentage</t>
  </si>
  <si>
    <t>BD+63 1405 Ab</t>
  </si>
  <si>
    <t>BEBOP-3 (AB)b</t>
  </si>
  <si>
    <t>beta Cnc Ab</t>
  </si>
  <si>
    <t>beta Pic b</t>
  </si>
  <si>
    <t>beta Pic c</t>
  </si>
  <si>
    <t>HATS-70 b</t>
  </si>
  <si>
    <t>TOI-4603 b</t>
  </si>
  <si>
    <t>TIC 4672985</t>
  </si>
  <si>
    <t>TOI-4987 b</t>
  </si>
  <si>
    <t>beta Umi b</t>
  </si>
  <si>
    <t>CFHTWIR-Oph 98 b</t>
  </si>
  <si>
    <t>HD 31221 b</t>
  </si>
  <si>
    <t>COCONUTS-2 b</t>
  </si>
  <si>
    <t>CoRoT-10 b</t>
  </si>
  <si>
    <t>CoRoT-11 b</t>
  </si>
  <si>
    <t>XO-3 Ab</t>
  </si>
  <si>
    <t>CoRoT-12 b</t>
  </si>
  <si>
    <t>CD Cet b</t>
  </si>
  <si>
    <t>Kepler-1625 b</t>
  </si>
  <si>
    <t>CoRoT-13 b</t>
  </si>
  <si>
    <t>CoRoT-14 b</t>
  </si>
  <si>
    <t>Ross 458 (AB)b</t>
  </si>
  <si>
    <t>CoRoT-16 b</t>
  </si>
  <si>
    <t>GU Psc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</si>
  <si>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</si>
  <si>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</si>
  <si>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</si>
  <si>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</si>
  <si>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</si>
  <si>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</si>
  <si>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</si>
  <si>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chi Sco b</t>
  </si>
  <si>
    <t>CoRoT-23 b</t>
  </si>
  <si>
    <t>CoRoT-24 b</t>
  </si>
  <si>
    <t>CoRoT-24 c</t>
  </si>
  <si>
    <t>CoRoT-25 b</t>
  </si>
  <si>
    <t>chi Vir b</t>
  </si>
  <si>
    <t>CoRoT-26 b</t>
  </si>
  <si>
    <t>CoRoT-27 b</t>
  </si>
  <si>
    <t>CoRoT-29 b</t>
  </si>
  <si>
    <t>CoRoT-2 Ab</t>
  </si>
  <si>
    <t>CoRoT-30 b</t>
  </si>
  <si>
    <t>CoRoT-31 b</t>
  </si>
  <si>
    <t>chi Vir c</t>
  </si>
  <si>
    <t>CoRoT-32 b</t>
  </si>
  <si>
    <t>CoRoT-35 b</t>
  </si>
  <si>
    <t>CoRoT-36 b</t>
  </si>
  <si>
    <t>CoRoT-4 b</t>
  </si>
  <si>
    <t>CoRoT-5 b</t>
  </si>
  <si>
    <t>CHXR 73 Ab</t>
  </si>
  <si>
    <t>CoRoT-6 b</t>
  </si>
  <si>
    <t>CoRoT-7 Ab</t>
  </si>
  <si>
    <t>CoRoT-8 b</t>
  </si>
  <si>
    <t>CoRoT-9 Ab</t>
  </si>
  <si>
    <t>DS Tuc Ab</t>
  </si>
  <si>
    <t>EPIC 205084841 b</t>
  </si>
  <si>
    <t>CI Tau c</t>
  </si>
  <si>
    <t>G 9-40 b</t>
  </si>
  <si>
    <t>Gaia-1 b</t>
  </si>
  <si>
    <t>Gaia-2 b</t>
  </si>
  <si>
    <t>GJ 1018 b</t>
  </si>
  <si>
    <t>GJ 1132 b</t>
  </si>
  <si>
    <t>GJ 1214 b</t>
  </si>
  <si>
    <t>GJ 1252 b</t>
  </si>
  <si>
    <t>GJ 143 b</t>
  </si>
  <si>
    <t>GJ 143 c</t>
  </si>
  <si>
    <t>GJ 3090 b</t>
  </si>
  <si>
    <t>GJ 341 b</t>
  </si>
  <si>
    <t>GJ 3470 b</t>
  </si>
  <si>
    <t>GJ 3473 Ab</t>
  </si>
  <si>
    <t>GJ 357 b</t>
  </si>
  <si>
    <t>GJ 367 b</t>
  </si>
  <si>
    <t>GJ 3929 b</t>
  </si>
  <si>
    <t>GJ 436 b</t>
  </si>
  <si>
    <t>GJ 486 b</t>
  </si>
  <si>
    <t>GJ 504 b</t>
  </si>
  <si>
    <t>GJ 9827 b</t>
  </si>
  <si>
    <t>GJ 9827 c</t>
  </si>
  <si>
    <t>GJ 9827 d</t>
  </si>
  <si>
    <t>Gliese 12 b</t>
  </si>
  <si>
    <t>HAT-P-10 Ab</t>
  </si>
  <si>
    <t>HAT-P-11 b</t>
  </si>
  <si>
    <t>HAT-P-12 b</t>
  </si>
  <si>
    <t>HAT-P-13 b</t>
  </si>
  <si>
    <t>HAT-P-14 Ab</t>
  </si>
  <si>
    <t>HAT-P-15 b</t>
  </si>
  <si>
    <t>HAT-P-16 Ab</t>
  </si>
  <si>
    <t>HAT-P-17 b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</si>
  <si>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</si>
  <si>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</si>
  <si>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</si>
  <si>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</si>
  <si>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</si>
  <si>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</si>
  <si>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</si>
  <si>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</si>
  <si>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</si>
  <si>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</si>
  <si>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</si>
  <si>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HAT-P-28 b</t>
  </si>
  <si>
    <t>HAT-P-29 b</t>
  </si>
  <si>
    <t>HAT-P-2 b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</si>
  <si>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</si>
  <si>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</si>
  <si>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</si>
  <si>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</si>
  <si>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</si>
  <si>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</si>
  <si>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</si>
  <si>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</si>
  <si>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</si>
  <si>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</si>
  <si>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</si>
  <si>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</si>
  <si>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</si>
  <si>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</si>
  <si>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</si>
  <si>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</si>
  <si>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HAT-P-45 b</t>
  </si>
  <si>
    <t>HAT-P-46 b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</si>
  <si>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</si>
  <si>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</si>
  <si>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</si>
  <si>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</si>
  <si>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</si>
  <si>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</si>
  <si>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</si>
  <si>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</si>
  <si>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</si>
  <si>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</si>
  <si>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</si>
  <si>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</si>
  <si>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</si>
  <si>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</si>
  <si>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</si>
  <si>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</si>
  <si>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</si>
  <si>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</si>
  <si>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</si>
  <si>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</si>
  <si>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</si>
  <si>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</si>
  <si>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</si>
  <si>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</si>
  <si>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</si>
  <si>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</si>
  <si>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</si>
  <si>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</si>
  <si>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</si>
  <si>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</si>
  <si>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</si>
  <si>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</si>
  <si>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</si>
  <si>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</si>
  <si>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</si>
  <si>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</si>
  <si>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</si>
  <si>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</si>
  <si>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</si>
  <si>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</si>
  <si>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</si>
  <si>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</si>
  <si>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</si>
  <si>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</si>
  <si>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</si>
  <si>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</si>
  <si>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</si>
  <si>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</si>
  <si>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CoRoT-28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</si>
  <si>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</si>
  <si>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</si>
  <si>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</si>
  <si>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</si>
  <si>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</si>
  <si>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</si>
  <si>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</si>
  <si>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</si>
  <si>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</si>
  <si>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</si>
  <si>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</si>
  <si>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</si>
  <si>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</si>
  <si>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</si>
  <si>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</si>
  <si>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</si>
  <si>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</si>
  <si>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</si>
  <si>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</si>
  <si>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</si>
  <si>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</si>
  <si>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</si>
  <si>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</si>
  <si>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</si>
  <si>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</si>
  <si>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</si>
  <si>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</si>
  <si>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</si>
  <si>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</si>
  <si>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</si>
  <si>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</si>
  <si>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</si>
  <si>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</si>
  <si>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</si>
  <si>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</si>
  <si>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</si>
  <si>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</si>
  <si>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</si>
  <si>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</si>
  <si>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</si>
  <si>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</si>
  <si>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</si>
  <si>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</si>
  <si>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</si>
  <si>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</si>
  <si>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</si>
  <si>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</si>
  <si>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</si>
  <si>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</si>
  <si>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</si>
  <si>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</si>
  <si>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</si>
  <si>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</si>
  <si>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</si>
  <si>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</si>
  <si>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</si>
  <si>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</si>
  <si>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</si>
  <si>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106315 b</t>
  </si>
  <si>
    <t>HD 106315 c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</si>
  <si>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</si>
  <si>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</si>
  <si>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</si>
  <si>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</si>
  <si>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</si>
  <si>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</si>
  <si>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</si>
  <si>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114082 b</t>
  </si>
  <si>
    <t>HD 115587 b</t>
  </si>
  <si>
    <t>HD 118203 b</t>
  </si>
  <si>
    <t>HD 137496 b</t>
  </si>
  <si>
    <t>HD 1397 b</t>
  </si>
  <si>
    <t>HD 149026 b</t>
  </si>
  <si>
    <t>CoRoT-7 Ac</t>
  </si>
  <si>
    <t>HD 152843 b</t>
  </si>
  <si>
    <t>HD 152843 c</t>
  </si>
  <si>
    <t>HD 17156 b</t>
  </si>
  <si>
    <t>HD 183579 b</t>
  </si>
  <si>
    <t>HD 189733 Ab</t>
  </si>
  <si>
    <t>HD 190622 b</t>
  </si>
  <si>
    <t>CoRoT-7 Ad</t>
  </si>
  <si>
    <t>HD 191939 b</t>
  </si>
  <si>
    <t>HD 191939 c</t>
  </si>
  <si>
    <t>HD 191939 d</t>
  </si>
  <si>
    <t>HD 202772 Ab</t>
  </si>
  <si>
    <t>HD 203030 Ab</t>
  </si>
  <si>
    <t>HD 20329 b</t>
  </si>
  <si>
    <t>HD 206893 c</t>
  </si>
  <si>
    <t>HD 207496 Ab</t>
  </si>
  <si>
    <t>HD 207897 b</t>
  </si>
  <si>
    <t>HD 209458 b</t>
  </si>
  <si>
    <t>HD 213885 Ab</t>
  </si>
  <si>
    <t>HD 21520 b</t>
  </si>
  <si>
    <t>HD 219134 b</t>
  </si>
  <si>
    <t>HD 219134 c</t>
  </si>
  <si>
    <t>HD 219666 b</t>
  </si>
  <si>
    <t>HD 221416 b</t>
  </si>
  <si>
    <t>HD 22946 b</t>
  </si>
  <si>
    <t>HD 22946 c</t>
  </si>
  <si>
    <t>CRTS J071126.0+440405 (AB)b</t>
  </si>
  <si>
    <t>HD 22946 d</t>
  </si>
  <si>
    <t>HD 23472 Ab</t>
  </si>
  <si>
    <t>HD 23472 Ac</t>
  </si>
  <si>
    <t>HD 23472 Ad</t>
  </si>
  <si>
    <t>HD 23472 Ae</t>
  </si>
  <si>
    <t>HD 23472 Af</t>
  </si>
  <si>
    <t>HD 260655 b</t>
  </si>
  <si>
    <t>DE CVn b</t>
  </si>
  <si>
    <t>HD 260655 c</t>
  </si>
  <si>
    <t>HD 2685 b</t>
  </si>
  <si>
    <t>HD 28109 b</t>
  </si>
  <si>
    <t>DH Tau b</t>
  </si>
  <si>
    <t>HD 3167 b</t>
  </si>
  <si>
    <t>HD 3167 c</t>
  </si>
  <si>
    <t>HD 332231 b</t>
  </si>
  <si>
    <t>HD 35843 c</t>
  </si>
  <si>
    <t>HD 5278 Ab</t>
  </si>
  <si>
    <t>HD 63433 b</t>
  </si>
  <si>
    <t>HD 63433 c</t>
  </si>
  <si>
    <t>HD 63935 b</t>
  </si>
  <si>
    <t>DMPP-4 b</t>
  </si>
  <si>
    <t>HD 63935 c</t>
  </si>
  <si>
    <t>HD 73344 b</t>
  </si>
  <si>
    <t>HD 73583 Ab</t>
  </si>
  <si>
    <t>HD 73583 Ac</t>
  </si>
  <si>
    <t>HD 80606 b</t>
  </si>
  <si>
    <t>HD 80653 b</t>
  </si>
  <si>
    <t>DP Leo (AB) b</t>
  </si>
  <si>
    <t>HD 83342 b</t>
  </si>
  <si>
    <t>HD 86226 c</t>
  </si>
  <si>
    <t>HD 88986 b</t>
  </si>
  <si>
    <t>HD 89345 b</t>
  </si>
  <si>
    <t>HD 95338 b</t>
  </si>
  <si>
    <t>HD 97658 b</t>
  </si>
  <si>
    <t>HIP 113103 b</t>
  </si>
  <si>
    <t>HIP 113103 c</t>
  </si>
  <si>
    <t>HIP 116454 Ab</t>
  </si>
  <si>
    <t>HIP 41378 b</t>
  </si>
  <si>
    <t>DW Lyn b</t>
  </si>
  <si>
    <t>HIP 41378 c</t>
  </si>
  <si>
    <t>HIP 41378 d</t>
  </si>
  <si>
    <t>HIP 41378 e</t>
  </si>
  <si>
    <t>HIP 41378 f</t>
  </si>
  <si>
    <t>HIP 65426 b</t>
  </si>
  <si>
    <t>HIP 65 Ab</t>
  </si>
  <si>
    <t>Elias 2-27 b</t>
  </si>
  <si>
    <t>HIP 67522 b</t>
  </si>
  <si>
    <t>HIP 94235 Ab</t>
  </si>
  <si>
    <t>HIP 97166 b</t>
  </si>
  <si>
    <t>HR 8799 b</t>
  </si>
  <si>
    <t>HR 8799 c</t>
  </si>
  <si>
    <t>HR 8799 d</t>
  </si>
  <si>
    <t>HR 8799 e</t>
  </si>
  <si>
    <t>IRAS 04125+2902 b</t>
  </si>
  <si>
    <t>K2-105 b</t>
  </si>
  <si>
    <t>K2-106 b</t>
  </si>
  <si>
    <t>K2-106 c</t>
  </si>
  <si>
    <t>K2-107 b</t>
  </si>
  <si>
    <t>K2-108 b</t>
  </si>
  <si>
    <t>eps CrB Ab</t>
  </si>
  <si>
    <t>K2-10 b</t>
  </si>
  <si>
    <t>K2-110 b</t>
  </si>
  <si>
    <t>K2-111 b</t>
  </si>
  <si>
    <t>K2-113 b</t>
  </si>
  <si>
    <t>eps Eridani b</t>
  </si>
  <si>
    <t>K2-114 b</t>
  </si>
  <si>
    <t>K2-115 b</t>
  </si>
  <si>
    <t>K2-124 b</t>
  </si>
  <si>
    <t>K2-132 b</t>
  </si>
  <si>
    <t>K2-133 b</t>
  </si>
  <si>
    <t>K2-133 c</t>
  </si>
  <si>
    <t>eps Ind Ab</t>
  </si>
  <si>
    <t>K2-133 d</t>
  </si>
  <si>
    <t>K2-137 b</t>
  </si>
  <si>
    <t>K2-138 b</t>
  </si>
  <si>
    <t>K2-138 c</t>
  </si>
  <si>
    <t>K2-138 d</t>
  </si>
  <si>
    <t>eps Ret Ab</t>
  </si>
  <si>
    <t>K2-138 e</t>
  </si>
  <si>
    <t>K2-138 f</t>
  </si>
  <si>
    <t>K2-138 g</t>
  </si>
  <si>
    <t>K2-139 b</t>
  </si>
  <si>
    <t>K2-140 b</t>
  </si>
  <si>
    <t>K2-141 b</t>
  </si>
  <si>
    <t>K2-141 c</t>
  </si>
  <si>
    <t>K2-146 b</t>
  </si>
  <si>
    <t>eps Tau b</t>
  </si>
  <si>
    <t>K2-146 c</t>
  </si>
  <si>
    <t>K2-155 b</t>
  </si>
  <si>
    <t>K2-155 c</t>
  </si>
  <si>
    <t>K2-155 d</t>
  </si>
  <si>
    <t>K2-157 b</t>
  </si>
  <si>
    <t>K2-166 c</t>
  </si>
  <si>
    <t>eta2 Hyi b</t>
  </si>
  <si>
    <t>K2-174 b</t>
  </si>
  <si>
    <t>K2-180 b</t>
  </si>
  <si>
    <t>K2-182 b</t>
  </si>
  <si>
    <t>eta Cet b</t>
  </si>
  <si>
    <t>K2-18 b</t>
  </si>
  <si>
    <t>K2-199 b</t>
  </si>
  <si>
    <t>K2-199 c</t>
  </si>
  <si>
    <t>K2-19 b</t>
  </si>
  <si>
    <t>K2-19 c</t>
  </si>
  <si>
    <t>K2-19 d</t>
  </si>
  <si>
    <t>eta Cet c</t>
  </si>
  <si>
    <t>K2-216 b</t>
  </si>
  <si>
    <t>K2-21 b</t>
  </si>
  <si>
    <t>K2-21 c</t>
  </si>
  <si>
    <t>K2-222 b</t>
  </si>
  <si>
    <t>K2-229 b</t>
  </si>
  <si>
    <t>FN Lyr b</t>
  </si>
  <si>
    <t>K2-229 c</t>
  </si>
  <si>
    <t>K2-229 d</t>
  </si>
  <si>
    <t>K2-22 Ab</t>
  </si>
  <si>
    <t>K2-231 b</t>
  </si>
  <si>
    <t>K2-232 Ab</t>
  </si>
  <si>
    <t>G 192-15 b</t>
  </si>
  <si>
    <t>K2-233 b</t>
  </si>
  <si>
    <t>K2-233 d</t>
  </si>
  <si>
    <t>K2-236 b</t>
  </si>
  <si>
    <t>K2-237 b</t>
  </si>
  <si>
    <t>K2-238 b</t>
  </si>
  <si>
    <t>K2-239 b</t>
  </si>
  <si>
    <t>K2-239 c</t>
  </si>
  <si>
    <t>G 192-15 c</t>
  </si>
  <si>
    <t>K2-239 d</t>
  </si>
  <si>
    <t>K2-240 b</t>
  </si>
  <si>
    <t>K2-240 c</t>
  </si>
  <si>
    <t>K2-24 b</t>
  </si>
  <si>
    <t>K2-24 c</t>
  </si>
  <si>
    <t>G 261-6 b</t>
  </si>
  <si>
    <t>K2-25 b</t>
  </si>
  <si>
    <t>K2-260 Ab</t>
  </si>
  <si>
    <t>K2-261 b</t>
  </si>
  <si>
    <t>K2-263 b</t>
  </si>
  <si>
    <t>K2-265 Ab</t>
  </si>
  <si>
    <t>G 264-012 b</t>
  </si>
  <si>
    <t>K2-266 Ab</t>
  </si>
  <si>
    <t>K2-266 Ac</t>
  </si>
  <si>
    <t>K2-266 Ad</t>
  </si>
  <si>
    <t>K2-266 Ae</t>
  </si>
  <si>
    <t>K2-267 Ab</t>
  </si>
  <si>
    <t>K2-27 Bb</t>
  </si>
  <si>
    <t>K2-280 b</t>
  </si>
  <si>
    <t>G 264-012 c</t>
  </si>
  <si>
    <t>K2-285 b</t>
  </si>
  <si>
    <t>K2-285 c</t>
  </si>
  <si>
    <t>K2-285 d</t>
  </si>
  <si>
    <t>K2-285 e</t>
  </si>
  <si>
    <t>K2-286 b</t>
  </si>
  <si>
    <t>G 268-110 b</t>
  </si>
  <si>
    <t>K2-287 b</t>
  </si>
  <si>
    <t>K2-289 b</t>
  </si>
  <si>
    <t>K2-290 Ab</t>
  </si>
  <si>
    <t>K2-290 Ac</t>
  </si>
  <si>
    <t>K2-291 b</t>
  </si>
  <si>
    <t>K2-292 b</t>
  </si>
  <si>
    <t>K2-295 b</t>
  </si>
  <si>
    <t>K2-29 Ab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</si>
  <si>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</si>
  <si>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</si>
  <si>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</si>
  <si>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</si>
  <si>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</si>
  <si>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</si>
  <si>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</si>
  <si>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</si>
  <si>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K2-314 b</t>
  </si>
  <si>
    <t>K2-314 c</t>
  </si>
  <si>
    <t>Gaia22dkv b</t>
  </si>
  <si>
    <t>K2-314 d</t>
  </si>
  <si>
    <t>K2-31 Ab</t>
  </si>
  <si>
    <t>K2-329 Ab</t>
  </si>
  <si>
    <t>K2-32 Ab</t>
  </si>
  <si>
    <t>K2-32 Ac</t>
  </si>
  <si>
    <t>K2-32 Ad</t>
  </si>
  <si>
    <t>K2-32 Ae</t>
  </si>
  <si>
    <t>K2-33 b</t>
  </si>
  <si>
    <t>K2-34 b</t>
  </si>
  <si>
    <t>K2-360 b</t>
  </si>
  <si>
    <t>Gaia-3 Ab</t>
  </si>
  <si>
    <t>K2-365 b</t>
  </si>
  <si>
    <t>K2-366 b</t>
  </si>
  <si>
    <t>K2-367 b</t>
  </si>
  <si>
    <t>K2-369 b</t>
  </si>
  <si>
    <t>K2-36 Bb</t>
  </si>
  <si>
    <t>K2-36 Bc</t>
  </si>
  <si>
    <t>K2-370 b</t>
  </si>
  <si>
    <t>Gaia-4 b</t>
  </si>
  <si>
    <t>K2-371 b</t>
  </si>
  <si>
    <t>K2-372 b</t>
  </si>
  <si>
    <t>K2-373 b</t>
  </si>
  <si>
    <t>K2-374 b</t>
  </si>
  <si>
    <t>Gaia EDR3 2077240046296834304 b</t>
  </si>
  <si>
    <t>K2-374 c</t>
  </si>
  <si>
    <t>K2-375 b</t>
  </si>
  <si>
    <t>K2-376 b</t>
  </si>
  <si>
    <t>K2-377 b</t>
  </si>
  <si>
    <t>K2-378 b</t>
  </si>
  <si>
    <t>K2-379 b</t>
  </si>
  <si>
    <t>GALEX 0718+3731 b</t>
  </si>
  <si>
    <t>K2-380 b</t>
  </si>
  <si>
    <t>K2-382 b</t>
  </si>
  <si>
    <t>K2-383 b</t>
  </si>
  <si>
    <t>K2-385 b</t>
  </si>
  <si>
    <t>K2-386 b</t>
  </si>
  <si>
    <t>K2-387 b</t>
  </si>
  <si>
    <t>gamma Lib b</t>
  </si>
  <si>
    <t>K2-388 b</t>
  </si>
  <si>
    <t>K2-389 b</t>
  </si>
  <si>
    <t>K2-389 c</t>
  </si>
  <si>
    <t>K2-38 b</t>
  </si>
  <si>
    <t>gamma Lib c</t>
  </si>
  <si>
    <t>K2-38 c</t>
  </si>
  <si>
    <t>K2-390 b</t>
  </si>
  <si>
    <t>K2-391 b</t>
  </si>
  <si>
    <t>K2-392 b</t>
  </si>
  <si>
    <t>K2-393 b</t>
  </si>
  <si>
    <t>K2-394 b</t>
  </si>
  <si>
    <t>gam Psc b</t>
  </si>
  <si>
    <t>K2-395 b</t>
  </si>
  <si>
    <t>K2-395 c</t>
  </si>
  <si>
    <t>K2-396 b</t>
  </si>
  <si>
    <t>K2-396 c</t>
  </si>
  <si>
    <t>K2-397 b</t>
  </si>
  <si>
    <t>GJ 1002 b</t>
  </si>
  <si>
    <t>K2-398 b</t>
  </si>
  <si>
    <t>K2-398 c</t>
  </si>
  <si>
    <t>K2-39 b</t>
  </si>
  <si>
    <t>K2-3 b</t>
  </si>
  <si>
    <t>GJ 1002 c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</si>
  <si>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</si>
  <si>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</si>
  <si>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</si>
  <si>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</si>
  <si>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</si>
  <si>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</si>
  <si>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</si>
  <si>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</si>
  <si>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</si>
  <si>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</si>
  <si>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</si>
  <si>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GJ 1061 b</t>
  </si>
  <si>
    <t>K2-408 b</t>
  </si>
  <si>
    <t>K2-409 b</t>
  </si>
  <si>
    <t>K2-415 b</t>
  </si>
  <si>
    <t>K2-416 b</t>
  </si>
  <si>
    <t>K2-417 b</t>
  </si>
  <si>
    <t>K2-418 b</t>
  </si>
  <si>
    <t>GJ 1061 c</t>
  </si>
  <si>
    <t>K2-419 Ab</t>
  </si>
  <si>
    <t>K2-44 b</t>
  </si>
  <si>
    <t>K2-52 b</t>
  </si>
  <si>
    <t>K2-53 b</t>
  </si>
  <si>
    <t>K2-55 b</t>
  </si>
  <si>
    <t>GJ 1061 d</t>
  </si>
  <si>
    <t>K2-60 b</t>
  </si>
  <si>
    <t>K2-66 b</t>
  </si>
  <si>
    <t>K2-77 b</t>
  </si>
  <si>
    <t>K2-79 b</t>
  </si>
  <si>
    <t>K2-87 b</t>
  </si>
  <si>
    <t>K2-90 b</t>
  </si>
  <si>
    <t>K2-95 b</t>
  </si>
  <si>
    <t>K2-97 b</t>
  </si>
  <si>
    <t>K2-98 b</t>
  </si>
  <si>
    <t>K2-99 b</t>
  </si>
  <si>
    <t>KELT-10 b</t>
  </si>
  <si>
    <t>GJ 1132 c</t>
  </si>
  <si>
    <t>KELT-11 Ab</t>
  </si>
  <si>
    <t>KELT-12 b</t>
  </si>
  <si>
    <t>KELT-15 Ab</t>
  </si>
  <si>
    <t>KELT-16 Ab</t>
  </si>
  <si>
    <t>KELT-17 b</t>
  </si>
  <si>
    <t>GJ 1151 c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</si>
  <si>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</si>
  <si>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</si>
  <si>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</si>
  <si>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</si>
  <si>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</si>
  <si>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</si>
  <si>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</si>
  <si>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</si>
  <si>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</si>
  <si>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</si>
  <si>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KELT-7 b</t>
  </si>
  <si>
    <t>KELT-8 b</t>
  </si>
  <si>
    <t>KELT-9 Ab</t>
  </si>
  <si>
    <t>Kepler-100 b</t>
  </si>
  <si>
    <t>Kepler-100 c</t>
  </si>
  <si>
    <t>Kepler-100 d</t>
  </si>
  <si>
    <t>Kepler-101 b</t>
  </si>
  <si>
    <t>Kepler-101 c</t>
  </si>
  <si>
    <t>GJ 1265 b</t>
  </si>
  <si>
    <t>Kepler-102 b</t>
  </si>
  <si>
    <t>Kepler-102 c</t>
  </si>
  <si>
    <t>Kepler-102 d</t>
  </si>
  <si>
    <t>Kepler-102 e</t>
  </si>
  <si>
    <t>Kepler-102 f</t>
  </si>
  <si>
    <t>GJ 1289 b</t>
  </si>
  <si>
    <t>Kepler-103 b</t>
  </si>
  <si>
    <t>Kepler-103 c</t>
  </si>
  <si>
    <t>Kepler-104 Ab</t>
  </si>
  <si>
    <t>Kepler-104 Ac</t>
  </si>
  <si>
    <t>Kepler-104 Ad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</si>
  <si>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</si>
  <si>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</si>
  <si>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</si>
  <si>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</si>
  <si>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</si>
  <si>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</si>
  <si>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</si>
  <si>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</si>
  <si>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</si>
  <si>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</si>
  <si>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</si>
  <si>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</si>
  <si>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GJ 15 Ab</t>
  </si>
  <si>
    <t>Kepler-10 b</t>
  </si>
  <si>
    <t>Kepler-10 c</t>
  </si>
  <si>
    <t>Kepler-113 b</t>
  </si>
  <si>
    <t>Kepler-113 c</t>
  </si>
  <si>
    <t>Kepler-114 b</t>
  </si>
  <si>
    <t>GJ 15 Ac</t>
  </si>
  <si>
    <t>Kepler-114 c</t>
  </si>
  <si>
    <t>Kepler-114 d</t>
  </si>
  <si>
    <t>Kepler-117 b</t>
  </si>
  <si>
    <t>Kepler-117 c</t>
  </si>
  <si>
    <t>Kepler-11 b</t>
  </si>
  <si>
    <t>Kepler-11 c</t>
  </si>
  <si>
    <t>GJ 160.2 b</t>
  </si>
  <si>
    <t>Kepler-11 d</t>
  </si>
  <si>
    <t>Kepler-11 e</t>
  </si>
  <si>
    <t>Kepler-11 f</t>
  </si>
  <si>
    <t>Kepler-11 g</t>
  </si>
  <si>
    <t>Kepler-122 f</t>
  </si>
  <si>
    <t>GJ 163 b</t>
  </si>
  <si>
    <t>Kepler-128 b</t>
  </si>
  <si>
    <t>Kepler-128 c</t>
  </si>
  <si>
    <t>Kepler-12 b</t>
  </si>
  <si>
    <t>Kepler-131 b</t>
  </si>
  <si>
    <t>GJ 163 c</t>
  </si>
  <si>
    <t>Kepler-131 c</t>
  </si>
  <si>
    <t>Kepler-138 b</t>
  </si>
  <si>
    <t>Kepler-138 c</t>
  </si>
  <si>
    <t>Kepler-138 d</t>
  </si>
  <si>
    <t>Kepler-139 d</t>
  </si>
  <si>
    <t>Kepler-13 Ab</t>
  </si>
  <si>
    <t>GJ 163 d</t>
  </si>
  <si>
    <t>Kepler-145 b</t>
  </si>
  <si>
    <t>Kepler-145 c</t>
  </si>
  <si>
    <t>Kepler-14 Ab</t>
  </si>
  <si>
    <t>Kepler-150 f</t>
  </si>
  <si>
    <t>Kepler-1513 Ab</t>
  </si>
  <si>
    <t>GJ 176 b</t>
  </si>
  <si>
    <t>Kepler-1514 b</t>
  </si>
  <si>
    <t>Kepler-15 b</t>
  </si>
  <si>
    <t>Kepler-1647 (AB)b</t>
  </si>
  <si>
    <t>Kepler-1654 b</t>
  </si>
  <si>
    <t>Kepler-1655 b</t>
  </si>
  <si>
    <t>Kepler-1656 b</t>
  </si>
  <si>
    <t>Kepler-1657 b</t>
  </si>
  <si>
    <t>Kepler-1658 b</t>
  </si>
  <si>
    <t>GJ 176 c</t>
  </si>
  <si>
    <t>Kepler-1659 b</t>
  </si>
  <si>
    <t>Kepler-1659 c</t>
  </si>
  <si>
    <t>Kepler-1662 b</t>
  </si>
  <si>
    <t>Kepler-1662 c</t>
  </si>
  <si>
    <t>Kepler-167 Ae</t>
  </si>
  <si>
    <t>Kepler-16 (AB)b</t>
  </si>
  <si>
    <t>GJ 179 b</t>
  </si>
  <si>
    <t>Kepler-1704 b</t>
  </si>
  <si>
    <t>Kepler-1705 b</t>
  </si>
  <si>
    <t>Kepler-1705 c</t>
  </si>
  <si>
    <t>Kepler-1708 b</t>
  </si>
  <si>
    <t>Kepler-1710 b</t>
  </si>
  <si>
    <t>GJ 179 c</t>
  </si>
  <si>
    <t>Kepler-177 b</t>
  </si>
  <si>
    <t>Kepler-177 c</t>
  </si>
  <si>
    <t>Kepler-17 b</t>
  </si>
  <si>
    <t>GJ 180 b</t>
  </si>
  <si>
    <t>Kepler-1876 b</t>
  </si>
  <si>
    <t>Kepler-18 b</t>
  </si>
  <si>
    <t>Kepler-18 c</t>
  </si>
  <si>
    <t>Kepler-18 d</t>
  </si>
  <si>
    <t>Kepler-1971 b</t>
  </si>
  <si>
    <t>Kepler-1972 b</t>
  </si>
  <si>
    <t>GJ 180 c</t>
  </si>
  <si>
    <t>Kepler-1972 c</t>
  </si>
  <si>
    <t>Kepler-1973 Ab</t>
  </si>
  <si>
    <t>Kepler-197 Ac</t>
  </si>
  <si>
    <t>Kepler-19 b</t>
  </si>
  <si>
    <t>Kepler-20 Ab</t>
  </si>
  <si>
    <t>GJ 180 d</t>
  </si>
  <si>
    <t>Kepler-20 Ac</t>
  </si>
  <si>
    <t>Kepler-20 Ad</t>
  </si>
  <si>
    <t>Kepler-20 Ae</t>
  </si>
  <si>
    <t>Kepler-20 Af</t>
  </si>
  <si>
    <t>Kepler-21 Ab</t>
  </si>
  <si>
    <t>Kepler-223 b</t>
  </si>
  <si>
    <t>GJ 2030 Ab</t>
  </si>
  <si>
    <t>Kepler-223 c</t>
  </si>
  <si>
    <t>Kepler-223 d</t>
  </si>
  <si>
    <t>Kepler-223 e</t>
  </si>
  <si>
    <t>Kepler-22 b</t>
  </si>
  <si>
    <t>Kepler-238 e</t>
  </si>
  <si>
    <t>GJ 2030 Ac</t>
  </si>
  <si>
    <t>Kepler-238 f</t>
  </si>
  <si>
    <t>Kepler-23 b</t>
  </si>
  <si>
    <t>Kepler-23 c</t>
  </si>
  <si>
    <t>Kepler-23 d</t>
  </si>
  <si>
    <t>Kepler-24 b</t>
  </si>
  <si>
    <t>Kepler-24 c</t>
  </si>
  <si>
    <t>GJ 2056 b</t>
  </si>
  <si>
    <t>Kepler-25 Ab</t>
  </si>
  <si>
    <t>Kepler-25 Ac</t>
  </si>
  <si>
    <t>Kepler-26 b</t>
  </si>
  <si>
    <t>Kepler-26 c</t>
  </si>
  <si>
    <t>Kepler-276 c</t>
  </si>
  <si>
    <t>Kepler-276 d</t>
  </si>
  <si>
    <t>GJ 2056 c</t>
  </si>
  <si>
    <t>Kepler-277 b</t>
  </si>
  <si>
    <t>Kepler-277 c</t>
  </si>
  <si>
    <t>Kepler-278 b</t>
  </si>
  <si>
    <t>Kepler-278 c</t>
  </si>
  <si>
    <t>Kepler-279 c</t>
  </si>
  <si>
    <t>Kepler-279 d</t>
  </si>
  <si>
    <t>GJ 2126 b</t>
  </si>
  <si>
    <t>Kepler-27 Ab</t>
  </si>
  <si>
    <t>Kepler-27 Ac</t>
  </si>
  <si>
    <t>Kepler-27 d</t>
  </si>
  <si>
    <t>Kepler-282 d</t>
  </si>
  <si>
    <t>Kepler-282 e</t>
  </si>
  <si>
    <t>GJ 229 c</t>
  </si>
  <si>
    <t>Kepler-289 b</t>
  </si>
  <si>
    <t>Kepler-289 c</t>
  </si>
  <si>
    <t>Kepler-289 d</t>
  </si>
  <si>
    <t>Kepler-28 b</t>
  </si>
  <si>
    <t>Kepler-28 c</t>
  </si>
  <si>
    <t>Kepler-29 b</t>
  </si>
  <si>
    <t>GJ 229 d</t>
  </si>
  <si>
    <t>Kepler-29 c</t>
  </si>
  <si>
    <t>Kepler-305 b</t>
  </si>
  <si>
    <t>Kepler-305 c</t>
  </si>
  <si>
    <t>Kepler-307 b</t>
  </si>
  <si>
    <t>Kepler-307 c</t>
  </si>
  <si>
    <t>GJ 238 b</t>
  </si>
  <si>
    <t>Kepler-30 b</t>
  </si>
  <si>
    <t>Kepler-30 c</t>
  </si>
  <si>
    <t>Kepler-30 d</t>
  </si>
  <si>
    <t>Kepler-31 c</t>
  </si>
  <si>
    <t>Kepler-31 d</t>
  </si>
  <si>
    <t>GJ 251 b</t>
  </si>
  <si>
    <t>Kepler-324 d</t>
  </si>
  <si>
    <t>Kepler-328 b</t>
  </si>
  <si>
    <t>Kepler-328 c</t>
  </si>
  <si>
    <t>Kepler-32 b</t>
  </si>
  <si>
    <t>Kepler-32 c</t>
  </si>
  <si>
    <t>Kepler-338 b</t>
  </si>
  <si>
    <t>GJ 27.1 b</t>
  </si>
  <si>
    <t>Kepler-338 e</t>
  </si>
  <si>
    <t>Kepler-34 (AB)b</t>
  </si>
  <si>
    <t>Kepler-350 c</t>
  </si>
  <si>
    <t>Kepler-350 d</t>
  </si>
  <si>
    <t>Kepler-35 (AB)b</t>
  </si>
  <si>
    <t>GJ 3021 Ab</t>
  </si>
  <si>
    <t>Kepler-36 b</t>
  </si>
  <si>
    <t>Kepler-36 c</t>
  </si>
  <si>
    <t>Kepler-37 b</t>
  </si>
  <si>
    <t>Kepler-37 c</t>
  </si>
  <si>
    <t>Kepler-37 d</t>
  </si>
  <si>
    <t>Kepler-38 (AB)b</t>
  </si>
  <si>
    <t>GJ 3082 b</t>
  </si>
  <si>
    <t>Kepler-391 c</t>
  </si>
  <si>
    <t>Kepler-396 b</t>
  </si>
  <si>
    <t>Kepler-396 c</t>
  </si>
  <si>
    <t>Kepler-406 b</t>
  </si>
  <si>
    <t>Kepler-406 c</t>
  </si>
  <si>
    <t>Kepler-407 Ab</t>
  </si>
  <si>
    <t>Kepler-408 b</t>
  </si>
  <si>
    <t>Kepler-409 b</t>
  </si>
  <si>
    <t>Kepler-40 b</t>
  </si>
  <si>
    <t>Kepler-411 Ab</t>
  </si>
  <si>
    <t>Kepler-411 Ac</t>
  </si>
  <si>
    <t>GJ 3138 b</t>
  </si>
  <si>
    <t>Kepler-411 Ad</t>
  </si>
  <si>
    <t>Kepler-412 b</t>
  </si>
  <si>
    <t>Kepler-413 (AB)b</t>
  </si>
  <si>
    <t>Kepler-414 b</t>
  </si>
  <si>
    <t>Kepler-414 c</t>
  </si>
  <si>
    <t>Kepler-415 b</t>
  </si>
  <si>
    <t>GJ 3138 c</t>
  </si>
  <si>
    <t>Kepler-416 b</t>
  </si>
  <si>
    <t>Kepler-417 b</t>
  </si>
  <si>
    <t>Kepler-418 b</t>
  </si>
  <si>
    <t>Kepler-419 b</t>
  </si>
  <si>
    <t>Kepler-41 b</t>
  </si>
  <si>
    <t>GJ 3138 d</t>
  </si>
  <si>
    <t>Kepler-420 Ab</t>
  </si>
  <si>
    <t>Kepler-422 b</t>
  </si>
  <si>
    <t>Kepler-423 b</t>
  </si>
  <si>
    <t>Kepler-424 b</t>
  </si>
  <si>
    <t>Kepler-425 b</t>
  </si>
  <si>
    <t>GJ 317 b</t>
  </si>
  <si>
    <t>Kepler-426 b</t>
  </si>
  <si>
    <t>Kepler-427 b</t>
  </si>
  <si>
    <t>Kepler-428 b</t>
  </si>
  <si>
    <t>Kepler-42 b</t>
  </si>
  <si>
    <t>Kepler-42 c</t>
  </si>
  <si>
    <t>GJ 317 c</t>
  </si>
  <si>
    <t>Kepler-42 d</t>
  </si>
  <si>
    <t>Kepler-432 b</t>
  </si>
  <si>
    <t>Kepler-433 b</t>
  </si>
  <si>
    <t>Kepler-434 b</t>
  </si>
  <si>
    <t>Kepler-435 b</t>
  </si>
  <si>
    <t>Kepler-43 b</t>
  </si>
  <si>
    <t>GJ 3222 Ab</t>
  </si>
  <si>
    <t>Kepler-445 b</t>
  </si>
  <si>
    <t>Kepler-445 c</t>
  </si>
  <si>
    <t>Kepler-445 d</t>
  </si>
  <si>
    <t>Kepler-446 b</t>
  </si>
  <si>
    <t>Kepler-446 c</t>
  </si>
  <si>
    <t>GJ 328 b</t>
  </si>
  <si>
    <t>Kepler-446 d</t>
  </si>
  <si>
    <t>Kepler-447 b</t>
  </si>
  <si>
    <t>Kepler-448 b</t>
  </si>
  <si>
    <t>Kepler-44 b</t>
  </si>
  <si>
    <t>Kepler-453 (AB)b</t>
  </si>
  <si>
    <t>GJ 328 c</t>
  </si>
  <si>
    <t>Kepler-454 Ab</t>
  </si>
  <si>
    <t>Kepler-45 b</t>
  </si>
  <si>
    <t>Kepler-462 b</t>
  </si>
  <si>
    <t>Kepler-462 c</t>
  </si>
  <si>
    <t>Kepler-46 b</t>
  </si>
  <si>
    <t>Kepler-47 (AB)d</t>
  </si>
  <si>
    <t>GJ 3293 b</t>
  </si>
  <si>
    <t>Kepler-48 b</t>
  </si>
  <si>
    <t>Kepler-48 c</t>
  </si>
  <si>
    <t>GJ 3293 c</t>
  </si>
  <si>
    <t>Kepler-48 d</t>
  </si>
  <si>
    <t>Kepler-49 b</t>
  </si>
  <si>
    <t>Kepler-49 c</t>
  </si>
  <si>
    <t>Kepler-4 b</t>
  </si>
  <si>
    <t>Kepler-50 b</t>
  </si>
  <si>
    <t>Kepler-50 c</t>
  </si>
  <si>
    <t>Kepler-51 b</t>
  </si>
  <si>
    <t>Kepler-51 c</t>
  </si>
  <si>
    <t>Kepler-51 d</t>
  </si>
  <si>
    <t>Kepler-52 b</t>
  </si>
  <si>
    <t>GJ 3293 d</t>
  </si>
  <si>
    <t>Kepler-52 c</t>
  </si>
  <si>
    <t>Kepler-538 Ab</t>
  </si>
  <si>
    <t>Kepler-539 b</t>
  </si>
  <si>
    <t>Kepler-53 c</t>
  </si>
  <si>
    <t>Kepler-54 b</t>
  </si>
  <si>
    <t>GJ 3293 e</t>
  </si>
  <si>
    <t>Kepler-54 c</t>
  </si>
  <si>
    <t>Kepler-55 Ab</t>
  </si>
  <si>
    <t>Kepler-55 Ac</t>
  </si>
  <si>
    <t>Kepler-56 b</t>
  </si>
  <si>
    <t>Kepler-56 c</t>
  </si>
  <si>
    <t>Kepler-57 b</t>
  </si>
  <si>
    <t>GJ 3323 b</t>
  </si>
  <si>
    <t>Kepler-57 c</t>
  </si>
  <si>
    <t>Kepler-58 b</t>
  </si>
  <si>
    <t>Kepler-58 c</t>
  </si>
  <si>
    <t>Kepler-595 b</t>
  </si>
  <si>
    <t>Kepler-595 c</t>
  </si>
  <si>
    <t>Kepler-59 b</t>
  </si>
  <si>
    <t>GJ 3323 c</t>
  </si>
  <si>
    <t>Kepler-59 c</t>
  </si>
  <si>
    <t>Kepler-5 b</t>
  </si>
  <si>
    <t>Kepler-60 b</t>
  </si>
  <si>
    <t>Kepler-60 c</t>
  </si>
  <si>
    <t>Kepler-60 d</t>
  </si>
  <si>
    <t>Kepler-62 b</t>
  </si>
  <si>
    <t>GJ 3341 b</t>
  </si>
  <si>
    <t>Kepler-62 c</t>
  </si>
  <si>
    <t>Kepler-62 d</t>
  </si>
  <si>
    <t>Kepler-62 e</t>
  </si>
  <si>
    <t>Kepler-62 f</t>
  </si>
  <si>
    <t>Kepler-63 b</t>
  </si>
  <si>
    <t>GJ 338 Bb</t>
  </si>
  <si>
    <t>Kepler-64 (AB)b</t>
  </si>
  <si>
    <t>Kepler-65 d</t>
  </si>
  <si>
    <t>Kepler-66 b</t>
  </si>
  <si>
    <t>Kepler-67 b</t>
  </si>
  <si>
    <t>Kepler-68 b</t>
  </si>
  <si>
    <t>Kepler-68 c</t>
  </si>
  <si>
    <t>Kepler-6 b</t>
  </si>
  <si>
    <t>Kepler-70 b</t>
  </si>
  <si>
    <t>Kepler-70 c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</si>
  <si>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</si>
  <si>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</si>
  <si>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</si>
  <si>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</si>
  <si>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</si>
  <si>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</si>
  <si>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</si>
  <si>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</si>
  <si>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</si>
  <si>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</si>
  <si>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</si>
  <si>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</si>
  <si>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</si>
  <si>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</si>
  <si>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</si>
  <si>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Kepler-82 c</t>
  </si>
  <si>
    <t>GJ 3473 Ac</t>
  </si>
  <si>
    <t>Kepler-84 Ac</t>
  </si>
  <si>
    <t>Kepler-85 b</t>
  </si>
  <si>
    <t>Kepler-85 c</t>
  </si>
  <si>
    <t>Kepler-86 b</t>
  </si>
  <si>
    <t>Kepler-87 b</t>
  </si>
  <si>
    <t>GJ 3512 b</t>
  </si>
  <si>
    <t>Kepler-87 c</t>
  </si>
  <si>
    <t>Kepler-88 b</t>
  </si>
  <si>
    <t>Kepler-89 Ab</t>
  </si>
  <si>
    <t>Kepler-89 Ac</t>
  </si>
  <si>
    <t>Kepler-89 Ad</t>
  </si>
  <si>
    <t>GJ 3512 c</t>
  </si>
  <si>
    <t>Kepler-89 Ae</t>
  </si>
  <si>
    <t>Kepler-8 b</t>
  </si>
  <si>
    <t>Kepler-91 b</t>
  </si>
  <si>
    <t>Kepler-92 Ab</t>
  </si>
  <si>
    <t>Kepler-92 Ac</t>
  </si>
  <si>
    <t>Kepler-93 b</t>
  </si>
  <si>
    <t>Kepler-94 b</t>
  </si>
  <si>
    <t>Kepler-95 b</t>
  </si>
  <si>
    <t>Kepler-96 b</t>
  </si>
  <si>
    <t>Kepler-97 Ab</t>
  </si>
  <si>
    <t>GJ 357 c</t>
  </si>
  <si>
    <t>Kepler-98 b</t>
  </si>
  <si>
    <t>Kepler-99 Bb</t>
  </si>
  <si>
    <t>Kepler-9 b</t>
  </si>
  <si>
    <t>Kepler-9 c</t>
  </si>
  <si>
    <t>Kepler-9 d</t>
  </si>
  <si>
    <t>KOI-2700 b</t>
  </si>
  <si>
    <t>GJ 357 d</t>
  </si>
  <si>
    <t>KPS-1 b</t>
  </si>
  <si>
    <t>L 168-9 b</t>
  </si>
  <si>
    <t>L 98-59 b</t>
  </si>
  <si>
    <t>L 98-59 c</t>
  </si>
  <si>
    <t>L 98-59 d</t>
  </si>
  <si>
    <t>LHS 1140 b</t>
  </si>
  <si>
    <t>LHS 1140 c</t>
  </si>
  <si>
    <t>GJ 3634 b</t>
  </si>
  <si>
    <t>LHS 1478 b</t>
  </si>
  <si>
    <t>LHS 1678 b</t>
  </si>
  <si>
    <t>LHS 1678 c</t>
  </si>
  <si>
    <t>LHS 1678 d</t>
  </si>
  <si>
    <t>LHS 1815 b</t>
  </si>
  <si>
    <t>LHS 475 b</t>
  </si>
  <si>
    <t>LP 714-47 b</t>
  </si>
  <si>
    <t>LP 791-18 c</t>
  </si>
  <si>
    <t>LP 791-18 d</t>
  </si>
  <si>
    <t>LP 890-9 b</t>
  </si>
  <si>
    <t>LP 890-9 c</t>
  </si>
  <si>
    <t>LTT 1445 Ab</t>
  </si>
  <si>
    <t>LTT 1445 Ac</t>
  </si>
  <si>
    <t>LTT 9779 b</t>
  </si>
  <si>
    <t>Lupus-TR-3 b</t>
  </si>
  <si>
    <t>MASCARA-1 b</t>
  </si>
  <si>
    <t>MASCARA-3 Ab</t>
  </si>
  <si>
    <t>GJ 367 c</t>
  </si>
  <si>
    <t>MASCARA-4 Ab</t>
  </si>
  <si>
    <t>NGTS-10 Ab</t>
  </si>
  <si>
    <t>NGTS-11 b</t>
  </si>
  <si>
    <t>NGTS-12 b</t>
  </si>
  <si>
    <t>NGTS-13 b</t>
  </si>
  <si>
    <t>NGTS-14 Ab</t>
  </si>
  <si>
    <t>GJ 367 d</t>
  </si>
  <si>
    <t>NGTS-15 b</t>
  </si>
  <si>
    <t>NGTS-16 b</t>
  </si>
  <si>
    <t>NGTS-17 b</t>
  </si>
  <si>
    <t>NGTS-18 b</t>
  </si>
  <si>
    <t>NGTS-1 b</t>
  </si>
  <si>
    <t>GJ 3779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</si>
  <si>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</si>
  <si>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</si>
  <si>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</si>
  <si>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</si>
  <si>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</si>
  <si>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</si>
  <si>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</si>
  <si>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</si>
  <si>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</si>
  <si>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</si>
  <si>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</si>
  <si>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</si>
  <si>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</si>
  <si>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GJ 3929 c</t>
  </si>
  <si>
    <t>NGTS-3 Ab</t>
  </si>
  <si>
    <t>NGTS-4 b</t>
  </si>
  <si>
    <t>NGTS-5 Ab</t>
  </si>
  <si>
    <t>NGTS-6 Ab</t>
  </si>
  <si>
    <t>GJ 393 b</t>
  </si>
  <si>
    <t>NGTS-8 b</t>
  </si>
  <si>
    <t>NGTS-9 b</t>
  </si>
  <si>
    <t>nu2 Lup b</t>
  </si>
  <si>
    <t>nu2 Lup c</t>
  </si>
  <si>
    <t>nu2 Lup d</t>
  </si>
  <si>
    <t>GJ 3942 b</t>
  </si>
  <si>
    <t>OGLE2-TR-L9 b</t>
  </si>
  <si>
    <t>OGLE-TR-10 b</t>
  </si>
  <si>
    <t>OGLE-TR-111 b</t>
  </si>
  <si>
    <t>OGLE-TR-113 b</t>
  </si>
  <si>
    <t>OGLE-TR-132 b</t>
  </si>
  <si>
    <t>OGLE-TR-182 b</t>
  </si>
  <si>
    <t>GJ 3988 b</t>
  </si>
  <si>
    <t>OGLE-TR-211 b</t>
  </si>
  <si>
    <t>OGLE-TR-56 b</t>
  </si>
  <si>
    <t>pi Men c</t>
  </si>
  <si>
    <t>POTS-1 b</t>
  </si>
  <si>
    <t>PSR 1719-14 b</t>
  </si>
  <si>
    <t>GJ 3998 b</t>
  </si>
  <si>
    <t>PSR J0636+5129 b</t>
  </si>
  <si>
    <t>Qatar-10 b</t>
  </si>
  <si>
    <t>Qatar-1 Ab</t>
  </si>
  <si>
    <t>Qatar-2 b</t>
  </si>
  <si>
    <t>Qatar-3 Ab</t>
  </si>
  <si>
    <t>GJ 3998 c</t>
  </si>
  <si>
    <t>Qatar-4 b</t>
  </si>
  <si>
    <t>Qatar-5 b</t>
  </si>
  <si>
    <t>Qatar-6 Ab</t>
  </si>
  <si>
    <t>Qatar-7 b</t>
  </si>
  <si>
    <t>Qatar-8 b</t>
  </si>
  <si>
    <t>GJ 3998 d</t>
  </si>
  <si>
    <t>Qatar-9 b</t>
  </si>
  <si>
    <t>ROXs 42B (AB)b</t>
  </si>
  <si>
    <t>SWEEPS-04 b</t>
  </si>
  <si>
    <t>SWEEPS-11 b</t>
  </si>
  <si>
    <t>tau Boo Ab</t>
  </si>
  <si>
    <t>GJ 414 Ab</t>
  </si>
  <si>
    <t>TIC 139270665 b</t>
  </si>
  <si>
    <t>TIC 172900988 (AB)b</t>
  </si>
  <si>
    <t>TIC 237913194 b</t>
  </si>
  <si>
    <t>TIC 241249530 b</t>
  </si>
  <si>
    <t>TIC 279401253 b</t>
  </si>
  <si>
    <t>TIC 365102760 b</t>
  </si>
  <si>
    <t>GJ 414 Ac</t>
  </si>
  <si>
    <t>TIC 434398831 b</t>
  </si>
  <si>
    <t>TIC 434398831 c</t>
  </si>
  <si>
    <t>TIC 46432937 b</t>
  </si>
  <si>
    <t>TOI-1011 b</t>
  </si>
  <si>
    <t>TOI-1052 Ab</t>
  </si>
  <si>
    <t>TOI-1062 b</t>
  </si>
  <si>
    <t>TOI-1064 b</t>
  </si>
  <si>
    <t>TOI-1064 c</t>
  </si>
  <si>
    <t>GJ 4276 b</t>
  </si>
  <si>
    <t>TOI-1075 b</t>
  </si>
  <si>
    <t>TOI-1107 b</t>
  </si>
  <si>
    <t>TOI-1117 b</t>
  </si>
  <si>
    <t>TOI-1130 b</t>
  </si>
  <si>
    <t>TOI-1130 c</t>
  </si>
  <si>
    <t>GJ 4276 c</t>
  </si>
  <si>
    <t>TOI-1135 b</t>
  </si>
  <si>
    <t>TOI-1136 b</t>
  </si>
  <si>
    <t>TOI-1136 c</t>
  </si>
  <si>
    <t>TOI-1136 d</t>
  </si>
  <si>
    <t>TOI-1136 e</t>
  </si>
  <si>
    <t>TOI-1136 f</t>
  </si>
  <si>
    <t>GJ 433 b</t>
  </si>
  <si>
    <t>TOI-1136 g</t>
  </si>
  <si>
    <t>TOI-1173 Ab</t>
  </si>
  <si>
    <t>TOI-1174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</si>
  <si>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</si>
  <si>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</si>
  <si>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</si>
  <si>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</si>
  <si>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</si>
  <si>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</si>
  <si>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</si>
  <si>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</si>
  <si>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</si>
  <si>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</si>
  <si>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</si>
  <si>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</si>
  <si>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</si>
  <si>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</si>
  <si>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</si>
  <si>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</si>
  <si>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</si>
  <si>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</si>
  <si>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GJ 433 c</t>
  </si>
  <si>
    <t>TOI-1249 b</t>
  </si>
  <si>
    <t>TOI-1259 Ab</t>
  </si>
  <si>
    <t>TOI-125 b</t>
  </si>
  <si>
    <t>TOI-125 c</t>
  </si>
  <si>
    <t>TOI-125 d</t>
  </si>
  <si>
    <t>TOI-1260 b</t>
  </si>
  <si>
    <t>GJ 433 d</t>
  </si>
  <si>
    <t>TOI-1260 c</t>
  </si>
  <si>
    <t>TOI-1260 d</t>
  </si>
  <si>
    <t>TOI-1266 b</t>
  </si>
  <si>
    <t>TOI-1266 c</t>
  </si>
  <si>
    <t>TOI-1268 b</t>
  </si>
  <si>
    <t>TOI-1269 b</t>
  </si>
  <si>
    <t>TOI-1272 b</t>
  </si>
  <si>
    <t>TOI-1273 b</t>
  </si>
  <si>
    <t>TOI-1279 b</t>
  </si>
  <si>
    <t>TOI-1288 b</t>
  </si>
  <si>
    <t>TOI-1294 b</t>
  </si>
  <si>
    <t>GJ 463 b</t>
  </si>
  <si>
    <t>TOI-1295 b</t>
  </si>
  <si>
    <t>TOI-1298 b</t>
  </si>
  <si>
    <t>TOI-132 Ab</t>
  </si>
  <si>
    <t>TOI-1333 Ab</t>
  </si>
  <si>
    <t>TOI-1338 (AB)b</t>
  </si>
  <si>
    <t>TOI-1347 b</t>
  </si>
  <si>
    <t>GJ 480 b</t>
  </si>
  <si>
    <t>TOI-1347 c</t>
  </si>
  <si>
    <t>TOI-1386 b</t>
  </si>
  <si>
    <t>TOI-139 b</t>
  </si>
  <si>
    <t>TOI-1408 b</t>
  </si>
  <si>
    <t>TOI-1408 c</t>
  </si>
  <si>
    <t>TOI-1410 Ab</t>
  </si>
  <si>
    <t>GJ 480 c</t>
  </si>
  <si>
    <t>TOI-1411 Ab</t>
  </si>
  <si>
    <t>TOI-1416 b</t>
  </si>
  <si>
    <t>TOI-1420 b</t>
  </si>
  <si>
    <t>TOI-1422 b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</si>
  <si>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</si>
  <si>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</si>
  <si>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</si>
  <si>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</si>
  <si>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</si>
  <si>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</si>
  <si>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</si>
  <si>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TOI-1448 b</t>
  </si>
  <si>
    <t>TOI-1450 Ab</t>
  </si>
  <si>
    <t>TOI-1451 b</t>
  </si>
  <si>
    <t>TOI-1452 Ab</t>
  </si>
  <si>
    <t>TOI-1453 Ab</t>
  </si>
  <si>
    <t>TOI-1453 Ac</t>
  </si>
  <si>
    <t>TOI-1467 b</t>
  </si>
  <si>
    <t>GJ 536 b</t>
  </si>
  <si>
    <t>TOI-1468 b</t>
  </si>
  <si>
    <t>TOI-1468 c</t>
  </si>
  <si>
    <t>TOI-1470 b</t>
  </si>
  <si>
    <t>TOI-1470 c</t>
  </si>
  <si>
    <t>TOI-1471 b</t>
  </si>
  <si>
    <t>TOI-1471 c</t>
  </si>
  <si>
    <t>GJ 581 b</t>
  </si>
  <si>
    <t>TOI-1472 b</t>
  </si>
  <si>
    <t>TOI-1473 Ab</t>
  </si>
  <si>
    <t>TOI-1478 b</t>
  </si>
  <si>
    <t>TOI-150 b</t>
  </si>
  <si>
    <t>TOI-1516 Ab</t>
  </si>
  <si>
    <t>TOI-1518 b</t>
  </si>
  <si>
    <t>GJ 581 c</t>
  </si>
  <si>
    <t>TOI-157 b</t>
  </si>
  <si>
    <t>TOI-1601 b</t>
  </si>
  <si>
    <t>TOI-1605 b</t>
  </si>
  <si>
    <t>TOI-1634 Ab</t>
  </si>
  <si>
    <t>TOI-163 b</t>
  </si>
  <si>
    <t>TOI-1669 b</t>
  </si>
  <si>
    <t>GJ 581 e</t>
  </si>
  <si>
    <t>TOI-1670 b</t>
  </si>
  <si>
    <t>TOI-1670 c</t>
  </si>
  <si>
    <t>TOI-1680 b</t>
  </si>
  <si>
    <t>TOI-1683 b</t>
  </si>
  <si>
    <t>TOI-1685 b</t>
  </si>
  <si>
    <t>TOI-1691 b</t>
  </si>
  <si>
    <t>GJ 625 b</t>
  </si>
  <si>
    <t>TOI-1693 b</t>
  </si>
  <si>
    <t>TOI-1694 b</t>
  </si>
  <si>
    <t>TOI-1695 b</t>
  </si>
  <si>
    <t>TOI-1696 b</t>
  </si>
  <si>
    <t>TOI-169 b</t>
  </si>
  <si>
    <t>GJ 649 b</t>
  </si>
  <si>
    <t>TOI-1710 Ab</t>
  </si>
  <si>
    <t>TOI-1716 b</t>
  </si>
  <si>
    <t>TOI-1723 b</t>
  </si>
  <si>
    <t>TOI-1728 b</t>
  </si>
  <si>
    <t>TOI-172 Ab</t>
  </si>
  <si>
    <t>GJ 649 c</t>
  </si>
  <si>
    <t>TOI-1736 Ab</t>
  </si>
  <si>
    <t>TOI-1739 b</t>
  </si>
  <si>
    <t>TOI-1742 b</t>
  </si>
  <si>
    <t>TOI-1749 Ab</t>
  </si>
  <si>
    <t>TOI-1749 Ac</t>
  </si>
  <si>
    <t>TOI-1749 d</t>
  </si>
  <si>
    <t>GJ 667 Cb</t>
  </si>
  <si>
    <t>TOI-1751 b</t>
  </si>
  <si>
    <t>TOI-1753 b</t>
  </si>
  <si>
    <t>TOI-1758 b</t>
  </si>
  <si>
    <t>TOI-1759 Ab</t>
  </si>
  <si>
    <t>TOI-1775 b</t>
  </si>
  <si>
    <t>GJ 667 Cc</t>
  </si>
  <si>
    <t>TOI-1776 b</t>
  </si>
  <si>
    <t>TOI-1778 b</t>
  </si>
  <si>
    <t>TOI-1789 b</t>
  </si>
  <si>
    <t>TOI-178 b</t>
  </si>
  <si>
    <t>TOI-178 c</t>
  </si>
  <si>
    <t>TOI-178 d</t>
  </si>
  <si>
    <t>GJ 667 Ce</t>
  </si>
  <si>
    <t>TOI-178 e</t>
  </si>
  <si>
    <t>TOI-178 f</t>
  </si>
  <si>
    <t>TOI-178 g</t>
  </si>
  <si>
    <t>TOI-1794 b</t>
  </si>
  <si>
    <t>GJ 667 Cf</t>
  </si>
  <si>
    <t>TOI-1798 b</t>
  </si>
  <si>
    <t>TOI-1798 c</t>
  </si>
  <si>
    <t>TOI-1799 b</t>
  </si>
  <si>
    <t>TOI-179 Ab</t>
  </si>
  <si>
    <t>TOI-1801 Ab</t>
  </si>
  <si>
    <t>GJ 667 Cg</t>
  </si>
  <si>
    <t>TOI-1803 b</t>
  </si>
  <si>
    <t>TOI-1803 c</t>
  </si>
  <si>
    <t>TOI-1807 b</t>
  </si>
  <si>
    <t>TOI-1811 b</t>
  </si>
  <si>
    <t>TOI-181 b</t>
  </si>
  <si>
    <t>TOI-1820 Ab</t>
  </si>
  <si>
    <t>GJ 674 b</t>
  </si>
  <si>
    <t>TOI-1823 b</t>
  </si>
  <si>
    <t>TOI-1824 Ab</t>
  </si>
  <si>
    <t>TOI-1828 b</t>
  </si>
  <si>
    <t>TOI-1836 Ab</t>
  </si>
  <si>
    <t>TOI-1836 Ac</t>
  </si>
  <si>
    <t>GJ 676 Ab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</si>
  <si>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</si>
  <si>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</si>
  <si>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</si>
  <si>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</si>
  <si>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</si>
  <si>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</si>
  <si>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</si>
  <si>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</si>
  <si>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TOI-2000 b</t>
  </si>
  <si>
    <t>GJ 676 Ad</t>
  </si>
  <si>
    <t>TOI-2000 c</t>
  </si>
  <si>
    <t>TOI-2005 b</t>
  </si>
  <si>
    <t>TOI-2010 Ab</t>
  </si>
  <si>
    <t>TOI-2015 b</t>
  </si>
  <si>
    <t>TOI-2018 b</t>
  </si>
  <si>
    <t>GJ 676 Ae</t>
  </si>
  <si>
    <t>TOI-2018 c</t>
  </si>
  <si>
    <t>TOI-2019 b</t>
  </si>
  <si>
    <t>TOI-201 b</t>
  </si>
  <si>
    <t>TOI-2025 b</t>
  </si>
  <si>
    <t>TOI-2045 b</t>
  </si>
  <si>
    <t>GJ 682 b</t>
  </si>
  <si>
    <t>TOI-2046 b</t>
  </si>
  <si>
    <t>TOI-2068 Ab</t>
  </si>
  <si>
    <t>TOI-206 b</t>
  </si>
  <si>
    <t>TOI-2076 b</t>
  </si>
  <si>
    <t>TOI-2076 c</t>
  </si>
  <si>
    <t>TOI-2076 d</t>
  </si>
  <si>
    <t>GJ 682 c</t>
  </si>
  <si>
    <t>TOI-2081 b</t>
  </si>
  <si>
    <t>TOI-2084 Ab</t>
  </si>
  <si>
    <t>TOI-2088 b</t>
  </si>
  <si>
    <t>TOI-2095 b</t>
  </si>
  <si>
    <t>TOI-2095 c</t>
  </si>
  <si>
    <t>GJ 685 b</t>
  </si>
  <si>
    <t>TOI-2096 b</t>
  </si>
  <si>
    <t>TOI-2096 c</t>
  </si>
  <si>
    <t>TOI-2107 b</t>
  </si>
  <si>
    <t>TOI-2109 b</t>
  </si>
  <si>
    <t>TOI-2120 b</t>
  </si>
  <si>
    <t>TOI-2128 Ab</t>
  </si>
  <si>
    <t>GJ 687 b</t>
  </si>
  <si>
    <t>TOI-2134 b</t>
  </si>
  <si>
    <t>TOI-2134 c</t>
  </si>
  <si>
    <t>TOI-2136 b</t>
  </si>
  <si>
    <t>TOI-2141 b</t>
  </si>
  <si>
    <t>TOI-2145 b</t>
  </si>
  <si>
    <t>GJ 687 c</t>
  </si>
  <si>
    <t>TOI-2152 Ab</t>
  </si>
  <si>
    <t>TOI-2154 b</t>
  </si>
  <si>
    <t>TOI-2158 b</t>
  </si>
  <si>
    <t>TOI-216 b</t>
  </si>
  <si>
    <t>TOI-216 c</t>
  </si>
  <si>
    <t>TOI-2180 b</t>
  </si>
  <si>
    <t>GJ 720 Ab</t>
  </si>
  <si>
    <t>TOI-2184 b</t>
  </si>
  <si>
    <t>TOI-2193 Ab</t>
  </si>
  <si>
    <t>TOI-2194 b</t>
  </si>
  <si>
    <t>TOI-2196 b</t>
  </si>
  <si>
    <t>GJ 724 b</t>
  </si>
  <si>
    <t>TOI-2202 b</t>
  </si>
  <si>
    <t>TOI-2207 b</t>
  </si>
  <si>
    <t>TOI-220 b</t>
  </si>
  <si>
    <t>TOI-2236 b</t>
  </si>
  <si>
    <t>TOI-2257 b</t>
  </si>
  <si>
    <t>TOI-2260 b</t>
  </si>
  <si>
    <t>GJ 740 b</t>
  </si>
  <si>
    <t>TOI-2285 b</t>
  </si>
  <si>
    <t>TOI-2290 b</t>
  </si>
  <si>
    <t>TOI-2295 b</t>
  </si>
  <si>
    <t>TOI-2328 Ab</t>
  </si>
  <si>
    <t>TOI-2337 b</t>
  </si>
  <si>
    <t>TOI-2338 b</t>
  </si>
  <si>
    <t>GJ 752 Ab</t>
  </si>
  <si>
    <t>TOI-2364 b</t>
  </si>
  <si>
    <t>TOI-2368 b</t>
  </si>
  <si>
    <t>TOI-2373 b</t>
  </si>
  <si>
    <t>TOI-2374 Bb</t>
  </si>
  <si>
    <t>TOI-2379 b</t>
  </si>
  <si>
    <t>GJ 777 Ab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</si>
  <si>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</si>
  <si>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</si>
  <si>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</si>
  <si>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</si>
  <si>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</si>
  <si>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</si>
  <si>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</si>
  <si>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GJ 777 Ac</t>
  </si>
  <si>
    <t>TOI-2416 b</t>
  </si>
  <si>
    <t>TOI-2420 b</t>
  </si>
  <si>
    <t>TOI-2421 b</t>
  </si>
  <si>
    <t>TOI-2427 b</t>
  </si>
  <si>
    <t>TOI-2443 b</t>
  </si>
  <si>
    <t>TOI-2445 b</t>
  </si>
  <si>
    <t>GJ 777 Ad</t>
  </si>
  <si>
    <t>TOI-2458 b</t>
  </si>
  <si>
    <t>TOI-2459 Bb</t>
  </si>
  <si>
    <t>TOI-2485 b</t>
  </si>
  <si>
    <t>TOI-2497 b</t>
  </si>
  <si>
    <t>TOI-2498 b</t>
  </si>
  <si>
    <t>GJ 785 b</t>
  </si>
  <si>
    <t>TOI-251 b</t>
  </si>
  <si>
    <t>TOI-2524 b</t>
  </si>
  <si>
    <t>TOI-2525 b</t>
  </si>
  <si>
    <t>TOI-2525 c</t>
  </si>
  <si>
    <t>TOI-2529 b</t>
  </si>
  <si>
    <t>TOI-2537 b</t>
  </si>
  <si>
    <t>GJ 785 c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</si>
  <si>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</si>
  <si>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</si>
  <si>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</si>
  <si>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</si>
  <si>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</si>
  <si>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</si>
  <si>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</si>
  <si>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GJ 832 b</t>
  </si>
  <si>
    <t>TOI-260 b</t>
  </si>
  <si>
    <t>TOI-2641 b</t>
  </si>
  <si>
    <t>TOI-2669 b</t>
  </si>
  <si>
    <t>TOI-266 b</t>
  </si>
  <si>
    <t>TOI-266 c</t>
  </si>
  <si>
    <t>TOI-269 b</t>
  </si>
  <si>
    <t>GJ 849 b</t>
  </si>
  <si>
    <t>TOI-270 b</t>
  </si>
  <si>
    <t>TOI-270 c</t>
  </si>
  <si>
    <t>TOI-270 d</t>
  </si>
  <si>
    <t>TOI-2714 b</t>
  </si>
  <si>
    <t>TOI-277 Bb</t>
  </si>
  <si>
    <t>GJ 849 c</t>
  </si>
  <si>
    <t>TOI-2796 b</t>
  </si>
  <si>
    <t>TOI-2803 Ab</t>
  </si>
  <si>
    <t>TOI-2818 b</t>
  </si>
  <si>
    <t>TOI-2842 b</t>
  </si>
  <si>
    <t>TOI-286 b</t>
  </si>
  <si>
    <t>GJ 86 Ab</t>
  </si>
  <si>
    <t>TOI-286 c</t>
  </si>
  <si>
    <t>TOI-2969 b</t>
  </si>
  <si>
    <t>TOI-2977 Ab</t>
  </si>
  <si>
    <t>TOI-2981 b</t>
  </si>
  <si>
    <t>TOI-2989 b</t>
  </si>
  <si>
    <t>TOI-3023 b</t>
  </si>
  <si>
    <t>GJ 876 b</t>
  </si>
  <si>
    <t>TOI-3071 b</t>
  </si>
  <si>
    <t>TOI-3082 b</t>
  </si>
  <si>
    <t>TOI-3235 Ab</t>
  </si>
  <si>
    <t>TOI-3261 b</t>
  </si>
  <si>
    <t>TOI-329 b</t>
  </si>
  <si>
    <t>GJ 876 c</t>
  </si>
  <si>
    <t>TOI-3321 Ab</t>
  </si>
  <si>
    <t>TOI-332 b</t>
  </si>
  <si>
    <t>TOI-3331 b</t>
  </si>
  <si>
    <t>TOI-3362 b</t>
  </si>
  <si>
    <t>TOI-3364 b</t>
  </si>
  <si>
    <t>TOI-3493 b</t>
  </si>
  <si>
    <t>GJ 876 d</t>
  </si>
  <si>
    <t>TOI-3540 b</t>
  </si>
  <si>
    <t>TOI-3568 b</t>
  </si>
  <si>
    <t>TOI-3629 b</t>
  </si>
  <si>
    <t>TOI-3688 Ab</t>
  </si>
  <si>
    <t>TOI-3693 b</t>
  </si>
  <si>
    <t>GJ 876 e</t>
  </si>
  <si>
    <t>TOI-3714 Ab</t>
  </si>
  <si>
    <t>TOI-3757 b</t>
  </si>
  <si>
    <t>TOI-3785 b</t>
  </si>
  <si>
    <t>TOI-3807 b</t>
  </si>
  <si>
    <t>TOI-3819 b</t>
  </si>
  <si>
    <t>TOI-3837 b</t>
  </si>
  <si>
    <t>GJ 887 b</t>
  </si>
  <si>
    <t>TOI-3884 b</t>
  </si>
  <si>
    <t>TOI-3894 b</t>
  </si>
  <si>
    <t>TOI-3912 b</t>
  </si>
  <si>
    <t>TOI-3919 b</t>
  </si>
  <si>
    <t>TOI-396A b</t>
  </si>
  <si>
    <t>TOI-396A c</t>
  </si>
  <si>
    <t>GJ 887 c</t>
  </si>
  <si>
    <t>TOI-396A d</t>
  </si>
  <si>
    <t>TOI-3976 b</t>
  </si>
  <si>
    <t>TOI-3984 Ab</t>
  </si>
  <si>
    <t>TOI-4010 b</t>
  </si>
  <si>
    <t>TOI-4010 c</t>
  </si>
  <si>
    <t>GJ 896 Ab</t>
  </si>
  <si>
    <t>TOI-4010 d</t>
  </si>
  <si>
    <t>TOI-402 Ab</t>
  </si>
  <si>
    <t>TOI-402 Ac</t>
  </si>
  <si>
    <t>TOI-406 b</t>
  </si>
  <si>
    <t>TOI-406 c</t>
  </si>
  <si>
    <t>TOI-4087 b</t>
  </si>
  <si>
    <t>GJ 900 (ABC)b</t>
  </si>
  <si>
    <t>TOI-4127 b</t>
  </si>
  <si>
    <t>TOI-4137 b</t>
  </si>
  <si>
    <t>TOI-4138 b</t>
  </si>
  <si>
    <t>TOI-4145 Ab</t>
  </si>
  <si>
    <t>TOI-4153 b</t>
  </si>
  <si>
    <t>GJ 9066 c</t>
  </si>
  <si>
    <t>TOI-4184 b</t>
  </si>
  <si>
    <t>TOI-4201 b</t>
  </si>
  <si>
    <t>TOI-421 Ac</t>
  </si>
  <si>
    <t>TOI-429 b</t>
  </si>
  <si>
    <t>TOI-4308 b</t>
  </si>
  <si>
    <t>GJ 9404 b</t>
  </si>
  <si>
    <t>TOI-431 b</t>
  </si>
  <si>
    <t>TOI-431 d</t>
  </si>
  <si>
    <t>TOI-4329 b</t>
  </si>
  <si>
    <t>TOI-4377 b</t>
  </si>
  <si>
    <t>TOI-4379 b</t>
  </si>
  <si>
    <t>GJ 9689 b</t>
  </si>
  <si>
    <t>TOI-4406 b</t>
  </si>
  <si>
    <t>TOI-4438 b</t>
  </si>
  <si>
    <t>TOI-4463 Ab</t>
  </si>
  <si>
    <t>TOI-4465 b</t>
  </si>
  <si>
    <t>TOI-4479 b</t>
  </si>
  <si>
    <t>TOI-4481 b</t>
  </si>
  <si>
    <t>TOI-4515 b</t>
  </si>
  <si>
    <t>GJ 9714 Ab</t>
  </si>
  <si>
    <t>TOI-4551 b</t>
  </si>
  <si>
    <t>TOI-4559 b</t>
  </si>
  <si>
    <t>TOI-4562 b</t>
  </si>
  <si>
    <t>TOI-4582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</si>
  <si>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</si>
  <si>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</si>
  <si>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</si>
  <si>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</si>
  <si>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</si>
  <si>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</si>
  <si>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</si>
  <si>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</si>
  <si>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</si>
  <si>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</si>
  <si>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TOI-4994 b</t>
  </si>
  <si>
    <t>TOI-5005 b</t>
  </si>
  <si>
    <t>TOI-500 b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</si>
  <si>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</si>
  <si>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</si>
  <si>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</si>
  <si>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</si>
  <si>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</si>
  <si>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</si>
  <si>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</si>
  <si>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</si>
  <si>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Gl 378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</si>
  <si>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</si>
  <si>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</si>
  <si>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</si>
  <si>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</si>
  <si>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</si>
  <si>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</si>
  <si>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</si>
  <si>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Gl 410 b</t>
  </si>
  <si>
    <t>TOI-5344 b</t>
  </si>
  <si>
    <t>TOI-5398 b</t>
  </si>
  <si>
    <t>TOI-5398 c</t>
  </si>
  <si>
    <t>TOI-544 b</t>
  </si>
  <si>
    <t>TOI-5542 b</t>
  </si>
  <si>
    <t>Gl 514 b</t>
  </si>
  <si>
    <t>TOI-554 b</t>
  </si>
  <si>
    <t>TOI-554 c</t>
  </si>
  <si>
    <t>TOI-5573 b</t>
  </si>
  <si>
    <t>TOI-558 b</t>
  </si>
  <si>
    <t>TOI-559 b</t>
  </si>
  <si>
    <t>TOI-5616 b</t>
  </si>
  <si>
    <t>Gl 686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</si>
  <si>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</si>
  <si>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</si>
  <si>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</si>
  <si>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</si>
  <si>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</si>
  <si>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</si>
  <si>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</si>
  <si>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Gl 725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</si>
  <si>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</si>
  <si>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</si>
  <si>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</si>
  <si>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</si>
  <si>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</si>
  <si>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</si>
  <si>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</si>
  <si>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</si>
  <si>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</si>
  <si>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</si>
  <si>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</si>
  <si>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</si>
  <si>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</si>
  <si>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</si>
  <si>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</si>
  <si>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</si>
  <si>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</si>
  <si>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</si>
  <si>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</si>
  <si>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</si>
  <si>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Gliese 49 Ab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</si>
  <si>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</si>
  <si>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</si>
  <si>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</si>
  <si>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</si>
  <si>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</si>
  <si>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</si>
  <si>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</si>
  <si>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</si>
  <si>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</si>
  <si>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</si>
  <si>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</si>
  <si>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</si>
  <si>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</si>
  <si>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</si>
  <si>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</si>
  <si>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</si>
  <si>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TOI-672 b</t>
  </si>
  <si>
    <t>TOI-674 b</t>
  </si>
  <si>
    <t>TOI-677 b</t>
  </si>
  <si>
    <t>TOI-682 b</t>
  </si>
  <si>
    <t>TOI-6883 Ab</t>
  </si>
  <si>
    <t>TOI-6883 Ac</t>
  </si>
  <si>
    <t>TOI-6894 b</t>
  </si>
  <si>
    <t>TOI-700 b</t>
  </si>
  <si>
    <t>TOI-700 c</t>
  </si>
  <si>
    <t>TOI-700 d</t>
  </si>
  <si>
    <t>HAT-P-11 c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</si>
  <si>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</si>
  <si>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</si>
  <si>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</si>
  <si>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</si>
  <si>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</si>
  <si>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</si>
  <si>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</si>
  <si>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</si>
  <si>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</si>
  <si>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</si>
  <si>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</si>
  <si>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</si>
  <si>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TOI-776 b</t>
  </si>
  <si>
    <t>TOI-776 c</t>
  </si>
  <si>
    <t>TOI-778 b</t>
  </si>
  <si>
    <t>TOI-782 b</t>
  </si>
  <si>
    <t>TOI-784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</si>
  <si>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</si>
  <si>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</si>
  <si>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</si>
  <si>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</si>
  <si>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</si>
  <si>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</si>
  <si>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</si>
  <si>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</si>
  <si>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</si>
  <si>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</si>
  <si>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</si>
  <si>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</si>
  <si>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</si>
  <si>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</si>
  <si>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</si>
  <si>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</si>
  <si>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</si>
  <si>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</si>
  <si>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</si>
  <si>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</si>
  <si>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</si>
  <si>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</si>
  <si>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</si>
  <si>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</si>
  <si>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</si>
  <si>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</si>
  <si>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</si>
  <si>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</si>
  <si>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</si>
  <si>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</si>
  <si>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WASP-100 Ab</t>
  </si>
  <si>
    <t>WASP-101 b</t>
  </si>
  <si>
    <t>WASP-102 b</t>
  </si>
  <si>
    <t>WASP-103 b</t>
  </si>
  <si>
    <t>HAT-P-17 c</t>
  </si>
  <si>
    <t>WASP-104 Ab</t>
  </si>
  <si>
    <t>WASP-105 b</t>
  </si>
  <si>
    <t>WASP-106 b</t>
  </si>
  <si>
    <t>WASP-107 b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</si>
  <si>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</si>
  <si>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</si>
  <si>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</si>
  <si>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</si>
  <si>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</si>
  <si>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</si>
  <si>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</si>
  <si>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</si>
  <si>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</si>
  <si>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</si>
  <si>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</si>
  <si>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</si>
  <si>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</si>
  <si>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</si>
  <si>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</si>
  <si>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</si>
  <si>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</si>
  <si>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</si>
  <si>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</si>
  <si>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</si>
  <si>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</si>
  <si>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</si>
  <si>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</si>
  <si>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</si>
  <si>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</si>
  <si>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WASP-133 b</t>
  </si>
  <si>
    <t>WASP-134 b</t>
  </si>
  <si>
    <t>WASP-135 b</t>
  </si>
  <si>
    <t>WASP-136 Ab</t>
  </si>
  <si>
    <t>WASP-137 Ab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</si>
  <si>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</si>
  <si>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</si>
  <si>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</si>
  <si>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</si>
  <si>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</si>
  <si>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</si>
  <si>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</si>
  <si>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</si>
  <si>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</si>
  <si>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</si>
  <si>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</si>
  <si>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</si>
  <si>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</si>
  <si>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</si>
  <si>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</si>
  <si>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</si>
  <si>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</si>
  <si>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</si>
  <si>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</si>
  <si>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</si>
  <si>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</si>
  <si>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</si>
  <si>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</si>
  <si>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</si>
  <si>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</si>
  <si>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</si>
  <si>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</si>
  <si>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</si>
  <si>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</si>
  <si>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</si>
  <si>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</si>
  <si>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</si>
  <si>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</si>
  <si>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</si>
  <si>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</si>
  <si>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</si>
  <si>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</si>
  <si>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</si>
  <si>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</si>
  <si>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</si>
  <si>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</si>
  <si>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</si>
  <si>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</si>
  <si>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</si>
  <si>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</si>
  <si>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</si>
  <si>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</si>
  <si>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</si>
  <si>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HAT-P-26 d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</si>
  <si>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</si>
  <si>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</si>
  <si>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</si>
  <si>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</si>
  <si>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</si>
  <si>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</si>
  <si>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</si>
  <si>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WASP-190 b</t>
  </si>
  <si>
    <t>WASP-192 b</t>
  </si>
  <si>
    <t>WASP-193 Ab</t>
  </si>
  <si>
    <t>WASP-194 Ab</t>
  </si>
  <si>
    <t>WASP-195 b</t>
  </si>
  <si>
    <t>WASP-197 b</t>
  </si>
  <si>
    <t>HAT-P-27 Ac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</si>
  <si>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</si>
  <si>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</si>
  <si>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</si>
  <si>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</si>
  <si>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</si>
  <si>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</si>
  <si>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</si>
  <si>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</si>
  <si>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</si>
  <si>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</si>
  <si>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</si>
  <si>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</si>
  <si>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</si>
  <si>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</si>
  <si>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</si>
  <si>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</si>
  <si>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</si>
  <si>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</si>
  <si>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</si>
  <si>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</si>
  <si>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</si>
  <si>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</si>
  <si>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</si>
  <si>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WASP-42 b</t>
  </si>
  <si>
    <t>WASP-43 b</t>
  </si>
  <si>
    <t>WASP-44 b</t>
  </si>
  <si>
    <t>WASP-45 Ab</t>
  </si>
  <si>
    <t>WASP-46 b</t>
  </si>
  <si>
    <t>WASP-47 b</t>
  </si>
  <si>
    <t>WASP-47 d</t>
  </si>
  <si>
    <t>HAT-P-2 c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</si>
  <si>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</si>
  <si>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</si>
  <si>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</si>
  <si>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</si>
  <si>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</si>
  <si>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</si>
  <si>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</si>
  <si>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</si>
  <si>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</si>
  <si>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</si>
  <si>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</si>
  <si>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</si>
  <si>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</si>
  <si>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</si>
  <si>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</si>
  <si>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</si>
  <si>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</si>
  <si>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</si>
  <si>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</si>
  <si>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</si>
  <si>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</si>
  <si>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</si>
  <si>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</si>
  <si>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</si>
  <si>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</si>
  <si>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</si>
  <si>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</si>
  <si>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</si>
  <si>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</si>
  <si>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</si>
  <si>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</si>
  <si>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</si>
  <si>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</si>
  <si>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</si>
  <si>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</si>
  <si>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</si>
  <si>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</si>
  <si>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</si>
  <si>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</si>
  <si>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</si>
  <si>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</si>
  <si>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</si>
  <si>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</si>
  <si>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</si>
  <si>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</si>
  <si>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</si>
  <si>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</si>
  <si>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</si>
  <si>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</si>
  <si>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</si>
  <si>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</si>
  <si>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</si>
  <si>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WASP-95 b</t>
  </si>
  <si>
    <t>WASP-96 b</t>
  </si>
  <si>
    <t>WASP-97 b</t>
  </si>
  <si>
    <t>WASP-98 Ab</t>
  </si>
  <si>
    <t>WASP-99 b</t>
  </si>
  <si>
    <t>WD 0310-688 b</t>
  </si>
  <si>
    <t>Wendelstein-1 Ab</t>
  </si>
  <si>
    <t>Wendelstein-2 b</t>
  </si>
  <si>
    <t>Wolf 327 b</t>
  </si>
  <si>
    <t>Wolf 503 b</t>
  </si>
  <si>
    <t>WTS-1 b</t>
  </si>
  <si>
    <t>WTS-2 b</t>
  </si>
  <si>
    <t>XO-1 b</t>
  </si>
  <si>
    <t>XO-2N b</t>
  </si>
  <si>
    <t>XO-4 b</t>
  </si>
  <si>
    <t>XO-5 b</t>
  </si>
  <si>
    <t>XO-6 b</t>
  </si>
  <si>
    <t>XO-7 b</t>
  </si>
  <si>
    <t>HAT-P-44 Bc</t>
  </si>
  <si>
    <t>HAT-P-46 c</t>
  </si>
  <si>
    <t>HATS-59 c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</si>
  <si>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</si>
  <si>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</si>
  <si>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</si>
  <si>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</si>
  <si>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</si>
  <si>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</si>
  <si>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</si>
  <si>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</si>
  <si>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</si>
  <si>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</si>
  <si>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</si>
  <si>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</si>
  <si>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</si>
  <si>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</si>
  <si>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</si>
  <si>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</si>
  <si>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</si>
  <si>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</si>
  <si>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</si>
  <si>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</si>
  <si>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</si>
  <si>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</si>
  <si>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</si>
  <si>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</si>
  <si>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</si>
  <si>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</si>
  <si>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</si>
  <si>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</si>
  <si>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</si>
  <si>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</si>
  <si>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</si>
  <si>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</si>
  <si>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</si>
  <si>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</si>
  <si>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</si>
  <si>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</si>
  <si>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</si>
  <si>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</si>
  <si>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</si>
  <si>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</si>
  <si>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</si>
  <si>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</si>
  <si>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</si>
  <si>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</si>
  <si>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</si>
  <si>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</si>
  <si>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</si>
  <si>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</si>
  <si>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</si>
  <si>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</si>
  <si>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</si>
  <si>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</si>
  <si>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</si>
  <si>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</si>
  <si>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</si>
  <si>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</si>
  <si>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</si>
  <si>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</si>
  <si>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</si>
  <si>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</si>
  <si>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</si>
  <si>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</si>
  <si>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</si>
  <si>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</si>
  <si>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</si>
  <si>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</si>
  <si>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</si>
  <si>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</si>
  <si>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</si>
  <si>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</si>
  <si>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</si>
  <si>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</si>
  <si>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</si>
  <si>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</si>
  <si>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</si>
  <si>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</si>
  <si>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</si>
  <si>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</si>
  <si>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</si>
  <si>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</si>
  <si>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</si>
  <si>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115954 Ab</t>
  </si>
  <si>
    <t>HD 116029 Ab</t>
  </si>
  <si>
    <t>HD 116029 Ac</t>
  </si>
  <si>
    <t>HD 117207 b</t>
  </si>
  <si>
    <t>HD 11755 b</t>
  </si>
  <si>
    <t>HD 117618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</si>
  <si>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</si>
  <si>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</si>
  <si>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</si>
  <si>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</si>
  <si>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</si>
  <si>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</si>
  <si>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</si>
  <si>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</si>
  <si>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</si>
  <si>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</si>
  <si>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</si>
  <si>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</si>
  <si>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</si>
  <si>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</si>
  <si>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</si>
  <si>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</si>
  <si>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</si>
  <si>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</si>
  <si>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</si>
  <si>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</si>
  <si>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</si>
  <si>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</si>
  <si>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</si>
  <si>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</si>
  <si>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</si>
  <si>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</si>
  <si>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</si>
  <si>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</si>
  <si>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</si>
  <si>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</si>
  <si>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</si>
  <si>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</si>
  <si>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</si>
  <si>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</si>
  <si>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</si>
  <si>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</si>
  <si>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</si>
  <si>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</si>
  <si>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</si>
  <si>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</si>
  <si>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</si>
  <si>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</si>
  <si>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</si>
  <si>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</si>
  <si>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</si>
  <si>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</si>
  <si>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</si>
  <si>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</si>
  <si>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</si>
  <si>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</si>
  <si>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</si>
  <si>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</si>
  <si>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</si>
  <si>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</si>
  <si>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</si>
  <si>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</si>
  <si>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</si>
  <si>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</si>
  <si>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</si>
  <si>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</si>
  <si>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</si>
  <si>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</si>
  <si>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</si>
  <si>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</si>
  <si>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</si>
  <si>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</si>
  <si>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</si>
  <si>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</si>
  <si>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</si>
  <si>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</si>
  <si>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</si>
  <si>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</si>
  <si>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</si>
  <si>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</si>
  <si>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</si>
  <si>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</si>
  <si>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</si>
  <si>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</si>
  <si>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</si>
  <si>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</si>
  <si>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</si>
  <si>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</si>
  <si>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</si>
  <si>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</si>
  <si>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</si>
  <si>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</si>
  <si>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</si>
  <si>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</si>
  <si>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</si>
  <si>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</si>
  <si>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</si>
  <si>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</si>
  <si>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</si>
  <si>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</si>
  <si>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</si>
  <si>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</si>
  <si>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</si>
  <si>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</si>
  <si>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</si>
  <si>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</si>
  <si>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</si>
  <si>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</si>
  <si>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</si>
  <si>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</si>
  <si>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</si>
  <si>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</si>
  <si>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</si>
  <si>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</si>
  <si>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</si>
  <si>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</si>
  <si>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</si>
  <si>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</si>
  <si>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</si>
  <si>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</si>
  <si>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</si>
  <si>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</si>
  <si>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</si>
  <si>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</si>
  <si>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</si>
  <si>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</si>
  <si>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</si>
  <si>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</si>
  <si>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</si>
  <si>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</si>
  <si>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</si>
  <si>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</si>
  <si>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</si>
  <si>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</si>
  <si>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</si>
  <si>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</si>
  <si>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</si>
  <si>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</si>
  <si>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</si>
  <si>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</si>
  <si>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</si>
  <si>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</si>
  <si>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</si>
  <si>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</si>
  <si>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</si>
  <si>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</si>
  <si>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</si>
  <si>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</si>
  <si>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</si>
  <si>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</si>
  <si>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</si>
  <si>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</si>
  <si>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</si>
  <si>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</si>
  <si>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</si>
  <si>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</si>
  <si>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</si>
  <si>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</si>
  <si>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</si>
  <si>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</si>
  <si>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</si>
  <si>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</si>
  <si>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</si>
  <si>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</si>
  <si>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</si>
  <si>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</si>
  <si>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</si>
  <si>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</si>
  <si>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</si>
  <si>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</si>
  <si>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</si>
  <si>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</si>
  <si>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</si>
  <si>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</si>
  <si>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</si>
  <si>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</si>
  <si>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</si>
  <si>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</si>
  <si>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</si>
  <si>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</si>
  <si>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</si>
  <si>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</si>
  <si>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</si>
  <si>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</si>
  <si>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</si>
  <si>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</si>
  <si>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</si>
  <si>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</si>
  <si>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</si>
  <si>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</si>
  <si>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</si>
  <si>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</si>
  <si>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</si>
  <si>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</si>
  <si>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</si>
  <si>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</si>
  <si>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</si>
  <si>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</si>
  <si>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</si>
  <si>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</si>
  <si>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</si>
  <si>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</si>
  <si>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</si>
  <si>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</si>
  <si>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</si>
  <si>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</si>
  <si>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</si>
  <si>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</si>
  <si>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</si>
  <si>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</si>
  <si>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190007 b</t>
  </si>
  <si>
    <t>HD 190228 b</t>
  </si>
  <si>
    <t>HD 190622 c</t>
  </si>
  <si>
    <t>HD 190647 b</t>
  </si>
  <si>
    <t>HD 190984 b</t>
  </si>
  <si>
    <t>HD 191806 b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</si>
  <si>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</si>
  <si>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</si>
  <si>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</si>
  <si>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</si>
  <si>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</si>
  <si>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</si>
  <si>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</si>
  <si>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</si>
  <si>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</si>
  <si>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</si>
  <si>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</si>
  <si>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</si>
  <si>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</si>
  <si>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</si>
  <si>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</si>
  <si>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</si>
  <si>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</si>
  <si>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</si>
  <si>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</si>
  <si>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</si>
  <si>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</si>
  <si>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</si>
  <si>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</si>
  <si>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</si>
  <si>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</si>
  <si>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</si>
  <si>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</si>
  <si>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</si>
  <si>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</si>
  <si>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</si>
  <si>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</si>
  <si>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</si>
  <si>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</si>
  <si>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</si>
  <si>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</si>
  <si>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208487 b</t>
  </si>
  <si>
    <t>HD 208487 c</t>
  </si>
  <si>
    <t>HD 208527 b</t>
  </si>
  <si>
    <t>HD 20868 b</t>
  </si>
  <si>
    <t>HD 208897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</si>
  <si>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</si>
  <si>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</si>
  <si>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</si>
  <si>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</si>
  <si>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</si>
  <si>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</si>
  <si>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</si>
  <si>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</si>
  <si>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</si>
  <si>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</si>
  <si>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</si>
  <si>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</si>
  <si>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</si>
  <si>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</si>
  <si>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</si>
  <si>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</si>
  <si>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</si>
  <si>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</si>
  <si>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</si>
  <si>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</si>
  <si>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</si>
  <si>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</si>
  <si>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</si>
  <si>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</si>
  <si>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</si>
  <si>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</si>
  <si>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</si>
  <si>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</si>
  <si>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</si>
  <si>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</si>
  <si>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</si>
  <si>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</si>
  <si>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</si>
  <si>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</si>
  <si>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</si>
  <si>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</si>
  <si>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</si>
  <si>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</si>
  <si>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</si>
  <si>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</si>
  <si>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219828 b</t>
  </si>
  <si>
    <t>HD 220074 b</t>
  </si>
  <si>
    <t>HD 220197 b</t>
  </si>
  <si>
    <t>HD 220689 b</t>
  </si>
  <si>
    <t>HD 220842 Ab</t>
  </si>
  <si>
    <t>HD 221287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</si>
  <si>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</si>
  <si>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</si>
  <si>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</si>
  <si>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</si>
  <si>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</si>
  <si>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</si>
  <si>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</si>
  <si>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</si>
  <si>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</si>
  <si>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23079 b</t>
  </si>
  <si>
    <t>HD 23127 b</t>
  </si>
  <si>
    <t>HD 231701 b</t>
  </si>
  <si>
    <t>HD 233604 b</t>
  </si>
  <si>
    <t>HD 233832 Ab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</si>
  <si>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</si>
  <si>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</si>
  <si>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</si>
  <si>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</si>
  <si>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</si>
  <si>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</si>
  <si>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</si>
  <si>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</si>
  <si>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</si>
  <si>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</si>
  <si>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</si>
  <si>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</si>
  <si>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</si>
  <si>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</si>
  <si>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2638 Ab</t>
  </si>
  <si>
    <t>HD 27631 b</t>
  </si>
  <si>
    <t>HD 27894 b</t>
  </si>
  <si>
    <t>HD 27894 c</t>
  </si>
  <si>
    <t>HD 27894 d</t>
  </si>
  <si>
    <t>HD 27969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</si>
  <si>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</si>
  <si>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</si>
  <si>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</si>
  <si>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</si>
  <si>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</si>
  <si>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</si>
  <si>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</si>
  <si>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</si>
  <si>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</si>
  <si>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</si>
  <si>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</si>
  <si>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</si>
  <si>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</si>
  <si>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</si>
  <si>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</si>
  <si>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</si>
  <si>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</si>
  <si>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</si>
  <si>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</si>
  <si>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31253 Ab</t>
  </si>
  <si>
    <t>HD 31527 b</t>
  </si>
  <si>
    <t>HD 31527 c</t>
  </si>
  <si>
    <t>HD 31527 d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</si>
  <si>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</si>
  <si>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</si>
  <si>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</si>
  <si>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</si>
  <si>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</si>
  <si>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</si>
  <si>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</si>
  <si>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</si>
  <si>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</si>
  <si>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</si>
  <si>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</si>
  <si>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</si>
  <si>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</si>
  <si>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</si>
  <si>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</si>
  <si>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</si>
  <si>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</si>
  <si>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</si>
  <si>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</si>
  <si>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</si>
  <si>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</si>
  <si>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</si>
  <si>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</si>
  <si>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</si>
  <si>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</si>
  <si>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</si>
  <si>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</si>
  <si>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</si>
  <si>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</si>
  <si>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</si>
  <si>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</si>
  <si>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</si>
  <si>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</si>
  <si>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</si>
  <si>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</si>
  <si>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</si>
  <si>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</si>
  <si>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</si>
  <si>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</si>
  <si>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</si>
  <si>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</si>
  <si>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</si>
  <si>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</si>
  <si>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</si>
  <si>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</si>
  <si>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</si>
  <si>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</si>
  <si>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</si>
  <si>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</si>
  <si>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</si>
  <si>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</si>
  <si>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</si>
  <si>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</si>
  <si>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</si>
  <si>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</si>
  <si>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</si>
  <si>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</si>
  <si>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</si>
  <si>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</si>
  <si>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</si>
  <si>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</si>
  <si>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</si>
  <si>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</si>
  <si>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</si>
  <si>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</si>
  <si>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</si>
  <si>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</si>
  <si>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</si>
  <si>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</si>
  <si>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</si>
  <si>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</si>
  <si>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</si>
  <si>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</si>
  <si>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</si>
  <si>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</si>
  <si>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</si>
  <si>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</si>
  <si>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</si>
  <si>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</si>
  <si>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</si>
  <si>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</si>
  <si>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</si>
  <si>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</si>
  <si>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</si>
  <si>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</si>
  <si>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</si>
  <si>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</si>
  <si>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</si>
  <si>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</si>
  <si>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</si>
  <si>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</si>
  <si>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</si>
  <si>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</si>
  <si>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</si>
  <si>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</si>
  <si>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</si>
  <si>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</si>
  <si>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</si>
  <si>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</si>
  <si>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</si>
  <si>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</si>
  <si>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</si>
  <si>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</si>
  <si>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</si>
  <si>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</si>
  <si>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</si>
  <si>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</si>
  <si>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d</t>
  </si>
  <si>
    <t>HD 63454 b</t>
  </si>
  <si>
    <t>HD 63765 b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</si>
  <si>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</si>
  <si>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</si>
  <si>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</si>
  <si>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</si>
  <si>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</si>
  <si>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</si>
  <si>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</si>
  <si>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</si>
  <si>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</si>
  <si>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</si>
  <si>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</si>
  <si>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</si>
  <si>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</si>
  <si>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</si>
  <si>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</si>
  <si>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</si>
  <si>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</si>
  <si>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</si>
  <si>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</si>
  <si>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</si>
  <si>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</si>
  <si>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</si>
  <si>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</si>
  <si>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</si>
  <si>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</si>
  <si>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</si>
  <si>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</si>
  <si>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</si>
  <si>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</si>
  <si>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</si>
  <si>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</si>
  <si>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</si>
  <si>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</si>
  <si>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</si>
  <si>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</si>
  <si>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</si>
  <si>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</si>
  <si>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</si>
  <si>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</si>
  <si>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</si>
  <si>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</si>
  <si>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</si>
  <si>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</si>
  <si>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</si>
  <si>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</si>
  <si>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</si>
  <si>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</si>
  <si>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</si>
  <si>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</si>
  <si>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</si>
  <si>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</si>
  <si>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</si>
  <si>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</si>
  <si>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</si>
  <si>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</si>
  <si>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</si>
  <si>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</si>
  <si>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</si>
  <si>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</si>
  <si>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</si>
  <si>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</si>
  <si>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</si>
  <si>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</si>
  <si>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</si>
  <si>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</si>
  <si>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</si>
  <si>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</si>
  <si>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</si>
  <si>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</si>
  <si>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</si>
  <si>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</si>
  <si>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</si>
  <si>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89307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</si>
  <si>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</si>
  <si>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</si>
  <si>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</si>
  <si>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</si>
  <si>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</si>
  <si>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</si>
  <si>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</si>
  <si>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</si>
  <si>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</si>
  <si>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</si>
  <si>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</si>
  <si>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</si>
  <si>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</si>
  <si>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</si>
  <si>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</si>
  <si>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</si>
  <si>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</si>
  <si>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</si>
  <si>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</si>
  <si>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</si>
  <si>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</si>
  <si>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</si>
  <si>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</si>
  <si>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</si>
  <si>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</si>
  <si>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</si>
  <si>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</si>
  <si>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</si>
  <si>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</si>
  <si>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</si>
  <si>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</si>
  <si>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</si>
  <si>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</si>
  <si>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</si>
  <si>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</si>
  <si>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</si>
  <si>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</si>
  <si>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</si>
  <si>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</si>
  <si>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</si>
  <si>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</si>
  <si>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</si>
  <si>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</si>
  <si>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</si>
  <si>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</si>
  <si>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</si>
  <si>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</si>
  <si>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</si>
  <si>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</si>
  <si>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</si>
  <si>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114933 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</si>
  <si>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</si>
  <si>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</si>
  <si>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</si>
  <si>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</si>
  <si>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</si>
  <si>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</si>
  <si>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</si>
  <si>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</si>
  <si>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</si>
  <si>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</si>
  <si>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</si>
  <si>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</si>
  <si>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</si>
  <si>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</si>
  <si>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</si>
  <si>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</si>
  <si>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</si>
  <si>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</si>
  <si>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</si>
  <si>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</si>
  <si>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</si>
  <si>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</si>
  <si>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</si>
  <si>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</si>
  <si>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</si>
  <si>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</si>
  <si>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</si>
  <si>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</si>
  <si>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</si>
  <si>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</si>
  <si>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</si>
  <si>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</si>
  <si>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</si>
  <si>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65891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</si>
  <si>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</si>
  <si>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</si>
  <si>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</si>
  <si>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</si>
  <si>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</si>
  <si>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</si>
  <si>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</si>
  <si>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</si>
  <si>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</si>
  <si>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</si>
  <si>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</si>
  <si>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</si>
  <si>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</si>
  <si>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</si>
  <si>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</si>
  <si>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</si>
  <si>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96334 b</t>
  </si>
  <si>
    <t>HIP 97166 c</t>
  </si>
  <si>
    <t>HN Lib b</t>
  </si>
  <si>
    <t>HR 2562 b</t>
  </si>
  <si>
    <t>HR 5183 Ab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</si>
  <si>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</si>
  <si>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</si>
  <si>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</si>
  <si>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</si>
  <si>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</si>
  <si>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</si>
  <si>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</si>
  <si>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K2-100 b</t>
  </si>
  <si>
    <t>K2-101 b</t>
  </si>
  <si>
    <t>K2-102 Ab</t>
  </si>
  <si>
    <t>K2-103 b</t>
  </si>
  <si>
    <t>K2-104 b</t>
  </si>
  <si>
    <t>K2-111 c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</si>
  <si>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</si>
  <si>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</si>
  <si>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</si>
  <si>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</si>
  <si>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</si>
  <si>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</si>
  <si>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</si>
  <si>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</si>
  <si>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</si>
  <si>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</si>
  <si>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</si>
  <si>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</si>
  <si>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</si>
  <si>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</si>
  <si>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</si>
  <si>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</si>
  <si>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</si>
  <si>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</si>
  <si>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K2-133 e</t>
  </si>
  <si>
    <t>K2-136 Ab</t>
  </si>
  <si>
    <t>K2-136 Ac</t>
  </si>
  <si>
    <t>K2-136 Ad</t>
  </si>
  <si>
    <t>K2-13 b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</si>
  <si>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</si>
  <si>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</si>
  <si>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</si>
  <si>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</si>
  <si>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</si>
  <si>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</si>
  <si>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</si>
  <si>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</si>
  <si>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</si>
  <si>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</si>
  <si>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</si>
  <si>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</si>
  <si>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K2-156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</si>
  <si>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</si>
  <si>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</si>
  <si>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</si>
  <si>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</si>
  <si>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</si>
  <si>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</si>
  <si>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</si>
  <si>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</si>
  <si>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</si>
  <si>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</si>
  <si>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</si>
  <si>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</si>
  <si>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</si>
  <si>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</si>
  <si>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</si>
  <si>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</si>
  <si>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</si>
  <si>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</si>
  <si>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</si>
  <si>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</si>
  <si>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</si>
  <si>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</si>
  <si>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</si>
  <si>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</si>
  <si>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</si>
  <si>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</si>
  <si>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</si>
  <si>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</si>
  <si>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K2-175 Ab</t>
  </si>
  <si>
    <t>K2-176 b</t>
  </si>
  <si>
    <t>K2-177 b</t>
  </si>
  <si>
    <t>K2-178 b</t>
  </si>
  <si>
    <t>K2-179 b</t>
  </si>
  <si>
    <t>K2-17 b</t>
  </si>
  <si>
    <t>K2-181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</si>
  <si>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</si>
  <si>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</si>
  <si>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</si>
  <si>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</si>
  <si>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</si>
  <si>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</si>
  <si>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</si>
  <si>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</si>
  <si>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</si>
  <si>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</si>
  <si>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</si>
  <si>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</si>
  <si>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</si>
  <si>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</si>
  <si>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</si>
  <si>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</si>
  <si>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</si>
  <si>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</si>
  <si>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</si>
  <si>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</si>
  <si>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</si>
  <si>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</si>
  <si>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</si>
  <si>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</si>
  <si>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</si>
  <si>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</si>
  <si>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</si>
  <si>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</si>
  <si>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</si>
  <si>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</si>
  <si>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</si>
  <si>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</si>
  <si>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</si>
  <si>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</si>
  <si>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</si>
  <si>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</si>
  <si>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</si>
  <si>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</si>
  <si>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</si>
  <si>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</si>
  <si>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</si>
  <si>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</si>
  <si>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</si>
  <si>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</si>
  <si>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</si>
  <si>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</si>
  <si>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</si>
  <si>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</si>
  <si>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K2-217 b</t>
  </si>
  <si>
    <t>K2-218 Ab</t>
  </si>
  <si>
    <t>K2-219 b</t>
  </si>
  <si>
    <t>K2-219 c</t>
  </si>
  <si>
    <t>K2-219 d</t>
  </si>
  <si>
    <t>K2-220 b</t>
  </si>
  <si>
    <t>K2-221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</si>
  <si>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</si>
  <si>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</si>
  <si>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</si>
  <si>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</si>
  <si>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</si>
  <si>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</si>
  <si>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</si>
  <si>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</si>
  <si>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K2-230 b</t>
  </si>
  <si>
    <t>K2-233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</si>
  <si>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</si>
  <si>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</si>
  <si>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</si>
  <si>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</si>
  <si>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</si>
  <si>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</si>
  <si>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</si>
  <si>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</si>
  <si>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</si>
  <si>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</si>
  <si>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</si>
  <si>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</si>
  <si>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</si>
  <si>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</si>
  <si>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</si>
  <si>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</si>
  <si>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</si>
  <si>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</si>
  <si>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</si>
  <si>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</si>
  <si>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</si>
  <si>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K2-264 b</t>
  </si>
  <si>
    <t>K2-264 c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</si>
  <si>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</si>
  <si>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</si>
  <si>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</si>
  <si>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</si>
  <si>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</si>
  <si>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</si>
  <si>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</si>
  <si>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</si>
  <si>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</si>
  <si>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</si>
  <si>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</si>
  <si>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</si>
  <si>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</si>
  <si>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</si>
  <si>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</si>
  <si>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</si>
  <si>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</si>
  <si>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</si>
  <si>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</si>
  <si>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K2-281 b</t>
  </si>
  <si>
    <t>K2-282 b</t>
  </si>
  <si>
    <t>K2-282 c</t>
  </si>
  <si>
    <t>K2-282 d</t>
  </si>
  <si>
    <t>K2-283 b</t>
  </si>
  <si>
    <t>K2-284 b</t>
  </si>
  <si>
    <t>K2-288 Bb</t>
  </si>
  <si>
    <t>K2-28 b</t>
  </si>
  <si>
    <t>K2-293 b</t>
  </si>
  <si>
    <t>K2-294 b</t>
  </si>
  <si>
    <t>K2-296 b</t>
  </si>
  <si>
    <t>K2-297 b</t>
  </si>
  <si>
    <t>K2-298 b</t>
  </si>
  <si>
    <t>K2-299 b</t>
  </si>
  <si>
    <t>K2-299 c</t>
  </si>
  <si>
    <t>K2-299 d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</si>
  <si>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</si>
  <si>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</si>
  <si>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</si>
  <si>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</si>
  <si>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</si>
  <si>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</si>
  <si>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</si>
  <si>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</si>
  <si>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</si>
  <si>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</si>
  <si>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</si>
  <si>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</si>
  <si>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</si>
  <si>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</si>
  <si>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K2-311 b</t>
  </si>
  <si>
    <t>K2-315 b</t>
  </si>
  <si>
    <t>K2-316 b</t>
  </si>
  <si>
    <t>K2-316 c</t>
  </si>
  <si>
    <t>K2-317 b</t>
  </si>
  <si>
    <t>K2-318 b</t>
  </si>
  <si>
    <t>K2-319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</si>
  <si>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</si>
  <si>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</si>
  <si>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</si>
  <si>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</si>
  <si>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</si>
  <si>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</si>
  <si>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</si>
  <si>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</si>
  <si>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</si>
  <si>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</si>
  <si>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</si>
  <si>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</si>
  <si>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</si>
  <si>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</si>
  <si>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</si>
  <si>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</si>
  <si>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</si>
  <si>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</si>
  <si>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</si>
  <si>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</si>
  <si>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</si>
  <si>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</si>
  <si>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</si>
  <si>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</si>
  <si>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</si>
  <si>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</si>
  <si>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</si>
  <si>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</si>
  <si>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</si>
  <si>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</si>
  <si>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</si>
  <si>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</si>
  <si>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</si>
  <si>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</si>
  <si>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</si>
  <si>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</si>
  <si>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</si>
  <si>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</si>
  <si>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</si>
  <si>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</si>
  <si>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</si>
  <si>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</si>
  <si>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</si>
  <si>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</si>
  <si>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</si>
  <si>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</si>
  <si>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</si>
  <si>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c</t>
  </si>
  <si>
    <t>K2-361 b</t>
  </si>
  <si>
    <t>K2-361 c</t>
  </si>
  <si>
    <t>K2-362 b</t>
  </si>
  <si>
    <t>K2-363 b</t>
  </si>
  <si>
    <t>K2-368 b</t>
  </si>
  <si>
    <t>K2-368 c</t>
  </si>
  <si>
    <t>K2-368 d</t>
  </si>
  <si>
    <t>K2-37 b</t>
  </si>
  <si>
    <t>K2-37 c</t>
  </si>
  <si>
    <t>K2-37 d</t>
  </si>
  <si>
    <t>K2-381 b</t>
  </si>
  <si>
    <t>K2-381 c</t>
  </si>
  <si>
    <t>K2-381 d</t>
  </si>
  <si>
    <t>K2-384 b</t>
  </si>
  <si>
    <t>K2-384 c</t>
  </si>
  <si>
    <t>K2-384 d</t>
  </si>
  <si>
    <t>K2-384 e</t>
  </si>
  <si>
    <t>K2-384 f</t>
  </si>
  <si>
    <t>K2-411 b</t>
  </si>
  <si>
    <t>K2-412 b</t>
  </si>
  <si>
    <t>K2-413 b</t>
  </si>
  <si>
    <t>K2-413 c</t>
  </si>
  <si>
    <t>K2-414 b</t>
  </si>
  <si>
    <t>K2-414 c</t>
  </si>
  <si>
    <t>K2-42 b</t>
  </si>
  <si>
    <t>K2-43 b</t>
  </si>
  <si>
    <t>K2-43 c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</si>
  <si>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</si>
  <si>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</si>
  <si>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</si>
  <si>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</si>
  <si>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</si>
  <si>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</si>
  <si>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</si>
  <si>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</si>
  <si>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K2-54 Bb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</si>
  <si>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</si>
  <si>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</si>
  <si>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</si>
  <si>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</si>
  <si>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</si>
  <si>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</si>
  <si>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</si>
  <si>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</si>
  <si>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K2-61 b</t>
  </si>
  <si>
    <t>K2-62 b</t>
  </si>
  <si>
    <t>K2-62 c</t>
  </si>
  <si>
    <t>K2-63 b</t>
  </si>
  <si>
    <t>K2-63 c</t>
  </si>
  <si>
    <t>K2-64 b</t>
  </si>
  <si>
    <t>K2-65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</si>
  <si>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</si>
  <si>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</si>
  <si>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</si>
  <si>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</si>
  <si>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</si>
  <si>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</si>
  <si>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</si>
  <si>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</si>
  <si>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</si>
  <si>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</si>
  <si>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</si>
  <si>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</si>
  <si>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</si>
  <si>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</si>
  <si>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</si>
  <si>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</si>
  <si>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</si>
  <si>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</si>
  <si>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</si>
  <si>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</si>
  <si>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</si>
  <si>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</si>
  <si>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</si>
  <si>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</si>
  <si>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K2-88 b</t>
  </si>
  <si>
    <t>K2-89 b</t>
  </si>
  <si>
    <t>K2-8 b</t>
  </si>
  <si>
    <t>K2-8 c</t>
  </si>
  <si>
    <t>K2-90 c</t>
  </si>
  <si>
    <t>K2-91 b</t>
  </si>
  <si>
    <t>K2-99 c</t>
  </si>
  <si>
    <t>K2-9 b</t>
  </si>
  <si>
    <t>kappa CrB b</t>
  </si>
  <si>
    <t>KELT-6 c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</si>
  <si>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</si>
  <si>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</si>
  <si>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</si>
  <si>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</si>
  <si>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</si>
  <si>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</si>
  <si>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</si>
  <si>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</si>
  <si>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</si>
  <si>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</si>
  <si>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</si>
  <si>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</si>
  <si>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</si>
  <si>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</si>
  <si>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</si>
  <si>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</si>
  <si>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</si>
  <si>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</si>
  <si>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</si>
  <si>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</si>
  <si>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</si>
  <si>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</si>
  <si>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</si>
  <si>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</si>
  <si>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</si>
  <si>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</si>
  <si>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</si>
  <si>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</si>
  <si>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</si>
  <si>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</si>
  <si>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</si>
  <si>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</si>
  <si>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</si>
  <si>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</si>
  <si>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</si>
  <si>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</si>
  <si>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</si>
  <si>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</si>
  <si>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</si>
  <si>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</si>
  <si>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</si>
  <si>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</si>
  <si>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</si>
  <si>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</si>
  <si>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</si>
  <si>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</si>
  <si>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</si>
  <si>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</si>
  <si>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</si>
  <si>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</si>
  <si>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</si>
  <si>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</si>
  <si>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</si>
  <si>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</si>
  <si>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</si>
  <si>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</si>
  <si>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</si>
  <si>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</si>
  <si>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</si>
  <si>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</si>
  <si>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</si>
  <si>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</si>
  <si>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</si>
  <si>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</si>
  <si>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</si>
  <si>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</si>
  <si>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</si>
  <si>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</si>
  <si>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</si>
  <si>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</si>
  <si>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</si>
  <si>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</si>
  <si>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</si>
  <si>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</si>
  <si>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</si>
  <si>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</si>
  <si>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</si>
  <si>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</si>
  <si>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</si>
  <si>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</si>
  <si>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</si>
  <si>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</si>
  <si>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</si>
  <si>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</si>
  <si>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</si>
  <si>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</si>
  <si>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</si>
  <si>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</si>
  <si>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</si>
  <si>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</si>
  <si>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</si>
  <si>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</si>
  <si>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</si>
  <si>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</si>
  <si>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</si>
  <si>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</si>
  <si>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</si>
  <si>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</si>
  <si>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</si>
  <si>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</si>
  <si>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</si>
  <si>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</si>
  <si>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</si>
  <si>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</si>
  <si>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</si>
  <si>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</si>
  <si>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</si>
  <si>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</si>
  <si>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</si>
  <si>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</si>
  <si>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</si>
  <si>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</si>
  <si>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</si>
  <si>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</si>
  <si>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</si>
  <si>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</si>
  <si>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</si>
  <si>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</si>
  <si>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</si>
  <si>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</si>
  <si>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</si>
  <si>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</si>
  <si>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</si>
  <si>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</si>
  <si>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</si>
  <si>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</si>
  <si>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</si>
  <si>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</si>
  <si>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</si>
  <si>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</si>
  <si>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</si>
  <si>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</si>
  <si>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</si>
  <si>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</si>
  <si>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</si>
  <si>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</si>
  <si>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</si>
  <si>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</si>
  <si>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</si>
  <si>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</si>
  <si>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</si>
  <si>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</si>
  <si>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</si>
  <si>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</si>
  <si>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</si>
  <si>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</si>
  <si>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</si>
  <si>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</si>
  <si>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</si>
  <si>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</si>
  <si>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</si>
  <si>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</si>
  <si>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</si>
  <si>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</si>
  <si>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</si>
  <si>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</si>
  <si>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</si>
  <si>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</si>
  <si>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</si>
  <si>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</si>
  <si>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</si>
  <si>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</si>
  <si>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</si>
  <si>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</si>
  <si>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</si>
  <si>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</si>
  <si>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</si>
  <si>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</si>
  <si>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</si>
  <si>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</si>
  <si>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</si>
  <si>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</si>
  <si>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</si>
  <si>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</si>
  <si>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</si>
  <si>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</si>
  <si>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</si>
  <si>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</si>
  <si>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</si>
  <si>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</si>
  <si>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</si>
  <si>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</si>
  <si>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</si>
  <si>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</si>
  <si>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</si>
  <si>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</si>
  <si>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</si>
  <si>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</si>
  <si>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</si>
  <si>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</si>
  <si>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</si>
  <si>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</si>
  <si>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</si>
  <si>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</si>
  <si>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</si>
  <si>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</si>
  <si>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</si>
  <si>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</si>
  <si>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</si>
  <si>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</si>
  <si>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</si>
  <si>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</si>
  <si>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</si>
  <si>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</si>
  <si>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</si>
  <si>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</si>
  <si>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</si>
  <si>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</si>
  <si>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</si>
  <si>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</si>
  <si>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</si>
  <si>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</si>
  <si>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</si>
  <si>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</si>
  <si>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</si>
  <si>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</si>
  <si>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</si>
  <si>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</si>
  <si>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</si>
  <si>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</si>
  <si>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</si>
  <si>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</si>
  <si>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</si>
  <si>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</si>
  <si>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</si>
  <si>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</si>
  <si>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</si>
  <si>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</si>
  <si>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</si>
  <si>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</si>
  <si>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</si>
  <si>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</si>
  <si>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</si>
  <si>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</si>
  <si>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</si>
  <si>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</si>
  <si>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</si>
  <si>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</si>
  <si>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</si>
  <si>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</si>
  <si>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</si>
  <si>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</si>
  <si>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</si>
  <si>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</si>
  <si>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</si>
  <si>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</si>
  <si>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</si>
  <si>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</si>
  <si>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</si>
  <si>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</si>
  <si>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</si>
  <si>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</si>
  <si>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</si>
  <si>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</si>
  <si>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</si>
  <si>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</si>
  <si>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</si>
  <si>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</si>
  <si>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</si>
  <si>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</si>
  <si>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</si>
  <si>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</si>
  <si>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</si>
  <si>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</si>
  <si>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</si>
  <si>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</si>
  <si>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</si>
  <si>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</si>
  <si>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</si>
  <si>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</si>
  <si>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</si>
  <si>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</si>
  <si>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</si>
  <si>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</si>
  <si>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</si>
  <si>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</si>
  <si>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</si>
  <si>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</si>
  <si>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</si>
  <si>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</si>
  <si>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</si>
  <si>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</si>
  <si>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</si>
  <si>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</si>
  <si>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</si>
  <si>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</si>
  <si>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</si>
  <si>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</si>
  <si>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</si>
  <si>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</si>
  <si>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</si>
  <si>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</si>
  <si>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</si>
  <si>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</si>
  <si>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</si>
  <si>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</si>
  <si>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</si>
  <si>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</si>
  <si>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</si>
  <si>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</si>
  <si>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</si>
  <si>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</si>
  <si>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</si>
  <si>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</si>
  <si>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</si>
  <si>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</si>
  <si>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</si>
  <si>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</si>
  <si>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</si>
  <si>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</si>
  <si>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</si>
  <si>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</si>
  <si>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</si>
  <si>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</si>
  <si>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</si>
  <si>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</si>
  <si>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</si>
  <si>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</si>
  <si>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</si>
  <si>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</si>
  <si>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</si>
  <si>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</si>
  <si>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</si>
  <si>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</si>
  <si>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</si>
  <si>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</si>
  <si>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</si>
  <si>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</si>
  <si>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</si>
  <si>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</si>
  <si>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</si>
  <si>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</si>
  <si>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</si>
  <si>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</si>
  <si>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</si>
  <si>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</si>
  <si>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</si>
  <si>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</si>
  <si>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</si>
  <si>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</si>
  <si>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</si>
  <si>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</si>
  <si>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</si>
  <si>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</si>
  <si>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</si>
  <si>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</si>
  <si>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</si>
  <si>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</si>
  <si>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</si>
  <si>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</si>
  <si>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</si>
  <si>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</si>
  <si>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</si>
  <si>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</si>
  <si>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</si>
  <si>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</si>
  <si>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</si>
  <si>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</si>
  <si>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</si>
  <si>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</si>
  <si>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</si>
  <si>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</si>
  <si>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</si>
  <si>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</si>
  <si>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</si>
  <si>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</si>
  <si>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</si>
  <si>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</si>
  <si>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</si>
  <si>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</si>
  <si>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</si>
  <si>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</si>
  <si>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</si>
  <si>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</si>
  <si>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</si>
  <si>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</si>
  <si>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</si>
  <si>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</si>
  <si>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</si>
  <si>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</si>
  <si>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</si>
  <si>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</si>
  <si>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</si>
  <si>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</si>
  <si>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</si>
  <si>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</si>
  <si>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</si>
  <si>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</si>
  <si>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</si>
  <si>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</si>
  <si>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</si>
  <si>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</si>
  <si>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</si>
  <si>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</si>
  <si>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</si>
  <si>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</si>
  <si>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</si>
  <si>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</si>
  <si>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</si>
  <si>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</si>
  <si>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</si>
  <si>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</si>
  <si>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</si>
  <si>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</si>
  <si>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</si>
  <si>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</si>
  <si>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</si>
  <si>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</si>
  <si>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</si>
  <si>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</si>
  <si>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</si>
  <si>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</si>
  <si>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</si>
  <si>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</si>
  <si>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</si>
  <si>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</si>
  <si>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</si>
  <si>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</si>
  <si>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</si>
  <si>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</si>
  <si>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</si>
  <si>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</si>
  <si>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</si>
  <si>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</si>
  <si>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</si>
  <si>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</si>
  <si>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</si>
  <si>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</si>
  <si>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</si>
  <si>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</si>
  <si>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</si>
  <si>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</si>
  <si>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</si>
  <si>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</si>
  <si>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</si>
  <si>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</si>
  <si>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</si>
  <si>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</si>
  <si>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</si>
  <si>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</si>
  <si>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</si>
  <si>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</si>
  <si>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</si>
  <si>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</si>
  <si>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</si>
  <si>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</si>
  <si>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</si>
  <si>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</si>
  <si>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</si>
  <si>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</si>
  <si>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</si>
  <si>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</si>
  <si>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</si>
  <si>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</si>
  <si>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</si>
  <si>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</si>
  <si>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</si>
  <si>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</si>
  <si>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</si>
  <si>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</si>
  <si>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</si>
  <si>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</si>
  <si>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</si>
  <si>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</si>
  <si>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</si>
  <si>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</si>
  <si>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</si>
  <si>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</si>
  <si>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</si>
  <si>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</si>
  <si>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</si>
  <si>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</si>
  <si>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</si>
  <si>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</si>
  <si>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</si>
  <si>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</si>
  <si>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</si>
  <si>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</si>
  <si>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</si>
  <si>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</si>
  <si>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</si>
  <si>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</si>
  <si>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</si>
  <si>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</si>
  <si>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</si>
  <si>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</si>
  <si>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</si>
  <si>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</si>
  <si>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</si>
  <si>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</si>
  <si>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</si>
  <si>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</si>
  <si>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</si>
  <si>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</si>
  <si>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</si>
  <si>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</si>
  <si>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</si>
  <si>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</si>
  <si>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</si>
  <si>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</si>
  <si>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</si>
  <si>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</si>
  <si>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e</t>
  </si>
  <si>
    <t>Kepler-139 f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</si>
  <si>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</si>
  <si>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</si>
  <si>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</si>
  <si>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</si>
  <si>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</si>
  <si>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</si>
  <si>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</si>
  <si>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</si>
  <si>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</si>
  <si>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</si>
  <si>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</si>
  <si>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</si>
  <si>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</si>
  <si>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</si>
  <si>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</si>
  <si>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</si>
  <si>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</si>
  <si>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</si>
  <si>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</si>
  <si>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</si>
  <si>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</si>
  <si>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</si>
  <si>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</si>
  <si>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</si>
  <si>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</si>
  <si>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</si>
  <si>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</si>
  <si>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</si>
  <si>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</si>
  <si>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</si>
  <si>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</si>
  <si>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</si>
  <si>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</si>
  <si>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</si>
  <si>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</si>
  <si>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</si>
  <si>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</si>
  <si>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</si>
  <si>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</si>
  <si>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</si>
  <si>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</si>
  <si>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</si>
  <si>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</si>
  <si>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</si>
  <si>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</si>
  <si>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</si>
  <si>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</si>
  <si>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</si>
  <si>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</si>
  <si>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</si>
  <si>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</si>
  <si>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</si>
  <si>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</si>
  <si>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</si>
  <si>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</si>
  <si>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</si>
  <si>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</si>
  <si>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</si>
  <si>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</si>
  <si>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</si>
  <si>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</si>
  <si>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</si>
  <si>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</si>
  <si>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</si>
  <si>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</si>
  <si>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</si>
  <si>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</si>
  <si>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</si>
  <si>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</si>
  <si>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</si>
  <si>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</si>
  <si>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</si>
  <si>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</si>
  <si>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</si>
  <si>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</si>
  <si>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</si>
  <si>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</si>
  <si>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</si>
  <si>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</si>
  <si>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</si>
  <si>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</si>
  <si>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</si>
  <si>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</si>
  <si>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</si>
  <si>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</si>
  <si>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</si>
  <si>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</si>
  <si>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</si>
  <si>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</si>
  <si>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</si>
  <si>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</si>
  <si>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</si>
  <si>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</si>
  <si>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</si>
  <si>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</si>
  <si>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</si>
  <si>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</si>
  <si>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</si>
  <si>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</si>
  <si>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</si>
  <si>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</si>
  <si>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</si>
  <si>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</si>
  <si>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</si>
  <si>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</si>
  <si>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</si>
  <si>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</si>
  <si>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</si>
  <si>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</si>
  <si>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</si>
  <si>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</si>
  <si>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</si>
  <si>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</si>
  <si>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</si>
  <si>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</si>
  <si>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</si>
  <si>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</si>
  <si>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</si>
  <si>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</si>
  <si>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</si>
  <si>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</si>
  <si>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</si>
  <si>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</si>
  <si>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</si>
  <si>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</si>
  <si>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</si>
  <si>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</si>
  <si>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</si>
  <si>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</si>
  <si>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</si>
  <si>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</si>
  <si>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</si>
  <si>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</si>
  <si>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</si>
  <si>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</si>
  <si>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</si>
  <si>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</si>
  <si>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</si>
  <si>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</si>
  <si>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</si>
  <si>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Kepler-1510 b</t>
  </si>
  <si>
    <t>Kepler-1511 b</t>
  </si>
  <si>
    <t>Kepler-1512 Ab</t>
  </si>
  <si>
    <t>Kepler-1513 Ac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</si>
  <si>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</si>
  <si>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</si>
  <si>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</si>
  <si>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</si>
  <si>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</si>
  <si>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</si>
  <si>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</si>
  <si>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</si>
  <si>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</si>
  <si>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</si>
  <si>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</si>
  <si>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</si>
  <si>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</si>
  <si>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</si>
  <si>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</si>
  <si>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</si>
  <si>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</si>
  <si>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</si>
  <si>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</si>
  <si>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</si>
  <si>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</si>
  <si>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</si>
  <si>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</si>
  <si>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</si>
  <si>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</si>
  <si>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</si>
  <si>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</si>
  <si>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</si>
  <si>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</si>
  <si>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</si>
  <si>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</si>
  <si>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</si>
  <si>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</si>
  <si>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</si>
  <si>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</si>
  <si>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</si>
  <si>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</si>
  <si>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</si>
  <si>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</si>
  <si>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</si>
  <si>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</si>
  <si>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</si>
  <si>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</si>
  <si>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</si>
  <si>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</si>
  <si>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</si>
  <si>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</si>
  <si>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</si>
  <si>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</si>
  <si>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</si>
  <si>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</si>
  <si>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</si>
  <si>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</si>
  <si>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</si>
  <si>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</si>
  <si>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</si>
  <si>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</si>
  <si>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</si>
  <si>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</si>
  <si>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</si>
  <si>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</si>
  <si>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</si>
  <si>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</si>
  <si>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</si>
  <si>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</si>
  <si>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</si>
  <si>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</si>
  <si>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</si>
  <si>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</si>
  <si>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</si>
  <si>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</si>
  <si>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</si>
  <si>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</si>
  <si>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</si>
  <si>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</si>
  <si>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</si>
  <si>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</si>
  <si>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</si>
  <si>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</si>
  <si>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</si>
  <si>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</si>
  <si>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</si>
  <si>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</si>
  <si>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</si>
  <si>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</si>
  <si>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</si>
  <si>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</si>
  <si>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</si>
  <si>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</si>
  <si>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</si>
  <si>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</si>
  <si>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</si>
  <si>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</si>
  <si>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</si>
  <si>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</si>
  <si>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</si>
  <si>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</si>
  <si>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</si>
  <si>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</si>
  <si>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</si>
  <si>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</si>
  <si>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</si>
  <si>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</si>
  <si>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</si>
  <si>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</si>
  <si>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</si>
  <si>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</si>
  <si>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</si>
  <si>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</si>
  <si>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</si>
  <si>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</si>
  <si>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</si>
  <si>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</si>
  <si>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</si>
  <si>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</si>
  <si>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</si>
  <si>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</si>
  <si>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</si>
  <si>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</si>
  <si>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</si>
  <si>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</si>
  <si>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</si>
  <si>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</si>
  <si>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</si>
  <si>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</si>
  <si>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</si>
  <si>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</si>
  <si>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</si>
  <si>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</si>
  <si>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</si>
  <si>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</si>
  <si>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</si>
  <si>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</si>
  <si>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</si>
  <si>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</si>
  <si>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</si>
  <si>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</si>
  <si>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</si>
  <si>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</si>
  <si>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</si>
  <si>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</si>
  <si>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</si>
  <si>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</si>
  <si>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</si>
  <si>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</si>
  <si>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</si>
  <si>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</si>
  <si>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</si>
  <si>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</si>
  <si>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</si>
  <si>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</si>
  <si>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</si>
  <si>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</si>
  <si>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</si>
  <si>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</si>
  <si>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</si>
  <si>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</si>
  <si>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</si>
  <si>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</si>
  <si>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</si>
  <si>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</si>
  <si>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</si>
  <si>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</si>
  <si>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</si>
  <si>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</si>
  <si>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</si>
  <si>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</si>
  <si>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</si>
  <si>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</si>
  <si>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</si>
  <si>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</si>
  <si>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</si>
  <si>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</si>
  <si>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</si>
  <si>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</si>
  <si>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</si>
  <si>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</si>
  <si>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</si>
  <si>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</si>
  <si>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</si>
  <si>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</si>
  <si>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</si>
  <si>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Kepler-1656 c</t>
  </si>
  <si>
    <t>Kepler-165 b</t>
  </si>
  <si>
    <t>Kepler-165 c</t>
  </si>
  <si>
    <t>Kepler-1660 (AB)b</t>
  </si>
  <si>
    <t>Kepler-1661 (AB)b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</si>
  <si>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</si>
  <si>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</si>
  <si>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</si>
  <si>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</si>
  <si>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</si>
  <si>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</si>
  <si>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</si>
  <si>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</si>
  <si>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</si>
  <si>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</si>
  <si>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</si>
  <si>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</si>
  <si>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</si>
  <si>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</si>
  <si>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</si>
  <si>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</si>
  <si>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</si>
  <si>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</si>
  <si>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</si>
  <si>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</si>
  <si>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</si>
  <si>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</si>
  <si>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</si>
  <si>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</si>
  <si>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</si>
  <si>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</si>
  <si>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</si>
  <si>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</si>
  <si>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</si>
  <si>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</si>
  <si>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</si>
  <si>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</si>
  <si>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</si>
  <si>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</si>
  <si>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</si>
  <si>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</si>
  <si>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</si>
  <si>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</si>
  <si>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</si>
  <si>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</si>
  <si>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</si>
  <si>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</si>
  <si>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</si>
  <si>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</si>
  <si>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</si>
  <si>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</si>
  <si>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</si>
  <si>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</si>
  <si>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</si>
  <si>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</si>
  <si>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</si>
  <si>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</si>
  <si>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</si>
  <si>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</si>
  <si>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Kepler-1700 b</t>
  </si>
  <si>
    <t>Kepler-1701 b</t>
  </si>
  <si>
    <t>Kepler-1702 b</t>
  </si>
  <si>
    <t>Kepler-1703 b</t>
  </si>
  <si>
    <t>Kepler-1703 c</t>
  </si>
  <si>
    <t>Kepler-1706 b</t>
  </si>
  <si>
    <t>Kepler-1707 b</t>
  </si>
  <si>
    <t>Kepler-1709 b</t>
  </si>
  <si>
    <t>Kepler-170 b</t>
  </si>
  <si>
    <t>Kepler-170 c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</si>
  <si>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</si>
  <si>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</si>
  <si>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</si>
  <si>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</si>
  <si>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</si>
  <si>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</si>
  <si>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</si>
  <si>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</si>
  <si>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</si>
  <si>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</si>
  <si>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</si>
  <si>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</si>
  <si>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</si>
  <si>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</si>
  <si>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</si>
  <si>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</si>
  <si>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</si>
  <si>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</si>
  <si>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</si>
  <si>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</si>
  <si>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</si>
  <si>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</si>
  <si>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</si>
  <si>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</si>
  <si>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</si>
  <si>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</si>
  <si>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</si>
  <si>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</si>
  <si>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</si>
  <si>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</si>
  <si>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</si>
  <si>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</si>
  <si>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</si>
  <si>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</si>
  <si>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</si>
  <si>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</si>
  <si>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</si>
  <si>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</si>
  <si>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</si>
  <si>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</si>
  <si>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</si>
  <si>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</si>
  <si>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</si>
  <si>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</si>
  <si>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</si>
  <si>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</si>
  <si>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</si>
  <si>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</si>
  <si>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</si>
  <si>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</si>
  <si>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</si>
  <si>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</si>
  <si>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</si>
  <si>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</si>
  <si>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</si>
  <si>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</si>
  <si>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</si>
  <si>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</si>
  <si>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</si>
  <si>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</si>
  <si>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</si>
  <si>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</si>
  <si>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</si>
  <si>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</si>
  <si>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</si>
  <si>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</si>
  <si>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</si>
  <si>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</si>
  <si>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</si>
  <si>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</si>
  <si>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</si>
  <si>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</si>
  <si>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</si>
  <si>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</si>
  <si>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</si>
  <si>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</si>
  <si>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</si>
  <si>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</si>
  <si>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</si>
  <si>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</si>
  <si>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</si>
  <si>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</si>
  <si>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</si>
  <si>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</si>
  <si>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</si>
  <si>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</si>
  <si>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</si>
  <si>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</si>
  <si>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</si>
  <si>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</si>
  <si>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</si>
  <si>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</si>
  <si>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</si>
  <si>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</si>
  <si>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</si>
  <si>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</si>
  <si>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</si>
  <si>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</si>
  <si>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</si>
  <si>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</si>
  <si>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</si>
  <si>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</si>
  <si>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</si>
  <si>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</si>
  <si>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</si>
  <si>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</si>
  <si>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</si>
  <si>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</si>
  <si>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</si>
  <si>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</si>
  <si>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</si>
  <si>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</si>
  <si>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</si>
  <si>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</si>
  <si>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</si>
  <si>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</si>
  <si>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</si>
  <si>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</si>
  <si>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</si>
  <si>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</si>
  <si>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</si>
  <si>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</si>
  <si>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</si>
  <si>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</si>
  <si>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</si>
  <si>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</si>
  <si>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</si>
  <si>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</si>
  <si>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</si>
  <si>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</si>
  <si>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</si>
  <si>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</si>
  <si>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</si>
  <si>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</si>
  <si>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</si>
  <si>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</si>
  <si>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</si>
  <si>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</si>
  <si>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</si>
  <si>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</si>
  <si>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</si>
  <si>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</si>
  <si>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</si>
  <si>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</si>
  <si>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</si>
  <si>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</si>
  <si>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</si>
  <si>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</si>
  <si>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</si>
  <si>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</si>
  <si>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</si>
  <si>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</si>
  <si>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</si>
  <si>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</si>
  <si>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</si>
  <si>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</si>
  <si>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</si>
  <si>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</si>
  <si>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</si>
  <si>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</si>
  <si>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</si>
  <si>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</si>
  <si>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</si>
  <si>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</si>
  <si>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</si>
  <si>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</si>
  <si>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</si>
  <si>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</si>
  <si>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</si>
  <si>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</si>
  <si>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</si>
  <si>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</si>
  <si>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</si>
  <si>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</si>
  <si>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</si>
  <si>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</si>
  <si>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</si>
  <si>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</si>
  <si>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</si>
  <si>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</si>
  <si>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</si>
  <si>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</si>
  <si>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</si>
  <si>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</si>
  <si>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</si>
  <si>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</si>
  <si>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</si>
  <si>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</si>
  <si>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</si>
  <si>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</si>
  <si>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</si>
  <si>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</si>
  <si>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</si>
  <si>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</si>
  <si>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</si>
  <si>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</si>
  <si>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</si>
  <si>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</si>
  <si>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</si>
  <si>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</si>
  <si>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</si>
  <si>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</si>
  <si>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</si>
  <si>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</si>
  <si>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</si>
  <si>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</si>
  <si>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</si>
  <si>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</si>
  <si>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</si>
  <si>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</si>
  <si>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</si>
  <si>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</si>
  <si>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</si>
  <si>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</si>
  <si>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</si>
  <si>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</si>
  <si>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</si>
  <si>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</si>
  <si>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</si>
  <si>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</si>
  <si>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</si>
  <si>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</si>
  <si>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</si>
  <si>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</si>
  <si>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</si>
  <si>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</si>
  <si>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</si>
  <si>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</si>
  <si>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</si>
  <si>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</si>
  <si>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</si>
  <si>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</si>
  <si>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</si>
  <si>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</si>
  <si>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</si>
  <si>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</si>
  <si>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</si>
  <si>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</si>
  <si>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</si>
  <si>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</si>
  <si>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</si>
  <si>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</si>
  <si>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</si>
  <si>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</si>
  <si>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</si>
  <si>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</si>
  <si>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</si>
  <si>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</si>
  <si>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</si>
  <si>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</si>
  <si>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</si>
  <si>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</si>
  <si>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</si>
  <si>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</si>
  <si>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</si>
  <si>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</si>
  <si>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</si>
  <si>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</si>
  <si>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</si>
  <si>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</si>
  <si>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</si>
  <si>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</si>
  <si>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</si>
  <si>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</si>
  <si>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</si>
  <si>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</si>
  <si>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</si>
  <si>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</si>
  <si>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</si>
  <si>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</si>
  <si>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</si>
  <si>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</si>
  <si>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</si>
  <si>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</si>
  <si>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</si>
  <si>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</si>
  <si>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</si>
  <si>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</si>
  <si>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</si>
  <si>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</si>
  <si>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</si>
  <si>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</si>
  <si>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</si>
  <si>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</si>
  <si>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</si>
  <si>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</si>
  <si>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</si>
  <si>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</si>
  <si>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</si>
  <si>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</si>
  <si>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</si>
  <si>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</si>
  <si>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</si>
  <si>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</si>
  <si>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</si>
  <si>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</si>
  <si>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</si>
  <si>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</si>
  <si>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</si>
  <si>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</si>
  <si>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</si>
  <si>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</si>
  <si>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</si>
  <si>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</si>
  <si>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</si>
  <si>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</si>
  <si>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</si>
  <si>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</si>
  <si>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</si>
  <si>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</si>
  <si>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</si>
  <si>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</si>
  <si>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</si>
  <si>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</si>
  <si>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</si>
  <si>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</si>
  <si>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</si>
  <si>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</si>
  <si>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</si>
  <si>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</si>
  <si>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</si>
  <si>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</si>
  <si>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</si>
  <si>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</si>
  <si>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</si>
  <si>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</si>
  <si>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</si>
  <si>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</si>
  <si>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</si>
  <si>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</si>
  <si>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</si>
  <si>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</si>
  <si>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</si>
  <si>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</si>
  <si>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</si>
  <si>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</si>
  <si>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</si>
  <si>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</si>
  <si>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</si>
  <si>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</si>
  <si>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</si>
  <si>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</si>
  <si>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</si>
  <si>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</si>
  <si>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</si>
  <si>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</si>
  <si>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</si>
  <si>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</si>
  <si>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</si>
  <si>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</si>
  <si>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</si>
  <si>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</si>
  <si>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</si>
  <si>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</si>
  <si>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</si>
  <si>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</si>
  <si>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</si>
  <si>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</si>
  <si>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</si>
  <si>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</si>
  <si>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</si>
  <si>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</si>
  <si>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</si>
  <si>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</si>
  <si>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</si>
  <si>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</si>
  <si>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</si>
  <si>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</si>
  <si>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</si>
  <si>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</si>
  <si>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</si>
  <si>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</si>
  <si>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</si>
  <si>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</si>
  <si>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</si>
  <si>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</si>
  <si>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</si>
  <si>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</si>
  <si>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</si>
  <si>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</si>
  <si>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</si>
  <si>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</si>
  <si>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</si>
  <si>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</si>
  <si>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</si>
  <si>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</si>
  <si>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</si>
  <si>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</si>
  <si>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</si>
  <si>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</si>
  <si>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</si>
  <si>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</si>
  <si>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</si>
  <si>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</si>
  <si>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</si>
  <si>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</si>
  <si>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</si>
  <si>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</si>
  <si>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</si>
  <si>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</si>
  <si>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</si>
  <si>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</si>
  <si>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</si>
  <si>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</si>
  <si>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</si>
  <si>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</si>
  <si>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</si>
  <si>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</si>
  <si>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</si>
  <si>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</si>
  <si>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</si>
  <si>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</si>
  <si>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</si>
  <si>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</si>
  <si>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</si>
  <si>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</si>
  <si>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</si>
  <si>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</si>
  <si>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</si>
  <si>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</si>
  <si>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</si>
  <si>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</si>
  <si>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</si>
  <si>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</si>
  <si>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</si>
  <si>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</si>
  <si>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</si>
  <si>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</si>
  <si>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</si>
  <si>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</si>
  <si>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</si>
  <si>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</si>
  <si>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</si>
  <si>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</si>
  <si>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</si>
  <si>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</si>
  <si>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</si>
  <si>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</si>
  <si>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</si>
  <si>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</si>
  <si>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</si>
  <si>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</si>
  <si>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</si>
  <si>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</si>
  <si>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</si>
  <si>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</si>
  <si>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</si>
  <si>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</si>
  <si>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</si>
  <si>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</si>
  <si>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</si>
  <si>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</si>
  <si>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</si>
  <si>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</si>
  <si>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</si>
  <si>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</si>
  <si>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</si>
  <si>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</si>
  <si>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</si>
  <si>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</si>
  <si>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</si>
  <si>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</si>
  <si>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</si>
  <si>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</si>
  <si>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</si>
  <si>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</si>
  <si>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</si>
  <si>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</si>
  <si>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</si>
  <si>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</si>
  <si>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</si>
  <si>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</si>
  <si>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</si>
  <si>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</si>
  <si>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</si>
  <si>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</si>
  <si>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</si>
  <si>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</si>
  <si>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</si>
  <si>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Kepler-239 b</t>
  </si>
  <si>
    <t>Kepler-239 c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</si>
  <si>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</si>
  <si>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</si>
  <si>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</si>
  <si>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</si>
  <si>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</si>
  <si>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</si>
  <si>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</si>
  <si>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</si>
  <si>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</si>
  <si>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</si>
  <si>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</si>
  <si>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</si>
  <si>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</si>
  <si>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</si>
  <si>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</si>
  <si>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</si>
  <si>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</si>
  <si>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</si>
  <si>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</si>
  <si>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</si>
  <si>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</si>
  <si>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</si>
  <si>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</si>
  <si>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</si>
  <si>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</si>
  <si>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</si>
  <si>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</si>
  <si>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</si>
  <si>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</si>
  <si>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</si>
  <si>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</si>
  <si>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</si>
  <si>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</si>
  <si>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</si>
  <si>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</si>
  <si>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</si>
  <si>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</si>
  <si>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</si>
  <si>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</si>
  <si>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</si>
  <si>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</si>
  <si>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</si>
  <si>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</si>
  <si>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</si>
  <si>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</si>
  <si>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</si>
  <si>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</si>
  <si>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</si>
  <si>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</si>
  <si>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</si>
  <si>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</si>
  <si>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</si>
  <si>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</si>
  <si>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</si>
  <si>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</si>
  <si>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</si>
  <si>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</si>
  <si>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</si>
  <si>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</si>
  <si>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</si>
  <si>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</si>
  <si>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</si>
  <si>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</si>
  <si>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</si>
  <si>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</si>
  <si>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</si>
  <si>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</si>
  <si>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</si>
  <si>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</si>
  <si>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</si>
  <si>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</si>
  <si>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</si>
  <si>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</si>
  <si>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</si>
  <si>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</si>
  <si>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</si>
  <si>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</si>
  <si>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</si>
  <si>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</si>
  <si>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</si>
  <si>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</si>
  <si>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</si>
  <si>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</si>
  <si>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</si>
  <si>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</si>
  <si>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</si>
  <si>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</si>
  <si>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</si>
  <si>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</si>
  <si>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</si>
  <si>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</si>
  <si>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</si>
  <si>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</si>
  <si>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</si>
  <si>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</si>
  <si>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</si>
  <si>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</si>
  <si>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</si>
  <si>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Kepler-279 b</t>
  </si>
  <si>
    <t>Kepler-279 e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</si>
  <si>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</si>
  <si>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</si>
  <si>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</si>
  <si>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</si>
  <si>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</si>
  <si>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</si>
  <si>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</si>
  <si>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</si>
  <si>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</si>
  <si>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</si>
  <si>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</si>
  <si>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</si>
  <si>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</si>
  <si>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</si>
  <si>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</si>
  <si>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</si>
  <si>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</si>
  <si>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</si>
  <si>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</si>
  <si>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</si>
  <si>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</si>
  <si>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</si>
  <si>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</si>
  <si>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</si>
  <si>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</si>
  <si>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</si>
  <si>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</si>
  <si>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</si>
  <si>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</si>
  <si>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</si>
  <si>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</si>
  <si>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</si>
  <si>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</si>
  <si>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</si>
  <si>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</si>
  <si>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</si>
  <si>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</si>
  <si>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</si>
  <si>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</si>
  <si>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</si>
  <si>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</si>
  <si>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</si>
  <si>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</si>
  <si>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</si>
  <si>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</si>
  <si>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</si>
  <si>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</si>
  <si>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</si>
  <si>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</si>
  <si>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</si>
  <si>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</si>
  <si>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</si>
  <si>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</si>
  <si>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</si>
  <si>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</si>
  <si>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</si>
  <si>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</si>
  <si>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</si>
  <si>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</si>
  <si>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</si>
  <si>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</si>
  <si>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</si>
  <si>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</si>
  <si>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</si>
  <si>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</si>
  <si>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</si>
  <si>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d</t>
  </si>
  <si>
    <t>Kepler-305 e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</si>
  <si>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</si>
  <si>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</si>
  <si>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</si>
  <si>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</si>
  <si>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</si>
  <si>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</si>
  <si>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</si>
  <si>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</si>
  <si>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</si>
  <si>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</si>
  <si>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</si>
  <si>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</si>
  <si>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</si>
  <si>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</si>
  <si>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</si>
  <si>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</si>
  <si>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</si>
  <si>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</si>
  <si>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</si>
  <si>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</si>
  <si>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</si>
  <si>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</si>
  <si>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</si>
  <si>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</si>
  <si>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</si>
  <si>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</si>
  <si>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</si>
  <si>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</si>
  <si>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</si>
  <si>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</si>
  <si>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</si>
  <si>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</si>
  <si>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</si>
  <si>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</si>
  <si>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</si>
  <si>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</si>
  <si>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</si>
  <si>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</si>
  <si>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</si>
  <si>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</si>
  <si>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</si>
  <si>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</si>
  <si>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</si>
  <si>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</si>
  <si>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</si>
  <si>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</si>
  <si>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</si>
  <si>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</si>
  <si>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</si>
  <si>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</si>
  <si>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</si>
  <si>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Kepler-329 b</t>
  </si>
  <si>
    <t>Kepler-329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</si>
  <si>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</si>
  <si>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</si>
  <si>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</si>
  <si>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</si>
  <si>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</si>
  <si>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</si>
  <si>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</si>
  <si>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</si>
  <si>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</si>
  <si>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</si>
  <si>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</si>
  <si>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</si>
  <si>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</si>
  <si>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</si>
  <si>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</si>
  <si>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</si>
  <si>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</si>
  <si>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</si>
  <si>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</si>
  <si>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</si>
  <si>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</si>
  <si>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</si>
  <si>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</si>
  <si>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c</t>
  </si>
  <si>
    <t>Kepler-338 d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</si>
  <si>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</si>
  <si>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</si>
  <si>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</si>
  <si>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</si>
  <si>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</si>
  <si>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</si>
  <si>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</si>
  <si>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</si>
  <si>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</si>
  <si>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</si>
  <si>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</si>
  <si>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</si>
  <si>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</si>
  <si>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</si>
  <si>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</si>
  <si>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</si>
  <si>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</si>
  <si>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</si>
  <si>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</si>
  <si>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</si>
  <si>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</si>
  <si>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</si>
  <si>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</si>
  <si>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</si>
  <si>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</si>
  <si>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</si>
  <si>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</si>
  <si>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</si>
  <si>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</si>
  <si>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</si>
  <si>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</si>
  <si>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</si>
  <si>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Kepler-350 b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</si>
  <si>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</si>
  <si>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</si>
  <si>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</si>
  <si>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</si>
  <si>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</si>
  <si>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</si>
  <si>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</si>
  <si>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</si>
  <si>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</si>
  <si>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</si>
  <si>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</si>
  <si>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</si>
  <si>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</si>
  <si>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</si>
  <si>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</si>
  <si>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</si>
  <si>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</si>
  <si>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</si>
  <si>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</si>
  <si>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</si>
  <si>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</si>
  <si>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</si>
  <si>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</si>
  <si>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</si>
  <si>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</si>
  <si>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</si>
  <si>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</si>
  <si>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</si>
  <si>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</si>
  <si>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</si>
  <si>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</si>
  <si>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</si>
  <si>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</si>
  <si>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</si>
  <si>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</si>
  <si>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</si>
  <si>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</si>
  <si>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</si>
  <si>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</si>
  <si>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</si>
  <si>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</si>
  <si>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</si>
  <si>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</si>
  <si>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</si>
  <si>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</si>
  <si>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</si>
  <si>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</si>
  <si>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</si>
  <si>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</si>
  <si>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</si>
  <si>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</si>
  <si>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</si>
  <si>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</si>
  <si>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</si>
  <si>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</si>
  <si>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</si>
  <si>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</si>
  <si>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</si>
  <si>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</si>
  <si>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</si>
  <si>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</si>
  <si>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</si>
  <si>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</si>
  <si>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</si>
  <si>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</si>
  <si>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</si>
  <si>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</si>
  <si>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</si>
  <si>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</si>
  <si>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</si>
  <si>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</si>
  <si>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</si>
  <si>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</si>
  <si>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</si>
  <si>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</si>
  <si>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</si>
  <si>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</si>
  <si>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</si>
  <si>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</si>
  <si>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</si>
  <si>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</si>
  <si>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</si>
  <si>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</si>
  <si>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</si>
  <si>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</si>
  <si>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</si>
  <si>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</si>
  <si>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</si>
  <si>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</si>
  <si>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Kepler-390 Ab</t>
  </si>
  <si>
    <t>Kepler-390 Ac</t>
  </si>
  <si>
    <t>Kepler-391 b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</si>
  <si>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</si>
  <si>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</si>
  <si>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</si>
  <si>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</si>
  <si>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</si>
  <si>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</si>
  <si>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</si>
  <si>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</si>
  <si>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</si>
  <si>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</si>
  <si>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</si>
  <si>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</si>
  <si>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</si>
  <si>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</si>
  <si>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</si>
  <si>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</si>
  <si>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</si>
  <si>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</si>
  <si>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</si>
  <si>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</si>
  <si>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</si>
  <si>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</si>
  <si>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</si>
  <si>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</si>
  <si>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</si>
  <si>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</si>
  <si>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</si>
  <si>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</si>
  <si>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</si>
  <si>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</si>
  <si>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</si>
  <si>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</si>
  <si>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</si>
  <si>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Kepler-407 Ac</t>
  </si>
  <si>
    <t>Kepler-410 Ab</t>
  </si>
  <si>
    <t>Kepler-411 Ae</t>
  </si>
  <si>
    <t>Kepler-415 c</t>
  </si>
  <si>
    <t>Kepler-416 c</t>
  </si>
  <si>
    <t>Kepler-417 c</t>
  </si>
  <si>
    <t>Kepler-418 c</t>
  </si>
  <si>
    <t>Kepler-419 c</t>
  </si>
  <si>
    <t>Kepler-421 Ab</t>
  </si>
  <si>
    <t>Kepler-424 c</t>
  </si>
  <si>
    <t>Kepler-430 b</t>
  </si>
  <si>
    <t>Kepler-430 c</t>
  </si>
  <si>
    <t>Kepler-431 b</t>
  </si>
  <si>
    <t>Kepler-431 c</t>
  </si>
  <si>
    <t>Kepler-431 d</t>
  </si>
  <si>
    <t>Kepler-432 c</t>
  </si>
  <si>
    <t>Kepler-436 b</t>
  </si>
  <si>
    <t>Kepler-436 c</t>
  </si>
  <si>
    <t>Kepler-437 Ab</t>
  </si>
  <si>
    <t>Kepler-438 b</t>
  </si>
  <si>
    <t>Kepler-439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</si>
  <si>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</si>
  <si>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</si>
  <si>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</si>
  <si>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</si>
  <si>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</si>
  <si>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</si>
  <si>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</si>
  <si>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</si>
  <si>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</si>
  <si>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Kepler-449 Ab</t>
  </si>
  <si>
    <t>Kepler-449 Ac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</si>
  <si>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</si>
  <si>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</si>
  <si>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</si>
  <si>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</si>
  <si>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</si>
  <si>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</si>
  <si>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</si>
  <si>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</si>
  <si>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</si>
  <si>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</si>
  <si>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</si>
  <si>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</si>
  <si>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</si>
  <si>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</si>
  <si>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</si>
  <si>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</si>
  <si>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Kepler-460 b</t>
  </si>
  <si>
    <t>Kepler-460 c</t>
  </si>
  <si>
    <t>Kepler-461 b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</si>
  <si>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</si>
  <si>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</si>
  <si>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</si>
  <si>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</si>
  <si>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</si>
  <si>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</si>
  <si>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</si>
  <si>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</si>
  <si>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</si>
  <si>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</si>
  <si>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</si>
  <si>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</si>
  <si>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</si>
  <si>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</si>
  <si>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</si>
  <si>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</si>
  <si>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</si>
  <si>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</si>
  <si>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</si>
  <si>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</si>
  <si>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</si>
  <si>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</si>
  <si>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</si>
  <si>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</si>
  <si>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</si>
  <si>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</si>
  <si>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</si>
  <si>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</si>
  <si>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</si>
  <si>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</si>
  <si>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</si>
  <si>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</si>
  <si>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</si>
  <si>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</si>
  <si>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</si>
  <si>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</si>
  <si>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</si>
  <si>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</si>
  <si>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</si>
  <si>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</si>
  <si>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</si>
  <si>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</si>
  <si>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</si>
  <si>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d</t>
  </si>
  <si>
    <t>Kepler-49 e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</si>
  <si>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</si>
  <si>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</si>
  <si>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</si>
  <si>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</si>
  <si>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</si>
  <si>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</si>
  <si>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</si>
  <si>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</si>
  <si>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</si>
  <si>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</si>
  <si>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</si>
  <si>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</si>
  <si>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</si>
  <si>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</si>
  <si>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</si>
  <si>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</si>
  <si>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</si>
  <si>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</si>
  <si>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</si>
  <si>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</si>
  <si>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</si>
  <si>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</si>
  <si>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</si>
  <si>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</si>
  <si>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</si>
  <si>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</si>
  <si>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</si>
  <si>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</si>
  <si>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</si>
  <si>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</si>
  <si>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</si>
  <si>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</si>
  <si>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</si>
  <si>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</si>
  <si>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</si>
  <si>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</si>
  <si>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</si>
  <si>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</si>
  <si>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</si>
  <si>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</si>
  <si>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</si>
  <si>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</si>
  <si>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</si>
  <si>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</si>
  <si>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</si>
  <si>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</si>
  <si>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Ac</t>
  </si>
  <si>
    <t>Kepler-539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</si>
  <si>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</si>
  <si>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</si>
  <si>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</si>
  <si>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</si>
  <si>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</si>
  <si>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</si>
  <si>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</si>
  <si>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</si>
  <si>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</si>
  <si>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</si>
  <si>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</si>
  <si>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</si>
  <si>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</si>
  <si>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</si>
  <si>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</si>
  <si>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</si>
  <si>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</si>
  <si>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</si>
  <si>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</si>
  <si>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</si>
  <si>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</si>
  <si>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</si>
  <si>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</si>
  <si>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</si>
  <si>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</si>
  <si>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</si>
  <si>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</si>
  <si>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</si>
  <si>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</si>
  <si>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</si>
  <si>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</si>
  <si>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</si>
  <si>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</si>
  <si>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</si>
  <si>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</si>
  <si>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</si>
  <si>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</si>
  <si>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</si>
  <si>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</si>
  <si>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</si>
  <si>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</si>
  <si>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</si>
  <si>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</si>
  <si>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</si>
  <si>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</si>
  <si>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</si>
  <si>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</si>
  <si>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</si>
  <si>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</si>
  <si>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</si>
  <si>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</si>
  <si>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</si>
  <si>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</si>
  <si>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</si>
  <si>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</si>
  <si>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</si>
  <si>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</si>
  <si>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</si>
  <si>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</si>
  <si>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</si>
  <si>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</si>
  <si>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d</t>
  </si>
  <si>
    <t>Kepler-590 b</t>
  </si>
  <si>
    <t>Kepler-591 b</t>
  </si>
  <si>
    <t>Kepler-592 b</t>
  </si>
  <si>
    <t>Kepler-593 b</t>
  </si>
  <si>
    <t>Kepler-594 b</t>
  </si>
  <si>
    <t>Kepler-596 b</t>
  </si>
  <si>
    <t>Kepler-597 b</t>
  </si>
  <si>
    <t>Kepler-598 b</t>
  </si>
  <si>
    <t>Kepler-598 c</t>
  </si>
  <si>
    <t>Kepler-599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</si>
  <si>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</si>
  <si>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</si>
  <si>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</si>
  <si>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</si>
  <si>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</si>
  <si>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</si>
  <si>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</si>
  <si>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</si>
  <si>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</si>
  <si>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</si>
  <si>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</si>
  <si>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</si>
  <si>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</si>
  <si>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</si>
  <si>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</si>
  <si>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</si>
  <si>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</si>
  <si>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</si>
  <si>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</si>
  <si>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</si>
  <si>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</si>
  <si>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</si>
  <si>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</si>
  <si>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</si>
  <si>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</si>
  <si>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</si>
  <si>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</si>
  <si>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</si>
  <si>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</si>
  <si>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</si>
  <si>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</si>
  <si>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</si>
  <si>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</si>
  <si>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</si>
  <si>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</si>
  <si>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</si>
  <si>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</si>
  <si>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</si>
  <si>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</si>
  <si>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</si>
  <si>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</si>
  <si>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</si>
  <si>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</si>
  <si>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</si>
  <si>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</si>
  <si>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</si>
  <si>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</si>
  <si>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</si>
  <si>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</si>
  <si>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</si>
  <si>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</si>
  <si>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</si>
  <si>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</si>
  <si>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</si>
  <si>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</si>
  <si>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</si>
  <si>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</si>
  <si>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</si>
  <si>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</si>
  <si>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</si>
  <si>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</si>
  <si>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</si>
  <si>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</si>
  <si>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</si>
  <si>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</si>
  <si>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</si>
  <si>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</si>
  <si>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</si>
  <si>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</si>
  <si>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</si>
  <si>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</si>
  <si>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</si>
  <si>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</si>
  <si>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</si>
  <si>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</si>
  <si>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</si>
  <si>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</si>
  <si>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</si>
  <si>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</si>
  <si>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</si>
  <si>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</si>
  <si>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</si>
  <si>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</si>
  <si>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</si>
  <si>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</si>
  <si>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</si>
  <si>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</si>
  <si>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</si>
  <si>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</si>
  <si>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</si>
  <si>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</si>
  <si>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</si>
  <si>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</si>
  <si>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</si>
  <si>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</si>
  <si>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</si>
  <si>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</si>
  <si>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</si>
  <si>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</si>
  <si>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</si>
  <si>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</si>
  <si>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</si>
  <si>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</si>
  <si>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</si>
  <si>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</si>
  <si>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</si>
  <si>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</si>
  <si>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</si>
  <si>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</si>
  <si>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</si>
  <si>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</si>
  <si>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</si>
  <si>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</si>
  <si>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</si>
  <si>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</si>
  <si>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</si>
  <si>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</si>
  <si>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</si>
  <si>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</si>
  <si>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</si>
  <si>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</si>
  <si>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</si>
  <si>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</si>
  <si>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</si>
  <si>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</si>
  <si>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</si>
  <si>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</si>
  <si>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</si>
  <si>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</si>
  <si>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</si>
  <si>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</si>
  <si>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</si>
  <si>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</si>
  <si>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</si>
  <si>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</si>
  <si>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</si>
  <si>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</si>
  <si>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</si>
  <si>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</si>
  <si>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</si>
  <si>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</si>
  <si>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</si>
  <si>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</si>
  <si>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</si>
  <si>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</si>
  <si>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</si>
  <si>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</si>
  <si>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</si>
  <si>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</si>
  <si>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</si>
  <si>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</si>
  <si>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</si>
  <si>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</si>
  <si>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</si>
  <si>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</si>
  <si>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</si>
  <si>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</si>
  <si>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</si>
  <si>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</si>
  <si>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</si>
  <si>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</si>
  <si>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</si>
  <si>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</si>
  <si>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</si>
  <si>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</si>
  <si>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</si>
  <si>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</si>
  <si>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</si>
  <si>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</si>
  <si>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</si>
  <si>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</si>
  <si>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</si>
  <si>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</si>
  <si>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</si>
  <si>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</si>
  <si>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</si>
  <si>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</si>
  <si>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</si>
  <si>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</si>
  <si>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</si>
  <si>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</si>
  <si>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</si>
  <si>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</si>
  <si>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</si>
  <si>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</si>
  <si>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</si>
  <si>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</si>
  <si>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</si>
  <si>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</si>
  <si>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</si>
  <si>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</si>
  <si>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</si>
  <si>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</si>
  <si>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</si>
  <si>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</si>
  <si>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</si>
  <si>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</si>
  <si>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</si>
  <si>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</si>
  <si>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</si>
  <si>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</si>
  <si>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</si>
  <si>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</si>
  <si>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</si>
  <si>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</si>
  <si>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</si>
  <si>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</si>
  <si>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</si>
  <si>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</si>
  <si>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</si>
  <si>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</si>
  <si>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</si>
  <si>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</si>
  <si>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</si>
  <si>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</si>
  <si>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</si>
  <si>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</si>
  <si>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</si>
  <si>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</si>
  <si>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</si>
  <si>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</si>
  <si>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</si>
  <si>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</si>
  <si>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</si>
  <si>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</si>
  <si>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</si>
  <si>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</si>
  <si>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</si>
  <si>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</si>
  <si>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</si>
  <si>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</si>
  <si>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</si>
  <si>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</si>
  <si>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</si>
  <si>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</si>
  <si>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</si>
  <si>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</si>
  <si>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</si>
  <si>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</si>
  <si>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</si>
  <si>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</si>
  <si>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</si>
  <si>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</si>
  <si>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</si>
  <si>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</si>
  <si>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</si>
  <si>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</si>
  <si>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</si>
  <si>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</si>
  <si>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</si>
  <si>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</si>
  <si>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</si>
  <si>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</si>
  <si>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</si>
  <si>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</si>
  <si>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</si>
  <si>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</si>
  <si>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</si>
  <si>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</si>
  <si>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</si>
  <si>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</si>
  <si>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</si>
  <si>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</si>
  <si>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</si>
  <si>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</si>
  <si>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</si>
  <si>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</si>
  <si>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</si>
  <si>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</si>
  <si>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</si>
  <si>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</si>
  <si>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</si>
  <si>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</si>
  <si>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</si>
  <si>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</si>
  <si>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</si>
  <si>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</si>
  <si>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</si>
  <si>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</si>
  <si>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</si>
  <si>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</si>
  <si>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</si>
  <si>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</si>
  <si>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</si>
  <si>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</si>
  <si>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</si>
  <si>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</si>
  <si>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</si>
  <si>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</si>
  <si>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</si>
  <si>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</si>
  <si>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</si>
  <si>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</si>
  <si>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</si>
  <si>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</si>
  <si>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</si>
  <si>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</si>
  <si>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</si>
  <si>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</si>
  <si>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</si>
  <si>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</si>
  <si>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</si>
  <si>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</si>
  <si>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</si>
  <si>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</si>
  <si>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</si>
  <si>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</si>
  <si>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</si>
  <si>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</si>
  <si>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</si>
  <si>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</si>
  <si>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</si>
  <si>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</si>
  <si>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</si>
  <si>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</si>
  <si>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</si>
  <si>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</si>
  <si>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</si>
  <si>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</si>
  <si>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</si>
  <si>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</si>
  <si>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</si>
  <si>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</si>
  <si>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</si>
  <si>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</si>
  <si>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</si>
  <si>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</si>
  <si>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</si>
  <si>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</si>
  <si>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</si>
  <si>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</si>
  <si>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</si>
  <si>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</si>
  <si>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</si>
  <si>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</si>
  <si>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</si>
  <si>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</si>
  <si>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</si>
  <si>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</si>
  <si>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</si>
  <si>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</si>
  <si>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</si>
  <si>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</si>
  <si>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</si>
  <si>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</si>
  <si>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</si>
  <si>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</si>
  <si>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</si>
  <si>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</si>
  <si>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</si>
  <si>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</si>
  <si>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</si>
  <si>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</si>
  <si>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</si>
  <si>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</si>
  <si>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</si>
  <si>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</si>
  <si>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</si>
  <si>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</si>
  <si>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</si>
  <si>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</si>
  <si>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</si>
  <si>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</si>
  <si>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</si>
  <si>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</si>
  <si>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</si>
  <si>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</si>
  <si>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</si>
  <si>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</si>
  <si>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</si>
  <si>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</si>
  <si>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</si>
  <si>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</si>
  <si>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</si>
  <si>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</si>
  <si>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</si>
  <si>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</si>
  <si>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</si>
  <si>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</si>
  <si>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</si>
  <si>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</si>
  <si>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</si>
  <si>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</si>
  <si>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</si>
  <si>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</si>
  <si>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</si>
  <si>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</si>
  <si>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</si>
  <si>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</si>
  <si>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</si>
  <si>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</si>
  <si>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</si>
  <si>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</si>
  <si>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</si>
  <si>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</si>
  <si>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</si>
  <si>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</si>
  <si>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</si>
  <si>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</si>
  <si>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</si>
  <si>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</si>
  <si>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</si>
  <si>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</si>
  <si>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</si>
  <si>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</si>
  <si>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</si>
  <si>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</si>
  <si>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</si>
  <si>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</si>
  <si>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</si>
  <si>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</si>
  <si>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</si>
  <si>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</si>
  <si>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</si>
  <si>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</si>
  <si>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</si>
  <si>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</si>
  <si>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</si>
  <si>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</si>
  <si>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</si>
  <si>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</si>
  <si>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</si>
  <si>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</si>
  <si>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</si>
  <si>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</si>
  <si>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</si>
  <si>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</si>
  <si>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</si>
  <si>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</si>
  <si>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</si>
  <si>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</si>
  <si>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</si>
  <si>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</si>
  <si>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</si>
  <si>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</si>
  <si>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</si>
  <si>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</si>
  <si>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</si>
  <si>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</si>
  <si>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</si>
  <si>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</si>
  <si>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</si>
  <si>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</si>
  <si>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</si>
  <si>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</si>
  <si>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</si>
  <si>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</si>
  <si>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</si>
  <si>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</si>
  <si>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</si>
  <si>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</si>
  <si>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</si>
  <si>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</si>
  <si>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</si>
  <si>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</si>
  <si>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</si>
  <si>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</si>
  <si>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</si>
  <si>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</si>
  <si>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</si>
  <si>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</si>
  <si>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</si>
  <si>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</si>
  <si>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</si>
  <si>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</si>
  <si>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</si>
  <si>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</si>
  <si>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</si>
  <si>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</si>
  <si>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</si>
  <si>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</si>
  <si>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</si>
  <si>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</si>
  <si>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</si>
  <si>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</si>
  <si>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</si>
  <si>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</si>
  <si>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</si>
  <si>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</si>
  <si>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</si>
  <si>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</si>
  <si>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</si>
  <si>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</si>
  <si>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</si>
  <si>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</si>
  <si>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</si>
  <si>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</si>
  <si>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</si>
  <si>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</si>
  <si>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</si>
  <si>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</si>
  <si>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</si>
  <si>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</si>
  <si>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</si>
  <si>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</si>
  <si>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</si>
  <si>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</si>
  <si>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</si>
  <si>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</si>
  <si>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</si>
  <si>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</si>
  <si>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</si>
  <si>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</si>
  <si>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</si>
  <si>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</si>
  <si>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</si>
  <si>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</si>
  <si>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</si>
  <si>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</si>
  <si>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</si>
  <si>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</si>
  <si>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</si>
  <si>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</si>
  <si>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</si>
  <si>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</si>
  <si>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</si>
  <si>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</si>
  <si>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</si>
  <si>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</si>
  <si>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</si>
  <si>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</si>
  <si>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</si>
  <si>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</si>
  <si>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</si>
  <si>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</si>
  <si>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</si>
  <si>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</si>
  <si>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</si>
  <si>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</si>
  <si>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</si>
  <si>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</si>
  <si>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</si>
  <si>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</si>
  <si>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</si>
  <si>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</si>
  <si>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</si>
  <si>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</si>
  <si>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</si>
  <si>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</si>
  <si>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</si>
  <si>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</si>
  <si>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</si>
  <si>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</si>
  <si>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</si>
  <si>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</si>
  <si>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</si>
  <si>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</si>
  <si>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</si>
  <si>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</si>
  <si>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</si>
  <si>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</si>
  <si>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</si>
  <si>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</si>
  <si>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</si>
  <si>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</si>
  <si>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</si>
  <si>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</si>
  <si>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</si>
  <si>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</si>
  <si>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</si>
  <si>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</si>
  <si>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</si>
  <si>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</si>
  <si>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</si>
  <si>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</si>
  <si>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</si>
  <si>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</si>
  <si>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</si>
  <si>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</si>
  <si>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</si>
  <si>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</si>
  <si>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</si>
  <si>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</si>
  <si>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</si>
  <si>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</si>
  <si>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</si>
  <si>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</si>
  <si>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</si>
  <si>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</si>
  <si>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</si>
  <si>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</si>
  <si>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</si>
  <si>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</si>
  <si>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</si>
  <si>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</si>
  <si>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</si>
  <si>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</si>
  <si>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</si>
  <si>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</si>
  <si>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</si>
  <si>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</si>
  <si>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</si>
  <si>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</si>
  <si>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</si>
  <si>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</si>
  <si>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</si>
  <si>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</si>
  <si>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</si>
  <si>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</si>
  <si>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</si>
  <si>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</si>
  <si>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</si>
  <si>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</si>
  <si>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</si>
  <si>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</si>
  <si>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</si>
  <si>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</si>
  <si>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</si>
  <si>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</si>
  <si>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</si>
  <si>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</si>
  <si>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</si>
  <si>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</si>
  <si>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</si>
  <si>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</si>
  <si>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</si>
  <si>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</si>
  <si>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</si>
  <si>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</si>
  <si>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</si>
  <si>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</si>
  <si>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</si>
  <si>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</si>
  <si>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</si>
  <si>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</si>
  <si>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</si>
  <si>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</si>
  <si>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</si>
  <si>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</si>
  <si>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</si>
  <si>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</si>
  <si>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</si>
  <si>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</si>
  <si>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ksi Aql b</t>
  </si>
  <si>
    <t>L 363-38 b</t>
  </si>
  <si>
    <t>L 98-59 e</t>
  </si>
  <si>
    <t>Lalande 21185 b</t>
  </si>
  <si>
    <t>Lalande 21185 c</t>
  </si>
  <si>
    <t>Lalande 21185 d</t>
  </si>
  <si>
    <t>lam2 For Ab</t>
  </si>
  <si>
    <t>lam Ser b</t>
  </si>
  <si>
    <t>LHS 3154 b</t>
  </si>
  <si>
    <t>LHS 3844 b</t>
  </si>
  <si>
    <t>LP 791-18 b</t>
  </si>
  <si>
    <t>LSPM J0220+3320 (AB)b</t>
  </si>
  <si>
    <t>LSPM J2116+0234 b</t>
  </si>
  <si>
    <t>LTT 1445 Ad</t>
  </si>
  <si>
    <t>Luyten's Star b</t>
  </si>
  <si>
    <t>Luyten's Star c</t>
  </si>
  <si>
    <t>Luyten's Star d</t>
  </si>
  <si>
    <t>Luyten's Star e</t>
  </si>
  <si>
    <t>M62H 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</si>
  <si>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</si>
  <si>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</si>
  <si>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</si>
  <si>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</si>
  <si>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</si>
  <si>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</si>
  <si>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</si>
  <si>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</si>
  <si>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</si>
  <si>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</si>
  <si>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</si>
  <si>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</si>
  <si>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</si>
  <si>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</si>
  <si>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</si>
  <si>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</si>
  <si>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</si>
  <si>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</si>
  <si>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</si>
  <si>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</si>
  <si>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</si>
  <si>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</si>
  <si>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</si>
  <si>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</si>
  <si>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</si>
  <si>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</si>
  <si>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</si>
  <si>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</si>
  <si>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</si>
  <si>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</si>
  <si>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</si>
  <si>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</si>
  <si>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</si>
  <si>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</si>
  <si>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</si>
  <si>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</si>
  <si>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</si>
  <si>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</si>
  <si>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</si>
  <si>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</si>
  <si>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</si>
  <si>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</si>
  <si>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</si>
  <si>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</si>
  <si>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</si>
  <si>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NGTS-11 c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</si>
  <si>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</si>
  <si>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</si>
  <si>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</si>
  <si>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</si>
  <si>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</si>
  <si>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</si>
  <si>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</si>
  <si>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</si>
  <si>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</si>
  <si>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</si>
  <si>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</si>
  <si>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</si>
  <si>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</si>
  <si>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</si>
  <si>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</si>
  <si>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</si>
  <si>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</si>
  <si>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</si>
  <si>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</si>
  <si>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</si>
  <si>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</si>
  <si>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</si>
  <si>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</si>
  <si>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</si>
  <si>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</si>
  <si>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</si>
  <si>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</si>
  <si>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</si>
  <si>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</si>
  <si>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</si>
  <si>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</si>
  <si>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</si>
  <si>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</si>
  <si>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</si>
  <si>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</si>
  <si>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</si>
  <si>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</si>
  <si>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</si>
  <si>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</si>
  <si>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</si>
  <si>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</si>
  <si>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</si>
  <si>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</si>
  <si>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</si>
  <si>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</si>
  <si>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</si>
  <si>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</si>
  <si>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</si>
  <si>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</si>
  <si>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</si>
  <si>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</si>
  <si>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</si>
  <si>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</si>
  <si>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</si>
  <si>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</si>
  <si>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</si>
  <si>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</si>
  <si>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</si>
  <si>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</si>
  <si>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</si>
  <si>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</si>
  <si>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</si>
  <si>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</si>
  <si>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</si>
  <si>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</si>
  <si>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</si>
  <si>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</si>
  <si>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</si>
  <si>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</si>
  <si>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</si>
  <si>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</si>
  <si>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</si>
  <si>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</si>
  <si>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</si>
  <si>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</si>
  <si>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</si>
  <si>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</si>
  <si>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</si>
  <si>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</si>
  <si>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</si>
  <si>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</si>
  <si>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</si>
  <si>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</si>
  <si>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</si>
  <si>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</si>
  <si>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</si>
  <si>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</si>
  <si>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</si>
  <si>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</si>
  <si>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</si>
  <si>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</si>
  <si>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</si>
  <si>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</si>
  <si>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</si>
  <si>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</si>
  <si>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</si>
  <si>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</si>
  <si>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</si>
  <si>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</si>
  <si>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</si>
  <si>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</si>
  <si>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</si>
  <si>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</si>
  <si>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</si>
  <si>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</si>
  <si>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</si>
  <si>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</si>
  <si>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</si>
  <si>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</si>
  <si>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</si>
  <si>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</si>
  <si>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</si>
  <si>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</si>
  <si>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</si>
  <si>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</si>
  <si>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</si>
  <si>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</si>
  <si>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</si>
  <si>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OGLE-GD-ECL-11388 (AB)b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</si>
  <si>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</si>
  <si>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</si>
  <si>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</si>
  <si>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</si>
  <si>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</si>
  <si>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</si>
  <si>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</si>
  <si>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</si>
  <si>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</si>
  <si>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d</t>
  </si>
  <si>
    <t>PM J17083-2548S (AB)b</t>
  </si>
  <si>
    <t>Pollux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</si>
  <si>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</si>
  <si>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</si>
  <si>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</si>
  <si>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</si>
  <si>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</si>
  <si>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</si>
  <si>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</si>
  <si>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B0329+54 b</t>
  </si>
  <si>
    <t>PSR B0943+10 b</t>
  </si>
  <si>
    <t>PSR B0943+10 c</t>
  </si>
  <si>
    <t>PSR B1257+12 c</t>
  </si>
  <si>
    <t>🪐  PLANET DATA VISUALIZATION DASHBOARD</t>
  </si>
  <si>
    <t>PSR B1257+12 d</t>
  </si>
  <si>
    <t>PSR B1620-26 (AB)b</t>
  </si>
  <si>
    <t>PSR B1802-07 b</t>
  </si>
  <si>
    <t>PSR J0312-0921 b</t>
  </si>
  <si>
    <t>Exoplanet Mass &amp; Radius Analytics  •  5,986 Confirmed Planets  •  Source: Cleaned &amp; Feature-Engineered Dataset</t>
  </si>
  <si>
    <t>PSR J1211-0633 b</t>
  </si>
  <si>
    <t>PSR J1311-3430 b</t>
  </si>
  <si>
    <t>PSR J1630+3550 b</t>
  </si>
  <si>
    <t xml:space="preserve">  TOTAL PLANETS</t>
  </si>
  <si>
    <t>PSR J1748-2021H</t>
  </si>
  <si>
    <t>PSR J1807-2459 A b</t>
  </si>
  <si>
    <t xml:space="preserve">  HIGHEST MASS</t>
  </si>
  <si>
    <t>PSR J1824-2452G b</t>
  </si>
  <si>
    <t xml:space="preserve">  LOWEST MASS</t>
  </si>
  <si>
    <t>PSR J1824-2452M b</t>
  </si>
  <si>
    <t>PSR J1928+1245 b</t>
  </si>
  <si>
    <t xml:space="preserve">  AVG. MASS</t>
  </si>
  <si>
    <t>PSR J2241-5236 b</t>
  </si>
  <si>
    <t>PSR J2322-2650 b</t>
  </si>
  <si>
    <t>QZ Ser b</t>
  </si>
  <si>
    <t>rho CrB b</t>
  </si>
  <si>
    <t>rho Crb c</t>
  </si>
  <si>
    <t>rho Crb d</t>
  </si>
  <si>
    <t xml:space="preserve">  Confirmed exoplanets in dataset</t>
  </si>
  <si>
    <t>rho Crb e</t>
  </si>
  <si>
    <t>rho Ind b</t>
  </si>
  <si>
    <t xml:space="preserve">  Most massive confirmed planet</t>
  </si>
  <si>
    <t xml:space="preserve">  Least massive confirmed planet</t>
  </si>
  <si>
    <t>Ross 128 b</t>
  </si>
  <si>
    <t xml:space="preserve">  Mean across all measured planets</t>
  </si>
  <si>
    <t xml:space="preserve">  AVG. RADIUS</t>
  </si>
  <si>
    <t xml:space="preserve">  MEDIAN MASS</t>
  </si>
  <si>
    <t xml:space="preserve">  MASS–RADIUS CORR.</t>
  </si>
  <si>
    <t xml:space="preserve">  MASS DATA COVERAGE</t>
  </si>
  <si>
    <t xml:space="preserve">  RADIUS DATA COVERAGE</t>
  </si>
  <si>
    <t>Ross 508 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</si>
  <si>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</si>
  <si>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</si>
  <si>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</si>
  <si>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</si>
  <si>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</si>
  <si>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</si>
  <si>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</si>
  <si>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 xml:space="preserve">  Mean radius, Jupiter units</t>
  </si>
  <si>
    <t xml:space="preserve">  Robust central tendency</t>
  </si>
  <si>
    <t>SOI-2 b</t>
  </si>
  <si>
    <t xml:space="preserve">  Pearson correlation coefficient</t>
  </si>
  <si>
    <t xml:space="preserve">  Planets with measured mass</t>
  </si>
  <si>
    <t xml:space="preserve">  Planets with measured radius</t>
  </si>
  <si>
    <t>SOI-7 b</t>
  </si>
  <si>
    <t>EXOPLANET EXPLORER</t>
  </si>
  <si>
    <t>S Ori 68</t>
  </si>
  <si>
    <t>SPECULOOS-3 b</t>
  </si>
  <si>
    <t>Distribution &amp; Composition</t>
  </si>
  <si>
    <t>Top Planets by Size</t>
  </si>
  <si>
    <t>Relationships &amp; Data Quality</t>
  </si>
  <si>
    <t>SWIFT J1756-2508 b</t>
  </si>
  <si>
    <t>Key Findings &amp; Data Notes</t>
  </si>
  <si>
    <t>TAP 26 b</t>
  </si>
  <si>
    <t>tau1 Gru 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</si>
  <si>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</si>
  <si>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</si>
  <si>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</si>
  <si>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</si>
  <si>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</si>
  <si>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</si>
  <si>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</si>
  <si>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</si>
  <si>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</si>
  <si>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c</t>
  </si>
  <si>
    <t>TIC 156514476 b</t>
  </si>
  <si>
    <t>TIC 165227846 b</t>
  </si>
  <si>
    <t>TIC 231080232 b</t>
  </si>
  <si>
    <t>TIC 231949697 b</t>
  </si>
  <si>
    <t>Notes: Mass and radius are expressed in Jupiter units (Mj, Rj). Classification thresholds are approximate size bands for exploratory grouping, not formal planetary-science definitions. Outliers identified via the 1.5×IQR fence method. All KPI, chart, and classification values are live formulas linked to the 'Cleaned Data' sheet and recalculate automatically.</t>
  </si>
  <si>
    <t>Data Visualization &amp; Dashboard | Cleaned Dataset Analysis</t>
  </si>
  <si>
    <t>HIGHEST MASS PLANET
HATS-70 b
Mass: 12.9000</t>
  </si>
  <si>
    <t>TIC 251090642 b</t>
  </si>
  <si>
    <t>TIC 262605715 b</t>
  </si>
  <si>
    <t>LOWEST MASS PLANET
LHS 1678 b
Mass: 0.00019</t>
  </si>
  <si>
    <t>AVERAGE MASS
0.9240
Jupiter masses</t>
  </si>
  <si>
    <t>AVERAGE RADIUS
0.7116
Jupiter radii</t>
  </si>
  <si>
    <t>TIC 268727719 b</t>
  </si>
  <si>
    <t>VALID PLANETS
1,588
Mass + radius records</t>
  </si>
  <si>
    <t>TIC 279401253 c</t>
  </si>
  <si>
    <t>TIC 290048573 b</t>
  </si>
  <si>
    <t>KEY FINDINGS</t>
  </si>
  <si>
    <t>TIC 303682623 b</t>
  </si>
  <si>
    <t>• Highest mass: HATS-70 b (12.9000)</t>
  </si>
  <si>
    <t>TIC 311276853 b</t>
  </si>
  <si>
    <t>TIC 88785435 b</t>
  </si>
  <si>
    <t>TOI-1062 c</t>
  </si>
  <si>
    <t>TOI-1097 b</t>
  </si>
  <si>
    <t>TOI-1097 c</t>
  </si>
  <si>
    <t>TOI-1098 Ab</t>
  </si>
  <si>
    <t>TOI-1117 c</t>
  </si>
  <si>
    <t>TOI-1117 d</t>
  </si>
  <si>
    <t>TOI-1180 b</t>
  </si>
  <si>
    <t>TOI-1224 b</t>
  </si>
  <si>
    <t>TOI-1224 c</t>
  </si>
  <si>
    <t>TOI-1227 b</t>
  </si>
  <si>
    <t>TOI-1266 d</t>
  </si>
  <si>
    <t>TOI-1272 c</t>
  </si>
  <si>
    <t>TOI-1288 c</t>
  </si>
  <si>
    <t>TOI-128 Ab</t>
  </si>
  <si>
    <t>TOI-1294 c</t>
  </si>
  <si>
    <t>TOI-1296 b</t>
  </si>
  <si>
    <t>TOI-1338 (AB)c</t>
  </si>
  <si>
    <t>TOI-1386 c</t>
  </si>
  <si>
    <t>TOI-1410 Ac</t>
  </si>
  <si>
    <t>TOI-1416 c</t>
  </si>
  <si>
    <t>TOI-1422 c</t>
  </si>
  <si>
    <t>TOI-1444 c</t>
  </si>
  <si>
    <t>TOI-1450 Ac</t>
  </si>
  <si>
    <t>TOI-1669 c</t>
  </si>
  <si>
    <t>TOI-1694 c</t>
  </si>
  <si>
    <t>TOI-1736 Ac</t>
  </si>
  <si>
    <t>TOI-1806 b</t>
  </si>
  <si>
    <t>TOI-1859 b</t>
  </si>
  <si>
    <t>TOI-1883 Ab</t>
  </si>
  <si>
    <t>TOI-198 b</t>
  </si>
  <si>
    <t>TOI-199 Ac</t>
  </si>
  <si>
    <t>TOI-2015 c</t>
  </si>
  <si>
    <t>TOI-203 b</t>
  </si>
  <si>
    <t>TOI-2048 b</t>
  </si>
  <si>
    <t>TOI-2076 e</t>
  </si>
  <si>
    <t>TOI-2202 c</t>
  </si>
  <si>
    <t>TOI-2266 b</t>
  </si>
  <si>
    <t>TOI-2274 b</t>
  </si>
  <si>
    <t>TOI-2295 c</t>
  </si>
  <si>
    <t>TOI-2411 c</t>
  </si>
  <si>
    <t>TOI-2427 c</t>
  </si>
  <si>
    <t>TOI-2431 b</t>
  </si>
  <si>
    <t>TOI-2443 c</t>
  </si>
  <si>
    <t>TOI-2458 c</t>
  </si>
  <si>
    <t>TOI-2537 c</t>
  </si>
  <si>
    <t>TOI-2545 b</t>
  </si>
  <si>
    <t>TOI-261 b</t>
  </si>
  <si>
    <t>TOI-262 b</t>
  </si>
  <si>
    <t>TOI-322 Ab</t>
  </si>
  <si>
    <t>TOI-3353 Ab</t>
  </si>
  <si>
    <t>TOI-3495 b</t>
  </si>
  <si>
    <t>TOI-4010 e</t>
  </si>
  <si>
    <t>TOI-431 c</t>
  </si>
  <si>
    <t>TOI-4336 Ab</t>
  </si>
  <si>
    <t>TOI-4342 b</t>
  </si>
  <si>
    <t>TOI-4342 c</t>
  </si>
  <si>
    <t>TOI-4364 b</t>
  </si>
  <si>
    <t>TOI-4409 b</t>
  </si>
  <si>
    <t>TOI-4443 b</t>
  </si>
  <si>
    <t>TOI-444 Ab</t>
  </si>
  <si>
    <t>TOI-4468 b</t>
  </si>
  <si>
    <t>TOI-4468 c</t>
  </si>
  <si>
    <t>TOI-4481 c</t>
  </si>
  <si>
    <t>TOI-4495 b</t>
  </si>
  <si>
    <t>TOI-4504 b</t>
  </si>
  <si>
    <t>TOI-4504 c</t>
  </si>
  <si>
    <t>TOI-451 Ab</t>
  </si>
  <si>
    <t>TOI-451 Ac</t>
  </si>
  <si>
    <t>TOI-451 Ad</t>
  </si>
  <si>
    <t>TOI-4527 b</t>
  </si>
  <si>
    <t>TOI-4562 c</t>
  </si>
  <si>
    <t>TOI-4600 b</t>
  </si>
  <si>
    <t>TOI-4600 c</t>
  </si>
  <si>
    <t>TOI-470 Ab</t>
  </si>
  <si>
    <t>TOI-500 c</t>
  </si>
  <si>
    <t>TOI-500 d</t>
  </si>
  <si>
    <t>TOI-500 e</t>
  </si>
  <si>
    <t>TOI-5082 b</t>
  </si>
  <si>
    <t>TOI-5126 b</t>
  </si>
  <si>
    <t>TOI-5126 c</t>
  </si>
  <si>
    <t>TOI-5143 c</t>
  </si>
  <si>
    <t>TOI-5174 b</t>
  </si>
  <si>
    <t>TOI-5238 b</t>
  </si>
  <si>
    <t>TOI-5319 Ab</t>
  </si>
  <si>
    <t>TOI-5388 b</t>
  </si>
  <si>
    <t>TOI-540 b</t>
  </si>
  <si>
    <t>TOI-5473 b</t>
  </si>
  <si>
    <t>TOI-6035 b</t>
  </si>
  <si>
    <t>TOI-6478 b</t>
  </si>
  <si>
    <t>TOI-654 b</t>
  </si>
  <si>
    <t>TOI-6695 c</t>
  </si>
  <si>
    <t>TOI-669 b</t>
  </si>
  <si>
    <t>TOI-682 c</t>
  </si>
  <si>
    <t>TOI-700 e</t>
  </si>
  <si>
    <t>TOI-7018 b</t>
  </si>
  <si>
    <t>TOI-7081 b</t>
  </si>
  <si>
    <t>TOI-715 b</t>
  </si>
  <si>
    <t>TOI-771 c</t>
  </si>
  <si>
    <t>TOI-784 c</t>
  </si>
  <si>
    <t>TOI-813 b</t>
  </si>
  <si>
    <t>TOI-880 Ab</t>
  </si>
  <si>
    <t>TOI-904 b</t>
  </si>
  <si>
    <t>TOI-904 c</t>
  </si>
  <si>
    <t>TOI-907 Ab</t>
  </si>
  <si>
    <t>TOI-969 c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</si>
  <si>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</si>
  <si>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</si>
  <si>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</si>
  <si>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</si>
  <si>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</si>
  <si>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</si>
  <si>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</si>
  <si>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</si>
  <si>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</si>
  <si>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</si>
  <si>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</si>
  <si>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</si>
  <si>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</si>
  <si>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</si>
  <si>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</si>
  <si>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</si>
  <si>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</si>
  <si>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WASP-107 c</t>
  </si>
  <si>
    <t>WASP-126 c</t>
  </si>
  <si>
    <t>WASP-132 d</t>
  </si>
  <si>
    <t>WASP-134 c</t>
  </si>
  <si>
    <t>WASP-138 b</t>
  </si>
  <si>
    <t>WASP-148 c</t>
  </si>
  <si>
    <t>WASP-16 c</t>
  </si>
  <si>
    <t>WASP-18 Ac</t>
  </si>
  <si>
    <t>WASP-41 c</t>
  </si>
  <si>
    <t>WASP-47 c</t>
  </si>
  <si>
    <t>WASP-94 Bb</t>
  </si>
  <si>
    <t>WD 0806-661 B b</t>
  </si>
  <si>
    <t>WD 1856+534 Ab</t>
  </si>
  <si>
    <t>WIS 395 b</t>
  </si>
  <si>
    <t>WISE J1355-8258 b</t>
  </si>
  <si>
    <t>Wolf 1061 b</t>
  </si>
  <si>
    <t>Wolf 1061 c</t>
  </si>
  <si>
    <t>Wolf 1061 d</t>
  </si>
  <si>
    <t>Wolf 1069 b</t>
  </si>
  <si>
    <t>Wolf 359 c</t>
  </si>
  <si>
    <t>XO-2S b</t>
  </si>
  <si>
    <t>XO-2S c</t>
  </si>
  <si>
    <t>XO-2S d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</si>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</sst>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0.0%"/>
    <numFmt numFmtId="167" formatCode="0.0000&quot; Mj&quot;"/>
    <numFmt numFmtId="168" formatCode="0.0000&quot; Rj&quot;"/>
  </numFmts>
  <fonts count="20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4.0"/>
      <color rgb="FF1F3864"/>
      <name val="Calibri"/>
    </font>
    <font>
      <sz val="10.0"/>
      <color rgb="FF1B2733"/>
      <name val="Calibri"/>
    </font>
    <font>
      <color theme="1"/>
      <name val="Calibri"/>
      <scheme val="minor"/>
    </font>
    <font>
      <b/>
      <sz val="10.0"/>
      <color rgb="FF1B2733"/>
      <name val="Calibri"/>
    </font>
    <font>
      <sz val="11.0"/>
      <color theme="1"/>
      <name val="Calibri"/>
    </font>
    <font>
      <b/>
      <sz val="12.0"/>
      <color rgb="FF1F3864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/>
    <font>
      <i/>
      <sz val="11.0"/>
      <color rgb="FFC9D6E3"/>
      <name val="Calibri"/>
    </font>
    <font>
      <b/>
      <sz val="10.0"/>
      <color rgb="FF6B7A8F"/>
      <name val="Calibri"/>
    </font>
    <font>
      <b/>
      <sz val="16.0"/>
      <color rgb="FF1F3864"/>
      <name val="Calibri"/>
    </font>
    <font>
      <sz val="9.0"/>
      <color rgb="FF8A97A8"/>
      <name val="Calibri"/>
    </font>
    <font>
      <b/>
      <sz val="24.0"/>
      <color rgb="FFFFFFFF"/>
      <name val="Calibri"/>
    </font>
    <font>
      <i/>
      <sz val="8.0"/>
      <color rgb="FF8A97A8"/>
      <name val="Calibri"/>
    </font>
    <font>
      <i/>
      <sz val="11.0"/>
      <color rgb="FFD9E2F3"/>
      <name val="Calibri"/>
    </font>
    <font>
      <b/>
      <sz val="11.0"/>
      <color rgb="FF14213D"/>
      <name val="Calibri"/>
    </font>
    <font>
      <b/>
      <sz val="15.0"/>
      <color rgb="FF14213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14213D"/>
        <bgColor rgb="FF14213D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39">
    <border/>
    <border>
      <left/>
      <right/>
      <top/>
      <bottom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E2EC"/>
      </left>
      <top style="thick">
        <color rgb="FF1F8A70"/>
      </top>
      <bottom style="thin">
        <color rgb="FFD9E2EC"/>
      </bottom>
    </border>
    <border>
      <top style="thick">
        <color rgb="FF1F8A70"/>
      </top>
      <bottom style="thin">
        <color rgb="FFD9E2EC"/>
      </bottom>
    </border>
    <border>
      <right style="thin">
        <color rgb="FFD9E2EC"/>
      </right>
      <top style="thick">
        <color rgb="FF1F8A70"/>
      </top>
      <bottom style="thin">
        <color rgb="FFD9E2EC"/>
      </bottom>
    </border>
    <border>
      <left style="thin">
        <color rgb="FFD9E2EC"/>
      </left>
      <top style="thick">
        <color rgb="FFE8743B"/>
      </top>
      <bottom style="thin">
        <color rgb="FFD9E2EC"/>
      </bottom>
    </border>
    <border>
      <top style="thick">
        <color rgb="FFE8743B"/>
      </top>
      <bottom style="thin">
        <color rgb="FFD9E2EC"/>
      </bottom>
    </border>
    <border>
      <right style="thin">
        <color rgb="FFD9E2EC"/>
      </right>
      <top style="thick">
        <color rgb="FFE8743B"/>
      </top>
      <bottom style="thin">
        <color rgb="FFD9E2EC"/>
      </bottom>
    </border>
    <border>
      <left style="thin">
        <color rgb="FFD9E2EC"/>
      </left>
      <top style="thick">
        <color rgb="FFD4A017"/>
      </top>
      <bottom style="thin">
        <color rgb="FFD9E2EC"/>
      </bottom>
    </border>
    <border>
      <top style="thick">
        <color rgb="FFD4A017"/>
      </top>
      <bottom style="thin">
        <color rgb="FFD9E2EC"/>
      </bottom>
    </border>
    <border>
      <right style="thin">
        <color rgb="FFD9E2EC"/>
      </right>
      <top style="thick">
        <color rgb="FFD4A017"/>
      </top>
      <bottom style="thin">
        <color rgb="FFD9E2EC"/>
      </bottom>
    </border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left style="thin">
        <color rgb="FFD9E2EC"/>
      </left>
      <top/>
      <bottom style="thin">
        <color rgb="FFD9E2EC"/>
      </bottom>
    </border>
    <border>
      <top/>
      <bottom style="thin">
        <color rgb="FFD9E2EC"/>
      </bottom>
    </border>
    <border>
      <right style="thin">
        <color rgb="FFD9E2EC"/>
      </right>
      <top/>
      <bottom style="thin">
        <color rgb="FFD9E2E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0D5DD"/>
      </left>
      <top style="thin">
        <color rgb="FFD0D5DD"/>
      </top>
    </border>
    <border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</border>
    <border>
      <right style="thin">
        <color rgb="FFD0D5DD"/>
      </right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2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0" fontId="3" numFmtId="1" xfId="0" applyAlignment="1" applyBorder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3" fontId="3" numFmtId="164" xfId="0" applyAlignment="1" applyBorder="1" applyFont="1" applyNumberForma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3" numFmtId="165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166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166" xfId="0" applyAlignment="1" applyBorder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1" fillId="3" fontId="3" numFmtId="166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1" fillId="3" fontId="3" numFmtId="10" xfId="0" applyAlignment="1" applyBorder="1" applyFont="1" applyNumberFormat="1">
      <alignment shrinkToFit="0" vertical="bottom" wrapText="0"/>
    </xf>
    <xf borderId="1" fillId="4" fontId="8" numFmtId="0" xfId="0" applyAlignment="1" applyBorder="1" applyFill="1" applyFont="1">
      <alignment horizontal="center" vertical="bottom"/>
    </xf>
    <xf borderId="1" fillId="4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1" fillId="2" fontId="6" numFmtId="0" xfId="0" applyAlignment="1" applyBorder="1" applyFont="1">
      <alignment shrinkToFit="0" vertical="bottom" wrapText="0"/>
    </xf>
    <xf borderId="3" fillId="2" fontId="9" numFmtId="0" xfId="0" applyAlignment="1" applyBorder="1" applyFont="1">
      <alignment shrinkToFit="0" vertical="center" wrapText="0"/>
    </xf>
    <xf borderId="4" fillId="0" fontId="10" numFmtId="0" xfId="0" applyBorder="1" applyFont="1"/>
    <xf borderId="5" fillId="0" fontId="10" numFmtId="0" xfId="0" applyBorder="1" applyFont="1"/>
    <xf borderId="3" fillId="2" fontId="11" numFmtId="0" xfId="0" applyAlignment="1" applyBorder="1" applyFont="1">
      <alignment shrinkToFit="0" vertical="bottom" wrapText="0"/>
    </xf>
    <xf borderId="6" fillId="5" fontId="12" numFmtId="0" xfId="0" applyAlignment="1" applyBorder="1" applyFill="1" applyFont="1">
      <alignment horizontal="left" shrinkToFit="0" vertical="top" wrapText="0"/>
    </xf>
    <xf borderId="7" fillId="0" fontId="10" numFmtId="0" xfId="0" applyBorder="1" applyFont="1"/>
    <xf borderId="8" fillId="0" fontId="10" numFmtId="0" xfId="0" applyBorder="1" applyFont="1"/>
    <xf borderId="9" fillId="5" fontId="12" numFmtId="0" xfId="0" applyAlignment="1" applyBorder="1" applyFont="1">
      <alignment horizontal="left" shrinkToFit="0" vertical="top" wrapText="0"/>
    </xf>
    <xf borderId="10" fillId="0" fontId="10" numFmtId="0" xfId="0" applyBorder="1" applyFont="1"/>
    <xf borderId="11" fillId="0" fontId="10" numFmtId="0" xfId="0" applyBorder="1" applyFont="1"/>
    <xf borderId="12" fillId="5" fontId="12" numFmtId="0" xfId="0" applyAlignment="1" applyBorder="1" applyFont="1">
      <alignment horizontal="left" shrinkToFit="0" vertical="top" wrapText="0"/>
    </xf>
    <xf borderId="13" fillId="0" fontId="10" numFmtId="0" xfId="0" applyBorder="1" applyFont="1"/>
    <xf borderId="14" fillId="0" fontId="10" numFmtId="0" xfId="0" applyBorder="1" applyFont="1"/>
    <xf borderId="15" fillId="5" fontId="13" numFmtId="3" xfId="0" applyAlignment="1" applyBorder="1" applyFont="1" applyNumberFormat="1">
      <alignment horizontal="left" shrinkToFit="0" vertical="center" wrapText="1"/>
    </xf>
    <xf borderId="16" fillId="0" fontId="10" numFmtId="0" xfId="0" applyBorder="1" applyFont="1"/>
    <xf borderId="17" fillId="0" fontId="10" numFmtId="0" xfId="0" applyBorder="1" applyFont="1"/>
    <xf borderId="15" fillId="5" fontId="13" numFmtId="49" xfId="0" applyAlignment="1" applyBorder="1" applyFont="1" applyNumberFormat="1">
      <alignment horizontal="left" shrinkToFit="0" vertical="center" wrapText="1"/>
    </xf>
    <xf borderId="15" fillId="5" fontId="13" numFmtId="167" xfId="0" applyAlignment="1" applyBorder="1" applyFont="1" applyNumberFormat="1">
      <alignment horizontal="left" shrinkToFit="0" vertical="center" wrapText="1"/>
    </xf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5" fontId="14" numFmtId="0" xfId="0" applyAlignment="1" applyBorder="1" applyFont="1">
      <alignment horizontal="left" shrinkToFit="0" vertical="bottom" wrapText="0"/>
    </xf>
    <xf borderId="22" fillId="0" fontId="10" numFmtId="0" xfId="0" applyBorder="1" applyFont="1"/>
    <xf borderId="23" fillId="0" fontId="10" numFmtId="0" xfId="0" applyBorder="1" applyFont="1"/>
    <xf borderId="15" fillId="5" fontId="13" numFmtId="168" xfId="0" applyAlignment="1" applyBorder="1" applyFont="1" applyNumberFormat="1">
      <alignment horizontal="left" shrinkToFit="0" vertical="center" wrapText="1"/>
    </xf>
    <xf borderId="15" fillId="5" fontId="13" numFmtId="165" xfId="0" applyAlignment="1" applyBorder="1" applyFont="1" applyNumberFormat="1">
      <alignment horizontal="left" shrinkToFit="0" vertical="center" wrapText="1"/>
    </xf>
    <xf borderId="15" fillId="5" fontId="13" numFmtId="166" xfId="0" applyAlignment="1" applyBorder="1" applyFont="1" applyNumberFormat="1">
      <alignment horizontal="left" shrinkToFit="0" vertical="center" wrapText="1"/>
    </xf>
    <xf borderId="24" fillId="4" fontId="15" numFmtId="0" xfId="0" applyAlignment="1" applyBorder="1" applyFont="1">
      <alignment horizontal="center"/>
    </xf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29" fillId="0" fontId="10" numFmtId="0" xfId="0" applyBorder="1" applyFont="1"/>
    <xf borderId="24" fillId="6" fontId="3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shrinkToFit="0" vertical="top" wrapText="1"/>
    </xf>
    <xf borderId="3" fillId="4" fontId="17" numFmtId="0" xfId="0" applyAlignment="1" applyBorder="1" applyFont="1">
      <alignment horizontal="center" vertical="bottom"/>
    </xf>
    <xf borderId="30" fillId="6" fontId="18" numFmtId="0" xfId="0" applyAlignment="1" applyBorder="1" applyFont="1">
      <alignment horizontal="center" shrinkToFit="0" wrapText="1"/>
    </xf>
    <xf borderId="31" fillId="0" fontId="10" numFmtId="0" xfId="0" applyBorder="1" applyFont="1"/>
    <xf borderId="32" fillId="6" fontId="18" numFmtId="0" xfId="0" applyAlignment="1" applyBorder="1" applyFont="1">
      <alignment horizontal="center" shrinkToFit="0" wrapText="1"/>
    </xf>
    <xf borderId="33" fillId="0" fontId="10" numFmtId="0" xfId="0" applyBorder="1" applyFont="1"/>
    <xf borderId="34" fillId="0" fontId="10" numFmtId="0" xfId="0" applyBorder="1" applyFont="1"/>
    <xf borderId="35" fillId="0" fontId="10" numFmtId="0" xfId="0" applyBorder="1" applyFont="1"/>
    <xf borderId="36" fillId="0" fontId="10" numFmtId="0" xfId="0" applyBorder="1" applyFont="1"/>
    <xf borderId="37" fillId="0" fontId="10" numFmtId="0" xfId="0" applyBorder="1" applyFont="1"/>
    <xf borderId="38" fillId="0" fontId="10" numFmtId="0" xfId="0" applyBorder="1" applyFont="1"/>
    <xf borderId="0" fillId="0" fontId="19" numFmtId="0" xfId="0" applyAlignment="1" applyFont="1">
      <alignment vertical="bottom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Number of Planets by Planet Status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Number of Planets</c:v>
          </c:tx>
          <c:spPr>
            <a:solidFill>
              <a:srgbClr val="1F8A70"/>
            </a:solidFill>
            <a:ln cmpd="sng">
              <a:noFill/>
            </a:ln>
          </c:spPr>
          <c:cat>
            <c:strRef>
              <c:f>'Status Summary'!$A$2</c:f>
            </c:strRef>
          </c:cat>
          <c:val>
            <c:numRef>
              <c:f>'Status Summary'!$B$2</c:f>
              <c:numCache/>
            </c:numRef>
          </c:val>
        </c:ser>
        <c:axId val="1243983802"/>
        <c:axId val="1994550630"/>
      </c:barChart>
      <c:catAx>
        <c:axId val="1243983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Planets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4550630"/>
      </c:catAx>
      <c:valAx>
        <c:axId val="1994550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43983802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Planet Mass Classification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'Mass Classification'!$B$3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'Mass Classification'!$A$4:$A$8</c:f>
            </c:strRef>
          </c:cat>
          <c:val>
            <c:numRef>
              <c:f>'Mass Classification'!$B$4:$B$8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Planets by Mass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Mass (Mj)</c:v>
          </c:tx>
          <c:spPr>
            <a:solidFill>
              <a:srgbClr val="E8743B"/>
            </a:solidFill>
            <a:ln cmpd="sng">
              <a:noFill/>
            </a:ln>
          </c:spPr>
          <c:cat>
            <c:strRef>
              <c:f>'Top 10 Planets'!$B$4:$B$13</c:f>
            </c:strRef>
          </c:cat>
          <c:val>
            <c:numRef>
              <c:f>'Top 10 Planets'!$C$4:$C$13</c:f>
              <c:numCache/>
            </c:numRef>
          </c:val>
        </c:ser>
        <c:axId val="912159480"/>
        <c:axId val="904022153"/>
      </c:barChart>
      <c:catAx>
        <c:axId val="912159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4022153"/>
      </c:catAx>
      <c:valAx>
        <c:axId val="904022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2159480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Planets by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Radius (Rj)</c:v>
          </c:tx>
          <c:spPr>
            <a:solidFill>
              <a:srgbClr val="D4A017"/>
            </a:solidFill>
            <a:ln cmpd="sng">
              <a:noFill/>
            </a:ln>
          </c:spPr>
          <c:cat>
            <c:strRef>
              <c:f>'Top 10 Planets'!$F$4:$F$13</c:f>
            </c:strRef>
          </c:cat>
          <c:val>
            <c:numRef>
              <c:f>'Top 10 Planets'!$G$4:$G$13</c:f>
              <c:numCache/>
            </c:numRef>
          </c:val>
        </c:ser>
        <c:axId val="1301462839"/>
        <c:axId val="34420809"/>
      </c:barChart>
      <c:catAx>
        <c:axId val="130146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420809"/>
      </c:catAx>
      <c:valAx>
        <c:axId val="34420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1462839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Relationship Between Planet Mass and Radius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Planets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 cmpd="sng">
                <a:solidFill>
                  <a:srgbClr val="1F3864"/>
                </a:solidFill>
              </a:ln>
            </c:spPr>
          </c:marker>
          <c:xVal>
            <c:numRef>
              <c:f>'Cleaned Data'!$C$2:$C$5987</c:f>
            </c:numRef>
          </c:xVal>
          <c:yVal>
            <c:numRef>
              <c:f>'Cleaned Data'!$I$2:$I$5987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842786"/>
        <c:axId val="226443382"/>
      </c:scatterChart>
      <c:valAx>
        <c:axId val="1799842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26443382"/>
      </c:valAx>
      <c:valAx>
        <c:axId val="226443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98427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Outlier Rate by Field (1.5×IQR Method)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Outlier %</c:v>
          </c:tx>
          <c:spPr>
            <a:solidFill>
              <a:srgbClr val="C0392B"/>
            </a:solidFill>
            <a:ln cmpd="sng">
              <a:noFill/>
            </a:ln>
          </c:spPr>
          <c:cat>
            <c:strRef>
              <c:f>'Outlier Analysis'!$A$4:$A$6</c:f>
            </c:strRef>
          </c:cat>
          <c:val>
            <c:numRef>
              <c:f>'Outlier Analysis'!$D$4:$D$6</c:f>
              <c:numCache/>
            </c:numRef>
          </c:val>
        </c:ser>
        <c:axId val="163429741"/>
        <c:axId val="723693839"/>
      </c:barChart>
      <c:catAx>
        <c:axId val="16342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3693839"/>
      </c:catAx>
      <c:valAx>
        <c:axId val="723693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Outlier Percentage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429741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Chart9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5238750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152400</xdr:colOff>
      <xdr:row>16</xdr:row>
      <xdr:rowOff>209550</xdr:rowOff>
    </xdr:from>
    <xdr:ext cx="5372100" cy="3295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5238750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152400</xdr:colOff>
      <xdr:row>35</xdr:row>
      <xdr:rowOff>0</xdr:rowOff>
    </xdr:from>
    <xdr:ext cx="5238750" cy="3209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238750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152400</xdr:colOff>
      <xdr:row>53</xdr:row>
      <xdr:rowOff>0</xdr:rowOff>
    </xdr:from>
    <xdr:ext cx="5238750" cy="3209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0</xdr:rowOff>
    </xdr:from>
    <xdr:ext cx="4495800" cy="2695575"/>
    <xdr:pic>
      <xdr:nvPicPr>
        <xdr:cNvPr id="164056229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495800" cy="2695575"/>
    <xdr:pic>
      <xdr:nvPicPr>
        <xdr:cNvPr id="176613681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600700" cy="3238500"/>
    <xdr:pic>
      <xdr:nvPicPr>
        <xdr:cNvPr id="1099987255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6" width="8.43"/>
    <col customWidth="1" min="17" max="26" width="8.71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30.0" customHeight="1">
      <c r="A2" s="29"/>
      <c r="B2" s="30" t="s">
        <v>5849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29"/>
    </row>
    <row r="3" ht="18.0" customHeight="1">
      <c r="A3" s="29"/>
      <c r="B3" s="33" t="s">
        <v>5854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  <c r="P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6" ht="15.0" customHeight="1">
      <c r="B6" s="34" t="s">
        <v>5858</v>
      </c>
      <c r="C6" s="35"/>
      <c r="D6" s="35"/>
      <c r="E6" s="36"/>
      <c r="F6" s="37" t="s">
        <v>5861</v>
      </c>
      <c r="G6" s="38"/>
      <c r="H6" s="38"/>
      <c r="I6" s="39"/>
      <c r="J6" s="40" t="s">
        <v>5863</v>
      </c>
      <c r="K6" s="41"/>
      <c r="L6" s="41"/>
      <c r="M6" s="42"/>
      <c r="N6" s="34" t="s">
        <v>5866</v>
      </c>
      <c r="O6" s="35"/>
      <c r="P6" s="36"/>
    </row>
    <row r="7" ht="15.0" customHeight="1">
      <c r="B7" s="43">
        <f>COUNTA('Cleaned Data'!$A$2:$A$5987)</f>
        <v>5986</v>
      </c>
      <c r="C7" s="44"/>
      <c r="D7" s="44"/>
      <c r="E7" s="45"/>
      <c r="F7" s="46" t="str">
        <f t="array" ref="F7">INDEX('Cleaned Data'!$A$2:$A$5987,MATCH(MAX('Cleaned Data'!$C$2:$C$5987),'Cleaned Data'!$C$2:$C$5987,0))&amp;"  ("&amp;TEXT(MAX('Cleaned Data'!$C$2:$C$5987),"0.00")&amp;" Mj)"</f>
        <v>GJ 2030 Ac  (12.93 Mj)</v>
      </c>
      <c r="G7" s="44"/>
      <c r="H7" s="44"/>
      <c r="I7" s="45"/>
      <c r="J7" s="46" t="str">
        <f t="array" ref="J7">INDEX('Cleaned Data'!$A$2:$A$5987,MATCH(MIN('Cleaned Data'!$C$2:$C$5987),'Cleaned Data'!$C$2:$C$5987,0))&amp;"  ("&amp;TEXT(MIN('Cleaned Data'!$C$2:$C$5987),"0.00000")&amp;" Mj)"</f>
        <v>LHS 1678 b  (0.00019 Mj)</v>
      </c>
      <c r="K7" s="44"/>
      <c r="L7" s="44"/>
      <c r="M7" s="45"/>
      <c r="N7" s="47">
        <f>AVERAGE('Cleaned Data'!$C$2:$C$5987)</f>
        <v>1.492538475</v>
      </c>
      <c r="O7" s="44"/>
      <c r="P7" s="45"/>
    </row>
    <row r="8" ht="15.0" customHeight="1">
      <c r="B8" s="48"/>
      <c r="C8" s="49"/>
      <c r="D8" s="49"/>
      <c r="E8" s="50"/>
      <c r="F8" s="48"/>
      <c r="G8" s="49"/>
      <c r="H8" s="49"/>
      <c r="I8" s="50"/>
      <c r="J8" s="48"/>
      <c r="K8" s="49"/>
      <c r="L8" s="49"/>
      <c r="M8" s="50"/>
      <c r="N8" s="48"/>
      <c r="O8" s="49"/>
      <c r="P8" s="50"/>
    </row>
    <row r="9" ht="15.0" customHeight="1">
      <c r="B9" s="51" t="s">
        <v>5873</v>
      </c>
      <c r="C9" s="52"/>
      <c r="D9" s="52"/>
      <c r="E9" s="53"/>
      <c r="F9" s="51" t="s">
        <v>5876</v>
      </c>
      <c r="G9" s="52"/>
      <c r="H9" s="52"/>
      <c r="I9" s="53"/>
      <c r="J9" s="51" t="s">
        <v>5877</v>
      </c>
      <c r="K9" s="52"/>
      <c r="L9" s="52"/>
      <c r="M9" s="53"/>
      <c r="N9" s="51" t="s">
        <v>5879</v>
      </c>
      <c r="O9" s="52"/>
      <c r="P9" s="53"/>
    </row>
    <row r="11" ht="15.0" customHeight="1">
      <c r="B11" s="34" t="s">
        <v>5880</v>
      </c>
      <c r="C11" s="35"/>
      <c r="D11" s="36"/>
      <c r="E11" s="37" t="s">
        <v>5881</v>
      </c>
      <c r="F11" s="38"/>
      <c r="G11" s="39"/>
      <c r="H11" s="40" t="s">
        <v>5882</v>
      </c>
      <c r="I11" s="41"/>
      <c r="J11" s="42"/>
      <c r="K11" s="34" t="s">
        <v>5883</v>
      </c>
      <c r="L11" s="35"/>
      <c r="M11" s="36"/>
      <c r="N11" s="37" t="s">
        <v>5884</v>
      </c>
      <c r="O11" s="38"/>
      <c r="P11" s="39"/>
    </row>
    <row r="12" ht="15.0" customHeight="1">
      <c r="B12" s="54">
        <f>AVERAGE('Cleaned Data'!$I$2:$I$5987)</f>
        <v>0.4015150366</v>
      </c>
      <c r="C12" s="44"/>
      <c r="D12" s="45"/>
      <c r="E12" s="47">
        <f>MEDIAN('Cleaned Data'!$C$2:$C$5987)</f>
        <v>0.37</v>
      </c>
      <c r="F12" s="44"/>
      <c r="G12" s="45"/>
      <c r="H12" s="55">
        <f>CORREL('Cleaned Data'!$C$2:$C$5987,'Cleaned Data'!$I$2:$I$5987)</f>
        <v>0.4172860279</v>
      </c>
      <c r="I12" s="44"/>
      <c r="J12" s="45"/>
      <c r="K12" s="56">
        <f>COUNT('Cleaned Data'!$C$2:$C$5987)/COUNTA('Cleaned Data'!$A$2:$A$5987)</f>
        <v>0.3473103909</v>
      </c>
      <c r="L12" s="44"/>
      <c r="M12" s="45"/>
      <c r="N12" s="56">
        <f>COUNT('Cleaned Data'!$I$2:$I$5987)/COUNTA('Cleaned Data'!$A$2:$A$5987)</f>
        <v>0.7631139325</v>
      </c>
      <c r="O12" s="44"/>
      <c r="P12" s="45"/>
    </row>
    <row r="13" ht="15.0" customHeight="1">
      <c r="B13" s="48"/>
      <c r="C13" s="49"/>
      <c r="D13" s="50"/>
      <c r="E13" s="48"/>
      <c r="F13" s="49"/>
      <c r="G13" s="50"/>
      <c r="H13" s="48"/>
      <c r="I13" s="49"/>
      <c r="J13" s="50"/>
      <c r="K13" s="48"/>
      <c r="L13" s="49"/>
      <c r="M13" s="50"/>
      <c r="N13" s="48"/>
      <c r="O13" s="49"/>
      <c r="P13" s="50"/>
    </row>
    <row r="14" ht="15.0" customHeight="1">
      <c r="B14" s="51" t="s">
        <v>5893</v>
      </c>
      <c r="C14" s="52"/>
      <c r="D14" s="53"/>
      <c r="E14" s="51" t="s">
        <v>5894</v>
      </c>
      <c r="F14" s="52"/>
      <c r="G14" s="53"/>
      <c r="H14" s="51" t="s">
        <v>5896</v>
      </c>
      <c r="I14" s="52"/>
      <c r="J14" s="53"/>
      <c r="K14" s="51" t="s">
        <v>5897</v>
      </c>
      <c r="L14" s="52"/>
      <c r="M14" s="53"/>
      <c r="N14" s="51" t="s">
        <v>5898</v>
      </c>
      <c r="O14" s="52"/>
      <c r="P14" s="53"/>
    </row>
    <row r="15">
      <c r="B15" s="57" t="s">
        <v>5900</v>
      </c>
      <c r="C15" s="58"/>
      <c r="D15" s="58"/>
      <c r="E15" s="58"/>
      <c r="F15" s="58"/>
      <c r="G15" s="58"/>
      <c r="H15" s="58"/>
      <c r="I15" s="58"/>
      <c r="J15" s="59"/>
    </row>
    <row r="16">
      <c r="B16" s="60"/>
      <c r="C16" s="61"/>
      <c r="D16" s="61"/>
      <c r="E16" s="61"/>
      <c r="F16" s="61"/>
      <c r="G16" s="61"/>
      <c r="H16" s="61"/>
      <c r="I16" s="61"/>
      <c r="J16" s="62"/>
    </row>
    <row r="17" ht="19.5" customHeight="1">
      <c r="B17" s="14" t="s">
        <v>5903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9.5" customHeight="1">
      <c r="B35" s="14" t="s">
        <v>5904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9.5" customHeight="1">
      <c r="B53" s="14" t="s">
        <v>5905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9.5" customHeight="1">
      <c r="B71" s="14" t="s">
        <v>5907</v>
      </c>
    </row>
    <row r="72" ht="15.0" customHeight="1">
      <c r="B72" s="63" t="str">
        <f>"• Dataset covers "&amp;TEXT(COUNTA('Cleaned Data'!$A$2:$A$5987),"#,##0")&amp;" confirmed exoplanets; every record carries planet_status = Confirmed."</f>
        <v>• Dataset covers 5,986 confirmed exoplanets; every record carries planet_status = Confirmed.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9"/>
    </row>
    <row r="73" ht="6.0" customHeight="1">
      <c r="B73" s="60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2"/>
    </row>
    <row r="74" ht="15.0" customHeight="1">
      <c r="B74" s="63" t="str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>• Most massive planet: GJ 2030 Ac at 12.934 Jupiter masses; least massive: LHS 1678 b at 0.00019 Jupiter masses.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9"/>
    </row>
    <row r="75" ht="6.0" customHeight="1">
      <c r="B75" s="60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2"/>
    </row>
    <row r="76" ht="15.0" customHeight="1">
      <c r="B76" s="63" t="str">
        <f>"• Mean planet mass is "&amp;TEXT(AVERAGE('Cleaned Data'!$C$2:$C$5987),"0.0000")&amp;" Mj vs. a median of "&amp;TEXT(MEDIAN('Cleaned Data'!$C$2:$C$5987),"0.0000")&amp;" Mj — the large mean/median gap signals a right-skewed distribution driven by a minority of giant planets."</f>
        <v>• Mean planet mass is 1.4925 Mj vs. a median of 0.3700 Mj — the large mean/median gap signals a right-skewed distribution driven by a minority of giant planets.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9"/>
    </row>
    <row r="77" ht="6.0" customHeight="1">
      <c r="B77" s="60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2"/>
    </row>
    <row r="78" ht="15.0" customHeight="1">
      <c r="B78" s="63" t="str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>• Mass and radius show a moderate positive correlation (r = 0.417); bigger planets tend to be heavier, but the relationship is far from linear across the full mass range.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9"/>
    </row>
    <row r="79" ht="6.0" customHeight="1">
      <c r="B79" s="60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2"/>
    </row>
    <row r="80" ht="15.0" customHeight="1">
      <c r="B80" s="63" t="str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>• Mass data is available for 34.7% of planets and radius for 76.3% — coverage gaps should be kept in mind when generalizing findings.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9"/>
    </row>
    <row r="81" ht="6.0" customHeight="1">
      <c r="B81" s="60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2"/>
    </row>
    <row r="82" ht="15.0" customHeight="1">
      <c r="B82" s="63" t="str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>• IQR-based outlier screening flags 13.5% of mass values and 19.2% of radius values as statistical outliers — mostly ultra-massive or ultra-large planets.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</row>
    <row r="83" ht="6.0" customHeight="1">
      <c r="B83" s="6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2"/>
    </row>
    <row r="84" ht="15.0" customHeight="1">
      <c r="B84" s="63" t="str">
        <f>"• See the Mass Classification and Radius Classification sheets for a full breakdown of planet types (Sub-Neptune through Super-Jupiter)."</f>
        <v>• See the Mass Classification and Radius Classification sheets for a full breakdown of planet types (Sub-Neptune through Super-Jupiter).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9"/>
    </row>
    <row r="85" ht="6.0" customHeight="1"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2"/>
    </row>
    <row r="86" ht="15.75" customHeight="1"/>
    <row r="87" ht="27.75" customHeight="1">
      <c r="B87" s="64" t="s">
        <v>5924</v>
      </c>
    </row>
    <row r="88" ht="15.75" customHeight="1">
      <c r="B88" s="65" t="s">
        <v>5925</v>
      </c>
      <c r="C88" s="31"/>
      <c r="D88" s="31"/>
      <c r="E88" s="31"/>
      <c r="F88" s="31"/>
      <c r="G88" s="31"/>
      <c r="H88" s="31"/>
      <c r="I88" s="31"/>
      <c r="J88" s="32"/>
    </row>
    <row r="89" ht="15.75" customHeight="1"/>
    <row r="90" ht="15.75" customHeight="1"/>
    <row r="91" ht="15.75" customHeight="1">
      <c r="B91" s="66" t="s">
        <v>5926</v>
      </c>
      <c r="C91" s="67"/>
      <c r="D91" s="66" t="s">
        <v>5929</v>
      </c>
      <c r="E91" s="67"/>
      <c r="F91" s="66" t="s">
        <v>5930</v>
      </c>
      <c r="G91" s="67"/>
      <c r="H91" s="66" t="s">
        <v>5931</v>
      </c>
      <c r="I91" s="67"/>
      <c r="J91" s="68" t="s">
        <v>5933</v>
      </c>
    </row>
    <row r="92" ht="15.75" customHeight="1">
      <c r="B92" s="69"/>
      <c r="C92" s="70"/>
      <c r="D92" s="69"/>
      <c r="E92" s="70"/>
      <c r="F92" s="69"/>
      <c r="G92" s="70"/>
      <c r="H92" s="69"/>
      <c r="I92" s="70"/>
      <c r="J92" s="71"/>
    </row>
    <row r="93" ht="15.75" customHeight="1">
      <c r="B93" s="72"/>
      <c r="C93" s="73"/>
      <c r="D93" s="72"/>
      <c r="E93" s="73"/>
      <c r="F93" s="72"/>
      <c r="G93" s="73"/>
      <c r="H93" s="72"/>
      <c r="I93" s="73"/>
      <c r="J93" s="74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O113" s="75" t="s">
        <v>5936</v>
      </c>
      <c r="P113" s="26"/>
      <c r="Q113" s="26"/>
    </row>
    <row r="114" ht="15.75" customHeight="1">
      <c r="O114" s="76" t="s">
        <v>5938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N14:P14"/>
    <mergeCell ref="B53:P53"/>
    <mergeCell ref="B71:P71"/>
    <mergeCell ref="B72:P73"/>
    <mergeCell ref="B74:P75"/>
    <mergeCell ref="B15:J16"/>
    <mergeCell ref="B17:P17"/>
    <mergeCell ref="B76:P77"/>
    <mergeCell ref="B78:P79"/>
    <mergeCell ref="B80:P81"/>
    <mergeCell ref="B82:P83"/>
    <mergeCell ref="B84:P85"/>
    <mergeCell ref="B87:P87"/>
    <mergeCell ref="B88:J88"/>
    <mergeCell ref="D91:E93"/>
    <mergeCell ref="F91:G93"/>
    <mergeCell ref="H91:I93"/>
    <mergeCell ref="F7:I8"/>
    <mergeCell ref="J7:M8"/>
    <mergeCell ref="F9:I9"/>
    <mergeCell ref="J9:M9"/>
    <mergeCell ref="N9:P9"/>
    <mergeCell ref="B2:O2"/>
    <mergeCell ref="B3:O3"/>
    <mergeCell ref="B6:E6"/>
    <mergeCell ref="F6:I6"/>
    <mergeCell ref="J6:M6"/>
    <mergeCell ref="N6:P6"/>
    <mergeCell ref="N7:P8"/>
    <mergeCell ref="B7:E8"/>
    <mergeCell ref="B9:E9"/>
    <mergeCell ref="B11:D11"/>
    <mergeCell ref="E11:G11"/>
    <mergeCell ref="H11:J11"/>
    <mergeCell ref="K11:M11"/>
    <mergeCell ref="N11:P11"/>
    <mergeCell ref="H14:J14"/>
    <mergeCell ref="K14:M14"/>
    <mergeCell ref="B12:D13"/>
    <mergeCell ref="E12:G13"/>
    <mergeCell ref="H12:J13"/>
    <mergeCell ref="K12:M13"/>
    <mergeCell ref="N12:P13"/>
    <mergeCell ref="B14:D14"/>
    <mergeCell ref="E14:G14"/>
    <mergeCell ref="B35:P35"/>
    <mergeCell ref="B91:C93"/>
    <mergeCell ref="J91:J93"/>
    <mergeCell ref="O114:Q1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9.0"/>
    <col customWidth="1" min="4" max="5" width="13.0"/>
    <col customWidth="1" min="6" max="6" width="10.0"/>
    <col customWidth="1" min="7" max="8" width="15.0"/>
    <col customWidth="1" min="9" max="9" width="9.0"/>
    <col customWidth="1" min="10" max="10" width="14.0"/>
    <col customWidth="1" min="11" max="11" width="12.0"/>
    <col customWidth="1" min="12" max="12" width="16.0"/>
    <col customWidth="1" min="13" max="13" width="14.0"/>
    <col customWidth="1" min="14" max="14" width="10.0"/>
    <col customWidth="1" min="15" max="15" width="13.0"/>
    <col customWidth="1" min="16" max="16" width="12.0"/>
    <col customWidth="1" min="17" max="17" width="11.0"/>
    <col customWidth="1" min="18" max="18" width="14.0"/>
    <col customWidth="1" min="19" max="19" width="13.0"/>
    <col customWidth="1" min="20" max="20" width="10.0"/>
    <col customWidth="1" min="21" max="21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24</v>
      </c>
    </row>
    <row r="2">
      <c r="A2" s="4" t="s">
        <v>26</v>
      </c>
      <c r="B2" s="4" t="s">
        <v>13</v>
      </c>
      <c r="C2" s="4">
        <v>5.743</v>
      </c>
      <c r="D2" s="4">
        <v>0.289</v>
      </c>
      <c r="E2" s="4">
        <v>1.011</v>
      </c>
      <c r="F2" s="4">
        <v>6.383</v>
      </c>
      <c r="G2" s="4">
        <v>0.078</v>
      </c>
      <c r="H2" s="4">
        <v>0.078</v>
      </c>
      <c r="I2" s="4">
        <v>1.152</v>
      </c>
      <c r="K2" s="6" t="b">
        <f t="shared" ref="K2:M2" si="1">TRUE()</f>
        <v>1</v>
      </c>
      <c r="L2" s="6" t="b">
        <f t="shared" si="1"/>
        <v>1</v>
      </c>
      <c r="M2" s="6" t="b">
        <f t="shared" si="1"/>
        <v>1</v>
      </c>
      <c r="N2" s="4">
        <v>1.90850492975245</v>
      </c>
      <c r="O2" s="4">
        <v>1.99918006007703</v>
      </c>
      <c r="P2" s="4">
        <v>0.766397642299538</v>
      </c>
      <c r="Q2" s="4">
        <v>2.89941049243915</v>
      </c>
      <c r="R2" s="4">
        <v>3.39714576096387</v>
      </c>
      <c r="S2" s="4">
        <v>0.61130805010113</v>
      </c>
      <c r="T2" s="4">
        <f t="shared" ref="T2:T5987" si="3">IF(C2="","",RANK(C2,$C$2:$C$5987)+COUNTIF($C$2:C2,C2)-1)</f>
        <v>185</v>
      </c>
      <c r="U2" s="4">
        <f t="shared" ref="U2:U5987" si="4">IF(I2="","",RANK(I2,$I$2:$I$5987)+COUNTIF($I$2:I2,I2)-1)</f>
        <v>447</v>
      </c>
    </row>
    <row r="3">
      <c r="A3" s="4" t="s">
        <v>30</v>
      </c>
      <c r="B3" s="4" t="s">
        <v>13</v>
      </c>
      <c r="D3" s="4">
        <v>0.005</v>
      </c>
      <c r="E3" s="4">
        <v>0.004</v>
      </c>
      <c r="F3" s="4">
        <v>0.033</v>
      </c>
      <c r="G3" s="4">
        <v>0.005</v>
      </c>
      <c r="H3" s="4">
        <v>0.004</v>
      </c>
      <c r="K3" s="6" t="b">
        <f t="shared" ref="K3:M3" si="2">FALSE()</f>
        <v>0</v>
      </c>
      <c r="L3" s="6" t="b">
        <f t="shared" si="2"/>
        <v>0</v>
      </c>
      <c r="M3" s="6" t="b">
        <f t="shared" si="2"/>
        <v>0</v>
      </c>
      <c r="O3" s="4">
        <v>0.0324671901375014</v>
      </c>
      <c r="T3" s="4" t="str">
        <f t="shared" si="3"/>
        <v/>
      </c>
      <c r="U3" s="4" t="str">
        <f t="shared" si="4"/>
        <v/>
      </c>
    </row>
    <row r="4">
      <c r="A4" s="4" t="s">
        <v>32</v>
      </c>
      <c r="B4" s="4" t="s">
        <v>13</v>
      </c>
      <c r="C4" s="4">
        <v>9.866</v>
      </c>
      <c r="D4" s="4">
        <v>1.781</v>
      </c>
      <c r="E4" s="4">
        <v>3.19</v>
      </c>
      <c r="K4" s="6" t="b">
        <f>TRUE()</f>
        <v>1</v>
      </c>
      <c r="L4" s="6" t="b">
        <f t="shared" ref="L4:M4" si="5">FALSE()</f>
        <v>0</v>
      </c>
      <c r="M4" s="6" t="b">
        <f t="shared" si="5"/>
        <v>0</v>
      </c>
      <c r="N4" s="4">
        <v>2.38563864812933</v>
      </c>
      <c r="T4" s="4">
        <f t="shared" si="3"/>
        <v>61</v>
      </c>
      <c r="U4" s="4" t="str">
        <f t="shared" si="4"/>
        <v/>
      </c>
    </row>
    <row r="5">
      <c r="A5" s="4" t="s">
        <v>34</v>
      </c>
      <c r="B5" s="4" t="s">
        <v>13</v>
      </c>
      <c r="D5" s="4">
        <v>1.1</v>
      </c>
      <c r="E5" s="4">
        <v>1.1</v>
      </c>
      <c r="F5" s="4">
        <v>11.0873</v>
      </c>
      <c r="G5" s="4">
        <v>1.1</v>
      </c>
      <c r="H5" s="4">
        <v>1.1</v>
      </c>
      <c r="K5" s="6" t="b">
        <f t="shared" ref="K5:K6" si="6">FALSE()</f>
        <v>0</v>
      </c>
      <c r="L5" s="6" t="b">
        <f>TRUE()</f>
        <v>1</v>
      </c>
      <c r="M5" s="6" t="b">
        <f>FALSE()</f>
        <v>0</v>
      </c>
      <c r="O5" s="4">
        <v>2.49215531462391</v>
      </c>
      <c r="T5" s="4" t="str">
        <f t="shared" si="3"/>
        <v/>
      </c>
      <c r="U5" s="4" t="str">
        <f t="shared" si="4"/>
        <v/>
      </c>
    </row>
    <row r="6">
      <c r="A6" s="4" t="s">
        <v>35</v>
      </c>
      <c r="B6" s="4" t="s">
        <v>13</v>
      </c>
      <c r="D6" s="4">
        <v>0.23</v>
      </c>
      <c r="E6" s="4">
        <v>0.23</v>
      </c>
      <c r="F6" s="4">
        <v>4.684</v>
      </c>
      <c r="G6" s="4">
        <v>0.23</v>
      </c>
      <c r="H6" s="4">
        <v>0.23</v>
      </c>
      <c r="K6" s="6" t="b">
        <f t="shared" si="6"/>
        <v>0</v>
      </c>
      <c r="L6" s="6" t="b">
        <f t="shared" ref="L6:M6" si="7">FALSE()</f>
        <v>0</v>
      </c>
      <c r="M6" s="6" t="b">
        <f t="shared" si="7"/>
        <v>0</v>
      </c>
      <c r="O6" s="4">
        <v>1.73765521023485</v>
      </c>
      <c r="T6" s="4" t="str">
        <f t="shared" si="3"/>
        <v/>
      </c>
      <c r="U6" s="4" t="str">
        <f t="shared" si="4"/>
        <v/>
      </c>
    </row>
    <row r="7">
      <c r="A7" s="4" t="s">
        <v>38</v>
      </c>
      <c r="B7" s="4" t="s">
        <v>13</v>
      </c>
      <c r="C7" s="4">
        <v>8.9</v>
      </c>
      <c r="D7" s="4">
        <v>1.7</v>
      </c>
      <c r="E7" s="4">
        <v>1.3</v>
      </c>
      <c r="F7" s="4">
        <v>4.95</v>
      </c>
      <c r="K7" s="6" t="b">
        <f t="shared" ref="K7:K8" si="9">TRUE()</f>
        <v>1</v>
      </c>
      <c r="L7" s="6" t="b">
        <f t="shared" ref="L7:M7" si="8">FALSE()</f>
        <v>0</v>
      </c>
      <c r="M7" s="6" t="b">
        <f t="shared" si="8"/>
        <v>0</v>
      </c>
      <c r="N7" s="4">
        <v>2.29253475714054</v>
      </c>
      <c r="O7" s="4">
        <v>1.78339121955754</v>
      </c>
      <c r="T7" s="4">
        <f t="shared" si="3"/>
        <v>84</v>
      </c>
      <c r="U7" s="4" t="str">
        <f t="shared" si="4"/>
        <v/>
      </c>
    </row>
    <row r="8">
      <c r="A8" s="4" t="s">
        <v>41</v>
      </c>
      <c r="B8" s="4" t="s">
        <v>13</v>
      </c>
      <c r="C8" s="4">
        <v>7.9</v>
      </c>
      <c r="D8" s="4">
        <v>1.2</v>
      </c>
      <c r="E8" s="4">
        <v>1.6</v>
      </c>
      <c r="F8" s="4">
        <v>7.12</v>
      </c>
      <c r="K8" s="6" t="b">
        <f t="shared" si="9"/>
        <v>1</v>
      </c>
      <c r="L8" s="6" t="b">
        <f>TRUE()</f>
        <v>1</v>
      </c>
      <c r="M8" s="6" t="b">
        <f>FALSE()</f>
        <v>0</v>
      </c>
      <c r="N8" s="4">
        <v>2.18605127673809</v>
      </c>
      <c r="O8" s="4">
        <v>2.09433015417359</v>
      </c>
      <c r="T8" s="4">
        <f t="shared" si="3"/>
        <v>112</v>
      </c>
      <c r="U8" s="4" t="str">
        <f t="shared" si="4"/>
        <v/>
      </c>
    </row>
    <row r="9">
      <c r="A9" s="4" t="s">
        <v>43</v>
      </c>
      <c r="B9" s="4" t="s">
        <v>13</v>
      </c>
      <c r="D9" s="4">
        <v>0.08</v>
      </c>
      <c r="E9" s="4">
        <v>0.08</v>
      </c>
      <c r="F9" s="4">
        <v>1.64</v>
      </c>
      <c r="G9" s="4">
        <v>0.08</v>
      </c>
      <c r="H9" s="4">
        <v>0.08</v>
      </c>
      <c r="K9" s="6" t="b">
        <f t="shared" ref="K9:M9" si="10">FALSE()</f>
        <v>0</v>
      </c>
      <c r="L9" s="6" t="b">
        <f t="shared" si="10"/>
        <v>0</v>
      </c>
      <c r="M9" s="6" t="b">
        <f t="shared" si="10"/>
        <v>0</v>
      </c>
      <c r="O9" s="4">
        <v>0.970778917158225</v>
      </c>
      <c r="T9" s="4" t="str">
        <f t="shared" si="3"/>
        <v/>
      </c>
      <c r="U9" s="4" t="str">
        <f t="shared" si="4"/>
        <v/>
      </c>
    </row>
    <row r="10">
      <c r="A10" s="4" t="s">
        <v>44</v>
      </c>
      <c r="B10" s="4" t="s">
        <v>13</v>
      </c>
      <c r="D10" s="4">
        <v>0.36</v>
      </c>
      <c r="E10" s="4">
        <v>0.36</v>
      </c>
      <c r="F10" s="4">
        <v>10.3</v>
      </c>
      <c r="G10" s="4">
        <v>0.36</v>
      </c>
      <c r="H10" s="4">
        <v>0.36</v>
      </c>
      <c r="K10" s="6" t="b">
        <f t="shared" ref="K10:K17" si="11">FALSE()</f>
        <v>0</v>
      </c>
      <c r="L10" s="6" t="b">
        <f>TRUE()</f>
        <v>1</v>
      </c>
      <c r="M10" s="6" t="b">
        <f>FALSE()</f>
        <v>0</v>
      </c>
      <c r="O10" s="4">
        <v>2.4248027257183</v>
      </c>
      <c r="T10" s="4" t="str">
        <f t="shared" si="3"/>
        <v/>
      </c>
      <c r="U10" s="4" t="str">
        <f t="shared" si="4"/>
        <v/>
      </c>
    </row>
    <row r="11">
      <c r="A11" s="4" t="s">
        <v>46</v>
      </c>
      <c r="B11" s="4" t="s">
        <v>13</v>
      </c>
      <c r="D11" s="4">
        <v>0.02</v>
      </c>
      <c r="E11" s="4">
        <v>0.02</v>
      </c>
      <c r="F11" s="4">
        <v>1.59</v>
      </c>
      <c r="G11" s="4">
        <v>0.02</v>
      </c>
      <c r="H11" s="4">
        <v>0.02</v>
      </c>
      <c r="K11" s="6" t="b">
        <f t="shared" si="11"/>
        <v>0</v>
      </c>
      <c r="L11" s="6" t="b">
        <f t="shared" ref="L11:M11" si="12">FALSE()</f>
        <v>0</v>
      </c>
      <c r="M11" s="6" t="b">
        <f t="shared" si="12"/>
        <v>0</v>
      </c>
      <c r="O11" s="4">
        <v>0.951657875711446</v>
      </c>
      <c r="T11" s="4" t="str">
        <f t="shared" si="3"/>
        <v/>
      </c>
      <c r="U11" s="4" t="str">
        <f t="shared" si="4"/>
        <v/>
      </c>
    </row>
    <row r="12">
      <c r="A12" s="4" t="s">
        <v>48</v>
      </c>
      <c r="B12" s="4" t="s">
        <v>13</v>
      </c>
      <c r="D12" s="4">
        <v>0.03</v>
      </c>
      <c r="E12" s="4">
        <v>0.03</v>
      </c>
      <c r="F12" s="4">
        <v>0.82</v>
      </c>
      <c r="G12" s="4">
        <v>0.03</v>
      </c>
      <c r="H12" s="4">
        <v>0.03</v>
      </c>
      <c r="K12" s="6" t="b">
        <f t="shared" si="11"/>
        <v>0</v>
      </c>
      <c r="L12" s="6" t="b">
        <f t="shared" ref="L12:M12" si="13">FALSE()</f>
        <v>0</v>
      </c>
      <c r="M12" s="6" t="b">
        <f t="shared" si="13"/>
        <v>0</v>
      </c>
      <c r="O12" s="4">
        <v>0.598836501088704</v>
      </c>
      <c r="T12" s="4" t="str">
        <f t="shared" si="3"/>
        <v/>
      </c>
      <c r="U12" s="4" t="str">
        <f t="shared" si="4"/>
        <v/>
      </c>
    </row>
    <row r="13">
      <c r="A13" s="4" t="s">
        <v>50</v>
      </c>
      <c r="B13" s="4" t="s">
        <v>13</v>
      </c>
      <c r="D13" s="4">
        <v>0.11</v>
      </c>
      <c r="E13" s="4">
        <v>0.11</v>
      </c>
      <c r="F13" s="4">
        <v>0.91</v>
      </c>
      <c r="G13" s="4">
        <v>0.11</v>
      </c>
      <c r="H13" s="4">
        <v>0.11</v>
      </c>
      <c r="K13" s="6" t="b">
        <f t="shared" si="11"/>
        <v>0</v>
      </c>
      <c r="L13" s="6" t="b">
        <f t="shared" ref="L13:M13" si="14">FALSE()</f>
        <v>0</v>
      </c>
      <c r="M13" s="6" t="b">
        <f t="shared" si="14"/>
        <v>0</v>
      </c>
      <c r="O13" s="4">
        <v>0.647103242058539</v>
      </c>
      <c r="T13" s="4" t="str">
        <f t="shared" si="3"/>
        <v/>
      </c>
      <c r="U13" s="4" t="str">
        <f t="shared" si="4"/>
        <v/>
      </c>
    </row>
    <row r="14">
      <c r="A14" s="4" t="s">
        <v>51</v>
      </c>
      <c r="B14" s="4" t="s">
        <v>13</v>
      </c>
      <c r="D14" s="4">
        <v>0.11</v>
      </c>
      <c r="E14" s="4">
        <v>0.11</v>
      </c>
      <c r="F14" s="4">
        <v>1.84</v>
      </c>
      <c r="G14" s="4">
        <v>0.11</v>
      </c>
      <c r="H14" s="4">
        <v>0.11</v>
      </c>
      <c r="K14" s="6" t="b">
        <f t="shared" si="11"/>
        <v>0</v>
      </c>
      <c r="L14" s="6" t="b">
        <f t="shared" ref="L14:M14" si="15">FALSE()</f>
        <v>0</v>
      </c>
      <c r="M14" s="6" t="b">
        <f t="shared" si="15"/>
        <v>0</v>
      </c>
      <c r="O14" s="4">
        <v>1.04380405217312</v>
      </c>
      <c r="T14" s="4" t="str">
        <f t="shared" si="3"/>
        <v/>
      </c>
      <c r="U14" s="4" t="str">
        <f t="shared" si="4"/>
        <v/>
      </c>
    </row>
    <row r="15">
      <c r="A15" s="4" t="s">
        <v>54</v>
      </c>
      <c r="B15" s="4" t="s">
        <v>13</v>
      </c>
      <c r="D15" s="4">
        <v>0.2</v>
      </c>
      <c r="E15" s="4">
        <v>0.2</v>
      </c>
      <c r="F15" s="4">
        <v>1.52</v>
      </c>
      <c r="G15" s="4">
        <v>0.2</v>
      </c>
      <c r="H15" s="4">
        <v>0.2</v>
      </c>
      <c r="K15" s="6" t="b">
        <f t="shared" si="11"/>
        <v>0</v>
      </c>
      <c r="L15" s="6" t="b">
        <f t="shared" ref="L15:M15" si="16">FALSE()</f>
        <v>0</v>
      </c>
      <c r="M15" s="6" t="b">
        <f t="shared" si="16"/>
        <v>0</v>
      </c>
      <c r="O15" s="4">
        <v>0.924258901523332</v>
      </c>
      <c r="T15" s="4" t="str">
        <f t="shared" si="3"/>
        <v/>
      </c>
      <c r="U15" s="4" t="str">
        <f t="shared" si="4"/>
        <v/>
      </c>
    </row>
    <row r="16">
      <c r="A16" s="4" t="s">
        <v>55</v>
      </c>
      <c r="B16" s="4" t="s">
        <v>13</v>
      </c>
      <c r="D16" s="4">
        <v>0.2</v>
      </c>
      <c r="E16" s="4">
        <v>1.8</v>
      </c>
      <c r="F16" s="4">
        <v>8.3</v>
      </c>
      <c r="G16" s="4">
        <v>0.2</v>
      </c>
      <c r="H16" s="4">
        <v>1.8</v>
      </c>
      <c r="K16" s="6" t="b">
        <f t="shared" si="11"/>
        <v>0</v>
      </c>
      <c r="L16" s="6" t="b">
        <f>TRUE()</f>
        <v>1</v>
      </c>
      <c r="M16" s="6" t="b">
        <f>FALSE()</f>
        <v>0</v>
      </c>
      <c r="O16" s="4">
        <v>2.23001440015921</v>
      </c>
      <c r="T16" s="4" t="str">
        <f t="shared" si="3"/>
        <v/>
      </c>
      <c r="U16" s="4" t="str">
        <f t="shared" si="4"/>
        <v/>
      </c>
    </row>
    <row r="17">
      <c r="A17" s="4" t="s">
        <v>57</v>
      </c>
      <c r="B17" s="4" t="s">
        <v>13</v>
      </c>
      <c r="C17" s="4">
        <v>0.031</v>
      </c>
      <c r="K17" s="6" t="b">
        <f t="shared" si="11"/>
        <v>0</v>
      </c>
      <c r="L17" s="6" t="b">
        <f t="shared" ref="L17:M17" si="17">FALSE()</f>
        <v>0</v>
      </c>
      <c r="M17" s="6" t="b">
        <f t="shared" si="17"/>
        <v>0</v>
      </c>
      <c r="N17" s="4">
        <v>0.0305292050348228</v>
      </c>
      <c r="T17" s="4">
        <f t="shared" si="3"/>
        <v>1533</v>
      </c>
      <c r="U17" s="4" t="str">
        <f t="shared" si="4"/>
        <v/>
      </c>
    </row>
    <row r="18">
      <c r="A18" s="4" t="s">
        <v>58</v>
      </c>
      <c r="B18" s="4" t="s">
        <v>13</v>
      </c>
      <c r="C18" s="4">
        <v>4.0</v>
      </c>
      <c r="K18" s="6" t="b">
        <f t="shared" ref="K18:K20" si="19">TRUE()</f>
        <v>1</v>
      </c>
      <c r="L18" s="6" t="b">
        <f t="shared" ref="L18:M18" si="18">FALSE()</f>
        <v>0</v>
      </c>
      <c r="M18" s="6" t="b">
        <f t="shared" si="18"/>
        <v>0</v>
      </c>
      <c r="N18" s="4">
        <v>1.6094379124341</v>
      </c>
      <c r="T18" s="4">
        <f t="shared" si="3"/>
        <v>258</v>
      </c>
      <c r="U18" s="4" t="str">
        <f t="shared" si="4"/>
        <v/>
      </c>
    </row>
    <row r="19">
      <c r="A19" s="4" t="s">
        <v>59</v>
      </c>
      <c r="B19" s="4" t="s">
        <v>13</v>
      </c>
      <c r="C19" s="4">
        <v>9.0</v>
      </c>
      <c r="D19" s="4">
        <v>3.0</v>
      </c>
      <c r="E19" s="4">
        <v>3.0</v>
      </c>
      <c r="K19" s="6" t="b">
        <f t="shared" si="19"/>
        <v>1</v>
      </c>
      <c r="L19" s="6" t="b">
        <f t="shared" ref="L19:M19" si="20">FALSE()</f>
        <v>0</v>
      </c>
      <c r="M19" s="6" t="b">
        <f t="shared" si="20"/>
        <v>0</v>
      </c>
      <c r="N19" s="4">
        <v>2.30258509299405</v>
      </c>
      <c r="T19" s="4">
        <f t="shared" si="3"/>
        <v>79</v>
      </c>
      <c r="U19" s="4" t="str">
        <f t="shared" si="4"/>
        <v/>
      </c>
    </row>
    <row r="20">
      <c r="A20" s="4" t="s">
        <v>60</v>
      </c>
      <c r="B20" s="4" t="s">
        <v>13</v>
      </c>
      <c r="C20" s="4">
        <v>10.0</v>
      </c>
      <c r="K20" s="6" t="b">
        <f t="shared" si="19"/>
        <v>1</v>
      </c>
      <c r="L20" s="6" t="b">
        <f t="shared" ref="L20:M20" si="21">FALSE()</f>
        <v>0</v>
      </c>
      <c r="M20" s="6" t="b">
        <f t="shared" si="21"/>
        <v>0</v>
      </c>
      <c r="N20" s="4">
        <v>2.39789527279837</v>
      </c>
      <c r="T20" s="4">
        <f t="shared" si="3"/>
        <v>56</v>
      </c>
      <c r="U20" s="4" t="str">
        <f t="shared" si="4"/>
        <v/>
      </c>
    </row>
    <row r="21" ht="15.75" customHeight="1">
      <c r="A21" s="4" t="s">
        <v>62</v>
      </c>
      <c r="B21" s="4" t="s">
        <v>13</v>
      </c>
      <c r="D21" s="4">
        <v>0.64</v>
      </c>
      <c r="E21" s="4">
        <v>0.21</v>
      </c>
      <c r="F21" s="4">
        <v>6.88</v>
      </c>
      <c r="G21" s="4">
        <v>0.64</v>
      </c>
      <c r="H21" s="4">
        <v>0.21</v>
      </c>
      <c r="K21" s="6" t="b">
        <f t="shared" ref="K21:K22" si="22">FALSE()</f>
        <v>0</v>
      </c>
      <c r="L21" s="6" t="b">
        <f>TRUE()</f>
        <v>1</v>
      </c>
      <c r="M21" s="6" t="b">
        <f>FALSE()</f>
        <v>0</v>
      </c>
      <c r="O21" s="4">
        <v>2.06432790386979</v>
      </c>
      <c r="T21" s="4" t="str">
        <f t="shared" si="3"/>
        <v/>
      </c>
      <c r="U21" s="4" t="str">
        <f t="shared" si="4"/>
        <v/>
      </c>
    </row>
    <row r="22" ht="15.75" customHeight="1">
      <c r="A22" s="4" t="s">
        <v>63</v>
      </c>
      <c r="B22" s="4" t="s">
        <v>13</v>
      </c>
      <c r="D22" s="4">
        <v>0.18</v>
      </c>
      <c r="E22" s="4">
        <v>0.31</v>
      </c>
      <c r="F22" s="4">
        <v>3.4</v>
      </c>
      <c r="G22" s="4">
        <v>0.18</v>
      </c>
      <c r="H22" s="4">
        <v>0.31</v>
      </c>
      <c r="K22" s="6" t="b">
        <f t="shared" si="22"/>
        <v>0</v>
      </c>
      <c r="L22" s="6" t="b">
        <f t="shared" ref="L22:M22" si="23">FALSE()</f>
        <v>0</v>
      </c>
      <c r="M22" s="6" t="b">
        <f t="shared" si="23"/>
        <v>0</v>
      </c>
      <c r="O22" s="4">
        <v>1.48160454092422</v>
      </c>
      <c r="T22" s="4" t="str">
        <f t="shared" si="3"/>
        <v/>
      </c>
      <c r="U22" s="4" t="str">
        <f t="shared" si="4"/>
        <v/>
      </c>
    </row>
    <row r="23" ht="15.75" customHeight="1">
      <c r="A23" s="4" t="s">
        <v>64</v>
      </c>
      <c r="B23" s="4" t="s">
        <v>13</v>
      </c>
      <c r="C23" s="4">
        <v>12.5</v>
      </c>
      <c r="D23" s="4">
        <v>1.5</v>
      </c>
      <c r="E23" s="4">
        <v>1.5</v>
      </c>
      <c r="K23" s="6" t="b">
        <f>TRUE()</f>
        <v>1</v>
      </c>
      <c r="L23" s="6" t="b">
        <f t="shared" ref="L23:M23" si="24">FALSE()</f>
        <v>0</v>
      </c>
      <c r="M23" s="6" t="b">
        <f t="shared" si="24"/>
        <v>0</v>
      </c>
      <c r="N23" s="4">
        <v>2.60268968544438</v>
      </c>
      <c r="T23" s="4">
        <f t="shared" si="3"/>
        <v>9</v>
      </c>
      <c r="U23" s="4" t="str">
        <f t="shared" si="4"/>
        <v/>
      </c>
    </row>
    <row r="24" ht="15.75" customHeight="1">
      <c r="A24" s="4" t="s">
        <v>66</v>
      </c>
      <c r="B24" s="4" t="s">
        <v>13</v>
      </c>
      <c r="D24" s="4">
        <v>0.5</v>
      </c>
      <c r="E24" s="4">
        <v>0.5</v>
      </c>
      <c r="F24" s="4">
        <v>4.51</v>
      </c>
      <c r="G24" s="4">
        <v>0.5</v>
      </c>
      <c r="H24" s="4">
        <v>0.5</v>
      </c>
      <c r="K24" s="6" t="b">
        <f t="shared" ref="K24:M24" si="25">FALSE()</f>
        <v>0</v>
      </c>
      <c r="L24" s="6" t="b">
        <f t="shared" si="25"/>
        <v>0</v>
      </c>
      <c r="M24" s="6" t="b">
        <f t="shared" si="25"/>
        <v>0</v>
      </c>
      <c r="O24" s="4">
        <v>1.70656462316482</v>
      </c>
      <c r="T24" s="4" t="str">
        <f t="shared" si="3"/>
        <v/>
      </c>
      <c r="U24" s="4" t="str">
        <f t="shared" si="4"/>
        <v/>
      </c>
    </row>
    <row r="25" ht="15.75" customHeight="1">
      <c r="A25" s="4" t="s">
        <v>69</v>
      </c>
      <c r="B25" s="4" t="s">
        <v>13</v>
      </c>
      <c r="D25" s="4">
        <v>1.0</v>
      </c>
      <c r="E25" s="4">
        <v>1.0</v>
      </c>
      <c r="F25" s="4">
        <v>6.3</v>
      </c>
      <c r="G25" s="4">
        <v>1.0</v>
      </c>
      <c r="H25" s="4">
        <v>1.0</v>
      </c>
      <c r="K25" s="6" t="b">
        <f t="shared" ref="K25:K29" si="26">FALSE()</f>
        <v>0</v>
      </c>
      <c r="L25" s="6" t="b">
        <f t="shared" ref="L25:L26" si="27">TRUE()</f>
        <v>1</v>
      </c>
      <c r="M25" s="6" t="b">
        <f t="shared" ref="M25:M26" si="28">FALSE()</f>
        <v>0</v>
      </c>
      <c r="O25" s="4">
        <v>1.98787434815435</v>
      </c>
      <c r="T25" s="4" t="str">
        <f t="shared" si="3"/>
        <v/>
      </c>
      <c r="U25" s="4" t="str">
        <f t="shared" si="4"/>
        <v/>
      </c>
    </row>
    <row r="26" ht="15.75" customHeight="1">
      <c r="A26" s="4" t="s">
        <v>73</v>
      </c>
      <c r="B26" s="4" t="s">
        <v>13</v>
      </c>
      <c r="D26" s="4">
        <v>0.85</v>
      </c>
      <c r="E26" s="4">
        <v>0.2</v>
      </c>
      <c r="F26" s="4">
        <v>12.11</v>
      </c>
      <c r="G26" s="4">
        <v>0.85</v>
      </c>
      <c r="H26" s="4">
        <v>0.2</v>
      </c>
      <c r="K26" s="6" t="b">
        <f t="shared" si="26"/>
        <v>0</v>
      </c>
      <c r="L26" s="6" t="b">
        <f t="shared" si="27"/>
        <v>1</v>
      </c>
      <c r="M26" s="6" t="b">
        <f t="shared" si="28"/>
        <v>0</v>
      </c>
      <c r="O26" s="4">
        <v>2.57337529777561</v>
      </c>
      <c r="T26" s="4" t="str">
        <f t="shared" si="3"/>
        <v/>
      </c>
      <c r="U26" s="4" t="str">
        <f t="shared" si="4"/>
        <v/>
      </c>
    </row>
    <row r="27" ht="15.75" customHeight="1">
      <c r="A27" s="4" t="s">
        <v>74</v>
      </c>
      <c r="B27" s="4" t="s">
        <v>13</v>
      </c>
      <c r="D27" s="4">
        <v>0.06</v>
      </c>
      <c r="E27" s="4">
        <v>0.07</v>
      </c>
      <c r="F27" s="4">
        <v>2.53</v>
      </c>
      <c r="G27" s="4">
        <v>0.06</v>
      </c>
      <c r="H27" s="4">
        <v>0.07</v>
      </c>
      <c r="K27" s="6" t="b">
        <f t="shared" si="26"/>
        <v>0</v>
      </c>
      <c r="L27" s="6" t="b">
        <f t="shared" ref="L27:M27" si="29">FALSE()</f>
        <v>0</v>
      </c>
      <c r="M27" s="6" t="b">
        <f t="shared" si="29"/>
        <v>0</v>
      </c>
      <c r="O27" s="4">
        <v>1.26129787094521</v>
      </c>
      <c r="T27" s="4" t="str">
        <f t="shared" si="3"/>
        <v/>
      </c>
      <c r="U27" s="4" t="str">
        <f t="shared" si="4"/>
        <v/>
      </c>
    </row>
    <row r="28" ht="15.75" customHeight="1">
      <c r="A28" s="4" t="s">
        <v>75</v>
      </c>
      <c r="B28" s="4" t="s">
        <v>13</v>
      </c>
      <c r="D28" s="4">
        <v>0.073</v>
      </c>
      <c r="E28" s="4">
        <v>0.066</v>
      </c>
      <c r="F28" s="4">
        <v>0.54</v>
      </c>
      <c r="G28" s="4">
        <v>0.073</v>
      </c>
      <c r="H28" s="4">
        <v>0.066</v>
      </c>
      <c r="K28" s="6" t="b">
        <f t="shared" si="26"/>
        <v>0</v>
      </c>
      <c r="L28" s="6" t="b">
        <f t="shared" ref="L28:M28" si="30">FALSE()</f>
        <v>0</v>
      </c>
      <c r="M28" s="6" t="b">
        <f t="shared" si="30"/>
        <v>0</v>
      </c>
      <c r="O28" s="4">
        <v>0.431782416425538</v>
      </c>
      <c r="T28" s="4" t="str">
        <f t="shared" si="3"/>
        <v/>
      </c>
      <c r="U28" s="4" t="str">
        <f t="shared" si="4"/>
        <v/>
      </c>
    </row>
    <row r="29" ht="15.75" customHeight="1">
      <c r="A29" s="4" t="s">
        <v>77</v>
      </c>
      <c r="B29" s="4" t="s">
        <v>13</v>
      </c>
      <c r="D29" s="4">
        <v>0.48</v>
      </c>
      <c r="E29" s="4">
        <v>0.29</v>
      </c>
      <c r="F29" s="4">
        <v>1.64</v>
      </c>
      <c r="G29" s="4">
        <v>0.48</v>
      </c>
      <c r="H29" s="4">
        <v>0.29</v>
      </c>
      <c r="K29" s="6" t="b">
        <f t="shared" si="26"/>
        <v>0</v>
      </c>
      <c r="L29" s="6" t="b">
        <f t="shared" ref="L29:M29" si="31">FALSE()</f>
        <v>0</v>
      </c>
      <c r="M29" s="6" t="b">
        <f t="shared" si="31"/>
        <v>0</v>
      </c>
      <c r="O29" s="4">
        <v>0.970778917158225</v>
      </c>
      <c r="T29" s="4" t="str">
        <f t="shared" si="3"/>
        <v/>
      </c>
      <c r="U29" s="4" t="str">
        <f t="shared" si="4"/>
        <v/>
      </c>
    </row>
    <row r="30" ht="15.75" customHeight="1">
      <c r="A30" s="4" t="s">
        <v>78</v>
      </c>
      <c r="B30" s="4" t="s">
        <v>13</v>
      </c>
      <c r="C30" s="4">
        <v>4.1</v>
      </c>
      <c r="D30" s="4">
        <v>0.5</v>
      </c>
      <c r="E30" s="4">
        <v>0.5</v>
      </c>
      <c r="I30" s="4">
        <v>1.11</v>
      </c>
      <c r="J30" s="4">
        <v>0.13</v>
      </c>
      <c r="K30" s="6" t="b">
        <f>TRUE()</f>
        <v>1</v>
      </c>
      <c r="L30" s="6" t="b">
        <f>FALSE()</f>
        <v>0</v>
      </c>
      <c r="M30" s="6" t="b">
        <f t="shared" ref="M30:M31" si="33">TRUE()</f>
        <v>1</v>
      </c>
      <c r="N30" s="4">
        <v>1.62924053973028</v>
      </c>
      <c r="P30" s="4">
        <v>0.746687947487975</v>
      </c>
      <c r="T30" s="4">
        <f t="shared" si="3"/>
        <v>251</v>
      </c>
      <c r="U30" s="4">
        <f t="shared" si="4"/>
        <v>501</v>
      </c>
    </row>
    <row r="31" ht="15.75" customHeight="1">
      <c r="A31" s="4" t="s">
        <v>80</v>
      </c>
      <c r="B31" s="4" t="s">
        <v>13</v>
      </c>
      <c r="C31" s="4">
        <v>0.47</v>
      </c>
      <c r="D31" s="4">
        <v>0.07</v>
      </c>
      <c r="E31" s="4">
        <v>0.03</v>
      </c>
      <c r="F31" s="4">
        <v>0.46</v>
      </c>
      <c r="G31" s="4">
        <v>0.06</v>
      </c>
      <c r="H31" s="4">
        <v>0.01</v>
      </c>
      <c r="I31" s="4">
        <v>1.9</v>
      </c>
      <c r="J31" s="4">
        <v>0.3</v>
      </c>
      <c r="K31" s="6" t="b">
        <f t="shared" ref="K31:L31" si="32">FALSE()</f>
        <v>0</v>
      </c>
      <c r="L31" s="6" t="b">
        <f t="shared" si="32"/>
        <v>0</v>
      </c>
      <c r="M31" s="6" t="b">
        <f t="shared" si="33"/>
        <v>1</v>
      </c>
      <c r="N31" s="4">
        <v>0.385262400790645</v>
      </c>
      <c r="O31" s="4">
        <v>0.378436435720245</v>
      </c>
      <c r="P31" s="4">
        <v>1.06471073699243</v>
      </c>
      <c r="Q31" s="4">
        <v>-0.339362167420457</v>
      </c>
      <c r="R31" s="4">
        <v>-0.360624957516494</v>
      </c>
      <c r="S31" s="4">
        <v>2.01083017350271</v>
      </c>
      <c r="T31" s="4">
        <f t="shared" si="3"/>
        <v>968</v>
      </c>
      <c r="U31" s="4">
        <f t="shared" si="4"/>
        <v>18</v>
      </c>
    </row>
    <row r="32" ht="15.75" customHeight="1">
      <c r="A32" s="4" t="s">
        <v>81</v>
      </c>
      <c r="B32" s="4" t="s">
        <v>13</v>
      </c>
      <c r="C32" s="4">
        <v>0.23</v>
      </c>
      <c r="D32" s="4">
        <v>0.013</v>
      </c>
      <c r="E32" s="4">
        <v>0.297</v>
      </c>
      <c r="F32" s="4">
        <v>0.228</v>
      </c>
      <c r="G32" s="4">
        <v>0.011</v>
      </c>
      <c r="H32" s="4">
        <v>0.011</v>
      </c>
      <c r="K32" s="6" t="b">
        <f t="shared" ref="K32:M32" si="34">FALSE()</f>
        <v>0</v>
      </c>
      <c r="L32" s="6" t="b">
        <f t="shared" si="34"/>
        <v>0</v>
      </c>
      <c r="M32" s="6" t="b">
        <f t="shared" si="34"/>
        <v>0</v>
      </c>
      <c r="N32" s="4">
        <v>0.207014169384326</v>
      </c>
      <c r="O32" s="4">
        <v>0.205386829724951</v>
      </c>
      <c r="T32" s="4">
        <f t="shared" si="3"/>
        <v>1126</v>
      </c>
      <c r="U32" s="4" t="str">
        <f t="shared" si="4"/>
        <v/>
      </c>
    </row>
    <row r="33" ht="15.75" customHeight="1">
      <c r="A33" s="4" t="s">
        <v>82</v>
      </c>
      <c r="B33" s="4" t="s">
        <v>13</v>
      </c>
      <c r="C33" s="4">
        <v>0.84</v>
      </c>
      <c r="D33" s="4">
        <v>0.031</v>
      </c>
      <c r="E33" s="4">
        <v>0.23</v>
      </c>
      <c r="F33" s="4">
        <v>0.84</v>
      </c>
      <c r="G33" s="4">
        <v>0.031</v>
      </c>
      <c r="H33" s="4">
        <v>0.131</v>
      </c>
      <c r="K33" s="6" t="b">
        <f t="shared" ref="K33:M33" si="35">FALSE()</f>
        <v>0</v>
      </c>
      <c r="L33" s="6" t="b">
        <f t="shared" si="35"/>
        <v>0</v>
      </c>
      <c r="M33" s="6" t="b">
        <f t="shared" si="35"/>
        <v>0</v>
      </c>
      <c r="N33" s="4">
        <v>0.609765571620894</v>
      </c>
      <c r="O33" s="4">
        <v>0.609765571620894</v>
      </c>
      <c r="T33" s="4">
        <f t="shared" si="3"/>
        <v>743</v>
      </c>
      <c r="U33" s="4" t="str">
        <f t="shared" si="4"/>
        <v/>
      </c>
    </row>
    <row r="34" ht="15.75" customHeight="1">
      <c r="A34" s="4" t="s">
        <v>83</v>
      </c>
      <c r="B34" s="4" t="s">
        <v>13</v>
      </c>
      <c r="D34" s="4">
        <v>0.0078</v>
      </c>
      <c r="E34" s="4">
        <v>0.0275</v>
      </c>
      <c r="F34" s="4">
        <v>0.1784</v>
      </c>
      <c r="G34" s="4">
        <v>0.0078</v>
      </c>
      <c r="H34" s="4">
        <v>0.0275</v>
      </c>
      <c r="K34" s="6" t="b">
        <f t="shared" ref="K34:M34" si="36">FALSE()</f>
        <v>0</v>
      </c>
      <c r="L34" s="6" t="b">
        <f t="shared" si="36"/>
        <v>0</v>
      </c>
      <c r="M34" s="6" t="b">
        <f t="shared" si="36"/>
        <v>0</v>
      </c>
      <c r="O34" s="4">
        <v>0.164157586166283</v>
      </c>
      <c r="T34" s="4" t="str">
        <f t="shared" si="3"/>
        <v/>
      </c>
      <c r="U34" s="4" t="str">
        <f t="shared" si="4"/>
        <v/>
      </c>
    </row>
    <row r="35" ht="15.75" customHeight="1">
      <c r="A35" s="4" t="s">
        <v>84</v>
      </c>
      <c r="B35" s="4" t="s">
        <v>13</v>
      </c>
      <c r="D35" s="4">
        <v>0.08</v>
      </c>
      <c r="E35" s="4">
        <v>0.08</v>
      </c>
      <c r="F35" s="4">
        <v>3.84</v>
      </c>
      <c r="G35" s="4">
        <v>0.08</v>
      </c>
      <c r="H35" s="4">
        <v>0.08</v>
      </c>
      <c r="K35" s="6" t="b">
        <f t="shared" ref="K35:M35" si="37">FALSE()</f>
        <v>0</v>
      </c>
      <c r="L35" s="6" t="b">
        <f t="shared" si="37"/>
        <v>0</v>
      </c>
      <c r="M35" s="6" t="b">
        <f t="shared" si="37"/>
        <v>0</v>
      </c>
      <c r="O35" s="4">
        <v>1.57691472072854</v>
      </c>
      <c r="T35" s="4" t="str">
        <f t="shared" si="3"/>
        <v/>
      </c>
      <c r="U35" s="4" t="str">
        <f t="shared" si="4"/>
        <v/>
      </c>
    </row>
    <row r="36" ht="15.75" customHeight="1">
      <c r="A36" s="4" t="s">
        <v>85</v>
      </c>
      <c r="B36" s="4" t="s">
        <v>13</v>
      </c>
      <c r="C36" s="4">
        <v>0.02703</v>
      </c>
      <c r="D36" s="4">
        <v>0.00135</v>
      </c>
      <c r="E36" s="4">
        <v>0.00135</v>
      </c>
      <c r="I36" s="4">
        <v>0.1737</v>
      </c>
      <c r="J36" s="4">
        <v>0.00339</v>
      </c>
      <c r="K36" s="6" t="b">
        <f t="shared" ref="K36:M36" si="38">FALSE()</f>
        <v>0</v>
      </c>
      <c r="L36" s="6" t="b">
        <f t="shared" si="38"/>
        <v>0</v>
      </c>
      <c r="M36" s="6" t="b">
        <f t="shared" si="38"/>
        <v>0</v>
      </c>
      <c r="N36" s="4">
        <v>0.0266711418148136</v>
      </c>
      <c r="P36" s="4">
        <v>0.160161152123941</v>
      </c>
      <c r="T36" s="4">
        <f t="shared" si="3"/>
        <v>1603</v>
      </c>
      <c r="U36" s="4">
        <f t="shared" si="4"/>
        <v>2999</v>
      </c>
    </row>
    <row r="37" ht="15.75" customHeight="1">
      <c r="A37" s="4" t="s">
        <v>86</v>
      </c>
      <c r="B37" s="4" t="s">
        <v>13</v>
      </c>
      <c r="D37" s="4">
        <v>0.0093</v>
      </c>
      <c r="E37" s="4">
        <v>0.0219</v>
      </c>
      <c r="F37" s="4">
        <v>0.1479</v>
      </c>
      <c r="G37" s="4">
        <v>0.0093</v>
      </c>
      <c r="H37" s="4">
        <v>0.0219</v>
      </c>
      <c r="K37" s="6" t="b">
        <f t="shared" ref="K37:M37" si="39">FALSE()</f>
        <v>0</v>
      </c>
      <c r="L37" s="6" t="b">
        <f t="shared" si="39"/>
        <v>0</v>
      </c>
      <c r="M37" s="6" t="b">
        <f t="shared" si="39"/>
        <v>0</v>
      </c>
      <c r="O37" s="4">
        <v>0.137934186089314</v>
      </c>
      <c r="T37" s="4" t="str">
        <f t="shared" si="3"/>
        <v/>
      </c>
      <c r="U37" s="4" t="str">
        <f t="shared" si="4"/>
        <v/>
      </c>
    </row>
    <row r="38" ht="15.75" customHeight="1">
      <c r="A38" s="4" t="s">
        <v>87</v>
      </c>
      <c r="B38" s="4" t="s">
        <v>13</v>
      </c>
      <c r="D38" s="4">
        <v>0.0016</v>
      </c>
      <c r="E38" s="4">
        <v>0.0016</v>
      </c>
      <c r="F38" s="4">
        <v>0.016</v>
      </c>
      <c r="G38" s="4">
        <v>0.0016</v>
      </c>
      <c r="H38" s="4">
        <v>0.0016</v>
      </c>
      <c r="K38" s="6" t="b">
        <f t="shared" ref="K38:M38" si="40">FALSE()</f>
        <v>0</v>
      </c>
      <c r="L38" s="6" t="b">
        <f t="shared" si="40"/>
        <v>0</v>
      </c>
      <c r="M38" s="6" t="b">
        <f t="shared" si="40"/>
        <v>0</v>
      </c>
      <c r="O38" s="4">
        <v>0.0158733491562901</v>
      </c>
      <c r="T38" s="4" t="str">
        <f t="shared" si="3"/>
        <v/>
      </c>
      <c r="U38" s="4" t="str">
        <f t="shared" si="4"/>
        <v/>
      </c>
    </row>
    <row r="39" ht="15.75" customHeight="1">
      <c r="A39" s="4" t="s">
        <v>88</v>
      </c>
      <c r="B39" s="4" t="s">
        <v>13</v>
      </c>
      <c r="D39" s="4">
        <v>0.0035</v>
      </c>
      <c r="E39" s="4">
        <v>0.0035</v>
      </c>
      <c r="F39" s="4">
        <v>0.0573</v>
      </c>
      <c r="G39" s="4">
        <v>0.0035</v>
      </c>
      <c r="H39" s="4">
        <v>0.0035</v>
      </c>
      <c r="K39" s="6" t="b">
        <f t="shared" ref="K39:M39" si="41">FALSE()</f>
        <v>0</v>
      </c>
      <c r="L39" s="6" t="b">
        <f t="shared" si="41"/>
        <v>0</v>
      </c>
      <c r="M39" s="6" t="b">
        <f t="shared" si="41"/>
        <v>0</v>
      </c>
      <c r="O39" s="4">
        <v>0.0557184887563437</v>
      </c>
      <c r="T39" s="4" t="str">
        <f t="shared" si="3"/>
        <v/>
      </c>
      <c r="U39" s="4" t="str">
        <f t="shared" si="4"/>
        <v/>
      </c>
    </row>
    <row r="40" ht="15.75" customHeight="1">
      <c r="A40" s="4" t="s">
        <v>89</v>
      </c>
      <c r="B40" s="4" t="s">
        <v>13</v>
      </c>
      <c r="D40" s="4">
        <v>0.008</v>
      </c>
      <c r="E40" s="4">
        <v>0.008</v>
      </c>
      <c r="F40" s="4">
        <v>0.072</v>
      </c>
      <c r="G40" s="4">
        <v>0.008</v>
      </c>
      <c r="H40" s="4">
        <v>0.008</v>
      </c>
      <c r="K40" s="6" t="b">
        <f t="shared" ref="K40:M40" si="42">FALSE()</f>
        <v>0</v>
      </c>
      <c r="L40" s="6" t="b">
        <f t="shared" si="42"/>
        <v>0</v>
      </c>
      <c r="M40" s="6" t="b">
        <f t="shared" si="42"/>
        <v>0</v>
      </c>
      <c r="O40" s="4">
        <v>0.0695260626486102</v>
      </c>
      <c r="T40" s="4" t="str">
        <f t="shared" si="3"/>
        <v/>
      </c>
      <c r="U40" s="4" t="str">
        <f t="shared" si="4"/>
        <v/>
      </c>
    </row>
    <row r="41" ht="15.75" customHeight="1">
      <c r="A41" s="4" t="s">
        <v>90</v>
      </c>
      <c r="B41" s="4" t="s">
        <v>13</v>
      </c>
      <c r="D41" s="4">
        <v>0.077</v>
      </c>
      <c r="E41" s="4">
        <v>0.077</v>
      </c>
      <c r="F41" s="4">
        <v>2.01</v>
      </c>
      <c r="G41" s="4">
        <v>0.077</v>
      </c>
      <c r="H41" s="4">
        <v>0.077</v>
      </c>
      <c r="K41" s="6" t="b">
        <f t="shared" ref="K41:M41" si="43">FALSE()</f>
        <v>0</v>
      </c>
      <c r="L41" s="6" t="b">
        <f t="shared" si="43"/>
        <v>0</v>
      </c>
      <c r="M41" s="6" t="b">
        <f t="shared" si="43"/>
        <v>0</v>
      </c>
      <c r="O41" s="4">
        <v>1.10194007876078</v>
      </c>
      <c r="T41" s="4" t="str">
        <f t="shared" si="3"/>
        <v/>
      </c>
      <c r="U41" s="4" t="str">
        <f t="shared" si="4"/>
        <v/>
      </c>
    </row>
    <row r="42" ht="15.75" customHeight="1">
      <c r="A42" s="4" t="s">
        <v>91</v>
      </c>
      <c r="B42" s="4" t="s">
        <v>13</v>
      </c>
      <c r="F42" s="4">
        <v>6.6</v>
      </c>
      <c r="K42" s="6" t="b">
        <f t="shared" ref="K42:K52" si="44">FALSE()</f>
        <v>0</v>
      </c>
      <c r="L42" s="6" t="b">
        <f>TRUE()</f>
        <v>1</v>
      </c>
      <c r="M42" s="6" t="b">
        <f>FALSE()</f>
        <v>0</v>
      </c>
      <c r="O42" s="4">
        <v>2.02814824729229</v>
      </c>
      <c r="T42" s="4" t="str">
        <f t="shared" si="3"/>
        <v/>
      </c>
      <c r="U42" s="4" t="str">
        <f t="shared" si="4"/>
        <v/>
      </c>
    </row>
    <row r="43" ht="15.75" customHeight="1">
      <c r="A43" s="4" t="s">
        <v>92</v>
      </c>
      <c r="B43" s="4" t="s">
        <v>13</v>
      </c>
      <c r="D43" s="4">
        <v>0.09</v>
      </c>
      <c r="E43" s="4">
        <v>0.07</v>
      </c>
      <c r="F43" s="4">
        <v>2.48</v>
      </c>
      <c r="G43" s="4">
        <v>0.09</v>
      </c>
      <c r="H43" s="4">
        <v>0.07</v>
      </c>
      <c r="K43" s="6" t="b">
        <f t="shared" si="44"/>
        <v>0</v>
      </c>
      <c r="L43" s="6" t="b">
        <f t="shared" ref="L43:M43" si="45">FALSE()</f>
        <v>0</v>
      </c>
      <c r="M43" s="6" t="b">
        <f t="shared" si="45"/>
        <v>0</v>
      </c>
      <c r="O43" s="4">
        <v>1.24703229378638</v>
      </c>
      <c r="T43" s="4" t="str">
        <f t="shared" si="3"/>
        <v/>
      </c>
      <c r="U43" s="4" t="str">
        <f t="shared" si="4"/>
        <v/>
      </c>
    </row>
    <row r="44" ht="15.75" customHeight="1">
      <c r="A44" s="4" t="s">
        <v>93</v>
      </c>
      <c r="B44" s="4" t="s">
        <v>13</v>
      </c>
      <c r="D44" s="4">
        <v>0.09</v>
      </c>
      <c r="E44" s="4">
        <v>0.09</v>
      </c>
      <c r="F44" s="4">
        <v>0.91</v>
      </c>
      <c r="G44" s="4">
        <v>0.09</v>
      </c>
      <c r="H44" s="4">
        <v>0.09</v>
      </c>
      <c r="K44" s="6" t="b">
        <f t="shared" si="44"/>
        <v>0</v>
      </c>
      <c r="L44" s="6" t="b">
        <f t="shared" ref="L44:M44" si="46">FALSE()</f>
        <v>0</v>
      </c>
      <c r="M44" s="6" t="b">
        <f t="shared" si="46"/>
        <v>0</v>
      </c>
      <c r="O44" s="4">
        <v>0.647103242058539</v>
      </c>
      <c r="T44" s="4" t="str">
        <f t="shared" si="3"/>
        <v/>
      </c>
      <c r="U44" s="4" t="str">
        <f t="shared" si="4"/>
        <v/>
      </c>
    </row>
    <row r="45" ht="15.75" customHeight="1">
      <c r="A45" s="4" t="s">
        <v>94</v>
      </c>
      <c r="B45" s="4" t="s">
        <v>13</v>
      </c>
      <c r="D45" s="4">
        <v>0.03</v>
      </c>
      <c r="E45" s="4">
        <v>0.03</v>
      </c>
      <c r="F45" s="4">
        <v>0.215</v>
      </c>
      <c r="G45" s="4">
        <v>0.03</v>
      </c>
      <c r="H45" s="4">
        <v>0.03</v>
      </c>
      <c r="K45" s="6" t="b">
        <f t="shared" si="44"/>
        <v>0</v>
      </c>
      <c r="L45" s="6" t="b">
        <f t="shared" ref="L45:M45" si="47">FALSE()</f>
        <v>0</v>
      </c>
      <c r="M45" s="6" t="b">
        <f t="shared" si="47"/>
        <v>0</v>
      </c>
      <c r="O45" s="4">
        <v>0.194744076792512</v>
      </c>
      <c r="T45" s="4" t="str">
        <f t="shared" si="3"/>
        <v/>
      </c>
      <c r="U45" s="4" t="str">
        <f t="shared" si="4"/>
        <v/>
      </c>
    </row>
    <row r="46" ht="15.75" customHeight="1">
      <c r="A46" s="4" t="s">
        <v>95</v>
      </c>
      <c r="B46" s="4" t="s">
        <v>13</v>
      </c>
      <c r="F46" s="4">
        <v>5.3</v>
      </c>
      <c r="K46" s="6" t="b">
        <f t="shared" si="44"/>
        <v>0</v>
      </c>
      <c r="L46" s="6" t="b">
        <f t="shared" ref="L46:M46" si="48">FALSE()</f>
        <v>0</v>
      </c>
      <c r="M46" s="6" t="b">
        <f t="shared" si="48"/>
        <v>0</v>
      </c>
      <c r="O46" s="4">
        <v>1.84054963339749</v>
      </c>
      <c r="T46" s="4" t="str">
        <f t="shared" si="3"/>
        <v/>
      </c>
      <c r="U46" s="4" t="str">
        <f t="shared" si="4"/>
        <v/>
      </c>
    </row>
    <row r="47" ht="15.75" customHeight="1">
      <c r="A47" s="4" t="s">
        <v>96</v>
      </c>
      <c r="B47" s="4" t="s">
        <v>13</v>
      </c>
      <c r="D47" s="4">
        <v>5.3E-4</v>
      </c>
      <c r="E47" s="4">
        <v>5.3E-4</v>
      </c>
      <c r="F47" s="4">
        <v>0.00676</v>
      </c>
      <c r="G47" s="4">
        <v>5.3E-4</v>
      </c>
      <c r="H47" s="4">
        <v>5.3E-4</v>
      </c>
      <c r="K47" s="6" t="b">
        <f t="shared" si="44"/>
        <v>0</v>
      </c>
      <c r="L47" s="6" t="b">
        <f t="shared" ref="L47:M47" si="49">FALSE()</f>
        <v>0</v>
      </c>
      <c r="M47" s="6" t="b">
        <f t="shared" si="49"/>
        <v>0</v>
      </c>
      <c r="O47" s="4">
        <v>0.0067372536526652</v>
      </c>
      <c r="T47" s="4" t="str">
        <f t="shared" si="3"/>
        <v/>
      </c>
      <c r="U47" s="4" t="str">
        <f t="shared" si="4"/>
        <v/>
      </c>
    </row>
    <row r="48" ht="15.75" customHeight="1">
      <c r="A48" s="4" t="s">
        <v>97</v>
      </c>
      <c r="B48" s="4" t="s">
        <v>13</v>
      </c>
      <c r="D48" s="4">
        <v>0.0025</v>
      </c>
      <c r="E48" s="4">
        <v>0.0016</v>
      </c>
      <c r="F48" s="4">
        <v>0.00793</v>
      </c>
      <c r="G48" s="4">
        <v>0.0025</v>
      </c>
      <c r="H48" s="4">
        <v>0.0016</v>
      </c>
      <c r="K48" s="6" t="b">
        <f t="shared" si="44"/>
        <v>0</v>
      </c>
      <c r="L48" s="6" t="b">
        <f t="shared" ref="L48:M48" si="50">FALSE()</f>
        <v>0</v>
      </c>
      <c r="M48" s="6" t="b">
        <f t="shared" si="50"/>
        <v>0</v>
      </c>
      <c r="O48" s="4">
        <v>0.0078987227933553</v>
      </c>
      <c r="T48" s="4" t="str">
        <f t="shared" si="3"/>
        <v/>
      </c>
      <c r="U48" s="4" t="str">
        <f t="shared" si="4"/>
        <v/>
      </c>
    </row>
    <row r="49" ht="15.75" customHeight="1">
      <c r="A49" s="4" t="s">
        <v>98</v>
      </c>
      <c r="B49" s="4" t="s">
        <v>13</v>
      </c>
      <c r="D49" s="4">
        <v>0.00179</v>
      </c>
      <c r="E49" s="4">
        <v>0.00179</v>
      </c>
      <c r="F49" s="4">
        <v>0.01831</v>
      </c>
      <c r="G49" s="4">
        <v>0.00179</v>
      </c>
      <c r="H49" s="4">
        <v>0.00179</v>
      </c>
      <c r="K49" s="6" t="b">
        <f t="shared" si="44"/>
        <v>0</v>
      </c>
      <c r="L49" s="6" t="b">
        <f t="shared" ref="L49:M49" si="51">FALSE()</f>
        <v>0</v>
      </c>
      <c r="M49" s="6" t="b">
        <f t="shared" si="51"/>
        <v>0</v>
      </c>
      <c r="O49" s="4">
        <v>0.0181443904359804</v>
      </c>
      <c r="T49" s="4" t="str">
        <f t="shared" si="3"/>
        <v/>
      </c>
      <c r="U49" s="4" t="str">
        <f t="shared" si="4"/>
        <v/>
      </c>
    </row>
    <row r="50" ht="15.75" customHeight="1">
      <c r="A50" s="4" t="s">
        <v>99</v>
      </c>
      <c r="B50" s="4" t="s">
        <v>13</v>
      </c>
      <c r="D50" s="4">
        <v>0.00271</v>
      </c>
      <c r="E50" s="4">
        <v>0.00302</v>
      </c>
      <c r="F50" s="4">
        <v>0.01501</v>
      </c>
      <c r="G50" s="4">
        <v>0.00271</v>
      </c>
      <c r="H50" s="4">
        <v>0.00302</v>
      </c>
      <c r="K50" s="6" t="b">
        <f t="shared" si="44"/>
        <v>0</v>
      </c>
      <c r="L50" s="6" t="b">
        <f t="shared" ref="L50:M50" si="52">FALSE()</f>
        <v>0</v>
      </c>
      <c r="M50" s="6" t="b">
        <f t="shared" si="52"/>
        <v>0</v>
      </c>
      <c r="O50" s="4">
        <v>0.0148984646619666</v>
      </c>
      <c r="T50" s="4" t="str">
        <f t="shared" si="3"/>
        <v/>
      </c>
      <c r="U50" s="4" t="str">
        <f t="shared" si="4"/>
        <v/>
      </c>
    </row>
    <row r="51" ht="15.75" customHeight="1">
      <c r="A51" s="4" t="s">
        <v>105</v>
      </c>
      <c r="B51" s="4" t="s">
        <v>13</v>
      </c>
      <c r="D51" s="4">
        <v>0.06</v>
      </c>
      <c r="E51" s="4">
        <v>0.06</v>
      </c>
      <c r="F51" s="4">
        <v>1.65</v>
      </c>
      <c r="G51" s="4">
        <v>0.06</v>
      </c>
      <c r="H51" s="4">
        <v>0.06</v>
      </c>
      <c r="K51" s="6" t="b">
        <f t="shared" si="44"/>
        <v>0</v>
      </c>
      <c r="L51" s="6" t="b">
        <f t="shared" ref="L51:M51" si="53">FALSE()</f>
        <v>0</v>
      </c>
      <c r="M51" s="6" t="b">
        <f t="shared" si="53"/>
        <v>0</v>
      </c>
      <c r="O51" s="4">
        <v>0.974559639998131</v>
      </c>
      <c r="T51" s="4" t="str">
        <f t="shared" si="3"/>
        <v/>
      </c>
      <c r="U51" s="4" t="str">
        <f t="shared" si="4"/>
        <v/>
      </c>
    </row>
    <row r="52" ht="15.75" customHeight="1">
      <c r="A52" s="4" t="s">
        <v>106</v>
      </c>
      <c r="B52" s="4" t="s">
        <v>13</v>
      </c>
      <c r="D52" s="4">
        <v>0.12</v>
      </c>
      <c r="E52" s="4">
        <v>0.12</v>
      </c>
      <c r="F52" s="4">
        <v>1.37</v>
      </c>
      <c r="G52" s="4">
        <v>0.12</v>
      </c>
      <c r="H52" s="4">
        <v>0.12</v>
      </c>
      <c r="K52" s="6" t="b">
        <f t="shared" si="44"/>
        <v>0</v>
      </c>
      <c r="L52" s="6" t="b">
        <f t="shared" ref="L52:M52" si="54">FALSE()</f>
        <v>0</v>
      </c>
      <c r="M52" s="6" t="b">
        <f t="shared" si="54"/>
        <v>0</v>
      </c>
      <c r="O52" s="4">
        <v>0.86288995514704</v>
      </c>
      <c r="T52" s="4" t="str">
        <f t="shared" si="3"/>
        <v/>
      </c>
      <c r="U52" s="4" t="str">
        <f t="shared" si="4"/>
        <v/>
      </c>
    </row>
    <row r="53" ht="15.75" customHeight="1">
      <c r="A53" s="4" t="s">
        <v>108</v>
      </c>
      <c r="B53" s="4" t="s">
        <v>13</v>
      </c>
      <c r="C53" s="4">
        <v>9.0</v>
      </c>
      <c r="D53" s="4">
        <v>15.0</v>
      </c>
      <c r="E53" s="4">
        <v>17.0</v>
      </c>
      <c r="K53" s="6" t="b">
        <f t="shared" ref="K53:K55" si="56">TRUE()</f>
        <v>1</v>
      </c>
      <c r="L53" s="6" t="b">
        <f t="shared" ref="L53:M53" si="55">FALSE()</f>
        <v>0</v>
      </c>
      <c r="M53" s="6" t="b">
        <f t="shared" si="55"/>
        <v>0</v>
      </c>
      <c r="N53" s="4">
        <v>2.30258509299405</v>
      </c>
      <c r="T53" s="4">
        <f t="shared" si="3"/>
        <v>80</v>
      </c>
      <c r="U53" s="4" t="str">
        <f t="shared" si="4"/>
        <v/>
      </c>
    </row>
    <row r="54" ht="15.75" customHeight="1">
      <c r="A54" s="4" t="s">
        <v>109</v>
      </c>
      <c r="B54" s="4" t="s">
        <v>13</v>
      </c>
      <c r="C54" s="4">
        <v>5.75</v>
      </c>
      <c r="D54" s="4">
        <v>3.25</v>
      </c>
      <c r="E54" s="4">
        <v>3.25</v>
      </c>
      <c r="K54" s="6" t="b">
        <f t="shared" si="56"/>
        <v>1</v>
      </c>
      <c r="L54" s="6" t="b">
        <f t="shared" ref="L54:M54" si="57">FALSE()</f>
        <v>0</v>
      </c>
      <c r="M54" s="6" t="b">
        <f t="shared" si="57"/>
        <v>0</v>
      </c>
      <c r="N54" s="4">
        <v>1.90954250488444</v>
      </c>
      <c r="T54" s="4">
        <f t="shared" si="3"/>
        <v>184</v>
      </c>
      <c r="U54" s="4" t="str">
        <f t="shared" si="4"/>
        <v/>
      </c>
    </row>
    <row r="55" ht="15.75" customHeight="1">
      <c r="A55" s="4" t="s">
        <v>111</v>
      </c>
      <c r="B55" s="4" t="s">
        <v>13</v>
      </c>
      <c r="C55" s="4">
        <v>3.75</v>
      </c>
      <c r="D55" s="4">
        <v>0.5</v>
      </c>
      <c r="E55" s="4">
        <v>0.5</v>
      </c>
      <c r="I55" s="4">
        <v>1.3</v>
      </c>
      <c r="J55" s="4">
        <v>0.15</v>
      </c>
      <c r="K55" s="6" t="b">
        <f t="shared" si="56"/>
        <v>1</v>
      </c>
      <c r="L55" s="6" t="b">
        <f>FALSE()</f>
        <v>0</v>
      </c>
      <c r="M55" s="6" t="b">
        <f>TRUE()</f>
        <v>1</v>
      </c>
      <c r="N55" s="4">
        <v>1.55814461804655</v>
      </c>
      <c r="P55" s="4">
        <v>0.832909122935104</v>
      </c>
      <c r="T55" s="4">
        <f t="shared" si="3"/>
        <v>271</v>
      </c>
      <c r="U55" s="4">
        <f t="shared" si="4"/>
        <v>248</v>
      </c>
    </row>
    <row r="56" ht="15.75" customHeight="1">
      <c r="A56" s="4" t="s">
        <v>114</v>
      </c>
      <c r="B56" s="4" t="s">
        <v>13</v>
      </c>
      <c r="D56" s="4">
        <v>0.2</v>
      </c>
      <c r="E56" s="4">
        <v>0.2</v>
      </c>
      <c r="F56" s="4">
        <v>1.8</v>
      </c>
      <c r="G56" s="4">
        <v>0.2</v>
      </c>
      <c r="H56" s="4">
        <v>0.2</v>
      </c>
      <c r="K56" s="6" t="b">
        <f t="shared" ref="K56:M56" si="58">FALSE()</f>
        <v>0</v>
      </c>
      <c r="L56" s="6" t="b">
        <f t="shared" si="58"/>
        <v>0</v>
      </c>
      <c r="M56" s="6" t="b">
        <f t="shared" si="58"/>
        <v>0</v>
      </c>
      <c r="O56" s="4">
        <v>1.02961941718116</v>
      </c>
      <c r="T56" s="4" t="str">
        <f t="shared" si="3"/>
        <v/>
      </c>
      <c r="U56" s="4" t="str">
        <f t="shared" si="4"/>
        <v/>
      </c>
    </row>
    <row r="57" ht="15.75" customHeight="1">
      <c r="A57" s="4" t="s">
        <v>116</v>
      </c>
      <c r="B57" s="4" t="s">
        <v>13</v>
      </c>
      <c r="C57" s="4">
        <v>1.34</v>
      </c>
      <c r="D57" s="4">
        <v>0.5</v>
      </c>
      <c r="E57" s="4">
        <v>0.45</v>
      </c>
      <c r="K57" s="6" t="b">
        <f t="shared" ref="K57:M57" si="59">FALSE()</f>
        <v>0</v>
      </c>
      <c r="L57" s="6" t="b">
        <f t="shared" si="59"/>
        <v>0</v>
      </c>
      <c r="M57" s="6" t="b">
        <f t="shared" si="59"/>
        <v>0</v>
      </c>
      <c r="N57" s="4">
        <v>0.85015092936961</v>
      </c>
      <c r="T57" s="4">
        <f t="shared" si="3"/>
        <v>549</v>
      </c>
      <c r="U57" s="4" t="str">
        <f t="shared" si="4"/>
        <v/>
      </c>
    </row>
    <row r="58" ht="15.75" customHeight="1">
      <c r="A58" s="4" t="s">
        <v>117</v>
      </c>
      <c r="B58" s="4" t="s">
        <v>13</v>
      </c>
      <c r="C58" s="4">
        <v>0.028</v>
      </c>
      <c r="D58" s="4">
        <v>0.0084</v>
      </c>
      <c r="E58" s="4">
        <v>0.0082</v>
      </c>
      <c r="I58" s="4">
        <v>0.4273</v>
      </c>
      <c r="J58" s="4">
        <v>0.027</v>
      </c>
      <c r="K58" s="6" t="b">
        <f t="shared" ref="K58:M58" si="60">FALSE()</f>
        <v>0</v>
      </c>
      <c r="L58" s="6" t="b">
        <f t="shared" si="60"/>
        <v>0</v>
      </c>
      <c r="M58" s="6" t="b">
        <f t="shared" si="60"/>
        <v>0</v>
      </c>
      <c r="N58" s="4">
        <v>0.0276151670329733</v>
      </c>
      <c r="P58" s="4">
        <v>0.355784547653586</v>
      </c>
      <c r="T58" s="4">
        <f t="shared" si="3"/>
        <v>1583</v>
      </c>
      <c r="U58" s="4">
        <f t="shared" si="4"/>
        <v>1081</v>
      </c>
    </row>
    <row r="59" ht="15.75" customHeight="1">
      <c r="A59" s="4" t="s">
        <v>118</v>
      </c>
      <c r="B59" s="4" t="s">
        <v>13</v>
      </c>
      <c r="C59" s="4">
        <v>0.0456</v>
      </c>
      <c r="D59" s="4">
        <v>0.0107</v>
      </c>
      <c r="E59" s="4">
        <v>0.0107</v>
      </c>
      <c r="I59" s="4">
        <v>0.2248</v>
      </c>
      <c r="J59" s="4">
        <v>0.0223</v>
      </c>
      <c r="K59" s="6" t="b">
        <f t="shared" ref="K59:M59" si="61">FALSE()</f>
        <v>0</v>
      </c>
      <c r="L59" s="6" t="b">
        <f t="shared" si="61"/>
        <v>0</v>
      </c>
      <c r="M59" s="6" t="b">
        <f t="shared" si="61"/>
        <v>0</v>
      </c>
      <c r="N59" s="4">
        <v>0.0445908833278751</v>
      </c>
      <c r="P59" s="4">
        <v>0.202777565361337</v>
      </c>
      <c r="T59" s="4">
        <f t="shared" si="3"/>
        <v>1428</v>
      </c>
      <c r="U59" s="4">
        <f t="shared" si="4"/>
        <v>2189</v>
      </c>
    </row>
    <row r="60" ht="15.75" customHeight="1">
      <c r="A60" s="4" t="s">
        <v>121</v>
      </c>
      <c r="B60" s="4" t="s">
        <v>13</v>
      </c>
      <c r="C60" s="4">
        <v>0.003187</v>
      </c>
      <c r="D60" s="4">
        <v>4.59E-4</v>
      </c>
      <c r="E60" s="4">
        <v>4.59E-4</v>
      </c>
      <c r="K60" s="6" t="b">
        <f t="shared" ref="K60:M60" si="62">FALSE()</f>
        <v>0</v>
      </c>
      <c r="L60" s="6" t="b">
        <f t="shared" si="62"/>
        <v>0</v>
      </c>
      <c r="M60" s="6" t="b">
        <f t="shared" si="62"/>
        <v>0</v>
      </c>
      <c r="N60" s="4">
        <v>0.0031819322798613</v>
      </c>
      <c r="T60" s="4">
        <f t="shared" si="3"/>
        <v>2050</v>
      </c>
      <c r="U60" s="4" t="str">
        <f t="shared" si="4"/>
        <v/>
      </c>
    </row>
    <row r="61" ht="15.75" customHeight="1">
      <c r="A61" s="4" t="s">
        <v>123</v>
      </c>
      <c r="B61" s="4" t="s">
        <v>13</v>
      </c>
      <c r="D61" s="4">
        <v>8.2E-5</v>
      </c>
      <c r="E61" s="4">
        <v>8.2E-5</v>
      </c>
      <c r="F61" s="4">
        <v>9.41E-4</v>
      </c>
      <c r="G61" s="4">
        <v>8.2E-5</v>
      </c>
      <c r="H61" s="4">
        <v>8.2E-5</v>
      </c>
      <c r="K61" s="6" t="b">
        <f t="shared" ref="K61:M61" si="63">FALSE()</f>
        <v>0</v>
      </c>
      <c r="L61" s="6" t="b">
        <f t="shared" si="63"/>
        <v>0</v>
      </c>
      <c r="M61" s="6" t="b">
        <f t="shared" si="63"/>
        <v>0</v>
      </c>
      <c r="O61" s="4">
        <v>9.4055753705E-4</v>
      </c>
      <c r="T61" s="4" t="str">
        <f t="shared" si="3"/>
        <v/>
      </c>
      <c r="U61" s="4" t="str">
        <f t="shared" si="4"/>
        <v/>
      </c>
    </row>
    <row r="62" ht="15.75" customHeight="1">
      <c r="A62" s="4" t="s">
        <v>124</v>
      </c>
      <c r="B62" s="4" t="s">
        <v>13</v>
      </c>
      <c r="D62" s="4">
        <v>9.0E-5</v>
      </c>
      <c r="E62" s="4">
        <v>9.0E-5</v>
      </c>
      <c r="F62" s="4">
        <v>0.001054</v>
      </c>
      <c r="G62" s="4">
        <v>9.0E-5</v>
      </c>
      <c r="H62" s="4">
        <v>9.0E-5</v>
      </c>
      <c r="K62" s="6" t="b">
        <f t="shared" ref="K62:M62" si="64">FALSE()</f>
        <v>0</v>
      </c>
      <c r="L62" s="6" t="b">
        <f t="shared" si="64"/>
        <v>0</v>
      </c>
      <c r="M62" s="6" t="b">
        <f t="shared" si="64"/>
        <v>0</v>
      </c>
      <c r="O62" s="4">
        <v>0.0010534449319935</v>
      </c>
      <c r="T62" s="4" t="str">
        <f t="shared" si="3"/>
        <v/>
      </c>
      <c r="U62" s="4" t="str">
        <f t="shared" si="4"/>
        <v/>
      </c>
    </row>
    <row r="63" ht="15.75" customHeight="1">
      <c r="A63" s="4" t="s">
        <v>125</v>
      </c>
      <c r="B63" s="4" t="s">
        <v>13</v>
      </c>
      <c r="D63" s="4">
        <v>7.6E-5</v>
      </c>
      <c r="E63" s="4">
        <v>7.6E-5</v>
      </c>
      <c r="F63" s="4">
        <v>8.27E-4</v>
      </c>
      <c r="G63" s="4">
        <v>7.6E-5</v>
      </c>
      <c r="H63" s="4">
        <v>7.6E-5</v>
      </c>
      <c r="K63" s="6" t="b">
        <f t="shared" ref="K63:M63" si="65">FALSE()</f>
        <v>0</v>
      </c>
      <c r="L63" s="6" t="b">
        <f t="shared" si="65"/>
        <v>0</v>
      </c>
      <c r="M63" s="6" t="b">
        <f t="shared" si="65"/>
        <v>0</v>
      </c>
      <c r="O63" s="4">
        <v>8.266582239195E-4</v>
      </c>
      <c r="T63" s="4" t="str">
        <f t="shared" si="3"/>
        <v/>
      </c>
      <c r="U63" s="4" t="str">
        <f t="shared" si="4"/>
        <v/>
      </c>
    </row>
    <row r="64" ht="15.75" customHeight="1">
      <c r="A64" s="4" t="s">
        <v>127</v>
      </c>
      <c r="B64" s="4" t="s">
        <v>13</v>
      </c>
      <c r="D64" s="4">
        <v>9.0E-5</v>
      </c>
      <c r="E64" s="4">
        <v>9.0E-5</v>
      </c>
      <c r="F64" s="4">
        <v>6.0E-4</v>
      </c>
      <c r="G64" s="4">
        <v>9.0E-5</v>
      </c>
      <c r="H64" s="4">
        <v>9.0E-5</v>
      </c>
      <c r="K64" s="6" t="b">
        <f t="shared" ref="K64:M64" si="66">FALSE()</f>
        <v>0</v>
      </c>
      <c r="L64" s="6" t="b">
        <f t="shared" si="66"/>
        <v>0</v>
      </c>
      <c r="M64" s="6" t="b">
        <f t="shared" si="66"/>
        <v>0</v>
      </c>
      <c r="O64" s="4">
        <v>5.998200719676E-4</v>
      </c>
      <c r="T64" s="4" t="str">
        <f t="shared" si="3"/>
        <v/>
      </c>
      <c r="U64" s="4" t="str">
        <f t="shared" si="4"/>
        <v/>
      </c>
    </row>
    <row r="65" ht="15.75" customHeight="1">
      <c r="A65" s="4" t="s">
        <v>128</v>
      </c>
      <c r="B65" s="4" t="s">
        <v>13</v>
      </c>
      <c r="C65" s="4">
        <v>10.9</v>
      </c>
      <c r="D65" s="4">
        <v>1.6</v>
      </c>
      <c r="E65" s="4">
        <v>1.6</v>
      </c>
      <c r="K65" s="6" t="b">
        <f>TRUE()</f>
        <v>1</v>
      </c>
      <c r="L65" s="6" t="b">
        <f t="shared" ref="L65:M65" si="67">FALSE()</f>
        <v>0</v>
      </c>
      <c r="M65" s="6" t="b">
        <f t="shared" si="67"/>
        <v>0</v>
      </c>
      <c r="N65" s="4">
        <v>2.47653840011748</v>
      </c>
      <c r="T65" s="4">
        <f t="shared" si="3"/>
        <v>40</v>
      </c>
      <c r="U65" s="4" t="str">
        <f t="shared" si="4"/>
        <v/>
      </c>
    </row>
    <row r="66" ht="15.75" customHeight="1">
      <c r="A66" s="4" t="s">
        <v>130</v>
      </c>
      <c r="B66" s="4" t="s">
        <v>13</v>
      </c>
      <c r="D66" s="4">
        <v>1.3</v>
      </c>
      <c r="E66" s="4">
        <v>1.3</v>
      </c>
      <c r="F66" s="4">
        <v>6.4</v>
      </c>
      <c r="G66" s="4">
        <v>1.3</v>
      </c>
      <c r="H66" s="4">
        <v>1.3</v>
      </c>
      <c r="K66" s="6" t="b">
        <f t="shared" ref="K66:K77" si="68">FALSE()</f>
        <v>0</v>
      </c>
      <c r="L66" s="6" t="b">
        <f>TRUE()</f>
        <v>1</v>
      </c>
      <c r="M66" s="6" t="b">
        <f>FALSE()</f>
        <v>0</v>
      </c>
      <c r="O66" s="4">
        <v>2.00148000021012</v>
      </c>
      <c r="T66" s="4" t="str">
        <f t="shared" si="3"/>
        <v/>
      </c>
      <c r="U66" s="4" t="str">
        <f t="shared" si="4"/>
        <v/>
      </c>
    </row>
    <row r="67" ht="15.75" customHeight="1">
      <c r="A67" s="4" t="s">
        <v>132</v>
      </c>
      <c r="B67" s="4" t="s">
        <v>13</v>
      </c>
      <c r="D67" s="4">
        <v>0.03</v>
      </c>
      <c r="E67" s="4">
        <v>0.03</v>
      </c>
      <c r="F67" s="4">
        <v>0.17</v>
      </c>
      <c r="G67" s="4">
        <v>0.03</v>
      </c>
      <c r="H67" s="4">
        <v>0.03</v>
      </c>
      <c r="K67" s="6" t="b">
        <f t="shared" si="68"/>
        <v>0</v>
      </c>
      <c r="L67" s="6" t="b">
        <f t="shared" ref="L67:M67" si="69">FALSE()</f>
        <v>0</v>
      </c>
      <c r="M67" s="6" t="b">
        <f t="shared" si="69"/>
        <v>0</v>
      </c>
      <c r="O67" s="4">
        <v>0.157003748809665</v>
      </c>
      <c r="T67" s="4" t="str">
        <f t="shared" si="3"/>
        <v/>
      </c>
      <c r="U67" s="4" t="str">
        <f t="shared" si="4"/>
        <v/>
      </c>
    </row>
    <row r="68" ht="15.75" customHeight="1">
      <c r="A68" s="4" t="s">
        <v>134</v>
      </c>
      <c r="B68" s="4" t="s">
        <v>13</v>
      </c>
      <c r="D68" s="4">
        <v>0.0296</v>
      </c>
      <c r="E68" s="4">
        <v>0.0365</v>
      </c>
      <c r="F68" s="4">
        <v>0.0582</v>
      </c>
      <c r="G68" s="4">
        <v>0.0296</v>
      </c>
      <c r="H68" s="4">
        <v>0.0365</v>
      </c>
      <c r="K68" s="6" t="b">
        <f t="shared" si="68"/>
        <v>0</v>
      </c>
      <c r="L68" s="6" t="b">
        <f t="shared" ref="L68:M68" si="70">FALSE()</f>
        <v>0</v>
      </c>
      <c r="M68" s="6" t="b">
        <f t="shared" si="70"/>
        <v>0</v>
      </c>
      <c r="O68" s="4">
        <v>0.0565693514878943</v>
      </c>
      <c r="T68" s="4" t="str">
        <f t="shared" si="3"/>
        <v/>
      </c>
      <c r="U68" s="4" t="str">
        <f t="shared" si="4"/>
        <v/>
      </c>
    </row>
    <row r="69" ht="15.75" customHeight="1">
      <c r="A69" s="4" t="s">
        <v>136</v>
      </c>
      <c r="B69" s="4" t="s">
        <v>13</v>
      </c>
      <c r="D69" s="4">
        <v>0.0044</v>
      </c>
      <c r="E69" s="4">
        <v>0.0047</v>
      </c>
      <c r="F69" s="4">
        <v>0.0104</v>
      </c>
      <c r="G69" s="4">
        <v>0.0044</v>
      </c>
      <c r="H69" s="4">
        <v>0.0047</v>
      </c>
      <c r="K69" s="6" t="b">
        <f t="shared" si="68"/>
        <v>0</v>
      </c>
      <c r="L69" s="6" t="b">
        <f t="shared" ref="L69:M69" si="71">FALSE()</f>
        <v>0</v>
      </c>
      <c r="M69" s="6" t="b">
        <f t="shared" si="71"/>
        <v>0</v>
      </c>
      <c r="O69" s="4">
        <v>0.0103462920541443</v>
      </c>
      <c r="T69" s="4" t="str">
        <f t="shared" si="3"/>
        <v/>
      </c>
      <c r="U69" s="4" t="str">
        <f t="shared" si="4"/>
        <v/>
      </c>
    </row>
    <row r="70" ht="15.75" customHeight="1">
      <c r="A70" s="4" t="s">
        <v>140</v>
      </c>
      <c r="B70" s="4" t="s">
        <v>13</v>
      </c>
      <c r="D70" s="4">
        <v>0.007</v>
      </c>
      <c r="E70" s="4">
        <v>0.007</v>
      </c>
      <c r="F70" s="4">
        <v>0.045</v>
      </c>
      <c r="G70" s="4">
        <v>0.007</v>
      </c>
      <c r="H70" s="4">
        <v>0.007</v>
      </c>
      <c r="K70" s="6" t="b">
        <f t="shared" si="68"/>
        <v>0</v>
      </c>
      <c r="L70" s="6" t="b">
        <f t="shared" ref="L70:M70" si="72">FALSE()</f>
        <v>0</v>
      </c>
      <c r="M70" s="6" t="b">
        <f t="shared" si="72"/>
        <v>0</v>
      </c>
      <c r="O70" s="4">
        <v>0.0440168854167743</v>
      </c>
      <c r="T70" s="4" t="str">
        <f t="shared" si="3"/>
        <v/>
      </c>
      <c r="U70" s="4" t="str">
        <f t="shared" si="4"/>
        <v/>
      </c>
    </row>
    <row r="71" ht="15.75" customHeight="1">
      <c r="A71" s="4" t="s">
        <v>141</v>
      </c>
      <c r="B71" s="4" t="s">
        <v>13</v>
      </c>
      <c r="D71" s="4">
        <v>0.03</v>
      </c>
      <c r="E71" s="4">
        <v>0.03</v>
      </c>
      <c r="F71" s="4">
        <v>0.33</v>
      </c>
      <c r="G71" s="4">
        <v>0.03</v>
      </c>
      <c r="H71" s="4">
        <v>0.03</v>
      </c>
      <c r="K71" s="6" t="b">
        <f t="shared" si="68"/>
        <v>0</v>
      </c>
      <c r="L71" s="6" t="b">
        <f t="shared" ref="L71:M71" si="73">FALSE()</f>
        <v>0</v>
      </c>
      <c r="M71" s="6" t="b">
        <f t="shared" si="73"/>
        <v>0</v>
      </c>
      <c r="O71" s="4">
        <v>0.285178942233662</v>
      </c>
      <c r="T71" s="4" t="str">
        <f t="shared" si="3"/>
        <v/>
      </c>
      <c r="U71" s="4" t="str">
        <f t="shared" si="4"/>
        <v/>
      </c>
    </row>
    <row r="72" ht="15.75" customHeight="1">
      <c r="A72" s="4" t="s">
        <v>142</v>
      </c>
      <c r="B72" s="4" t="s">
        <v>13</v>
      </c>
      <c r="F72" s="4">
        <v>0.46</v>
      </c>
      <c r="I72" s="4">
        <v>1.03</v>
      </c>
      <c r="K72" s="6" t="b">
        <f t="shared" si="68"/>
        <v>0</v>
      </c>
      <c r="L72" s="6" t="b">
        <f t="shared" ref="L72:L78" si="74">FALSE()</f>
        <v>0</v>
      </c>
      <c r="M72" s="6" t="b">
        <f>TRUE()</f>
        <v>1</v>
      </c>
      <c r="O72" s="4">
        <v>0.378436435720245</v>
      </c>
      <c r="P72" s="4">
        <v>0.708035793053696</v>
      </c>
      <c r="T72" s="4" t="str">
        <f t="shared" si="3"/>
        <v/>
      </c>
      <c r="U72" s="4">
        <f t="shared" si="4"/>
        <v>625</v>
      </c>
    </row>
    <row r="73" ht="15.75" customHeight="1">
      <c r="A73" s="4" t="s">
        <v>143</v>
      </c>
      <c r="B73" s="4" t="s">
        <v>13</v>
      </c>
      <c r="D73" s="4">
        <v>0.05</v>
      </c>
      <c r="E73" s="4">
        <v>0.05</v>
      </c>
      <c r="F73" s="4">
        <v>0.65</v>
      </c>
      <c r="G73" s="4">
        <v>0.05</v>
      </c>
      <c r="H73" s="4">
        <v>0.05</v>
      </c>
      <c r="K73" s="6" t="b">
        <f t="shared" si="68"/>
        <v>0</v>
      </c>
      <c r="L73" s="6" t="b">
        <f t="shared" si="74"/>
        <v>0</v>
      </c>
      <c r="M73" s="6" t="b">
        <f t="shared" ref="M73:M79" si="75">FALSE()</f>
        <v>0</v>
      </c>
      <c r="O73" s="4">
        <v>0.500775287912489</v>
      </c>
      <c r="T73" s="4" t="str">
        <f t="shared" si="3"/>
        <v/>
      </c>
      <c r="U73" s="4" t="str">
        <f t="shared" si="4"/>
        <v/>
      </c>
    </row>
    <row r="74" ht="15.75" customHeight="1">
      <c r="A74" s="4" t="s">
        <v>144</v>
      </c>
      <c r="B74" s="4" t="s">
        <v>13</v>
      </c>
      <c r="D74" s="4">
        <v>0.0066</v>
      </c>
      <c r="E74" s="4">
        <v>0.009</v>
      </c>
      <c r="F74" s="4">
        <v>0.04836</v>
      </c>
      <c r="G74" s="4">
        <v>0.0066</v>
      </c>
      <c r="H74" s="4">
        <v>0.009</v>
      </c>
      <c r="K74" s="6" t="b">
        <f t="shared" si="68"/>
        <v>0</v>
      </c>
      <c r="L74" s="6" t="b">
        <f t="shared" si="74"/>
        <v>0</v>
      </c>
      <c r="M74" s="6" t="b">
        <f t="shared" si="75"/>
        <v>0</v>
      </c>
      <c r="O74" s="4">
        <v>0.0472270383626818</v>
      </c>
      <c r="T74" s="4" t="str">
        <f t="shared" si="3"/>
        <v/>
      </c>
      <c r="U74" s="4" t="str">
        <f t="shared" si="4"/>
        <v/>
      </c>
    </row>
    <row r="75" ht="15.75" customHeight="1">
      <c r="A75" s="4" t="s">
        <v>145</v>
      </c>
      <c r="B75" s="4" t="s">
        <v>13</v>
      </c>
      <c r="F75" s="4">
        <v>1.47</v>
      </c>
      <c r="K75" s="6" t="b">
        <f t="shared" si="68"/>
        <v>0</v>
      </c>
      <c r="L75" s="6" t="b">
        <f t="shared" si="74"/>
        <v>0</v>
      </c>
      <c r="M75" s="6" t="b">
        <f t="shared" si="75"/>
        <v>0</v>
      </c>
      <c r="O75" s="4">
        <v>0.904218150639886</v>
      </c>
      <c r="T75" s="4" t="str">
        <f t="shared" si="3"/>
        <v/>
      </c>
      <c r="U75" s="4" t="str">
        <f t="shared" si="4"/>
        <v/>
      </c>
    </row>
    <row r="76" ht="15.75" customHeight="1">
      <c r="A76" s="4" t="s">
        <v>146</v>
      </c>
      <c r="B76" s="4" t="s">
        <v>13</v>
      </c>
      <c r="D76" s="4">
        <v>0.27</v>
      </c>
      <c r="E76" s="4">
        <v>0.27</v>
      </c>
      <c r="F76" s="4">
        <v>1.06</v>
      </c>
      <c r="G76" s="4">
        <v>0.27</v>
      </c>
      <c r="H76" s="4">
        <v>0.27</v>
      </c>
      <c r="K76" s="6" t="b">
        <f t="shared" si="68"/>
        <v>0</v>
      </c>
      <c r="L76" s="6" t="b">
        <f t="shared" si="74"/>
        <v>0</v>
      </c>
      <c r="M76" s="6" t="b">
        <f t="shared" si="75"/>
        <v>0</v>
      </c>
      <c r="O76" s="4">
        <v>0.72270598280149</v>
      </c>
      <c r="T76" s="4" t="str">
        <f t="shared" si="3"/>
        <v/>
      </c>
      <c r="U76" s="4" t="str">
        <f t="shared" si="4"/>
        <v/>
      </c>
    </row>
    <row r="77" ht="15.75" customHeight="1">
      <c r="A77" s="4" t="s">
        <v>147</v>
      </c>
      <c r="B77" s="4" t="s">
        <v>13</v>
      </c>
      <c r="F77" s="4">
        <v>1.11</v>
      </c>
      <c r="K77" s="6" t="b">
        <f t="shared" si="68"/>
        <v>0</v>
      </c>
      <c r="L77" s="6" t="b">
        <f t="shared" si="74"/>
        <v>0</v>
      </c>
      <c r="M77" s="6" t="b">
        <f t="shared" si="75"/>
        <v>0</v>
      </c>
      <c r="O77" s="4">
        <v>0.746687947487975</v>
      </c>
      <c r="T77" s="4" t="str">
        <f t="shared" si="3"/>
        <v/>
      </c>
      <c r="U77" s="4" t="str">
        <f t="shared" si="4"/>
        <v/>
      </c>
    </row>
    <row r="78" ht="15.75" customHeight="1">
      <c r="A78" s="4" t="s">
        <v>148</v>
      </c>
      <c r="B78" s="4" t="s">
        <v>13</v>
      </c>
      <c r="C78" s="4">
        <v>5.325</v>
      </c>
      <c r="D78" s="4">
        <v>0.036</v>
      </c>
      <c r="E78" s="4">
        <v>0.036</v>
      </c>
      <c r="F78" s="4">
        <v>5.1</v>
      </c>
      <c r="G78" s="4">
        <v>0.12</v>
      </c>
      <c r="H78" s="4">
        <v>0.12</v>
      </c>
      <c r="K78" s="6" t="b">
        <f>TRUE()</f>
        <v>1</v>
      </c>
      <c r="L78" s="6" t="b">
        <f t="shared" si="74"/>
        <v>0</v>
      </c>
      <c r="M78" s="6" t="b">
        <f t="shared" si="75"/>
        <v>0</v>
      </c>
      <c r="N78" s="4">
        <v>1.84451003461358</v>
      </c>
      <c r="O78" s="4">
        <v>1.80828877117927</v>
      </c>
      <c r="T78" s="4">
        <f t="shared" si="3"/>
        <v>198</v>
      </c>
      <c r="U78" s="4" t="str">
        <f t="shared" si="4"/>
        <v/>
      </c>
    </row>
    <row r="79" ht="15.75" customHeight="1">
      <c r="A79" s="4" t="s">
        <v>149</v>
      </c>
      <c r="B79" s="4" t="s">
        <v>13</v>
      </c>
      <c r="F79" s="4">
        <v>12.47</v>
      </c>
      <c r="K79" s="6" t="b">
        <f t="shared" ref="K79:K81" si="76">FALSE()</f>
        <v>0</v>
      </c>
      <c r="L79" s="6" t="b">
        <f>TRUE()</f>
        <v>1</v>
      </c>
      <c r="M79" s="6" t="b">
        <f t="shared" si="75"/>
        <v>0</v>
      </c>
      <c r="O79" s="4">
        <v>2.60046499042227</v>
      </c>
      <c r="T79" s="4" t="str">
        <f t="shared" si="3"/>
        <v/>
      </c>
      <c r="U79" s="4" t="str">
        <f t="shared" si="4"/>
        <v/>
      </c>
    </row>
    <row r="80" ht="15.75" customHeight="1">
      <c r="A80" s="4" t="s">
        <v>150</v>
      </c>
      <c r="B80" s="4" t="s">
        <v>13</v>
      </c>
      <c r="F80" s="4">
        <v>4.2</v>
      </c>
      <c r="K80" s="6" t="b">
        <f t="shared" si="76"/>
        <v>0</v>
      </c>
      <c r="L80" s="6" t="b">
        <f t="shared" ref="L80:M80" si="77">FALSE()</f>
        <v>0</v>
      </c>
      <c r="M80" s="6" t="b">
        <f t="shared" si="77"/>
        <v>0</v>
      </c>
      <c r="O80" s="4">
        <v>1.64865862558738</v>
      </c>
      <c r="T80" s="4" t="str">
        <f t="shared" si="3"/>
        <v/>
      </c>
      <c r="U80" s="4" t="str">
        <f t="shared" si="4"/>
        <v/>
      </c>
    </row>
    <row r="81" ht="15.75" customHeight="1">
      <c r="A81" s="4" t="s">
        <v>151</v>
      </c>
      <c r="B81" s="4" t="s">
        <v>13</v>
      </c>
      <c r="C81" s="4">
        <v>0.07</v>
      </c>
      <c r="D81" s="4">
        <v>0.03</v>
      </c>
      <c r="E81" s="4">
        <v>0.03</v>
      </c>
      <c r="F81" s="4">
        <v>0.0513</v>
      </c>
      <c r="G81" s="4">
        <v>0.019</v>
      </c>
      <c r="H81" s="4">
        <v>0.019</v>
      </c>
      <c r="I81" s="4">
        <v>0.23</v>
      </c>
      <c r="J81" s="4">
        <v>0.01</v>
      </c>
      <c r="K81" s="6" t="b">
        <f t="shared" si="76"/>
        <v>0</v>
      </c>
      <c r="L81" s="6" t="b">
        <f t="shared" ref="L81:M81" si="78">FALSE()</f>
        <v>0</v>
      </c>
      <c r="M81" s="6" t="b">
        <f t="shared" si="78"/>
        <v>0</v>
      </c>
      <c r="N81" s="4">
        <v>0.0676586484738148</v>
      </c>
      <c r="O81" s="4">
        <v>0.0500274935996481</v>
      </c>
      <c r="P81" s="4">
        <v>0.207014169384326</v>
      </c>
      <c r="Q81" s="4">
        <v>-0.585049454343242</v>
      </c>
      <c r="R81" s="4">
        <v>-0.619919384773446</v>
      </c>
      <c r="S81" s="4">
        <v>-1.11377135869066</v>
      </c>
      <c r="T81" s="4">
        <f t="shared" si="3"/>
        <v>1322</v>
      </c>
      <c r="U81" s="4">
        <f t="shared" si="4"/>
        <v>2106</v>
      </c>
    </row>
    <row r="82" ht="15.75" customHeight="1">
      <c r="A82" s="4" t="s">
        <v>152</v>
      </c>
      <c r="B82" s="4" t="s">
        <v>13</v>
      </c>
      <c r="C82" s="4">
        <v>4.8</v>
      </c>
      <c r="D82" s="4">
        <v>0.6</v>
      </c>
      <c r="E82" s="4">
        <v>0.6</v>
      </c>
      <c r="K82" s="6" t="b">
        <f>TRUE()</f>
        <v>1</v>
      </c>
      <c r="L82" s="6" t="b">
        <f t="shared" ref="L82:M82" si="79">FALSE()</f>
        <v>0</v>
      </c>
      <c r="M82" s="6" t="b">
        <f t="shared" si="79"/>
        <v>0</v>
      </c>
      <c r="N82" s="4">
        <v>1.75785791755237</v>
      </c>
      <c r="T82" s="4">
        <f t="shared" si="3"/>
        <v>219</v>
      </c>
      <c r="U82" s="4" t="str">
        <f t="shared" si="4"/>
        <v/>
      </c>
    </row>
    <row r="83" ht="15.75" customHeight="1">
      <c r="A83" s="4" t="s">
        <v>153</v>
      </c>
      <c r="B83" s="4" t="s">
        <v>13</v>
      </c>
      <c r="D83" s="4">
        <v>0.12</v>
      </c>
      <c r="E83" s="4">
        <v>0.12</v>
      </c>
      <c r="F83" s="4">
        <v>1.36</v>
      </c>
      <c r="G83" s="4">
        <v>0.12</v>
      </c>
      <c r="H83" s="4">
        <v>0.12</v>
      </c>
      <c r="K83" s="6" t="b">
        <f t="shared" ref="K83:M83" si="80">FALSE()</f>
        <v>0</v>
      </c>
      <c r="L83" s="6" t="b">
        <f t="shared" si="80"/>
        <v>0</v>
      </c>
      <c r="M83" s="6" t="b">
        <f t="shared" si="80"/>
        <v>0</v>
      </c>
      <c r="O83" s="4">
        <v>0.858661619037519</v>
      </c>
      <c r="T83" s="4" t="str">
        <f t="shared" si="3"/>
        <v/>
      </c>
      <c r="U83" s="4" t="str">
        <f t="shared" si="4"/>
        <v/>
      </c>
    </row>
    <row r="84" ht="15.75" customHeight="1">
      <c r="A84" s="4" t="s">
        <v>154</v>
      </c>
      <c r="B84" s="4" t="s">
        <v>13</v>
      </c>
      <c r="F84" s="4">
        <v>0.91</v>
      </c>
      <c r="K84" s="6" t="b">
        <f t="shared" ref="K84:M84" si="81">FALSE()</f>
        <v>0</v>
      </c>
      <c r="L84" s="6" t="b">
        <f t="shared" si="81"/>
        <v>0</v>
      </c>
      <c r="M84" s="6" t="b">
        <f t="shared" si="81"/>
        <v>0</v>
      </c>
      <c r="O84" s="4">
        <v>0.647103242058539</v>
      </c>
      <c r="T84" s="4" t="str">
        <f t="shared" si="3"/>
        <v/>
      </c>
      <c r="U84" s="4" t="str">
        <f t="shared" si="4"/>
        <v/>
      </c>
    </row>
    <row r="85" ht="15.75" customHeight="1">
      <c r="A85" s="4" t="s">
        <v>155</v>
      </c>
      <c r="B85" s="4" t="s">
        <v>13</v>
      </c>
      <c r="D85" s="4">
        <v>0.7</v>
      </c>
      <c r="E85" s="4">
        <v>0.7</v>
      </c>
      <c r="F85" s="4">
        <v>1.7</v>
      </c>
      <c r="G85" s="4">
        <v>0.7</v>
      </c>
      <c r="H85" s="4">
        <v>0.7</v>
      </c>
      <c r="K85" s="6" t="b">
        <f t="shared" ref="K85:M85" si="82">FALSE()</f>
        <v>0</v>
      </c>
      <c r="L85" s="6" t="b">
        <f t="shared" si="82"/>
        <v>0</v>
      </c>
      <c r="M85" s="6" t="b">
        <f t="shared" si="82"/>
        <v>0</v>
      </c>
      <c r="O85" s="4">
        <v>0.993251773010283</v>
      </c>
      <c r="T85" s="4" t="str">
        <f t="shared" si="3"/>
        <v/>
      </c>
      <c r="U85" s="4" t="str">
        <f t="shared" si="4"/>
        <v/>
      </c>
    </row>
    <row r="86" ht="15.75" customHeight="1">
      <c r="A86" s="4" t="s">
        <v>157</v>
      </c>
      <c r="B86" s="4" t="s">
        <v>13</v>
      </c>
      <c r="D86" s="4">
        <v>0.2</v>
      </c>
      <c r="E86" s="4">
        <v>0.4</v>
      </c>
      <c r="F86" s="4">
        <v>1.6</v>
      </c>
      <c r="G86" s="4">
        <v>0.2</v>
      </c>
      <c r="H86" s="4">
        <v>0.4</v>
      </c>
      <c r="K86" s="6" t="b">
        <f t="shared" ref="K86:M86" si="83">FALSE()</f>
        <v>0</v>
      </c>
      <c r="L86" s="6" t="b">
        <f t="shared" si="83"/>
        <v>0</v>
      </c>
      <c r="M86" s="6" t="b">
        <f t="shared" si="83"/>
        <v>0</v>
      </c>
      <c r="O86" s="4">
        <v>0.955511445027436</v>
      </c>
      <c r="T86" s="4" t="str">
        <f t="shared" si="3"/>
        <v/>
      </c>
      <c r="U86" s="4" t="str">
        <f t="shared" si="4"/>
        <v/>
      </c>
    </row>
    <row r="87" ht="15.75" customHeight="1">
      <c r="A87" s="4" t="s">
        <v>158</v>
      </c>
      <c r="B87" s="4" t="s">
        <v>13</v>
      </c>
      <c r="D87" s="4">
        <v>0.08</v>
      </c>
      <c r="E87" s="4">
        <v>0.08</v>
      </c>
      <c r="F87" s="4">
        <v>0.72</v>
      </c>
      <c r="G87" s="4">
        <v>0.08</v>
      </c>
      <c r="H87" s="4">
        <v>0.08</v>
      </c>
      <c r="K87" s="6" t="b">
        <f t="shared" ref="K87:M87" si="84">FALSE()</f>
        <v>0</v>
      </c>
      <c r="L87" s="6" t="b">
        <f t="shared" si="84"/>
        <v>0</v>
      </c>
      <c r="M87" s="6" t="b">
        <f t="shared" si="84"/>
        <v>0</v>
      </c>
      <c r="O87" s="4">
        <v>0.542324290825362</v>
      </c>
      <c r="T87" s="4" t="str">
        <f t="shared" si="3"/>
        <v/>
      </c>
      <c r="U87" s="4" t="str">
        <f t="shared" si="4"/>
        <v/>
      </c>
    </row>
    <row r="88" ht="15.75" customHeight="1">
      <c r="A88" s="4" t="s">
        <v>160</v>
      </c>
      <c r="B88" s="4" t="s">
        <v>13</v>
      </c>
      <c r="D88" s="4">
        <v>0.31</v>
      </c>
      <c r="E88" s="4">
        <v>0.31</v>
      </c>
      <c r="F88" s="4">
        <v>3.96</v>
      </c>
      <c r="G88" s="4">
        <v>0.31</v>
      </c>
      <c r="H88" s="4">
        <v>0.31</v>
      </c>
      <c r="K88" s="6" t="b">
        <f t="shared" ref="K88:M88" si="85">FALSE()</f>
        <v>0</v>
      </c>
      <c r="L88" s="6" t="b">
        <f t="shared" si="85"/>
        <v>0</v>
      </c>
      <c r="M88" s="6" t="b">
        <f t="shared" si="85"/>
        <v>0</v>
      </c>
      <c r="O88" s="4">
        <v>1.60140574073684</v>
      </c>
      <c r="T88" s="4" t="str">
        <f t="shared" si="3"/>
        <v/>
      </c>
      <c r="U88" s="4" t="str">
        <f t="shared" si="4"/>
        <v/>
      </c>
    </row>
    <row r="89" ht="15.75" customHeight="1">
      <c r="A89" s="4" t="s">
        <v>161</v>
      </c>
      <c r="B89" s="4" t="s">
        <v>13</v>
      </c>
      <c r="D89" s="4">
        <v>0.048</v>
      </c>
      <c r="E89" s="4">
        <v>0.051</v>
      </c>
      <c r="F89" s="4">
        <v>0.558</v>
      </c>
      <c r="G89" s="4">
        <v>0.048</v>
      </c>
      <c r="H89" s="4">
        <v>0.051</v>
      </c>
      <c r="K89" s="6" t="b">
        <f t="shared" ref="K89:M89" si="86">FALSE()</f>
        <v>0</v>
      </c>
      <c r="L89" s="6" t="b">
        <f t="shared" si="86"/>
        <v>0</v>
      </c>
      <c r="M89" s="6" t="b">
        <f t="shared" si="86"/>
        <v>0</v>
      </c>
      <c r="O89" s="4">
        <v>0.443402947448557</v>
      </c>
      <c r="T89" s="4" t="str">
        <f t="shared" si="3"/>
        <v/>
      </c>
      <c r="U89" s="4" t="str">
        <f t="shared" si="4"/>
        <v/>
      </c>
    </row>
    <row r="90" ht="15.75" customHeight="1">
      <c r="A90" s="4" t="s">
        <v>162</v>
      </c>
      <c r="B90" s="4" t="s">
        <v>13</v>
      </c>
      <c r="D90" s="4">
        <v>0.8</v>
      </c>
      <c r="E90" s="4">
        <v>0.8</v>
      </c>
      <c r="F90" s="4">
        <v>7.8</v>
      </c>
      <c r="G90" s="4">
        <v>0.8</v>
      </c>
      <c r="H90" s="4">
        <v>0.8</v>
      </c>
      <c r="K90" s="6" t="b">
        <f>FALSE()</f>
        <v>0</v>
      </c>
      <c r="L90" s="6" t="b">
        <f>TRUE()</f>
        <v>1</v>
      </c>
      <c r="M90" s="6" t="b">
        <f>FALSE()</f>
        <v>0</v>
      </c>
      <c r="O90" s="4">
        <v>2.17475172148416</v>
      </c>
      <c r="T90" s="4" t="str">
        <f t="shared" si="3"/>
        <v/>
      </c>
      <c r="U90" s="4" t="str">
        <f t="shared" si="4"/>
        <v/>
      </c>
    </row>
    <row r="91" ht="15.75" customHeight="1">
      <c r="A91" s="4" t="s">
        <v>163</v>
      </c>
      <c r="B91" s="4" t="s">
        <v>13</v>
      </c>
      <c r="C91" s="4">
        <v>11.9</v>
      </c>
      <c r="D91" s="4">
        <v>3.04</v>
      </c>
      <c r="E91" s="4">
        <v>2.93</v>
      </c>
      <c r="I91" s="4">
        <v>1.65</v>
      </c>
      <c r="J91" s="4">
        <v>0.06</v>
      </c>
      <c r="K91" s="6" t="b">
        <f t="shared" ref="K91:K92" si="87">TRUE()</f>
        <v>1</v>
      </c>
      <c r="L91" s="6" t="b">
        <f>FALSE()</f>
        <v>0</v>
      </c>
      <c r="M91" s="6" t="b">
        <f>TRUE()</f>
        <v>1</v>
      </c>
      <c r="N91" s="4">
        <v>2.55722731136763</v>
      </c>
      <c r="P91" s="4">
        <v>0.974559639998131</v>
      </c>
      <c r="T91" s="4">
        <f t="shared" si="3"/>
        <v>20</v>
      </c>
      <c r="U91" s="4">
        <f t="shared" si="4"/>
        <v>59</v>
      </c>
    </row>
    <row r="92" ht="15.75" customHeight="1">
      <c r="A92" s="4" t="s">
        <v>164</v>
      </c>
      <c r="B92" s="4" t="s">
        <v>13</v>
      </c>
      <c r="C92" s="4">
        <v>8.89</v>
      </c>
      <c r="D92" s="4">
        <v>0.75</v>
      </c>
      <c r="E92" s="4">
        <v>0.75</v>
      </c>
      <c r="F92" s="4">
        <v>8.5</v>
      </c>
      <c r="G92" s="4">
        <v>0.5</v>
      </c>
      <c r="H92" s="4">
        <v>0.5</v>
      </c>
      <c r="I92" s="4">
        <v>1.2</v>
      </c>
      <c r="J92" s="4">
        <v>0.1</v>
      </c>
      <c r="K92" s="6" t="b">
        <f t="shared" si="87"/>
        <v>1</v>
      </c>
      <c r="L92" s="6" t="b">
        <f t="shared" ref="L92:M92" si="88">TRUE()</f>
        <v>1</v>
      </c>
      <c r="M92" s="6" t="b">
        <f t="shared" si="88"/>
        <v>1</v>
      </c>
      <c r="N92" s="4">
        <v>2.29152414563462</v>
      </c>
      <c r="O92" s="4">
        <v>2.2512917986065</v>
      </c>
      <c r="P92" s="4">
        <v>0.78845736036427</v>
      </c>
      <c r="Q92" s="4">
        <v>4.83235522230416</v>
      </c>
      <c r="R92" s="4">
        <v>4.74024902130879</v>
      </c>
      <c r="S92" s="4">
        <v>0.70111695641567</v>
      </c>
      <c r="T92" s="4">
        <f t="shared" si="3"/>
        <v>85</v>
      </c>
      <c r="U92" s="4">
        <f t="shared" si="4"/>
        <v>380</v>
      </c>
    </row>
    <row r="93" ht="15.75" customHeight="1">
      <c r="A93" s="4" t="s">
        <v>169</v>
      </c>
      <c r="B93" s="4" t="s">
        <v>13</v>
      </c>
      <c r="D93" s="4">
        <v>1.0</v>
      </c>
      <c r="E93" s="4">
        <v>1.0</v>
      </c>
      <c r="F93" s="4">
        <v>6.1</v>
      </c>
      <c r="G93" s="4">
        <v>1.0</v>
      </c>
      <c r="H93" s="4">
        <v>1.0</v>
      </c>
      <c r="K93" s="6" t="b">
        <f t="shared" ref="K93:K94" si="89">FALSE()</f>
        <v>0</v>
      </c>
      <c r="L93" s="6" t="b">
        <f>TRUE()</f>
        <v>1</v>
      </c>
      <c r="M93" s="6" t="b">
        <f>FALSE()</f>
        <v>0</v>
      </c>
      <c r="O93" s="4">
        <v>1.96009478404727</v>
      </c>
      <c r="T93" s="4" t="str">
        <f t="shared" si="3"/>
        <v/>
      </c>
      <c r="U93" s="4" t="str">
        <f t="shared" si="4"/>
        <v/>
      </c>
    </row>
    <row r="94" ht="15.75" customHeight="1">
      <c r="A94" s="4" t="s">
        <v>177</v>
      </c>
      <c r="B94" s="4" t="s">
        <v>13</v>
      </c>
      <c r="C94" s="4">
        <v>0.01244</v>
      </c>
      <c r="D94" s="4">
        <v>0.00136</v>
      </c>
      <c r="F94" s="4">
        <v>0.01243</v>
      </c>
      <c r="G94" s="4">
        <v>0.00135</v>
      </c>
      <c r="H94" s="4">
        <v>0.00135</v>
      </c>
      <c r="K94" s="6" t="b">
        <f t="shared" si="89"/>
        <v>0</v>
      </c>
      <c r="L94" s="6" t="b">
        <f t="shared" ref="L94:M94" si="90">FALSE()</f>
        <v>0</v>
      </c>
      <c r="M94" s="6" t="b">
        <f t="shared" si="90"/>
        <v>0</v>
      </c>
      <c r="N94" s="4">
        <v>0.0123632589833986</v>
      </c>
      <c r="O94" s="4">
        <v>0.0123533818060982</v>
      </c>
      <c r="T94" s="4">
        <f t="shared" si="3"/>
        <v>1884</v>
      </c>
      <c r="U94" s="4" t="str">
        <f t="shared" si="4"/>
        <v/>
      </c>
    </row>
    <row r="95" ht="15.75" customHeight="1">
      <c r="A95" s="4" t="s">
        <v>170</v>
      </c>
      <c r="B95" s="4" t="s">
        <v>13</v>
      </c>
      <c r="C95" s="4">
        <v>7.8</v>
      </c>
      <c r="D95" s="4">
        <v>0.8</v>
      </c>
      <c r="E95" s="4">
        <v>0.8</v>
      </c>
      <c r="I95" s="4">
        <v>1.86</v>
      </c>
      <c r="J95" s="4">
        <v>0.05</v>
      </c>
      <c r="K95" s="6" t="b">
        <f>TRUE()</f>
        <v>1</v>
      </c>
      <c r="L95" s="6" t="b">
        <f>FALSE()</f>
        <v>0</v>
      </c>
      <c r="M95" s="6" t="b">
        <f>TRUE()</f>
        <v>1</v>
      </c>
      <c r="N95" s="4">
        <v>2.17475172148416</v>
      </c>
      <c r="P95" s="4">
        <v>1.05082162483176</v>
      </c>
      <c r="T95" s="4">
        <f t="shared" si="3"/>
        <v>116</v>
      </c>
      <c r="U95" s="4">
        <f t="shared" si="4"/>
        <v>24</v>
      </c>
    </row>
    <row r="96" ht="15.75" customHeight="1">
      <c r="A96" s="4" t="s">
        <v>191</v>
      </c>
      <c r="B96" s="4" t="s">
        <v>13</v>
      </c>
      <c r="D96" s="4">
        <v>0.12</v>
      </c>
      <c r="E96" s="4">
        <v>0.15</v>
      </c>
      <c r="F96" s="4">
        <v>4.32</v>
      </c>
      <c r="G96" s="4">
        <v>0.12</v>
      </c>
      <c r="H96" s="4">
        <v>0.15</v>
      </c>
      <c r="K96" s="6" t="b">
        <f t="shared" ref="K96:M96" si="91">FALSE()</f>
        <v>0</v>
      </c>
      <c r="L96" s="6" t="b">
        <f t="shared" si="91"/>
        <v>0</v>
      </c>
      <c r="M96" s="6" t="b">
        <f t="shared" si="91"/>
        <v>0</v>
      </c>
      <c r="O96" s="4">
        <v>1.67147330335355</v>
      </c>
      <c r="T96" s="4" t="str">
        <f t="shared" si="3"/>
        <v/>
      </c>
      <c r="U96" s="4" t="str">
        <f t="shared" si="4"/>
        <v/>
      </c>
    </row>
    <row r="97" ht="15.75" customHeight="1">
      <c r="A97" s="4" t="s">
        <v>196</v>
      </c>
      <c r="B97" s="4" t="s">
        <v>13</v>
      </c>
      <c r="D97" s="4">
        <v>1.0</v>
      </c>
      <c r="E97" s="4">
        <v>1.0</v>
      </c>
      <c r="F97" s="4">
        <v>11.09</v>
      </c>
      <c r="G97" s="4">
        <v>1.0</v>
      </c>
      <c r="H97" s="4">
        <v>1.0</v>
      </c>
      <c r="K97" s="6" t="b">
        <f t="shared" ref="K97:K98" si="92">FALSE()</f>
        <v>0</v>
      </c>
      <c r="L97" s="6" t="b">
        <f>TRUE()</f>
        <v>1</v>
      </c>
      <c r="M97" s="6" t="b">
        <f>FALSE()</f>
        <v>0</v>
      </c>
      <c r="O97" s="4">
        <v>2.4923786646267</v>
      </c>
      <c r="T97" s="4" t="str">
        <f t="shared" si="3"/>
        <v/>
      </c>
      <c r="U97" s="4" t="str">
        <f t="shared" si="4"/>
        <v/>
      </c>
    </row>
    <row r="98" ht="15.75" customHeight="1">
      <c r="A98" s="4" t="s">
        <v>203</v>
      </c>
      <c r="B98" s="4" t="s">
        <v>13</v>
      </c>
      <c r="D98" s="4">
        <v>0.4</v>
      </c>
      <c r="E98" s="4">
        <v>0.4</v>
      </c>
      <c r="F98" s="4">
        <v>3.1</v>
      </c>
      <c r="G98" s="4">
        <v>0.4</v>
      </c>
      <c r="H98" s="4">
        <v>0.4</v>
      </c>
      <c r="K98" s="6" t="b">
        <f t="shared" si="92"/>
        <v>0</v>
      </c>
      <c r="L98" s="6" t="b">
        <f t="shared" ref="L98:M98" si="93">FALSE()</f>
        <v>0</v>
      </c>
      <c r="M98" s="6" t="b">
        <f t="shared" si="93"/>
        <v>0</v>
      </c>
      <c r="O98" s="4">
        <v>1.41098697371026</v>
      </c>
      <c r="T98" s="4" t="str">
        <f t="shared" si="3"/>
        <v/>
      </c>
      <c r="U98" s="4" t="str">
        <f t="shared" si="4"/>
        <v/>
      </c>
    </row>
    <row r="99" ht="15.75" customHeight="1">
      <c r="A99" s="4" t="s">
        <v>209</v>
      </c>
      <c r="B99" s="4" t="s">
        <v>13</v>
      </c>
      <c r="C99" s="4">
        <v>12.0</v>
      </c>
      <c r="D99" s="4">
        <v>5.0</v>
      </c>
      <c r="E99" s="4">
        <v>8.0</v>
      </c>
      <c r="K99" s="6" t="b">
        <f>TRUE()</f>
        <v>1</v>
      </c>
      <c r="L99" s="6" t="b">
        <f t="shared" ref="L99:M99" si="94">FALSE()</f>
        <v>0</v>
      </c>
      <c r="M99" s="6" t="b">
        <f t="shared" si="94"/>
        <v>0</v>
      </c>
      <c r="N99" s="4">
        <v>2.56494935746154</v>
      </c>
      <c r="T99" s="4">
        <f t="shared" si="3"/>
        <v>14</v>
      </c>
      <c r="U99" s="4" t="str">
        <f t="shared" si="4"/>
        <v/>
      </c>
    </row>
    <row r="100" ht="15.75" customHeight="1">
      <c r="A100" s="4" t="s">
        <v>216</v>
      </c>
      <c r="B100" s="4" t="s">
        <v>13</v>
      </c>
      <c r="D100" s="4">
        <v>0.3</v>
      </c>
      <c r="E100" s="4">
        <v>0.3</v>
      </c>
      <c r="F100" s="4">
        <v>3.6</v>
      </c>
      <c r="G100" s="4">
        <v>0.3</v>
      </c>
      <c r="H100" s="4">
        <v>0.3</v>
      </c>
      <c r="K100" s="6" t="b">
        <f t="shared" ref="K100:M100" si="95">FALSE()</f>
        <v>0</v>
      </c>
      <c r="L100" s="6" t="b">
        <f t="shared" si="95"/>
        <v>0</v>
      </c>
      <c r="M100" s="6" t="b">
        <f t="shared" si="95"/>
        <v>0</v>
      </c>
      <c r="O100" s="4">
        <v>1.52605630349505</v>
      </c>
      <c r="T100" s="4" t="str">
        <f t="shared" si="3"/>
        <v/>
      </c>
      <c r="U100" s="4" t="str">
        <f t="shared" si="4"/>
        <v/>
      </c>
    </row>
    <row r="101" ht="15.75" customHeight="1">
      <c r="A101" s="4" t="s">
        <v>172</v>
      </c>
      <c r="B101" s="4" t="s">
        <v>13</v>
      </c>
      <c r="C101" s="4">
        <v>6.4</v>
      </c>
      <c r="D101" s="4">
        <v>2.0</v>
      </c>
      <c r="E101" s="4">
        <v>2.0</v>
      </c>
      <c r="I101" s="4">
        <v>1.12</v>
      </c>
      <c r="J101" s="4">
        <v>0.04</v>
      </c>
      <c r="K101" s="6" t="b">
        <f>TRUE()</f>
        <v>1</v>
      </c>
      <c r="L101" s="6" t="b">
        <f>FALSE()</f>
        <v>0</v>
      </c>
      <c r="M101" s="6" t="b">
        <f t="shared" ref="M101:M113" si="97">TRUE()</f>
        <v>1</v>
      </c>
      <c r="N101" s="4">
        <v>2.00148000021012</v>
      </c>
      <c r="P101" s="4">
        <v>0.751416088683921</v>
      </c>
      <c r="T101" s="4">
        <f t="shared" si="3"/>
        <v>148</v>
      </c>
      <c r="U101" s="4">
        <f t="shared" si="4"/>
        <v>489</v>
      </c>
    </row>
    <row r="102" ht="15.75" customHeight="1">
      <c r="A102" s="4" t="s">
        <v>173</v>
      </c>
      <c r="B102" s="4" t="s">
        <v>13</v>
      </c>
      <c r="C102" s="4">
        <v>2.75</v>
      </c>
      <c r="D102" s="4">
        <v>0.14</v>
      </c>
      <c r="E102" s="4">
        <v>0.14</v>
      </c>
      <c r="I102" s="4">
        <v>0.97</v>
      </c>
      <c r="J102" s="4">
        <v>0.05</v>
      </c>
      <c r="K102" s="6" t="b">
        <f t="shared" ref="K102:L102" si="96">FALSE()</f>
        <v>0</v>
      </c>
      <c r="L102" s="6" t="b">
        <f t="shared" si="96"/>
        <v>0</v>
      </c>
      <c r="M102" s="6" t="b">
        <f t="shared" si="97"/>
        <v>1</v>
      </c>
      <c r="N102" s="4">
        <v>1.32175583998232</v>
      </c>
      <c r="P102" s="4">
        <v>0.678033542749897</v>
      </c>
      <c r="T102" s="4">
        <f t="shared" si="3"/>
        <v>347</v>
      </c>
      <c r="U102" s="4">
        <f t="shared" si="4"/>
        <v>701</v>
      </c>
    </row>
    <row r="103" ht="15.75" customHeight="1">
      <c r="A103" s="4" t="s">
        <v>174</v>
      </c>
      <c r="B103" s="4" t="s">
        <v>13</v>
      </c>
      <c r="C103" s="4">
        <v>2.33</v>
      </c>
      <c r="D103" s="4">
        <v>0.27</v>
      </c>
      <c r="E103" s="4">
        <v>0.27</v>
      </c>
      <c r="I103" s="4">
        <v>1.43</v>
      </c>
      <c r="J103" s="4">
        <v>0.033</v>
      </c>
      <c r="K103" s="6" t="b">
        <f t="shared" ref="K103:L103" si="98">FALSE()</f>
        <v>0</v>
      </c>
      <c r="L103" s="6" t="b">
        <f t="shared" si="98"/>
        <v>0</v>
      </c>
      <c r="M103" s="6" t="b">
        <f t="shared" si="97"/>
        <v>1</v>
      </c>
      <c r="N103" s="4">
        <v>1.20297230399235</v>
      </c>
      <c r="P103" s="4">
        <v>0.887891257352457</v>
      </c>
      <c r="T103" s="4">
        <f t="shared" si="3"/>
        <v>393</v>
      </c>
      <c r="U103" s="4">
        <f t="shared" si="4"/>
        <v>156</v>
      </c>
    </row>
    <row r="104" ht="15.75" customHeight="1">
      <c r="A104" s="4" t="s">
        <v>176</v>
      </c>
      <c r="B104" s="4" t="s">
        <v>13</v>
      </c>
      <c r="C104" s="4">
        <v>0.917</v>
      </c>
      <c r="D104" s="4">
        <v>0.065</v>
      </c>
      <c r="E104" s="4">
        <v>0.07</v>
      </c>
      <c r="I104" s="4">
        <v>1.44</v>
      </c>
      <c r="J104" s="4">
        <v>0.13</v>
      </c>
      <c r="K104" s="6" t="b">
        <f t="shared" ref="K104:L104" si="99">FALSE()</f>
        <v>0</v>
      </c>
      <c r="L104" s="6" t="b">
        <f t="shared" si="99"/>
        <v>0</v>
      </c>
      <c r="M104" s="6" t="b">
        <f t="shared" si="97"/>
        <v>1</v>
      </c>
      <c r="N104" s="4">
        <v>0.650761464063507</v>
      </c>
      <c r="P104" s="4">
        <v>0.891998039305111</v>
      </c>
      <c r="T104" s="4">
        <f t="shared" si="3"/>
        <v>708</v>
      </c>
      <c r="U104" s="4">
        <f t="shared" si="4"/>
        <v>148</v>
      </c>
    </row>
    <row r="105" ht="15.75" customHeight="1">
      <c r="A105" s="4" t="s">
        <v>179</v>
      </c>
      <c r="B105" s="4" t="s">
        <v>13</v>
      </c>
      <c r="C105" s="4">
        <v>1.308</v>
      </c>
      <c r="D105" s="4">
        <v>0.066</v>
      </c>
      <c r="E105" s="4">
        <v>0.066</v>
      </c>
      <c r="I105" s="4">
        <v>0.885</v>
      </c>
      <c r="J105" s="4">
        <v>0.014</v>
      </c>
      <c r="K105" s="6" t="b">
        <f t="shared" ref="K105:L105" si="100">FALSE()</f>
        <v>0</v>
      </c>
      <c r="L105" s="6" t="b">
        <f t="shared" si="100"/>
        <v>0</v>
      </c>
      <c r="M105" s="6" t="b">
        <f t="shared" si="97"/>
        <v>1</v>
      </c>
      <c r="N105" s="4">
        <v>0.836381348645853</v>
      </c>
      <c r="P105" s="4">
        <v>0.633927820899974</v>
      </c>
      <c r="T105" s="4">
        <f t="shared" si="3"/>
        <v>558</v>
      </c>
      <c r="U105" s="4">
        <f t="shared" si="4"/>
        <v>775</v>
      </c>
    </row>
    <row r="106" ht="15.75" customHeight="1">
      <c r="A106" s="4" t="s">
        <v>180</v>
      </c>
      <c r="B106" s="4" t="s">
        <v>13</v>
      </c>
      <c r="C106" s="4">
        <v>7.6</v>
      </c>
      <c r="D106" s="4">
        <v>0.6</v>
      </c>
      <c r="E106" s="4">
        <v>0.6</v>
      </c>
      <c r="I106" s="4">
        <v>1.09</v>
      </c>
      <c r="J106" s="4">
        <v>0.07</v>
      </c>
      <c r="K106" s="6" t="b">
        <f>TRUE()</f>
        <v>1</v>
      </c>
      <c r="L106" s="6" t="b">
        <f>FALSE()</f>
        <v>0</v>
      </c>
      <c r="M106" s="6" t="b">
        <f t="shared" si="97"/>
        <v>1</v>
      </c>
      <c r="N106" s="4">
        <v>2.15176220325946</v>
      </c>
      <c r="P106" s="4">
        <v>0.73716406597672</v>
      </c>
      <c r="T106" s="4">
        <f t="shared" si="3"/>
        <v>120</v>
      </c>
      <c r="U106" s="4">
        <f t="shared" si="4"/>
        <v>533</v>
      </c>
    </row>
    <row r="107" ht="15.75" customHeight="1">
      <c r="A107" s="4" t="s">
        <v>182</v>
      </c>
      <c r="B107" s="4" t="s">
        <v>13</v>
      </c>
      <c r="C107" s="4">
        <v>0.535</v>
      </c>
      <c r="D107" s="4">
        <v>0.085</v>
      </c>
      <c r="E107" s="4">
        <v>0.085</v>
      </c>
      <c r="I107" s="4">
        <v>1.17</v>
      </c>
      <c r="J107" s="4">
        <v>0.14</v>
      </c>
      <c r="K107" s="6" t="b">
        <f t="shared" ref="K107:L107" si="101">FALSE()</f>
        <v>0</v>
      </c>
      <c r="L107" s="6" t="b">
        <f t="shared" si="101"/>
        <v>0</v>
      </c>
      <c r="M107" s="6" t="b">
        <f t="shared" si="97"/>
        <v>1</v>
      </c>
      <c r="N107" s="4">
        <v>0.428530381039161</v>
      </c>
      <c r="P107" s="4">
        <v>0.774727167552368</v>
      </c>
      <c r="T107" s="4">
        <f t="shared" si="3"/>
        <v>930</v>
      </c>
      <c r="U107" s="4">
        <f t="shared" si="4"/>
        <v>424</v>
      </c>
    </row>
    <row r="108" ht="15.75" customHeight="1">
      <c r="A108" s="4" t="s">
        <v>184</v>
      </c>
      <c r="B108" s="4" t="s">
        <v>13</v>
      </c>
      <c r="C108" s="4">
        <v>2.43</v>
      </c>
      <c r="D108" s="4">
        <v>0.16</v>
      </c>
      <c r="E108" s="4">
        <v>0.16</v>
      </c>
      <c r="I108" s="4">
        <v>1.02</v>
      </c>
      <c r="J108" s="4">
        <v>0.07</v>
      </c>
      <c r="K108" s="6" t="b">
        <f t="shared" ref="K108:L108" si="102">FALSE()</f>
        <v>0</v>
      </c>
      <c r="L108" s="6" t="b">
        <f t="shared" si="102"/>
        <v>0</v>
      </c>
      <c r="M108" s="6" t="b">
        <f t="shared" si="97"/>
        <v>1</v>
      </c>
      <c r="N108" s="4">
        <v>1.23256026117785</v>
      </c>
      <c r="P108" s="4">
        <v>0.703097511413113</v>
      </c>
      <c r="T108" s="4">
        <f t="shared" si="3"/>
        <v>379</v>
      </c>
      <c r="U108" s="4">
        <f t="shared" si="4"/>
        <v>640</v>
      </c>
    </row>
    <row r="109" ht="15.75" customHeight="1">
      <c r="A109" s="4" t="s">
        <v>185</v>
      </c>
      <c r="B109" s="4" t="s">
        <v>13</v>
      </c>
      <c r="C109" s="4">
        <v>3.47</v>
      </c>
      <c r="D109" s="4">
        <v>0.38</v>
      </c>
      <c r="E109" s="4">
        <v>0.38</v>
      </c>
      <c r="I109" s="4">
        <v>1.31</v>
      </c>
      <c r="J109" s="4">
        <v>0.18</v>
      </c>
      <c r="K109" s="6" t="b">
        <f t="shared" ref="K109:L109" si="103">FALSE()</f>
        <v>0</v>
      </c>
      <c r="L109" s="6" t="b">
        <f t="shared" si="103"/>
        <v>0</v>
      </c>
      <c r="M109" s="6" t="b">
        <f t="shared" si="97"/>
        <v>1</v>
      </c>
      <c r="N109" s="4">
        <v>1.49738840862548</v>
      </c>
      <c r="P109" s="4">
        <v>0.837247524533702</v>
      </c>
      <c r="T109" s="4">
        <f t="shared" si="3"/>
        <v>295</v>
      </c>
      <c r="U109" s="4">
        <f t="shared" si="4"/>
        <v>240</v>
      </c>
    </row>
    <row r="110" ht="15.75" customHeight="1">
      <c r="A110" s="4" t="s">
        <v>186</v>
      </c>
      <c r="B110" s="4" t="s">
        <v>13</v>
      </c>
      <c r="C110" s="4">
        <v>1.11</v>
      </c>
      <c r="D110" s="4">
        <v>0.06</v>
      </c>
      <c r="E110" s="4">
        <v>0.06</v>
      </c>
      <c r="I110" s="4">
        <v>1.29</v>
      </c>
      <c r="J110" s="4">
        <v>0.05</v>
      </c>
      <c r="K110" s="6" t="b">
        <f t="shared" ref="K110:L110" si="104">FALSE()</f>
        <v>0</v>
      </c>
      <c r="L110" s="6" t="b">
        <f t="shared" si="104"/>
        <v>0</v>
      </c>
      <c r="M110" s="6" t="b">
        <f t="shared" si="97"/>
        <v>1</v>
      </c>
      <c r="N110" s="4">
        <v>0.746687947487975</v>
      </c>
      <c r="P110" s="4">
        <v>0.828551817566148</v>
      </c>
      <c r="T110" s="4">
        <f t="shared" si="3"/>
        <v>620</v>
      </c>
      <c r="U110" s="4">
        <f t="shared" si="4"/>
        <v>265</v>
      </c>
    </row>
    <row r="111" ht="15.75" customHeight="1">
      <c r="A111" s="4" t="s">
        <v>187</v>
      </c>
      <c r="B111" s="4" t="s">
        <v>13</v>
      </c>
      <c r="C111" s="4">
        <v>1.03</v>
      </c>
      <c r="D111" s="4">
        <v>0.12</v>
      </c>
      <c r="E111" s="4">
        <v>0.12</v>
      </c>
      <c r="I111" s="4">
        <v>1.49</v>
      </c>
      <c r="J111" s="4">
        <v>0.08</v>
      </c>
      <c r="K111" s="6" t="b">
        <f t="shared" ref="K111:L111" si="105">FALSE()</f>
        <v>0</v>
      </c>
      <c r="L111" s="6" t="b">
        <f t="shared" si="105"/>
        <v>0</v>
      </c>
      <c r="M111" s="6" t="b">
        <f t="shared" si="97"/>
        <v>1</v>
      </c>
      <c r="N111" s="4">
        <v>0.708035793053696</v>
      </c>
      <c r="P111" s="4">
        <v>0.912282710476616</v>
      </c>
      <c r="T111" s="4">
        <f t="shared" si="3"/>
        <v>650</v>
      </c>
      <c r="U111" s="4">
        <f t="shared" si="4"/>
        <v>122</v>
      </c>
    </row>
    <row r="112" ht="15.75" customHeight="1">
      <c r="A112" s="4" t="s">
        <v>188</v>
      </c>
      <c r="B112" s="4" t="s">
        <v>13</v>
      </c>
      <c r="C112" s="4">
        <v>4.24</v>
      </c>
      <c r="D112" s="4">
        <v>0.23</v>
      </c>
      <c r="E112" s="4">
        <v>0.23</v>
      </c>
      <c r="I112" s="4">
        <v>0.84</v>
      </c>
      <c r="J112" s="4">
        <v>0.04</v>
      </c>
      <c r="K112" s="6" t="b">
        <f>TRUE()</f>
        <v>1</v>
      </c>
      <c r="L112" s="6" t="b">
        <f>FALSE()</f>
        <v>0</v>
      </c>
      <c r="M112" s="6" t="b">
        <f t="shared" si="97"/>
        <v>1</v>
      </c>
      <c r="N112" s="4">
        <v>1.65632149833295</v>
      </c>
      <c r="P112" s="4">
        <v>0.609765571620894</v>
      </c>
      <c r="T112" s="4">
        <f t="shared" si="3"/>
        <v>244</v>
      </c>
      <c r="U112" s="4">
        <f t="shared" si="4"/>
        <v>812</v>
      </c>
    </row>
    <row r="113" ht="15.75" customHeight="1">
      <c r="A113" s="4" t="s">
        <v>189</v>
      </c>
      <c r="B113" s="4" t="s">
        <v>13</v>
      </c>
      <c r="C113" s="4">
        <v>2.26</v>
      </c>
      <c r="D113" s="4">
        <v>0.31</v>
      </c>
      <c r="E113" s="4">
        <v>0.31</v>
      </c>
      <c r="I113" s="4">
        <v>1.3</v>
      </c>
      <c r="J113" s="4">
        <v>0.14</v>
      </c>
      <c r="K113" s="6" t="b">
        <f t="shared" ref="K113:L113" si="106">FALSE()</f>
        <v>0</v>
      </c>
      <c r="L113" s="6" t="b">
        <f t="shared" si="106"/>
        <v>0</v>
      </c>
      <c r="M113" s="6" t="b">
        <f t="shared" si="97"/>
        <v>1</v>
      </c>
      <c r="N113" s="4">
        <v>1.18172719537862</v>
      </c>
      <c r="P113" s="4">
        <v>0.832909122935104</v>
      </c>
      <c r="T113" s="4">
        <f t="shared" si="3"/>
        <v>407</v>
      </c>
      <c r="U113" s="4">
        <f t="shared" si="4"/>
        <v>249</v>
      </c>
    </row>
    <row r="114" ht="15.75" customHeight="1">
      <c r="A114" s="4" t="s">
        <v>190</v>
      </c>
      <c r="B114" s="4" t="s">
        <v>13</v>
      </c>
      <c r="C114" s="4">
        <v>0.06</v>
      </c>
      <c r="D114" s="4">
        <v>0.0214</v>
      </c>
      <c r="E114" s="4">
        <v>0.0941</v>
      </c>
      <c r="I114" s="4">
        <v>0.4354</v>
      </c>
      <c r="J114" s="4">
        <v>0.0348</v>
      </c>
      <c r="K114" s="6" t="b">
        <f t="shared" ref="K114:M114" si="107">FALSE()</f>
        <v>0</v>
      </c>
      <c r="L114" s="6" t="b">
        <f t="shared" si="107"/>
        <v>0</v>
      </c>
      <c r="M114" s="6" t="b">
        <f t="shared" si="107"/>
        <v>0</v>
      </c>
      <c r="N114" s="4">
        <v>0.0582689081239757</v>
      </c>
      <c r="P114" s="4">
        <v>0.361443556013835</v>
      </c>
      <c r="T114" s="4">
        <f t="shared" si="3"/>
        <v>1357</v>
      </c>
      <c r="U114" s="4">
        <f t="shared" si="4"/>
        <v>1072</v>
      </c>
    </row>
    <row r="115" ht="15.75" customHeight="1">
      <c r="A115" s="4" t="s">
        <v>192</v>
      </c>
      <c r="B115" s="4" t="s">
        <v>13</v>
      </c>
      <c r="C115" s="4">
        <v>2.8</v>
      </c>
      <c r="D115" s="4">
        <v>0.25</v>
      </c>
      <c r="E115" s="4">
        <v>0.25</v>
      </c>
      <c r="I115" s="4">
        <v>1.08</v>
      </c>
      <c r="J115" s="4">
        <v>0.13</v>
      </c>
      <c r="K115" s="6" t="b">
        <f t="shared" ref="K115:L115" si="108">FALSE()</f>
        <v>0</v>
      </c>
      <c r="L115" s="6" t="b">
        <f t="shared" si="108"/>
        <v>0</v>
      </c>
      <c r="M115" s="6" t="b">
        <f>TRUE()</f>
        <v>1</v>
      </c>
      <c r="N115" s="4">
        <v>1.33500106673234</v>
      </c>
      <c r="P115" s="4">
        <v>0.732367893713227</v>
      </c>
      <c r="T115" s="4">
        <f t="shared" si="3"/>
        <v>337</v>
      </c>
      <c r="U115" s="4">
        <f t="shared" si="4"/>
        <v>547</v>
      </c>
    </row>
    <row r="116" ht="15.75" customHeight="1">
      <c r="A116" s="4" t="s">
        <v>193</v>
      </c>
      <c r="B116" s="4" t="s">
        <v>13</v>
      </c>
      <c r="C116" s="4">
        <v>0.018</v>
      </c>
      <c r="D116" s="4">
        <v>0.01799</v>
      </c>
      <c r="E116" s="4">
        <v>0.0</v>
      </c>
      <c r="I116" s="4">
        <v>0.33</v>
      </c>
      <c r="J116" s="4">
        <v>0.04</v>
      </c>
      <c r="K116" s="6" t="b">
        <f t="shared" ref="K116:M116" si="109">FALSE()</f>
        <v>0</v>
      </c>
      <c r="L116" s="6" t="b">
        <f t="shared" si="109"/>
        <v>0</v>
      </c>
      <c r="M116" s="6" t="b">
        <f t="shared" si="109"/>
        <v>0</v>
      </c>
      <c r="N116" s="4">
        <v>0.017839918128331</v>
      </c>
      <c r="P116" s="4">
        <v>0.285178942233662</v>
      </c>
      <c r="T116" s="4">
        <f t="shared" si="3"/>
        <v>1772</v>
      </c>
      <c r="U116" s="4">
        <f t="shared" si="4"/>
        <v>1258</v>
      </c>
    </row>
    <row r="117" ht="15.75" customHeight="1">
      <c r="A117" s="4" t="s">
        <v>194</v>
      </c>
      <c r="B117" s="4" t="s">
        <v>13</v>
      </c>
      <c r="C117" s="4">
        <v>0.088</v>
      </c>
      <c r="D117" s="4">
        <v>0.035</v>
      </c>
      <c r="E117" s="4">
        <v>0.035</v>
      </c>
      <c r="I117" s="4">
        <v>0.44</v>
      </c>
      <c r="J117" s="4">
        <v>0.04</v>
      </c>
      <c r="K117" s="6" t="b">
        <f t="shared" ref="K117:M117" si="110">FALSE()</f>
        <v>0</v>
      </c>
      <c r="L117" s="6" t="b">
        <f t="shared" si="110"/>
        <v>0</v>
      </c>
      <c r="M117" s="6" t="b">
        <f t="shared" si="110"/>
        <v>0</v>
      </c>
      <c r="N117" s="4">
        <v>0.0843411484337508</v>
      </c>
      <c r="P117" s="4">
        <v>0.364643113587909</v>
      </c>
      <c r="T117" s="4">
        <f t="shared" si="3"/>
        <v>1282</v>
      </c>
      <c r="U117" s="4">
        <f t="shared" si="4"/>
        <v>1065</v>
      </c>
    </row>
    <row r="118" ht="15.75" customHeight="1">
      <c r="A118" s="4" t="s">
        <v>195</v>
      </c>
      <c r="B118" s="4" t="s">
        <v>13</v>
      </c>
      <c r="C118" s="4">
        <v>0.27</v>
      </c>
      <c r="D118" s="4">
        <v>0.04</v>
      </c>
      <c r="E118" s="4">
        <v>0.04</v>
      </c>
      <c r="I118" s="4">
        <v>1.08</v>
      </c>
      <c r="J118" s="4">
        <v>0.1</v>
      </c>
      <c r="K118" s="6" t="b">
        <f t="shared" ref="K118:L118" si="111">FALSE()</f>
        <v>0</v>
      </c>
      <c r="L118" s="6" t="b">
        <f t="shared" si="111"/>
        <v>0</v>
      </c>
      <c r="M118" s="6" t="b">
        <f t="shared" ref="M118:M125" si="113">TRUE()</f>
        <v>1</v>
      </c>
      <c r="N118" s="4">
        <v>0.2390169004705</v>
      </c>
      <c r="P118" s="4">
        <v>0.732367893713227</v>
      </c>
      <c r="T118" s="4">
        <f t="shared" si="3"/>
        <v>1090</v>
      </c>
      <c r="U118" s="4">
        <f t="shared" si="4"/>
        <v>548</v>
      </c>
    </row>
    <row r="119" ht="15.75" customHeight="1">
      <c r="A119" s="4" t="s">
        <v>197</v>
      </c>
      <c r="B119" s="4" t="s">
        <v>13</v>
      </c>
      <c r="C119" s="4">
        <v>0.52</v>
      </c>
      <c r="D119" s="4">
        <v>0.05</v>
      </c>
      <c r="E119" s="4">
        <v>0.05</v>
      </c>
      <c r="I119" s="4">
        <v>1.26</v>
      </c>
      <c r="J119" s="4">
        <v>0.07</v>
      </c>
      <c r="K119" s="6" t="b">
        <f t="shared" ref="K119:L119" si="112">FALSE()</f>
        <v>0</v>
      </c>
      <c r="L119" s="6" t="b">
        <f t="shared" si="112"/>
        <v>0</v>
      </c>
      <c r="M119" s="6" t="b">
        <f t="shared" si="113"/>
        <v>1</v>
      </c>
      <c r="N119" s="4">
        <v>0.418710334858185</v>
      </c>
      <c r="P119" s="4">
        <v>0.815364813284195</v>
      </c>
      <c r="T119" s="4">
        <f t="shared" si="3"/>
        <v>941</v>
      </c>
      <c r="U119" s="4">
        <f t="shared" si="4"/>
        <v>304</v>
      </c>
    </row>
    <row r="120" ht="15.75" customHeight="1">
      <c r="A120" s="4" t="s">
        <v>198</v>
      </c>
      <c r="B120" s="4" t="s">
        <v>13</v>
      </c>
      <c r="C120" s="4">
        <v>10.39</v>
      </c>
      <c r="D120" s="4">
        <v>0.55</v>
      </c>
      <c r="E120" s="4">
        <v>0.55</v>
      </c>
      <c r="I120" s="4">
        <v>1.007</v>
      </c>
      <c r="J120" s="4">
        <v>0.044</v>
      </c>
      <c r="K120" s="6" t="b">
        <f>TRUE()</f>
        <v>1</v>
      </c>
      <c r="L120" s="6" t="b">
        <f>FALSE()</f>
        <v>0</v>
      </c>
      <c r="M120" s="6" t="b">
        <f t="shared" si="113"/>
        <v>1</v>
      </c>
      <c r="N120" s="4">
        <v>2.43273577745909</v>
      </c>
      <c r="P120" s="4">
        <v>0.696641069814201</v>
      </c>
      <c r="T120" s="4">
        <f t="shared" si="3"/>
        <v>45</v>
      </c>
      <c r="U120" s="4">
        <f t="shared" si="4"/>
        <v>660</v>
      </c>
    </row>
    <row r="121" ht="15.75" customHeight="1">
      <c r="A121" s="4" t="s">
        <v>328</v>
      </c>
      <c r="B121" s="4" t="s">
        <v>13</v>
      </c>
      <c r="D121" s="4">
        <v>0.087</v>
      </c>
      <c r="E121" s="4">
        <v>0.087</v>
      </c>
      <c r="F121" s="4">
        <v>0.484</v>
      </c>
      <c r="G121" s="4">
        <v>0.087</v>
      </c>
      <c r="H121" s="4">
        <v>0.087</v>
      </c>
      <c r="I121" s="4">
        <v>0.955</v>
      </c>
      <c r="J121" s="4">
        <v>0.066</v>
      </c>
      <c r="K121" s="6" t="b">
        <f t="shared" ref="K121:L121" si="114">FALSE()</f>
        <v>0</v>
      </c>
      <c r="L121" s="6" t="b">
        <f t="shared" si="114"/>
        <v>0</v>
      </c>
      <c r="M121" s="6" t="b">
        <f t="shared" si="113"/>
        <v>1</v>
      </c>
      <c r="O121" s="4">
        <v>0.394741144745189</v>
      </c>
      <c r="P121" s="4">
        <v>0.670390193437329</v>
      </c>
      <c r="T121" s="4" t="str">
        <f t="shared" si="3"/>
        <v/>
      </c>
      <c r="U121" s="4">
        <f t="shared" si="4"/>
        <v>722</v>
      </c>
    </row>
    <row r="122" ht="15.75" customHeight="1">
      <c r="A122" s="4" t="s">
        <v>199</v>
      </c>
      <c r="B122" s="4" t="s">
        <v>13</v>
      </c>
      <c r="C122" s="4">
        <v>0.85</v>
      </c>
      <c r="D122" s="4">
        <v>0.2</v>
      </c>
      <c r="E122" s="4">
        <v>0.2</v>
      </c>
      <c r="F122" s="4">
        <v>0.85</v>
      </c>
      <c r="G122" s="4">
        <v>0.2</v>
      </c>
      <c r="H122" s="4">
        <v>0.2</v>
      </c>
      <c r="I122" s="4">
        <v>0.9</v>
      </c>
      <c r="J122" s="4">
        <v>0.16</v>
      </c>
      <c r="K122" s="6" t="b">
        <f t="shared" ref="K122:L122" si="115">FALSE()</f>
        <v>0</v>
      </c>
      <c r="L122" s="6" t="b">
        <f t="shared" si="115"/>
        <v>0</v>
      </c>
      <c r="M122" s="6" t="b">
        <f t="shared" si="113"/>
        <v>1</v>
      </c>
      <c r="N122" s="4">
        <v>0.615185639090234</v>
      </c>
      <c r="O122" s="4">
        <v>0.615185639090234</v>
      </c>
      <c r="P122" s="4">
        <v>0.641853886172395</v>
      </c>
      <c r="Q122" s="4">
        <v>-0.105959244843812</v>
      </c>
      <c r="R122" s="4">
        <v>-0.113194503319745</v>
      </c>
      <c r="S122" s="4">
        <v>0.139811291949794</v>
      </c>
      <c r="T122" s="4">
        <f t="shared" si="3"/>
        <v>737</v>
      </c>
      <c r="U122" s="4">
        <f t="shared" si="4"/>
        <v>764</v>
      </c>
    </row>
    <row r="123" ht="15.75" customHeight="1">
      <c r="A123" s="4" t="s">
        <v>200</v>
      </c>
      <c r="B123" s="4" t="s">
        <v>13</v>
      </c>
      <c r="C123" s="4">
        <v>3.31</v>
      </c>
      <c r="D123" s="4">
        <v>0.16</v>
      </c>
      <c r="E123" s="4">
        <v>0.16</v>
      </c>
      <c r="I123" s="4">
        <v>1.465</v>
      </c>
      <c r="J123" s="4">
        <v>0.029</v>
      </c>
      <c r="K123" s="6" t="b">
        <f t="shared" ref="K123:L123" si="116">FALSE()</f>
        <v>0</v>
      </c>
      <c r="L123" s="6" t="b">
        <f t="shared" si="116"/>
        <v>0</v>
      </c>
      <c r="M123" s="6" t="b">
        <f t="shared" si="113"/>
        <v>1</v>
      </c>
      <c r="N123" s="4">
        <v>1.46093790411566</v>
      </c>
      <c r="P123" s="4">
        <v>0.902191807494653</v>
      </c>
      <c r="T123" s="4">
        <f t="shared" si="3"/>
        <v>301</v>
      </c>
      <c r="U123" s="4">
        <f t="shared" si="4"/>
        <v>134</v>
      </c>
    </row>
    <row r="124" ht="15.75" customHeight="1">
      <c r="A124" s="4" t="s">
        <v>201</v>
      </c>
      <c r="B124" s="4" t="s">
        <v>13</v>
      </c>
      <c r="C124" s="4">
        <v>2.9</v>
      </c>
      <c r="D124" s="4">
        <v>0.22</v>
      </c>
      <c r="E124" s="4">
        <v>0.22</v>
      </c>
      <c r="I124" s="4">
        <v>1.009</v>
      </c>
      <c r="J124" s="4">
        <v>0.076</v>
      </c>
      <c r="K124" s="6" t="b">
        <f t="shared" ref="K124:L124" si="117">FALSE()</f>
        <v>0</v>
      </c>
      <c r="L124" s="6" t="b">
        <f t="shared" si="117"/>
        <v>0</v>
      </c>
      <c r="M124" s="6" t="b">
        <f t="shared" si="113"/>
        <v>1</v>
      </c>
      <c r="N124" s="4">
        <v>1.3609765531356</v>
      </c>
      <c r="P124" s="4">
        <v>0.697637085832797</v>
      </c>
      <c r="T124" s="4">
        <f t="shared" si="3"/>
        <v>328</v>
      </c>
      <c r="U124" s="4">
        <f t="shared" si="4"/>
        <v>652</v>
      </c>
    </row>
    <row r="125" ht="15.75" customHeight="1">
      <c r="A125" s="4" t="s">
        <v>202</v>
      </c>
      <c r="B125" s="4" t="s">
        <v>13</v>
      </c>
      <c r="C125" s="4">
        <v>0.84</v>
      </c>
      <c r="D125" s="4">
        <v>0.34</v>
      </c>
      <c r="E125" s="4">
        <v>0.34</v>
      </c>
      <c r="I125" s="4">
        <v>1.46</v>
      </c>
      <c r="J125" s="4">
        <v>0.3</v>
      </c>
      <c r="K125" s="6" t="b">
        <f t="shared" ref="K125:L125" si="118">FALSE()</f>
        <v>0</v>
      </c>
      <c r="L125" s="6" t="b">
        <f t="shared" si="118"/>
        <v>0</v>
      </c>
      <c r="M125" s="6" t="b">
        <f t="shared" si="113"/>
        <v>1</v>
      </c>
      <c r="N125" s="4">
        <v>0.609765571620894</v>
      </c>
      <c r="P125" s="4">
        <v>0.900161349944271</v>
      </c>
      <c r="T125" s="4">
        <f t="shared" si="3"/>
        <v>744</v>
      </c>
      <c r="U125" s="4">
        <f t="shared" si="4"/>
        <v>138</v>
      </c>
    </row>
    <row r="126" ht="15.75" customHeight="1">
      <c r="A126" s="4" t="s">
        <v>204</v>
      </c>
      <c r="B126" s="4" t="s">
        <v>13</v>
      </c>
      <c r="C126" s="4">
        <v>0.15</v>
      </c>
      <c r="D126" s="4">
        <v>0.1</v>
      </c>
      <c r="E126" s="4">
        <v>0.1</v>
      </c>
      <c r="I126" s="4">
        <v>0.57</v>
      </c>
      <c r="J126" s="4">
        <v>0.06</v>
      </c>
      <c r="K126" s="6" t="b">
        <f t="shared" ref="K126:M126" si="119">FALSE()</f>
        <v>0</v>
      </c>
      <c r="L126" s="6" t="b">
        <f t="shared" si="119"/>
        <v>0</v>
      </c>
      <c r="M126" s="6" t="b">
        <f t="shared" si="119"/>
        <v>0</v>
      </c>
      <c r="N126" s="4">
        <v>0.139761942375159</v>
      </c>
      <c r="P126" s="4">
        <v>0.451075619360217</v>
      </c>
      <c r="T126" s="4">
        <f t="shared" si="3"/>
        <v>1196</v>
      </c>
      <c r="U126" s="4">
        <f t="shared" si="4"/>
        <v>959</v>
      </c>
    </row>
    <row r="127" ht="15.75" customHeight="1">
      <c r="A127" s="4" t="s">
        <v>205</v>
      </c>
      <c r="B127" s="4" t="s">
        <v>13</v>
      </c>
      <c r="C127" s="4">
        <v>1.1</v>
      </c>
      <c r="D127" s="4">
        <v>0.37</v>
      </c>
      <c r="E127" s="4">
        <v>0.37</v>
      </c>
      <c r="I127" s="4">
        <v>1.68</v>
      </c>
      <c r="J127" s="4">
        <v>0.11</v>
      </c>
      <c r="K127" s="6" t="b">
        <f t="shared" ref="K127:L127" si="120">FALSE()</f>
        <v>0</v>
      </c>
      <c r="L127" s="6" t="b">
        <f t="shared" si="120"/>
        <v>0</v>
      </c>
      <c r="M127" s="6" t="b">
        <f t="shared" ref="M127:M131" si="122">TRUE()</f>
        <v>1</v>
      </c>
      <c r="N127" s="4">
        <v>0.741937344729377</v>
      </c>
      <c r="P127" s="4">
        <v>0.985816794522765</v>
      </c>
      <c r="T127" s="4">
        <f t="shared" si="3"/>
        <v>624</v>
      </c>
      <c r="U127" s="4">
        <f t="shared" si="4"/>
        <v>53</v>
      </c>
    </row>
    <row r="128" ht="15.75" customHeight="1">
      <c r="A128" s="4" t="s">
        <v>206</v>
      </c>
      <c r="B128" s="4" t="s">
        <v>13</v>
      </c>
      <c r="C128" s="4">
        <v>0.68</v>
      </c>
      <c r="D128" s="4">
        <v>0.68</v>
      </c>
      <c r="E128" s="4">
        <v>0.47</v>
      </c>
      <c r="I128" s="4">
        <v>1.41</v>
      </c>
      <c r="J128" s="4">
        <v>0.14</v>
      </c>
      <c r="K128" s="6" t="b">
        <f t="shared" ref="K128:L128" si="121">FALSE()</f>
        <v>0</v>
      </c>
      <c r="L128" s="6" t="b">
        <f t="shared" si="121"/>
        <v>0</v>
      </c>
      <c r="M128" s="6" t="b">
        <f t="shared" si="122"/>
        <v>1</v>
      </c>
      <c r="N128" s="4">
        <v>0.518793793415168</v>
      </c>
      <c r="P128" s="4">
        <v>0.879626747502564</v>
      </c>
      <c r="T128" s="4">
        <f t="shared" si="3"/>
        <v>829</v>
      </c>
      <c r="U128" s="4">
        <f t="shared" si="4"/>
        <v>170</v>
      </c>
    </row>
    <row r="129" ht="15.75" customHeight="1">
      <c r="A129" s="4" t="s">
        <v>207</v>
      </c>
      <c r="B129" s="4" t="s">
        <v>13</v>
      </c>
      <c r="C129" s="4">
        <v>0.72</v>
      </c>
      <c r="D129" s="4">
        <v>0.08</v>
      </c>
      <c r="E129" s="4">
        <v>0.08</v>
      </c>
      <c r="I129" s="4">
        <v>1.19</v>
      </c>
      <c r="J129" s="4">
        <v>0.05</v>
      </c>
      <c r="K129" s="6" t="b">
        <f t="shared" ref="K129:L129" si="123">FALSE()</f>
        <v>0</v>
      </c>
      <c r="L129" s="6" t="b">
        <f t="shared" si="123"/>
        <v>0</v>
      </c>
      <c r="M129" s="6" t="b">
        <f t="shared" si="122"/>
        <v>1</v>
      </c>
      <c r="N129" s="4">
        <v>0.542324290825362</v>
      </c>
      <c r="P129" s="4">
        <v>0.783901543828409</v>
      </c>
      <c r="T129" s="4">
        <f t="shared" si="3"/>
        <v>808</v>
      </c>
      <c r="U129" s="4">
        <f t="shared" si="4"/>
        <v>397</v>
      </c>
    </row>
    <row r="130" ht="15.75" customHeight="1">
      <c r="A130" s="4" t="s">
        <v>208</v>
      </c>
      <c r="B130" s="4" t="s">
        <v>13</v>
      </c>
      <c r="C130" s="4">
        <v>0.467</v>
      </c>
      <c r="D130" s="4">
        <v>0.024</v>
      </c>
      <c r="E130" s="4">
        <v>0.047</v>
      </c>
      <c r="I130" s="4">
        <v>1.33</v>
      </c>
      <c r="J130" s="4">
        <v>0.047</v>
      </c>
      <c r="K130" s="6" t="b">
        <f t="shared" ref="K130:L130" si="124">FALSE()</f>
        <v>0</v>
      </c>
      <c r="L130" s="6" t="b">
        <f t="shared" si="124"/>
        <v>0</v>
      </c>
      <c r="M130" s="6" t="b">
        <f t="shared" si="122"/>
        <v>1</v>
      </c>
      <c r="N130" s="4">
        <v>0.383219499160845</v>
      </c>
      <c r="P130" s="4">
        <v>0.845868267577609</v>
      </c>
      <c r="T130" s="4">
        <f t="shared" si="3"/>
        <v>971</v>
      </c>
      <c r="U130" s="4">
        <f t="shared" si="4"/>
        <v>221</v>
      </c>
    </row>
    <row r="131" ht="15.75" customHeight="1">
      <c r="A131" s="4" t="s">
        <v>210</v>
      </c>
      <c r="B131" s="4" t="s">
        <v>13</v>
      </c>
      <c r="C131" s="4">
        <v>2.96</v>
      </c>
      <c r="D131" s="4">
        <v>0.34</v>
      </c>
      <c r="E131" s="4">
        <v>0.34</v>
      </c>
      <c r="I131" s="4">
        <v>1.166</v>
      </c>
      <c r="J131" s="4">
        <v>0.035</v>
      </c>
      <c r="K131" s="6" t="b">
        <f t="shared" ref="K131:L131" si="125">FALSE()</f>
        <v>0</v>
      </c>
      <c r="L131" s="6" t="b">
        <f t="shared" si="125"/>
        <v>0</v>
      </c>
      <c r="M131" s="6" t="b">
        <f t="shared" si="122"/>
        <v>1</v>
      </c>
      <c r="N131" s="4">
        <v>1.37624402526639</v>
      </c>
      <c r="P131" s="4">
        <v>0.772882148578799</v>
      </c>
      <c r="T131" s="4">
        <f t="shared" si="3"/>
        <v>326</v>
      </c>
      <c r="U131" s="4">
        <f t="shared" si="4"/>
        <v>433</v>
      </c>
    </row>
    <row r="132" ht="15.75" customHeight="1">
      <c r="A132" s="4" t="s">
        <v>211</v>
      </c>
      <c r="B132" s="4" t="s">
        <v>13</v>
      </c>
      <c r="C132" s="4">
        <v>0.01907</v>
      </c>
      <c r="D132" s="4">
        <v>0.00205</v>
      </c>
      <c r="E132" s="4">
        <v>0.00205</v>
      </c>
      <c r="I132" s="4">
        <v>0.136</v>
      </c>
      <c r="K132" s="6" t="b">
        <f t="shared" ref="K132:M132" si="126">FALSE()</f>
        <v>0</v>
      </c>
      <c r="L132" s="6" t="b">
        <f t="shared" si="126"/>
        <v>0</v>
      </c>
      <c r="M132" s="6" t="b">
        <f t="shared" si="126"/>
        <v>0</v>
      </c>
      <c r="N132" s="4">
        <v>0.0188904466800304</v>
      </c>
      <c r="P132" s="4">
        <v>0.12751332029896</v>
      </c>
      <c r="T132" s="4">
        <f t="shared" si="3"/>
        <v>1750</v>
      </c>
      <c r="U132" s="4">
        <f t="shared" si="4"/>
        <v>3569</v>
      </c>
    </row>
    <row r="133" ht="15.75" customHeight="1">
      <c r="A133" s="4" t="s">
        <v>402</v>
      </c>
      <c r="B133" s="4" t="s">
        <v>13</v>
      </c>
      <c r="D133" s="4">
        <v>0.002168</v>
      </c>
      <c r="E133" s="4">
        <v>0.002168</v>
      </c>
      <c r="F133" s="4">
        <v>0.041812</v>
      </c>
      <c r="G133" s="4">
        <v>0.002168</v>
      </c>
      <c r="H133" s="4">
        <v>0.002168</v>
      </c>
      <c r="K133" s="6" t="b">
        <f t="shared" ref="K133:M133" si="127">FALSE()</f>
        <v>0</v>
      </c>
      <c r="L133" s="6" t="b">
        <f t="shared" si="127"/>
        <v>0</v>
      </c>
      <c r="M133" s="6" t="b">
        <f t="shared" si="127"/>
        <v>0</v>
      </c>
      <c r="O133" s="4">
        <v>0.0409615047882451</v>
      </c>
      <c r="T133" s="4" t="str">
        <f t="shared" si="3"/>
        <v/>
      </c>
      <c r="U133" s="4" t="str">
        <f t="shared" si="4"/>
        <v/>
      </c>
    </row>
    <row r="134" ht="15.75" customHeight="1">
      <c r="A134" s="4" t="s">
        <v>409</v>
      </c>
      <c r="B134" s="4" t="s">
        <v>13</v>
      </c>
      <c r="D134" s="4">
        <v>0.008029</v>
      </c>
      <c r="E134" s="4">
        <v>0.008029</v>
      </c>
      <c r="F134" s="4">
        <v>0.053935</v>
      </c>
      <c r="G134" s="4">
        <v>0.008029</v>
      </c>
      <c r="H134" s="4">
        <v>0.008029</v>
      </c>
      <c r="K134" s="6" t="b">
        <f t="shared" ref="K134:M134" si="128">FALSE()</f>
        <v>0</v>
      </c>
      <c r="L134" s="6" t="b">
        <f t="shared" si="128"/>
        <v>0</v>
      </c>
      <c r="M134" s="6" t="b">
        <f t="shared" si="128"/>
        <v>0</v>
      </c>
      <c r="O134" s="4">
        <v>0.0525307783882864</v>
      </c>
      <c r="T134" s="4" t="str">
        <f t="shared" si="3"/>
        <v/>
      </c>
      <c r="U134" s="4" t="str">
        <f t="shared" si="4"/>
        <v/>
      </c>
    </row>
    <row r="135" ht="15.75" customHeight="1">
      <c r="A135" s="4" t="s">
        <v>212</v>
      </c>
      <c r="B135" s="4" t="s">
        <v>13</v>
      </c>
      <c r="C135" s="4">
        <v>0.2158</v>
      </c>
      <c r="D135" s="4">
        <v>0.034</v>
      </c>
      <c r="E135" s="4">
        <v>0.034</v>
      </c>
      <c r="I135" s="4">
        <v>0.5692</v>
      </c>
      <c r="J135" s="4">
        <v>0.0196</v>
      </c>
      <c r="K135" s="6" t="b">
        <f t="shared" ref="K135:M135" si="129">FALSE()</f>
        <v>0</v>
      </c>
      <c r="L135" s="6" t="b">
        <f t="shared" si="129"/>
        <v>0</v>
      </c>
      <c r="M135" s="6" t="b">
        <f t="shared" si="129"/>
        <v>0</v>
      </c>
      <c r="N135" s="4">
        <v>0.195402296332485</v>
      </c>
      <c r="P135" s="4">
        <v>0.45056593535326</v>
      </c>
      <c r="T135" s="4">
        <f t="shared" si="3"/>
        <v>1139</v>
      </c>
      <c r="U135" s="4">
        <f t="shared" si="4"/>
        <v>962</v>
      </c>
    </row>
    <row r="136" ht="15.75" customHeight="1">
      <c r="A136" s="4" t="s">
        <v>213</v>
      </c>
      <c r="B136" s="4" t="s">
        <v>13</v>
      </c>
      <c r="C136" s="4">
        <v>0.84</v>
      </c>
      <c r="D136" s="4">
        <v>0.07</v>
      </c>
      <c r="E136" s="4">
        <v>0.07</v>
      </c>
      <c r="I136" s="4">
        <v>0.94</v>
      </c>
      <c r="J136" s="4">
        <v>0.04</v>
      </c>
      <c r="K136" s="6" t="b">
        <f t="shared" ref="K136:L136" si="130">FALSE()</f>
        <v>0</v>
      </c>
      <c r="L136" s="6" t="b">
        <f t="shared" si="130"/>
        <v>0</v>
      </c>
      <c r="M136" s="6" t="b">
        <f>TRUE()</f>
        <v>1</v>
      </c>
      <c r="N136" s="4">
        <v>0.609765571620894</v>
      </c>
      <c r="P136" s="4">
        <v>0.662687973075237</v>
      </c>
      <c r="T136" s="4">
        <f t="shared" si="3"/>
        <v>745</v>
      </c>
      <c r="U136" s="4">
        <f t="shared" si="4"/>
        <v>737</v>
      </c>
    </row>
    <row r="137" ht="15.75" customHeight="1">
      <c r="A137" s="4" t="s">
        <v>428</v>
      </c>
      <c r="B137" s="4" t="s">
        <v>13</v>
      </c>
      <c r="D137" s="4">
        <v>0.7</v>
      </c>
      <c r="E137" s="4">
        <v>0.7</v>
      </c>
      <c r="F137" s="4">
        <v>6.8</v>
      </c>
      <c r="G137" s="4">
        <v>0.7</v>
      </c>
      <c r="H137" s="4">
        <v>0.7</v>
      </c>
      <c r="K137" s="6" t="b">
        <f t="shared" ref="K137:K138" si="131">FALSE()</f>
        <v>0</v>
      </c>
      <c r="L137" s="6" t="b">
        <f t="shared" ref="L137:L138" si="132">TRUE()</f>
        <v>1</v>
      </c>
      <c r="M137" s="6" t="b">
        <f t="shared" ref="M137:M138" si="133">FALSE()</f>
        <v>0</v>
      </c>
      <c r="O137" s="4">
        <v>2.05412373369555</v>
      </c>
      <c r="T137" s="4" t="str">
        <f t="shared" si="3"/>
        <v/>
      </c>
      <c r="U137" s="4" t="str">
        <f t="shared" si="4"/>
        <v/>
      </c>
    </row>
    <row r="138" ht="15.75" customHeight="1">
      <c r="A138" s="4" t="s">
        <v>436</v>
      </c>
      <c r="B138" s="4" t="s">
        <v>13</v>
      </c>
      <c r="D138" s="4">
        <v>3.0</v>
      </c>
      <c r="E138" s="4">
        <v>3.0</v>
      </c>
      <c r="F138" s="4">
        <v>11.0</v>
      </c>
      <c r="G138" s="4">
        <v>3.0</v>
      </c>
      <c r="H138" s="4">
        <v>3.0</v>
      </c>
      <c r="K138" s="6" t="b">
        <f t="shared" si="131"/>
        <v>0</v>
      </c>
      <c r="L138" s="6" t="b">
        <f t="shared" si="132"/>
        <v>1</v>
      </c>
      <c r="M138" s="6" t="b">
        <f t="shared" si="133"/>
        <v>0</v>
      </c>
      <c r="O138" s="4">
        <v>2.484906649788</v>
      </c>
      <c r="T138" s="4" t="str">
        <f t="shared" si="3"/>
        <v/>
      </c>
      <c r="U138" s="4" t="str">
        <f t="shared" si="4"/>
        <v/>
      </c>
    </row>
    <row r="139" ht="15.75" customHeight="1">
      <c r="A139" s="4" t="s">
        <v>440</v>
      </c>
      <c r="B139" s="4" t="s">
        <v>13</v>
      </c>
      <c r="C139" s="4">
        <v>11.0</v>
      </c>
      <c r="D139" s="4">
        <v>0.003</v>
      </c>
      <c r="E139" s="4">
        <v>0.01</v>
      </c>
      <c r="K139" s="6" t="b">
        <f>TRUE()</f>
        <v>1</v>
      </c>
      <c r="L139" s="6" t="b">
        <f t="shared" ref="L139:M139" si="134">FALSE()</f>
        <v>0</v>
      </c>
      <c r="M139" s="6" t="b">
        <f t="shared" si="134"/>
        <v>0</v>
      </c>
      <c r="N139" s="4">
        <v>2.484906649788</v>
      </c>
      <c r="T139" s="4">
        <f t="shared" si="3"/>
        <v>30</v>
      </c>
      <c r="U139" s="4" t="str">
        <f t="shared" si="4"/>
        <v/>
      </c>
    </row>
    <row r="140" ht="15.75" customHeight="1">
      <c r="A140" s="4" t="s">
        <v>449</v>
      </c>
      <c r="B140" s="4" t="s">
        <v>13</v>
      </c>
      <c r="D140" s="4">
        <v>0.005</v>
      </c>
      <c r="E140" s="4">
        <v>0.005</v>
      </c>
      <c r="F140" s="4">
        <v>0.0365</v>
      </c>
      <c r="G140" s="4">
        <v>0.005</v>
      </c>
      <c r="H140" s="4">
        <v>0.005</v>
      </c>
      <c r="K140" s="6" t="b">
        <f t="shared" ref="K140:M140" si="135">FALSE()</f>
        <v>0</v>
      </c>
      <c r="L140" s="6" t="b">
        <f t="shared" si="135"/>
        <v>0</v>
      </c>
      <c r="M140" s="6" t="b">
        <f t="shared" si="135"/>
        <v>0</v>
      </c>
      <c r="O140" s="4">
        <v>0.0358496528936972</v>
      </c>
      <c r="T140" s="4" t="str">
        <f t="shared" si="3"/>
        <v/>
      </c>
      <c r="U140" s="4" t="str">
        <f t="shared" si="4"/>
        <v/>
      </c>
    </row>
    <row r="141" ht="15.75" customHeight="1">
      <c r="A141" s="4" t="s">
        <v>456</v>
      </c>
      <c r="B141" s="4" t="s">
        <v>13</v>
      </c>
      <c r="C141" s="4">
        <v>6.05</v>
      </c>
      <c r="D141" s="4">
        <v>0.47</v>
      </c>
      <c r="E141" s="4">
        <v>0.47</v>
      </c>
      <c r="K141" s="6" t="b">
        <f>TRUE()</f>
        <v>1</v>
      </c>
      <c r="L141" s="6" t="b">
        <f t="shared" ref="L141:M141" si="136">FALSE()</f>
        <v>0</v>
      </c>
      <c r="M141" s="6" t="b">
        <f t="shared" si="136"/>
        <v>0</v>
      </c>
      <c r="N141" s="4">
        <v>1.95302761682418</v>
      </c>
      <c r="T141" s="4">
        <f t="shared" si="3"/>
        <v>160</v>
      </c>
      <c r="U141" s="4" t="str">
        <f t="shared" si="4"/>
        <v/>
      </c>
    </row>
    <row r="142" ht="15.75" customHeight="1">
      <c r="A142" s="4" t="s">
        <v>214</v>
      </c>
      <c r="B142" s="4" t="s">
        <v>13</v>
      </c>
      <c r="C142" s="4">
        <v>0.0453</v>
      </c>
      <c r="D142" s="4">
        <v>0.0453</v>
      </c>
      <c r="E142" s="4">
        <v>0.0</v>
      </c>
      <c r="I142" s="4">
        <v>0.5085</v>
      </c>
      <c r="J142" s="4">
        <v>0.0152</v>
      </c>
      <c r="K142" s="6" t="b">
        <f t="shared" ref="K142:M142" si="137">FALSE()</f>
        <v>0</v>
      </c>
      <c r="L142" s="6" t="b">
        <f t="shared" si="137"/>
        <v>0</v>
      </c>
      <c r="M142" s="6" t="b">
        <f t="shared" si="137"/>
        <v>0</v>
      </c>
      <c r="N142" s="4">
        <v>0.0443039255565244</v>
      </c>
      <c r="P142" s="4">
        <v>0.411115779616979</v>
      </c>
      <c r="T142" s="4">
        <f t="shared" si="3"/>
        <v>1429</v>
      </c>
      <c r="U142" s="4">
        <f t="shared" si="4"/>
        <v>1007</v>
      </c>
    </row>
    <row r="143" ht="15.75" customHeight="1">
      <c r="A143" s="4" t="s">
        <v>467</v>
      </c>
      <c r="B143" s="4" t="s">
        <v>13</v>
      </c>
      <c r="D143" s="4">
        <v>1.44</v>
      </c>
      <c r="E143" s="4">
        <v>1.44</v>
      </c>
      <c r="F143" s="4">
        <v>5.58</v>
      </c>
      <c r="G143" s="4">
        <v>1.44</v>
      </c>
      <c r="H143" s="4">
        <v>1.44</v>
      </c>
      <c r="K143" s="6" t="b">
        <f t="shared" ref="K143:M143" si="138">FALSE()</f>
        <v>0</v>
      </c>
      <c r="L143" s="6" t="b">
        <f t="shared" si="138"/>
        <v>0</v>
      </c>
      <c r="M143" s="6" t="b">
        <f t="shared" si="138"/>
        <v>0</v>
      </c>
      <c r="O143" s="4">
        <v>1.88403474533723</v>
      </c>
      <c r="T143" s="4" t="str">
        <f t="shared" si="3"/>
        <v/>
      </c>
      <c r="U143" s="4" t="str">
        <f t="shared" si="4"/>
        <v/>
      </c>
    </row>
    <row r="144" ht="15.75" customHeight="1">
      <c r="A144" s="4" t="s">
        <v>474</v>
      </c>
      <c r="B144" s="4" t="s">
        <v>13</v>
      </c>
      <c r="C144" s="4">
        <v>11.0</v>
      </c>
      <c r="D144" s="4">
        <v>1.0</v>
      </c>
      <c r="E144" s="4">
        <v>2.0</v>
      </c>
      <c r="K144" s="6" t="b">
        <f>TRUE()</f>
        <v>1</v>
      </c>
      <c r="L144" s="6" t="b">
        <f t="shared" ref="L144:M144" si="139">FALSE()</f>
        <v>0</v>
      </c>
      <c r="M144" s="6" t="b">
        <f t="shared" si="139"/>
        <v>0</v>
      </c>
      <c r="N144" s="4">
        <v>2.484906649788</v>
      </c>
      <c r="T144" s="4">
        <f t="shared" si="3"/>
        <v>31</v>
      </c>
      <c r="U144" s="4" t="str">
        <f t="shared" si="4"/>
        <v/>
      </c>
    </row>
    <row r="145" ht="15.75" customHeight="1">
      <c r="A145" s="4" t="s">
        <v>215</v>
      </c>
      <c r="B145" s="4" t="s">
        <v>13</v>
      </c>
      <c r="C145" s="4">
        <v>0.3883</v>
      </c>
      <c r="D145" s="4">
        <v>0.303</v>
      </c>
      <c r="E145" s="4">
        <v>0.303</v>
      </c>
      <c r="I145" s="4">
        <v>1.561</v>
      </c>
      <c r="J145" s="4">
        <v>0.152</v>
      </c>
      <c r="K145" s="6" t="b">
        <f t="shared" ref="K145:L145" si="140">FALSE()</f>
        <v>0</v>
      </c>
      <c r="L145" s="6" t="b">
        <f t="shared" si="140"/>
        <v>0</v>
      </c>
      <c r="M145" s="6" t="b">
        <f>TRUE()</f>
        <v>1</v>
      </c>
      <c r="N145" s="4">
        <v>0.32807997705862</v>
      </c>
      <c r="P145" s="4">
        <v>0.940397807217388</v>
      </c>
      <c r="T145" s="4">
        <f t="shared" si="3"/>
        <v>1025</v>
      </c>
      <c r="U145" s="4">
        <f t="shared" si="4"/>
        <v>93</v>
      </c>
    </row>
    <row r="146" ht="15.75" customHeight="1">
      <c r="A146" s="4" t="s">
        <v>488</v>
      </c>
      <c r="B146" s="4" t="s">
        <v>13</v>
      </c>
      <c r="D146" s="4">
        <v>0.3</v>
      </c>
      <c r="E146" s="4">
        <v>0.3</v>
      </c>
      <c r="F146" s="4">
        <v>6.7</v>
      </c>
      <c r="G146" s="4">
        <v>0.3</v>
      </c>
      <c r="H146" s="4">
        <v>0.3</v>
      </c>
      <c r="K146" s="6" t="b">
        <f t="shared" ref="K146:K164" si="141">FALSE()</f>
        <v>0</v>
      </c>
      <c r="L146" s="6" t="b">
        <f>TRUE()</f>
        <v>1</v>
      </c>
      <c r="M146" s="6" t="b">
        <f>FALSE()</f>
        <v>0</v>
      </c>
      <c r="O146" s="4">
        <v>2.04122032885964</v>
      </c>
      <c r="T146" s="4" t="str">
        <f t="shared" si="3"/>
        <v/>
      </c>
      <c r="U146" s="4" t="str">
        <f t="shared" si="4"/>
        <v/>
      </c>
    </row>
    <row r="147" ht="15.75" customHeight="1">
      <c r="A147" s="4" t="s">
        <v>493</v>
      </c>
      <c r="B147" s="4" t="s">
        <v>13</v>
      </c>
      <c r="C147" s="4">
        <v>0.98</v>
      </c>
      <c r="D147" s="4">
        <v>0.1</v>
      </c>
      <c r="E147" s="4">
        <v>0.1</v>
      </c>
      <c r="F147" s="4">
        <v>0.77</v>
      </c>
      <c r="G147" s="4">
        <v>0.2</v>
      </c>
      <c r="H147" s="4">
        <v>0.2</v>
      </c>
      <c r="K147" s="6" t="b">
        <f t="shared" si="141"/>
        <v>0</v>
      </c>
      <c r="L147" s="6" t="b">
        <f t="shared" ref="L147:M147" si="142">FALSE()</f>
        <v>0</v>
      </c>
      <c r="M147" s="6" t="b">
        <f t="shared" si="142"/>
        <v>0</v>
      </c>
      <c r="N147" s="4">
        <v>0.683096844706444</v>
      </c>
      <c r="O147" s="4">
        <v>0.570979546585738</v>
      </c>
      <c r="T147" s="4">
        <f t="shared" si="3"/>
        <v>668</v>
      </c>
      <c r="U147" s="4" t="str">
        <f t="shared" si="4"/>
        <v/>
      </c>
    </row>
    <row r="148" ht="15.75" customHeight="1">
      <c r="A148" s="4" t="s">
        <v>500</v>
      </c>
      <c r="B148" s="4" t="s">
        <v>13</v>
      </c>
      <c r="C148" s="4">
        <v>2.96</v>
      </c>
      <c r="D148" s="4">
        <v>0.4</v>
      </c>
      <c r="E148" s="4">
        <v>0.4</v>
      </c>
      <c r="K148" s="6" t="b">
        <f t="shared" si="141"/>
        <v>0</v>
      </c>
      <c r="L148" s="6" t="b">
        <f t="shared" ref="L148:M148" si="143">FALSE()</f>
        <v>0</v>
      </c>
      <c r="M148" s="6" t="b">
        <f t="shared" si="143"/>
        <v>0</v>
      </c>
      <c r="N148" s="4">
        <v>1.37624402526639</v>
      </c>
      <c r="T148" s="4">
        <f t="shared" si="3"/>
        <v>327</v>
      </c>
      <c r="U148" s="4" t="str">
        <f t="shared" si="4"/>
        <v/>
      </c>
    </row>
    <row r="149" ht="15.75" customHeight="1">
      <c r="A149" s="4" t="s">
        <v>506</v>
      </c>
      <c r="B149" s="4" t="s">
        <v>13</v>
      </c>
      <c r="D149" s="4">
        <v>0.11</v>
      </c>
      <c r="E149" s="4">
        <v>0.11</v>
      </c>
      <c r="F149" s="4">
        <v>1.35</v>
      </c>
      <c r="G149" s="4">
        <v>0.11</v>
      </c>
      <c r="H149" s="4">
        <v>0.11</v>
      </c>
      <c r="K149" s="6" t="b">
        <f t="shared" si="141"/>
        <v>0</v>
      </c>
      <c r="L149" s="6" t="b">
        <f t="shared" ref="L149:M149" si="144">FALSE()</f>
        <v>0</v>
      </c>
      <c r="M149" s="6" t="b">
        <f t="shared" si="144"/>
        <v>0</v>
      </c>
      <c r="O149" s="4">
        <v>0.854415328156068</v>
      </c>
      <c r="T149" s="4" t="str">
        <f t="shared" si="3"/>
        <v/>
      </c>
      <c r="U149" s="4" t="str">
        <f t="shared" si="4"/>
        <v/>
      </c>
    </row>
    <row r="150" ht="15.75" customHeight="1">
      <c r="A150" s="4" t="s">
        <v>515</v>
      </c>
      <c r="B150" s="4" t="s">
        <v>13</v>
      </c>
      <c r="D150" s="4">
        <v>0.4</v>
      </c>
      <c r="E150" s="4">
        <v>0.5</v>
      </c>
      <c r="F150" s="4">
        <v>7.34</v>
      </c>
      <c r="G150" s="4">
        <v>0.4</v>
      </c>
      <c r="H150" s="4">
        <v>0.5</v>
      </c>
      <c r="K150" s="6" t="b">
        <f t="shared" si="141"/>
        <v>0</v>
      </c>
      <c r="L150" s="6" t="b">
        <f t="shared" ref="L150:L151" si="145">TRUE()</f>
        <v>1</v>
      </c>
      <c r="M150" s="6" t="b">
        <f t="shared" ref="M150:M151" si="146">FALSE()</f>
        <v>0</v>
      </c>
      <c r="O150" s="4">
        <v>2.12106321637066</v>
      </c>
      <c r="T150" s="4" t="str">
        <f t="shared" si="3"/>
        <v/>
      </c>
      <c r="U150" s="4" t="str">
        <f t="shared" si="4"/>
        <v/>
      </c>
    </row>
    <row r="151" ht="15.75" customHeight="1">
      <c r="A151" s="4" t="s">
        <v>522</v>
      </c>
      <c r="B151" s="4" t="s">
        <v>13</v>
      </c>
      <c r="D151" s="4">
        <v>0.7</v>
      </c>
      <c r="E151" s="4">
        <v>0.7</v>
      </c>
      <c r="F151" s="4">
        <v>6.29</v>
      </c>
      <c r="G151" s="4">
        <v>0.7</v>
      </c>
      <c r="H151" s="4">
        <v>0.7</v>
      </c>
      <c r="K151" s="6" t="b">
        <f t="shared" si="141"/>
        <v>0</v>
      </c>
      <c r="L151" s="6" t="b">
        <f t="shared" si="145"/>
        <v>1</v>
      </c>
      <c r="M151" s="6" t="b">
        <f t="shared" si="146"/>
        <v>0</v>
      </c>
      <c r="O151" s="4">
        <v>1.98650354602057</v>
      </c>
      <c r="T151" s="4" t="str">
        <f t="shared" si="3"/>
        <v/>
      </c>
      <c r="U151" s="4" t="str">
        <f t="shared" si="4"/>
        <v/>
      </c>
    </row>
    <row r="152" ht="15.75" customHeight="1">
      <c r="A152" s="4" t="s">
        <v>526</v>
      </c>
      <c r="B152" s="4" t="s">
        <v>13</v>
      </c>
      <c r="D152" s="4">
        <v>0.13</v>
      </c>
      <c r="E152" s="4">
        <v>0.13</v>
      </c>
      <c r="F152" s="4">
        <v>2.55</v>
      </c>
      <c r="G152" s="4">
        <v>0.13</v>
      </c>
      <c r="H152" s="4">
        <v>0.13</v>
      </c>
      <c r="K152" s="6" t="b">
        <f t="shared" si="141"/>
        <v>0</v>
      </c>
      <c r="L152" s="6" t="b">
        <f t="shared" ref="L152:M152" si="147">FALSE()</f>
        <v>0</v>
      </c>
      <c r="M152" s="6" t="b">
        <f t="shared" si="147"/>
        <v>0</v>
      </c>
      <c r="O152" s="4">
        <v>1.26694760348732</v>
      </c>
      <c r="T152" s="4" t="str">
        <f t="shared" si="3"/>
        <v/>
      </c>
      <c r="U152" s="4" t="str">
        <f t="shared" si="4"/>
        <v/>
      </c>
    </row>
    <row r="153" ht="15.75" customHeight="1">
      <c r="A153" s="4" t="s">
        <v>533</v>
      </c>
      <c r="B153" s="4" t="s">
        <v>13</v>
      </c>
      <c r="D153" s="4">
        <v>0.18</v>
      </c>
      <c r="E153" s="4">
        <v>0.18</v>
      </c>
      <c r="F153" s="4">
        <v>3.32</v>
      </c>
      <c r="G153" s="4">
        <v>0.18</v>
      </c>
      <c r="H153" s="4">
        <v>0.18</v>
      </c>
      <c r="K153" s="6" t="b">
        <f t="shared" si="141"/>
        <v>0</v>
      </c>
      <c r="L153" s="6" t="b">
        <f t="shared" ref="L153:M153" si="148">FALSE()</f>
        <v>0</v>
      </c>
      <c r="M153" s="6" t="b">
        <f t="shared" si="148"/>
        <v>0</v>
      </c>
      <c r="O153" s="4">
        <v>1.46325540225602</v>
      </c>
      <c r="T153" s="4" t="str">
        <f t="shared" si="3"/>
        <v/>
      </c>
      <c r="U153" s="4" t="str">
        <f t="shared" si="4"/>
        <v/>
      </c>
    </row>
    <row r="154" ht="15.75" customHeight="1">
      <c r="A154" s="4" t="s">
        <v>539</v>
      </c>
      <c r="B154" s="4" t="s">
        <v>13</v>
      </c>
      <c r="F154" s="4">
        <v>11.3</v>
      </c>
      <c r="K154" s="6" t="b">
        <f t="shared" si="141"/>
        <v>0</v>
      </c>
      <c r="L154" s="6" t="b">
        <f>TRUE()</f>
        <v>1</v>
      </c>
      <c r="M154" s="6" t="b">
        <f>FALSE()</f>
        <v>0</v>
      </c>
      <c r="O154" s="4">
        <v>2.50959926237837</v>
      </c>
      <c r="T154" s="4" t="str">
        <f t="shared" si="3"/>
        <v/>
      </c>
      <c r="U154" s="4" t="str">
        <f t="shared" si="4"/>
        <v/>
      </c>
    </row>
    <row r="155" ht="15.75" customHeight="1">
      <c r="A155" s="4" t="s">
        <v>545</v>
      </c>
      <c r="B155" s="4" t="s">
        <v>13</v>
      </c>
      <c r="D155" s="4">
        <v>5.7E-4</v>
      </c>
      <c r="E155" s="4">
        <v>5.7E-4</v>
      </c>
      <c r="F155" s="4">
        <v>0.00324</v>
      </c>
      <c r="G155" s="4">
        <v>5.7E-4</v>
      </c>
      <c r="H155" s="4">
        <v>5.7E-4</v>
      </c>
      <c r="K155" s="6" t="b">
        <f t="shared" si="141"/>
        <v>0</v>
      </c>
      <c r="L155" s="6" t="b">
        <f t="shared" ref="L155:M155" si="149">FALSE()</f>
        <v>0</v>
      </c>
      <c r="M155" s="6" t="b">
        <f t="shared" si="149"/>
        <v>0</v>
      </c>
      <c r="O155" s="4">
        <v>0.0032347625099293</v>
      </c>
      <c r="T155" s="4" t="str">
        <f t="shared" si="3"/>
        <v/>
      </c>
      <c r="U155" s="4" t="str">
        <f t="shared" si="4"/>
        <v/>
      </c>
    </row>
    <row r="156" ht="15.75" customHeight="1">
      <c r="A156" s="4" t="s">
        <v>553</v>
      </c>
      <c r="B156" s="4" t="s">
        <v>13</v>
      </c>
      <c r="D156" s="4">
        <v>0.005</v>
      </c>
      <c r="E156" s="4">
        <v>0.005</v>
      </c>
      <c r="F156" s="4">
        <v>0.045</v>
      </c>
      <c r="G156" s="4">
        <v>0.005</v>
      </c>
      <c r="H156" s="4">
        <v>0.005</v>
      </c>
      <c r="K156" s="6" t="b">
        <f t="shared" si="141"/>
        <v>0</v>
      </c>
      <c r="L156" s="6" t="b">
        <f t="shared" ref="L156:M156" si="150">FALSE()</f>
        <v>0</v>
      </c>
      <c r="M156" s="6" t="b">
        <f t="shared" si="150"/>
        <v>0</v>
      </c>
      <c r="O156" s="4">
        <v>0.0440168854167743</v>
      </c>
      <c r="T156" s="4" t="str">
        <f t="shared" si="3"/>
        <v/>
      </c>
      <c r="U156" s="4" t="str">
        <f t="shared" si="4"/>
        <v/>
      </c>
    </row>
    <row r="157" ht="15.75" customHeight="1">
      <c r="A157" s="4" t="s">
        <v>559</v>
      </c>
      <c r="B157" s="4" t="s">
        <v>13</v>
      </c>
      <c r="D157" s="4">
        <v>7.2E-4</v>
      </c>
      <c r="E157" s="4">
        <v>7.2E-4</v>
      </c>
      <c r="F157" s="4">
        <v>0.00431</v>
      </c>
      <c r="G157" s="4">
        <v>7.2E-4</v>
      </c>
      <c r="H157" s="4">
        <v>7.2E-4</v>
      </c>
      <c r="K157" s="6" t="b">
        <f t="shared" si="141"/>
        <v>0</v>
      </c>
      <c r="L157" s="6" t="b">
        <f t="shared" ref="L157:M157" si="151">FALSE()</f>
        <v>0</v>
      </c>
      <c r="M157" s="6" t="b">
        <f t="shared" si="151"/>
        <v>0</v>
      </c>
      <c r="O157" s="4">
        <v>0.0043007385516921</v>
      </c>
      <c r="T157" s="4" t="str">
        <f t="shared" si="3"/>
        <v/>
      </c>
      <c r="U157" s="4" t="str">
        <f t="shared" si="4"/>
        <v/>
      </c>
    </row>
    <row r="158" ht="15.75" customHeight="1">
      <c r="A158" s="4" t="s">
        <v>565</v>
      </c>
      <c r="B158" s="4" t="s">
        <v>13</v>
      </c>
      <c r="D158" s="4">
        <v>9.0E-4</v>
      </c>
      <c r="E158" s="4">
        <v>9.0E-4</v>
      </c>
      <c r="F158" s="4">
        <v>0.0079</v>
      </c>
      <c r="G158" s="4">
        <v>9.0E-4</v>
      </c>
      <c r="H158" s="4">
        <v>9.0E-4</v>
      </c>
      <c r="K158" s="6" t="b">
        <f t="shared" si="141"/>
        <v>0</v>
      </c>
      <c r="L158" s="6" t="b">
        <f t="shared" ref="L158:M158" si="152">FALSE()</f>
        <v>0</v>
      </c>
      <c r="M158" s="6" t="b">
        <f t="shared" si="152"/>
        <v>0</v>
      </c>
      <c r="O158" s="4">
        <v>0.0078689583786951</v>
      </c>
      <c r="T158" s="4" t="str">
        <f t="shared" si="3"/>
        <v/>
      </c>
      <c r="U158" s="4" t="str">
        <f t="shared" si="4"/>
        <v/>
      </c>
    </row>
    <row r="159" ht="15.75" customHeight="1">
      <c r="A159" s="4" t="s">
        <v>573</v>
      </c>
      <c r="B159" s="4" t="s">
        <v>13</v>
      </c>
      <c r="D159" s="4">
        <v>0.00151</v>
      </c>
      <c r="E159" s="4">
        <v>0.00151</v>
      </c>
      <c r="F159" s="4">
        <v>0.0118</v>
      </c>
      <c r="G159" s="4">
        <v>0.00151</v>
      </c>
      <c r="H159" s="4">
        <v>0.00151</v>
      </c>
      <c r="K159" s="6" t="b">
        <f t="shared" si="141"/>
        <v>0</v>
      </c>
      <c r="L159" s="6" t="b">
        <f t="shared" ref="L159:M159" si="153">FALSE()</f>
        <v>0</v>
      </c>
      <c r="M159" s="6" t="b">
        <f t="shared" si="153"/>
        <v>0</v>
      </c>
      <c r="O159" s="4">
        <v>0.0117309228756986</v>
      </c>
      <c r="T159" s="4" t="str">
        <f t="shared" si="3"/>
        <v/>
      </c>
      <c r="U159" s="4" t="str">
        <f t="shared" si="4"/>
        <v/>
      </c>
    </row>
    <row r="160" ht="15.75" customHeight="1">
      <c r="A160" s="4" t="s">
        <v>579</v>
      </c>
      <c r="B160" s="4" t="s">
        <v>13</v>
      </c>
      <c r="D160" s="4">
        <v>7.9E-4</v>
      </c>
      <c r="E160" s="4">
        <v>7.9E-4</v>
      </c>
      <c r="F160" s="4">
        <v>0.00478</v>
      </c>
      <c r="G160" s="4">
        <v>7.9E-4</v>
      </c>
      <c r="H160" s="4">
        <v>7.9E-4</v>
      </c>
      <c r="K160" s="6" t="b">
        <f t="shared" si="141"/>
        <v>0</v>
      </c>
      <c r="L160" s="6" t="b">
        <f t="shared" ref="L160:M160" si="154">FALSE()</f>
        <v>0</v>
      </c>
      <c r="M160" s="6" t="b">
        <f t="shared" si="154"/>
        <v>0</v>
      </c>
      <c r="O160" s="4">
        <v>0.004768612075102</v>
      </c>
      <c r="T160" s="4" t="str">
        <f t="shared" si="3"/>
        <v/>
      </c>
      <c r="U160" s="4" t="str">
        <f t="shared" si="4"/>
        <v/>
      </c>
    </row>
    <row r="161" ht="15.75" customHeight="1">
      <c r="A161" s="4" t="s">
        <v>217</v>
      </c>
      <c r="B161" s="4" t="s">
        <v>13</v>
      </c>
      <c r="C161" s="4">
        <v>0.013</v>
      </c>
      <c r="D161" s="4">
        <v>0.00198</v>
      </c>
      <c r="E161" s="4">
        <v>0.00198</v>
      </c>
      <c r="I161" s="4">
        <v>0.17</v>
      </c>
      <c r="J161" s="4">
        <v>0.0058</v>
      </c>
      <c r="K161" s="6" t="b">
        <f t="shared" si="141"/>
        <v>0</v>
      </c>
      <c r="L161" s="6" t="b">
        <f t="shared" ref="L161:M161" si="155">FALSE()</f>
        <v>0</v>
      </c>
      <c r="M161" s="6" t="b">
        <f t="shared" si="155"/>
        <v>0</v>
      </c>
      <c r="N161" s="4">
        <v>0.0129162252665463</v>
      </c>
      <c r="P161" s="4">
        <v>0.157003748809665</v>
      </c>
      <c r="T161" s="4">
        <f t="shared" si="3"/>
        <v>1866</v>
      </c>
      <c r="U161" s="4">
        <f t="shared" si="4"/>
        <v>3032</v>
      </c>
    </row>
    <row r="162" ht="15.75" customHeight="1">
      <c r="A162" s="4" t="s">
        <v>218</v>
      </c>
      <c r="B162" s="4" t="s">
        <v>13</v>
      </c>
      <c r="C162" s="4">
        <v>1.68</v>
      </c>
      <c r="D162" s="4">
        <v>0.11</v>
      </c>
      <c r="E162" s="4">
        <v>0.11</v>
      </c>
      <c r="I162" s="4">
        <v>1.229</v>
      </c>
      <c r="J162" s="4">
        <v>0.021</v>
      </c>
      <c r="K162" s="6" t="b">
        <f t="shared" si="141"/>
        <v>0</v>
      </c>
      <c r="L162" s="6" t="b">
        <f t="shared" ref="L162:L166" si="156">FALSE()</f>
        <v>0</v>
      </c>
      <c r="M162" s="6" t="b">
        <f>TRUE()</f>
        <v>1</v>
      </c>
      <c r="N162" s="4">
        <v>0.985816794522765</v>
      </c>
      <c r="P162" s="4">
        <v>0.801553054403732</v>
      </c>
      <c r="T162" s="4">
        <f t="shared" si="3"/>
        <v>484</v>
      </c>
      <c r="U162" s="4">
        <f t="shared" si="4"/>
        <v>343</v>
      </c>
    </row>
    <row r="163" ht="15.75" customHeight="1">
      <c r="A163" s="4" t="s">
        <v>598</v>
      </c>
      <c r="B163" s="4" t="s">
        <v>13</v>
      </c>
      <c r="C163" s="4">
        <v>0.5</v>
      </c>
      <c r="D163" s="4">
        <v>0.05</v>
      </c>
      <c r="E163" s="4">
        <v>0.05</v>
      </c>
      <c r="K163" s="6" t="b">
        <f t="shared" si="141"/>
        <v>0</v>
      </c>
      <c r="L163" s="6" t="b">
        <f t="shared" si="156"/>
        <v>0</v>
      </c>
      <c r="M163" s="6" t="b">
        <f>FALSE()</f>
        <v>0</v>
      </c>
      <c r="N163" s="4">
        <v>0.405465108108164</v>
      </c>
      <c r="T163" s="4">
        <f t="shared" si="3"/>
        <v>955</v>
      </c>
      <c r="U163" s="4" t="str">
        <f t="shared" si="4"/>
        <v/>
      </c>
    </row>
    <row r="164" ht="15.75" customHeight="1">
      <c r="A164" s="4" t="s">
        <v>219</v>
      </c>
      <c r="B164" s="4" t="s">
        <v>13</v>
      </c>
      <c r="C164" s="4">
        <v>0.773</v>
      </c>
      <c r="D164" s="4">
        <v>0.041</v>
      </c>
      <c r="E164" s="4">
        <v>0.041</v>
      </c>
      <c r="I164" s="4">
        <v>1.327</v>
      </c>
      <c r="J164" s="4">
        <v>0.014</v>
      </c>
      <c r="K164" s="6" t="b">
        <f t="shared" si="141"/>
        <v>0</v>
      </c>
      <c r="L164" s="6" t="b">
        <f t="shared" si="156"/>
        <v>0</v>
      </c>
      <c r="M164" s="6" t="b">
        <f>TRUE()</f>
        <v>1</v>
      </c>
      <c r="N164" s="4">
        <v>0.572673027092071</v>
      </c>
      <c r="P164" s="4">
        <v>0.844579884320155</v>
      </c>
      <c r="T164" s="4">
        <f t="shared" si="3"/>
        <v>783</v>
      </c>
      <c r="U164" s="4">
        <f t="shared" si="4"/>
        <v>230</v>
      </c>
    </row>
    <row r="165" ht="15.75" customHeight="1">
      <c r="A165" s="4" t="s">
        <v>609</v>
      </c>
      <c r="B165" s="4" t="s">
        <v>13</v>
      </c>
      <c r="C165" s="4">
        <v>7.3</v>
      </c>
      <c r="F165" s="4">
        <v>0.79</v>
      </c>
      <c r="G165" s="4">
        <v>0.04</v>
      </c>
      <c r="H165" s="4">
        <v>0.05</v>
      </c>
      <c r="K165" s="6" t="b">
        <f t="shared" ref="K165:K166" si="157">TRUE()</f>
        <v>1</v>
      </c>
      <c r="L165" s="6" t="b">
        <f t="shared" si="156"/>
        <v>0</v>
      </c>
      <c r="M165" s="6" t="b">
        <f t="shared" ref="M165:M166" si="158">FALSE()</f>
        <v>0</v>
      </c>
      <c r="N165" s="4">
        <v>2.11625551480255</v>
      </c>
      <c r="O165" s="4">
        <v>0.582215619852664</v>
      </c>
      <c r="T165" s="4">
        <f t="shared" si="3"/>
        <v>125</v>
      </c>
      <c r="U165" s="4" t="str">
        <f t="shared" si="4"/>
        <v/>
      </c>
    </row>
    <row r="166" ht="15.75" customHeight="1">
      <c r="A166" s="4" t="s">
        <v>617</v>
      </c>
      <c r="B166" s="4" t="s">
        <v>13</v>
      </c>
      <c r="C166" s="4">
        <v>11.8</v>
      </c>
      <c r="D166" s="4">
        <v>0.66</v>
      </c>
      <c r="E166" s="4">
        <v>0.73</v>
      </c>
      <c r="K166" s="6" t="b">
        <f t="shared" si="157"/>
        <v>1</v>
      </c>
      <c r="L166" s="6" t="b">
        <f t="shared" si="156"/>
        <v>0</v>
      </c>
      <c r="M166" s="6" t="b">
        <f t="shared" si="158"/>
        <v>0</v>
      </c>
      <c r="N166" s="4">
        <v>2.54944517092557</v>
      </c>
      <c r="T166" s="4">
        <f t="shared" si="3"/>
        <v>23</v>
      </c>
      <c r="U166" s="4" t="str">
        <f t="shared" si="4"/>
        <v/>
      </c>
    </row>
    <row r="167" ht="15.75" customHeight="1">
      <c r="A167" s="4" t="s">
        <v>622</v>
      </c>
      <c r="B167" s="4" t="s">
        <v>13</v>
      </c>
      <c r="I167" s="4">
        <v>0.81</v>
      </c>
      <c r="J167" s="4">
        <v>0.54</v>
      </c>
      <c r="K167" s="6" t="b">
        <f t="shared" ref="K167:L167" si="159">FALSE()</f>
        <v>0</v>
      </c>
      <c r="L167" s="6" t="b">
        <f t="shared" si="159"/>
        <v>0</v>
      </c>
      <c r="M167" s="6" t="b">
        <f>TRUE()</f>
        <v>1</v>
      </c>
      <c r="P167" s="4">
        <v>0.593326845277734</v>
      </c>
      <c r="T167" s="4" t="str">
        <f t="shared" si="3"/>
        <v/>
      </c>
      <c r="U167" s="4">
        <f t="shared" si="4"/>
        <v>832</v>
      </c>
    </row>
    <row r="168" ht="15.75" customHeight="1">
      <c r="A168" s="4" t="s">
        <v>629</v>
      </c>
      <c r="B168" s="4" t="s">
        <v>13</v>
      </c>
      <c r="C168" s="4">
        <v>3.6</v>
      </c>
      <c r="K168" s="6" t="b">
        <f t="shared" ref="K168:M168" si="160">FALSE()</f>
        <v>0</v>
      </c>
      <c r="L168" s="6" t="b">
        <f t="shared" si="160"/>
        <v>0</v>
      </c>
      <c r="M168" s="6" t="b">
        <f t="shared" si="160"/>
        <v>0</v>
      </c>
      <c r="N168" s="4">
        <v>1.52605630349505</v>
      </c>
      <c r="T168" s="4">
        <f t="shared" si="3"/>
        <v>283</v>
      </c>
      <c r="U168" s="4" t="str">
        <f t="shared" si="4"/>
        <v/>
      </c>
    </row>
    <row r="169" ht="15.75" customHeight="1">
      <c r="A169" s="4" t="s">
        <v>636</v>
      </c>
      <c r="B169" s="4" t="s">
        <v>13</v>
      </c>
      <c r="D169" s="4">
        <v>0.087</v>
      </c>
      <c r="E169" s="4">
        <v>0.087</v>
      </c>
      <c r="F169" s="4">
        <v>1.029</v>
      </c>
      <c r="G169" s="4">
        <v>0.087</v>
      </c>
      <c r="H169" s="4">
        <v>0.087</v>
      </c>
      <c r="K169" s="6" t="b">
        <f t="shared" ref="K169:M169" si="161">FALSE()</f>
        <v>0</v>
      </c>
      <c r="L169" s="6" t="b">
        <f t="shared" si="161"/>
        <v>0</v>
      </c>
      <c r="M169" s="6" t="b">
        <f t="shared" si="161"/>
        <v>0</v>
      </c>
      <c r="O169" s="4">
        <v>0.707543060843678</v>
      </c>
      <c r="T169" s="4" t="str">
        <f t="shared" si="3"/>
        <v/>
      </c>
      <c r="U169" s="4" t="str">
        <f t="shared" si="4"/>
        <v/>
      </c>
    </row>
    <row r="170" ht="15.75" customHeight="1">
      <c r="A170" s="4" t="s">
        <v>641</v>
      </c>
      <c r="B170" s="4" t="s">
        <v>13</v>
      </c>
      <c r="D170" s="4">
        <v>0.12</v>
      </c>
      <c r="E170" s="4">
        <v>0.22</v>
      </c>
      <c r="F170" s="4">
        <v>4.63</v>
      </c>
      <c r="G170" s="4">
        <v>0.12</v>
      </c>
      <c r="H170" s="4">
        <v>0.22</v>
      </c>
      <c r="K170" s="6" t="b">
        <f t="shared" ref="K170:M170" si="162">FALSE()</f>
        <v>0</v>
      </c>
      <c r="L170" s="6" t="b">
        <f t="shared" si="162"/>
        <v>0</v>
      </c>
      <c r="M170" s="6" t="b">
        <f t="shared" si="162"/>
        <v>0</v>
      </c>
      <c r="O170" s="4">
        <v>1.7281094421516</v>
      </c>
      <c r="T170" s="4" t="str">
        <f t="shared" si="3"/>
        <v/>
      </c>
      <c r="U170" s="4" t="str">
        <f t="shared" si="4"/>
        <v/>
      </c>
    </row>
    <row r="171" ht="15.75" customHeight="1">
      <c r="A171" s="4" t="s">
        <v>648</v>
      </c>
      <c r="B171" s="4" t="s">
        <v>13</v>
      </c>
      <c r="D171" s="4">
        <v>0.31</v>
      </c>
      <c r="E171" s="4">
        <v>0.02</v>
      </c>
      <c r="F171" s="4">
        <v>1.34</v>
      </c>
      <c r="G171" s="4">
        <v>0.31</v>
      </c>
      <c r="H171" s="4">
        <v>0.02</v>
      </c>
      <c r="K171" s="6" t="b">
        <f t="shared" ref="K171:M171" si="163">FALSE()</f>
        <v>0</v>
      </c>
      <c r="L171" s="6" t="b">
        <f t="shared" si="163"/>
        <v>0</v>
      </c>
      <c r="M171" s="6" t="b">
        <f t="shared" si="163"/>
        <v>0</v>
      </c>
      <c r="O171" s="4">
        <v>0.85015092936961</v>
      </c>
      <c r="T171" s="4" t="str">
        <f t="shared" si="3"/>
        <v/>
      </c>
      <c r="U171" s="4" t="str">
        <f t="shared" si="4"/>
        <v/>
      </c>
    </row>
    <row r="172" ht="15.75" customHeight="1">
      <c r="A172" s="4" t="s">
        <v>654</v>
      </c>
      <c r="B172" s="4" t="s">
        <v>13</v>
      </c>
      <c r="D172" s="4">
        <v>4.1E-4</v>
      </c>
      <c r="E172" s="4">
        <v>4.1E-4</v>
      </c>
      <c r="F172" s="4">
        <v>0.0034</v>
      </c>
      <c r="G172" s="4">
        <v>4.1E-4</v>
      </c>
      <c r="H172" s="4">
        <v>4.1E-4</v>
      </c>
      <c r="K172" s="6" t="b">
        <f t="shared" ref="K172:M172" si="164">FALSE()</f>
        <v>0</v>
      </c>
      <c r="L172" s="6" t="b">
        <f t="shared" si="164"/>
        <v>0</v>
      </c>
      <c r="M172" s="6" t="b">
        <f t="shared" si="164"/>
        <v>0</v>
      </c>
      <c r="O172" s="4">
        <v>0.0033942330680155</v>
      </c>
      <c r="T172" s="4" t="str">
        <f t="shared" si="3"/>
        <v/>
      </c>
      <c r="U172" s="4" t="str">
        <f t="shared" si="4"/>
        <v/>
      </c>
    </row>
    <row r="173" ht="15.75" customHeight="1">
      <c r="A173" s="4" t="s">
        <v>659</v>
      </c>
      <c r="B173" s="4" t="s">
        <v>13</v>
      </c>
      <c r="D173" s="4">
        <v>5.3E-4</v>
      </c>
      <c r="E173" s="4">
        <v>5.3E-4</v>
      </c>
      <c r="F173" s="4">
        <v>0.00428</v>
      </c>
      <c r="G173" s="4">
        <v>5.3E-4</v>
      </c>
      <c r="H173" s="4">
        <v>5.3E-4</v>
      </c>
      <c r="K173" s="6" t="b">
        <f t="shared" ref="K173:M173" si="165">FALSE()</f>
        <v>0</v>
      </c>
      <c r="L173" s="6" t="b">
        <f t="shared" si="165"/>
        <v>0</v>
      </c>
      <c r="M173" s="6" t="b">
        <f t="shared" si="165"/>
        <v>0</v>
      </c>
      <c r="O173" s="4">
        <v>0.0042708668506459</v>
      </c>
      <c r="T173" s="4" t="str">
        <f t="shared" si="3"/>
        <v/>
      </c>
      <c r="U173" s="4" t="str">
        <f t="shared" si="4"/>
        <v/>
      </c>
    </row>
    <row r="174" ht="15.75" customHeight="1">
      <c r="A174" s="4" t="s">
        <v>220</v>
      </c>
      <c r="B174" s="4" t="s">
        <v>13</v>
      </c>
      <c r="C174" s="4">
        <v>0.00843</v>
      </c>
      <c r="D174" s="4">
        <v>9.0E-4</v>
      </c>
      <c r="E174" s="4">
        <v>9.0E-4</v>
      </c>
      <c r="I174" s="4">
        <v>0.1356</v>
      </c>
      <c r="J174" s="4">
        <v>0.0107</v>
      </c>
      <c r="K174" s="6" t="b">
        <f t="shared" ref="K174:M174" si="166">FALSE()</f>
        <v>0</v>
      </c>
      <c r="L174" s="6" t="b">
        <f t="shared" si="166"/>
        <v>0</v>
      </c>
      <c r="M174" s="6" t="b">
        <f t="shared" si="166"/>
        <v>0</v>
      </c>
      <c r="N174" s="4">
        <v>0.0083946659882692</v>
      </c>
      <c r="P174" s="4">
        <v>0.127161145616679</v>
      </c>
      <c r="T174" s="4">
        <f t="shared" si="3"/>
        <v>1969</v>
      </c>
      <c r="U174" s="4">
        <f t="shared" si="4"/>
        <v>3602</v>
      </c>
    </row>
    <row r="175" ht="15.75" customHeight="1">
      <c r="A175" s="4" t="s">
        <v>671</v>
      </c>
      <c r="B175" s="4" t="s">
        <v>13</v>
      </c>
      <c r="D175" s="4">
        <v>5.3E-4</v>
      </c>
      <c r="E175" s="4">
        <v>5.3E-4</v>
      </c>
      <c r="F175" s="4">
        <v>0.00453</v>
      </c>
      <c r="G175" s="4">
        <v>5.3E-4</v>
      </c>
      <c r="H175" s="4">
        <v>5.3E-4</v>
      </c>
      <c r="K175" s="6" t="b">
        <f t="shared" ref="K175:M175" si="167">FALSE()</f>
        <v>0</v>
      </c>
      <c r="L175" s="6" t="b">
        <f t="shared" si="167"/>
        <v>0</v>
      </c>
      <c r="M175" s="6" t="b">
        <f t="shared" si="167"/>
        <v>0</v>
      </c>
      <c r="O175" s="4">
        <v>0.0045197704316622</v>
      </c>
      <c r="T175" s="4" t="str">
        <f t="shared" si="3"/>
        <v/>
      </c>
      <c r="U175" s="4" t="str">
        <f t="shared" si="4"/>
        <v/>
      </c>
    </row>
    <row r="176" ht="15.75" customHeight="1">
      <c r="A176" s="4" t="s">
        <v>678</v>
      </c>
      <c r="B176" s="4" t="s">
        <v>13</v>
      </c>
      <c r="D176" s="4">
        <v>6.0E-4</v>
      </c>
      <c r="E176" s="4">
        <v>6.0E-4</v>
      </c>
      <c r="F176" s="4">
        <v>0.00547</v>
      </c>
      <c r="G176" s="4">
        <v>6.0E-4</v>
      </c>
      <c r="H176" s="4">
        <v>6.0E-4</v>
      </c>
      <c r="K176" s="6" t="b">
        <f t="shared" ref="K176:M176" si="168">FALSE()</f>
        <v>0</v>
      </c>
      <c r="L176" s="6" t="b">
        <f t="shared" si="168"/>
        <v>0</v>
      </c>
      <c r="M176" s="6" t="b">
        <f t="shared" si="168"/>
        <v>0</v>
      </c>
      <c r="O176" s="4">
        <v>0.0054550938829342</v>
      </c>
      <c r="T176" s="4" t="str">
        <f t="shared" si="3"/>
        <v/>
      </c>
      <c r="U176" s="4" t="str">
        <f t="shared" si="4"/>
        <v/>
      </c>
    </row>
    <row r="177" ht="15.75" customHeight="1">
      <c r="A177" s="4" t="s">
        <v>684</v>
      </c>
      <c r="B177" s="4" t="s">
        <v>13</v>
      </c>
      <c r="D177" s="4">
        <v>7.9E-4</v>
      </c>
      <c r="E177" s="4">
        <v>8.5E-4</v>
      </c>
      <c r="F177" s="4">
        <v>0.00494</v>
      </c>
      <c r="G177" s="4">
        <v>7.9E-4</v>
      </c>
      <c r="H177" s="4">
        <v>8.5E-4</v>
      </c>
      <c r="K177" s="6" t="b">
        <f t="shared" ref="K177:M177" si="169">FALSE()</f>
        <v>0</v>
      </c>
      <c r="L177" s="6" t="b">
        <f t="shared" si="169"/>
        <v>0</v>
      </c>
      <c r="M177" s="6" t="b">
        <f t="shared" si="169"/>
        <v>0</v>
      </c>
      <c r="O177" s="4">
        <v>0.0049278382362967</v>
      </c>
      <c r="T177" s="4" t="str">
        <f t="shared" si="3"/>
        <v/>
      </c>
      <c r="U177" s="4" t="str">
        <f t="shared" si="4"/>
        <v/>
      </c>
    </row>
    <row r="178" ht="15.75" customHeight="1">
      <c r="A178" s="4" t="s">
        <v>221</v>
      </c>
      <c r="B178" s="4" t="s">
        <v>13</v>
      </c>
      <c r="C178" s="4">
        <v>0.00522</v>
      </c>
      <c r="D178" s="4">
        <v>7.2E-4</v>
      </c>
      <c r="E178" s="4">
        <v>7.2E-4</v>
      </c>
      <c r="I178" s="4">
        <v>0.1035</v>
      </c>
      <c r="J178" s="4">
        <v>0.0098</v>
      </c>
      <c r="K178" s="6" t="b">
        <f t="shared" ref="K178:M178" si="170">FALSE()</f>
        <v>0</v>
      </c>
      <c r="L178" s="6" t="b">
        <f t="shared" si="170"/>
        <v>0</v>
      </c>
      <c r="M178" s="6" t="b">
        <f t="shared" si="170"/>
        <v>0</v>
      </c>
      <c r="N178" s="4">
        <v>0.0052064230273689</v>
      </c>
      <c r="P178" s="4">
        <v>0.098486946714654</v>
      </c>
      <c r="T178" s="4">
        <f t="shared" si="3"/>
        <v>2022</v>
      </c>
      <c r="U178" s="4">
        <f t="shared" si="4"/>
        <v>4162</v>
      </c>
    </row>
    <row r="179" ht="15.75" customHeight="1">
      <c r="A179" s="4" t="s">
        <v>696</v>
      </c>
      <c r="B179" s="4" t="s">
        <v>13</v>
      </c>
      <c r="D179" s="4">
        <v>0.00138</v>
      </c>
      <c r="E179" s="4">
        <v>0.00138</v>
      </c>
      <c r="F179" s="4">
        <v>0.00831</v>
      </c>
      <c r="G179" s="4">
        <v>0.00138</v>
      </c>
      <c r="H179" s="4">
        <v>0.00138</v>
      </c>
      <c r="K179" s="6" t="b">
        <f t="shared" ref="K179:M179" si="171">FALSE()</f>
        <v>0</v>
      </c>
      <c r="L179" s="6" t="b">
        <f t="shared" si="171"/>
        <v>0</v>
      </c>
      <c r="M179" s="6" t="b">
        <f t="shared" si="171"/>
        <v>0</v>
      </c>
      <c r="O179" s="4">
        <v>0.0082756620510819</v>
      </c>
      <c r="T179" s="4" t="str">
        <f t="shared" si="3"/>
        <v/>
      </c>
      <c r="U179" s="4" t="str">
        <f t="shared" si="4"/>
        <v/>
      </c>
    </row>
    <row r="180" ht="15.75" customHeight="1">
      <c r="A180" s="4" t="s">
        <v>702</v>
      </c>
      <c r="B180" s="4" t="s">
        <v>13</v>
      </c>
      <c r="D180" s="4">
        <v>0.00463</v>
      </c>
      <c r="E180" s="4">
        <v>0.00412</v>
      </c>
      <c r="F180" s="4">
        <v>0.03341</v>
      </c>
      <c r="G180" s="4">
        <v>0.00463</v>
      </c>
      <c r="H180" s="4">
        <v>0.00412</v>
      </c>
      <c r="K180" s="6" t="b">
        <f t="shared" ref="K180:M180" si="172">FALSE()</f>
        <v>0</v>
      </c>
      <c r="L180" s="6" t="b">
        <f t="shared" si="172"/>
        <v>0</v>
      </c>
      <c r="M180" s="6" t="b">
        <f t="shared" si="172"/>
        <v>0</v>
      </c>
      <c r="O180" s="4">
        <v>0.0328640136191727</v>
      </c>
      <c r="T180" s="4" t="str">
        <f t="shared" si="3"/>
        <v/>
      </c>
      <c r="U180" s="4" t="str">
        <f t="shared" si="4"/>
        <v/>
      </c>
    </row>
    <row r="181" ht="15.75" customHeight="1">
      <c r="A181" s="4" t="s">
        <v>222</v>
      </c>
      <c r="B181" s="4" t="s">
        <v>13</v>
      </c>
      <c r="C181" s="4">
        <v>0.02571</v>
      </c>
      <c r="D181" s="4">
        <v>0.00135</v>
      </c>
      <c r="E181" s="4">
        <v>0.00135</v>
      </c>
      <c r="I181" s="4">
        <v>0.24463</v>
      </c>
      <c r="J181" s="4">
        <v>0.00473</v>
      </c>
      <c r="K181" s="6" t="b">
        <f t="shared" ref="K181:M181" si="173">FALSE()</f>
        <v>0</v>
      </c>
      <c r="L181" s="6" t="b">
        <f t="shared" si="173"/>
        <v>0</v>
      </c>
      <c r="M181" s="6" t="b">
        <f t="shared" si="173"/>
        <v>0</v>
      </c>
      <c r="N181" s="4">
        <v>0.02538505572311</v>
      </c>
      <c r="P181" s="4">
        <v>0.218838296992322</v>
      </c>
      <c r="T181" s="4">
        <f t="shared" si="3"/>
        <v>1624</v>
      </c>
      <c r="U181" s="4">
        <f t="shared" si="4"/>
        <v>1877</v>
      </c>
    </row>
    <row r="182" ht="15.75" customHeight="1">
      <c r="A182" s="4" t="s">
        <v>223</v>
      </c>
      <c r="B182" s="4" t="s">
        <v>13</v>
      </c>
      <c r="C182" s="4">
        <v>0.00415</v>
      </c>
      <c r="D182" s="4">
        <v>0.00176</v>
      </c>
      <c r="E182" s="4">
        <v>0.00176</v>
      </c>
      <c r="I182" s="4">
        <v>0.1053</v>
      </c>
      <c r="J182" s="4">
        <v>0.00696</v>
      </c>
      <c r="K182" s="6" t="b">
        <f t="shared" ref="K182:M182" si="174">FALSE()</f>
        <v>0</v>
      </c>
      <c r="L182" s="6" t="b">
        <f t="shared" si="174"/>
        <v>0</v>
      </c>
      <c r="M182" s="6" t="b">
        <f t="shared" si="174"/>
        <v>0</v>
      </c>
      <c r="N182" s="4">
        <v>0.00414141250055</v>
      </c>
      <c r="P182" s="4">
        <v>0.100116791334773</v>
      </c>
      <c r="T182" s="4">
        <f t="shared" si="3"/>
        <v>2038</v>
      </c>
      <c r="U182" s="4">
        <f t="shared" si="4"/>
        <v>4133</v>
      </c>
    </row>
    <row r="183" ht="15.75" customHeight="1">
      <c r="A183" s="4" t="s">
        <v>721</v>
      </c>
      <c r="B183" s="4" t="s">
        <v>13</v>
      </c>
      <c r="D183" s="4">
        <v>0.0016</v>
      </c>
      <c r="E183" s="4">
        <v>0.0016</v>
      </c>
      <c r="F183" s="4">
        <v>0.0233</v>
      </c>
      <c r="G183" s="4">
        <v>0.0016</v>
      </c>
      <c r="H183" s="4">
        <v>0.0016</v>
      </c>
      <c r="K183" s="6" t="b">
        <f t="shared" ref="K183:M183" si="175">FALSE()</f>
        <v>0</v>
      </c>
      <c r="L183" s="6" t="b">
        <f t="shared" si="175"/>
        <v>0</v>
      </c>
      <c r="M183" s="6" t="b">
        <f t="shared" si="175"/>
        <v>0</v>
      </c>
      <c r="O183" s="4">
        <v>0.0230326991105726</v>
      </c>
      <c r="T183" s="4" t="str">
        <f t="shared" si="3"/>
        <v/>
      </c>
      <c r="U183" s="4" t="str">
        <f t="shared" si="4"/>
        <v/>
      </c>
    </row>
    <row r="184" ht="15.75" customHeight="1">
      <c r="A184" s="4" t="s">
        <v>727</v>
      </c>
      <c r="B184" s="4" t="s">
        <v>13</v>
      </c>
      <c r="D184" s="4">
        <v>0.00393</v>
      </c>
      <c r="E184" s="4">
        <v>0.00387</v>
      </c>
      <c r="F184" s="4">
        <v>0.01973</v>
      </c>
      <c r="G184" s="4">
        <v>0.00393</v>
      </c>
      <c r="H184" s="4">
        <v>0.00387</v>
      </c>
      <c r="K184" s="6" t="b">
        <f t="shared" ref="K184:M184" si="176">FALSE()</f>
        <v>0</v>
      </c>
      <c r="L184" s="6" t="b">
        <f t="shared" si="176"/>
        <v>0</v>
      </c>
      <c r="M184" s="6" t="b">
        <f t="shared" si="176"/>
        <v>0</v>
      </c>
      <c r="O184" s="4">
        <v>0.0195378863730408</v>
      </c>
      <c r="T184" s="4" t="str">
        <f t="shared" si="3"/>
        <v/>
      </c>
      <c r="U184" s="4" t="str">
        <f t="shared" si="4"/>
        <v/>
      </c>
    </row>
    <row r="185" ht="15.75" customHeight="1">
      <c r="A185" s="4" t="s">
        <v>224</v>
      </c>
      <c r="B185" s="4" t="s">
        <v>13</v>
      </c>
      <c r="C185" s="4">
        <v>0.0714</v>
      </c>
      <c r="D185" s="4">
        <v>0.006</v>
      </c>
      <c r="E185" s="4">
        <v>0.0069</v>
      </c>
      <c r="I185" s="4">
        <v>0.2329</v>
      </c>
      <c r="J185" s="4">
        <v>0.0143</v>
      </c>
      <c r="K185" s="6" t="b">
        <f t="shared" ref="K185:M185" si="177">FALSE()</f>
        <v>0</v>
      </c>
      <c r="L185" s="6" t="b">
        <f t="shared" si="177"/>
        <v>0</v>
      </c>
      <c r="M185" s="6" t="b">
        <f t="shared" si="177"/>
        <v>0</v>
      </c>
      <c r="N185" s="4">
        <v>0.0689662044647229</v>
      </c>
      <c r="P185" s="4">
        <v>0.20936911789237</v>
      </c>
      <c r="T185" s="4">
        <f t="shared" si="3"/>
        <v>1319</v>
      </c>
      <c r="U185" s="4">
        <f t="shared" si="4"/>
        <v>2062</v>
      </c>
    </row>
    <row r="186" ht="15.75" customHeight="1">
      <c r="A186" s="4" t="s">
        <v>225</v>
      </c>
      <c r="B186" s="4" t="s">
        <v>13</v>
      </c>
      <c r="C186" s="4">
        <v>0.01164</v>
      </c>
      <c r="D186" s="4">
        <v>0.011638</v>
      </c>
      <c r="E186" s="4">
        <v>0.0</v>
      </c>
      <c r="I186" s="4">
        <v>0.07958</v>
      </c>
      <c r="J186" s="4">
        <v>0.00517</v>
      </c>
      <c r="K186" s="6" t="b">
        <f t="shared" ref="K186:M186" si="178">FALSE()</f>
        <v>0</v>
      </c>
      <c r="L186" s="6" t="b">
        <f t="shared" si="178"/>
        <v>0</v>
      </c>
      <c r="M186" s="6" t="b">
        <f t="shared" si="178"/>
        <v>0</v>
      </c>
      <c r="N186" s="4">
        <v>0.0115727763526157</v>
      </c>
      <c r="P186" s="4">
        <v>0.0765720766103452</v>
      </c>
      <c r="T186" s="4">
        <f t="shared" si="3"/>
        <v>1906</v>
      </c>
      <c r="U186" s="4">
        <f t="shared" si="4"/>
        <v>4414</v>
      </c>
    </row>
    <row r="187" ht="15.75" customHeight="1">
      <c r="A187" s="4" t="s">
        <v>745</v>
      </c>
      <c r="B187" s="4" t="s">
        <v>13</v>
      </c>
      <c r="D187" s="4">
        <v>0.00138</v>
      </c>
      <c r="E187" s="4">
        <v>0.00145</v>
      </c>
      <c r="F187" s="4">
        <v>0.00953</v>
      </c>
      <c r="G187" s="4">
        <v>0.00138</v>
      </c>
      <c r="H187" s="4">
        <v>0.00145</v>
      </c>
      <c r="K187" s="6" t="b">
        <f t="shared" ref="K187:M187" si="179">FALSE()</f>
        <v>0</v>
      </c>
      <c r="L187" s="6" t="b">
        <f t="shared" si="179"/>
        <v>0</v>
      </c>
      <c r="M187" s="6" t="b">
        <f t="shared" si="179"/>
        <v>0</v>
      </c>
      <c r="O187" s="4">
        <v>0.0094848760112143</v>
      </c>
      <c r="T187" s="4" t="str">
        <f t="shared" si="3"/>
        <v/>
      </c>
      <c r="U187" s="4" t="str">
        <f t="shared" si="4"/>
        <v/>
      </c>
    </row>
    <row r="188" ht="15.75" customHeight="1">
      <c r="A188" s="4" t="s">
        <v>751</v>
      </c>
      <c r="B188" s="4" t="s">
        <v>13</v>
      </c>
      <c r="D188" s="4">
        <v>0.016</v>
      </c>
      <c r="E188" s="4">
        <v>0.088</v>
      </c>
      <c r="F188" s="4">
        <v>0.113</v>
      </c>
      <c r="G188" s="4">
        <v>0.016</v>
      </c>
      <c r="H188" s="4">
        <v>0.088</v>
      </c>
      <c r="K188" s="6" t="b">
        <f t="shared" ref="K188:M188" si="180">FALSE()</f>
        <v>0</v>
      </c>
      <c r="L188" s="6" t="b">
        <f t="shared" si="180"/>
        <v>0</v>
      </c>
      <c r="M188" s="6" t="b">
        <f t="shared" si="180"/>
        <v>0</v>
      </c>
      <c r="O188" s="4">
        <v>0.107059072293408</v>
      </c>
      <c r="T188" s="4" t="str">
        <f t="shared" si="3"/>
        <v/>
      </c>
      <c r="U188" s="4" t="str">
        <f t="shared" si="4"/>
        <v/>
      </c>
    </row>
    <row r="189" ht="15.75" customHeight="1">
      <c r="A189" s="4" t="s">
        <v>758</v>
      </c>
      <c r="B189" s="4" t="s">
        <v>13</v>
      </c>
      <c r="D189" s="4">
        <v>0.0098</v>
      </c>
      <c r="E189" s="4">
        <v>0.0098</v>
      </c>
      <c r="F189" s="4">
        <v>0.0245</v>
      </c>
      <c r="G189" s="4">
        <v>0.0098</v>
      </c>
      <c r="H189" s="4">
        <v>0.0098</v>
      </c>
      <c r="K189" s="6" t="b">
        <f t="shared" ref="K189:M189" si="181">FALSE()</f>
        <v>0</v>
      </c>
      <c r="L189" s="6" t="b">
        <f t="shared" si="181"/>
        <v>0</v>
      </c>
      <c r="M189" s="6" t="b">
        <f t="shared" si="181"/>
        <v>0</v>
      </c>
      <c r="O189" s="4">
        <v>0.0242046886968173</v>
      </c>
      <c r="T189" s="4" t="str">
        <f t="shared" si="3"/>
        <v/>
      </c>
      <c r="U189" s="4" t="str">
        <f t="shared" si="4"/>
        <v/>
      </c>
    </row>
    <row r="190" ht="15.75" customHeight="1">
      <c r="A190" s="4" t="s">
        <v>764</v>
      </c>
      <c r="B190" s="4" t="s">
        <v>13</v>
      </c>
      <c r="D190" s="4">
        <v>0.0072</v>
      </c>
      <c r="E190" s="4">
        <v>0.0072</v>
      </c>
      <c r="F190" s="4">
        <v>0.0311</v>
      </c>
      <c r="G190" s="4">
        <v>0.0072</v>
      </c>
      <c r="H190" s="4">
        <v>0.0072</v>
      </c>
      <c r="K190" s="6" t="b">
        <f t="shared" ref="K190:M190" si="182">FALSE()</f>
        <v>0</v>
      </c>
      <c r="L190" s="6" t="b">
        <f t="shared" si="182"/>
        <v>0</v>
      </c>
      <c r="M190" s="6" t="b">
        <f t="shared" si="182"/>
        <v>0</v>
      </c>
      <c r="O190" s="4">
        <v>0.0306261935417608</v>
      </c>
      <c r="T190" s="4" t="str">
        <f t="shared" si="3"/>
        <v/>
      </c>
      <c r="U190" s="4" t="str">
        <f t="shared" si="4"/>
        <v/>
      </c>
    </row>
    <row r="191" ht="15.75" customHeight="1">
      <c r="A191" s="4" t="s">
        <v>769</v>
      </c>
      <c r="B191" s="4" t="s">
        <v>13</v>
      </c>
      <c r="D191" s="4">
        <v>0.0072</v>
      </c>
      <c r="E191" s="4">
        <v>0.0091</v>
      </c>
      <c r="F191" s="4">
        <v>0.0239</v>
      </c>
      <c r="G191" s="4">
        <v>0.0072</v>
      </c>
      <c r="H191" s="4">
        <v>0.0091</v>
      </c>
      <c r="K191" s="6" t="b">
        <f t="shared" ref="K191:M191" si="183">FALSE()</f>
        <v>0</v>
      </c>
      <c r="L191" s="6" t="b">
        <f t="shared" si="183"/>
        <v>0</v>
      </c>
      <c r="M191" s="6" t="b">
        <f t="shared" si="183"/>
        <v>0</v>
      </c>
      <c r="O191" s="4">
        <v>0.023618865598634</v>
      </c>
      <c r="T191" s="4" t="str">
        <f t="shared" si="3"/>
        <v/>
      </c>
      <c r="U191" s="4" t="str">
        <f t="shared" si="4"/>
        <v/>
      </c>
    </row>
    <row r="192" ht="15.75" customHeight="1">
      <c r="A192" s="4" t="s">
        <v>776</v>
      </c>
      <c r="B192" s="4" t="s">
        <v>13</v>
      </c>
      <c r="D192" s="4">
        <v>0.0239</v>
      </c>
      <c r="E192" s="4">
        <v>0.0239</v>
      </c>
      <c r="F192" s="4">
        <v>0.0636</v>
      </c>
      <c r="G192" s="4">
        <v>0.0239</v>
      </c>
      <c r="H192" s="4">
        <v>0.0239</v>
      </c>
      <c r="K192" s="6" t="b">
        <f t="shared" ref="K192:M192" si="184">FALSE()</f>
        <v>0</v>
      </c>
      <c r="L192" s="6" t="b">
        <f t="shared" si="184"/>
        <v>0</v>
      </c>
      <c r="M192" s="6" t="b">
        <f t="shared" si="184"/>
        <v>0</v>
      </c>
      <c r="O192" s="4">
        <v>0.0616593803867277</v>
      </c>
      <c r="T192" s="4" t="str">
        <f t="shared" si="3"/>
        <v/>
      </c>
      <c r="U192" s="4" t="str">
        <f t="shared" si="4"/>
        <v/>
      </c>
    </row>
    <row r="193" ht="15.75" customHeight="1">
      <c r="A193" s="4" t="s">
        <v>782</v>
      </c>
      <c r="B193" s="4" t="s">
        <v>13</v>
      </c>
      <c r="D193" s="4">
        <v>0.0066</v>
      </c>
      <c r="E193" s="4">
        <v>0.0076</v>
      </c>
      <c r="F193" s="4">
        <v>0.025</v>
      </c>
      <c r="G193" s="4">
        <v>0.0066</v>
      </c>
      <c r="H193" s="4">
        <v>0.0076</v>
      </c>
      <c r="K193" s="6" t="b">
        <f t="shared" ref="K193:M193" si="185">FALSE()</f>
        <v>0</v>
      </c>
      <c r="L193" s="6" t="b">
        <f t="shared" si="185"/>
        <v>0</v>
      </c>
      <c r="M193" s="6" t="b">
        <f t="shared" si="185"/>
        <v>0</v>
      </c>
      <c r="O193" s="4">
        <v>0.0246926125903715</v>
      </c>
      <c r="T193" s="4" t="str">
        <f t="shared" si="3"/>
        <v/>
      </c>
      <c r="U193" s="4" t="str">
        <f t="shared" si="4"/>
        <v/>
      </c>
    </row>
    <row r="194" ht="15.75" customHeight="1">
      <c r="A194" s="4" t="s">
        <v>791</v>
      </c>
      <c r="B194" s="4" t="s">
        <v>13</v>
      </c>
      <c r="D194" s="4">
        <v>0.0113</v>
      </c>
      <c r="E194" s="4">
        <v>0.013</v>
      </c>
      <c r="F194" s="4">
        <v>0.0233</v>
      </c>
      <c r="G194" s="4">
        <v>0.0113</v>
      </c>
      <c r="H194" s="4">
        <v>0.013</v>
      </c>
      <c r="K194" s="6" t="b">
        <f t="shared" ref="K194:M194" si="186">FALSE()</f>
        <v>0</v>
      </c>
      <c r="L194" s="6" t="b">
        <f t="shared" si="186"/>
        <v>0</v>
      </c>
      <c r="M194" s="6" t="b">
        <f t="shared" si="186"/>
        <v>0</v>
      </c>
      <c r="O194" s="4">
        <v>0.0230326991105726</v>
      </c>
      <c r="T194" s="4" t="str">
        <f t="shared" si="3"/>
        <v/>
      </c>
      <c r="U194" s="4" t="str">
        <f t="shared" si="4"/>
        <v/>
      </c>
    </row>
    <row r="195" ht="15.75" customHeight="1">
      <c r="A195" s="4" t="s">
        <v>798</v>
      </c>
      <c r="B195" s="4" t="s">
        <v>13</v>
      </c>
      <c r="D195" s="4">
        <v>0.1608</v>
      </c>
      <c r="E195" s="4">
        <v>0.1778</v>
      </c>
      <c r="F195" s="4">
        <v>0.7391</v>
      </c>
      <c r="G195" s="4">
        <v>0.1608</v>
      </c>
      <c r="H195" s="4">
        <v>0.1778</v>
      </c>
      <c r="K195" s="6" t="b">
        <f t="shared" ref="K195:M195" si="187">FALSE()</f>
        <v>0</v>
      </c>
      <c r="L195" s="6" t="b">
        <f t="shared" si="187"/>
        <v>0</v>
      </c>
      <c r="M195" s="6" t="b">
        <f t="shared" si="187"/>
        <v>0</v>
      </c>
      <c r="O195" s="4">
        <v>0.55336773803166</v>
      </c>
      <c r="T195" s="4" t="str">
        <f t="shared" si="3"/>
        <v/>
      </c>
      <c r="U195" s="4" t="str">
        <f t="shared" si="4"/>
        <v/>
      </c>
    </row>
    <row r="196" ht="15.75" customHeight="1">
      <c r="A196" s="4" t="s">
        <v>804</v>
      </c>
      <c r="B196" s="4" t="s">
        <v>13</v>
      </c>
      <c r="D196" s="4">
        <v>0.0085</v>
      </c>
      <c r="E196" s="4">
        <v>0.0085</v>
      </c>
      <c r="F196" s="4">
        <v>0.0154</v>
      </c>
      <c r="G196" s="4">
        <v>0.0085</v>
      </c>
      <c r="H196" s="4">
        <v>0.0085</v>
      </c>
      <c r="K196" s="6" t="b">
        <f t="shared" ref="K196:M196" si="188">FALSE()</f>
        <v>0</v>
      </c>
      <c r="L196" s="6" t="b">
        <f t="shared" si="188"/>
        <v>0</v>
      </c>
      <c r="M196" s="6" t="b">
        <f t="shared" si="188"/>
        <v>0</v>
      </c>
      <c r="O196" s="4">
        <v>0.0152826235311569</v>
      </c>
      <c r="T196" s="4" t="str">
        <f t="shared" si="3"/>
        <v/>
      </c>
      <c r="U196" s="4" t="str">
        <f t="shared" si="4"/>
        <v/>
      </c>
    </row>
    <row r="197" ht="15.75" customHeight="1">
      <c r="A197" s="4" t="s">
        <v>808</v>
      </c>
      <c r="B197" s="4" t="s">
        <v>13</v>
      </c>
      <c r="D197" s="4">
        <v>0.0056</v>
      </c>
      <c r="E197" s="4">
        <v>0.00431</v>
      </c>
      <c r="F197" s="4">
        <v>0.02124</v>
      </c>
      <c r="G197" s="4">
        <v>0.0056</v>
      </c>
      <c r="H197" s="4">
        <v>0.00431</v>
      </c>
      <c r="K197" s="6" t="b">
        <f t="shared" ref="K197:M197" si="189">FALSE()</f>
        <v>0</v>
      </c>
      <c r="L197" s="6" t="b">
        <f t="shared" si="189"/>
        <v>0</v>
      </c>
      <c r="M197" s="6" t="b">
        <f t="shared" si="189"/>
        <v>0</v>
      </c>
      <c r="O197" s="4">
        <v>0.0210175752224697</v>
      </c>
      <c r="T197" s="4" t="str">
        <f t="shared" si="3"/>
        <v/>
      </c>
      <c r="U197" s="4" t="str">
        <f t="shared" si="4"/>
        <v/>
      </c>
    </row>
    <row r="198" ht="15.75" customHeight="1">
      <c r="A198" s="4" t="s">
        <v>815</v>
      </c>
      <c r="B198" s="4" t="s">
        <v>13</v>
      </c>
      <c r="D198" s="4">
        <v>0.012896206</v>
      </c>
      <c r="E198" s="4">
        <v>0.01163804</v>
      </c>
      <c r="F198" s="4">
        <v>0.020136551</v>
      </c>
      <c r="G198" s="4">
        <v>0.012896206</v>
      </c>
      <c r="H198" s="4">
        <v>0.01163804</v>
      </c>
      <c r="K198" s="6" t="b">
        <f t="shared" ref="K198:M198" si="190">FALSE()</f>
        <v>0</v>
      </c>
      <c r="L198" s="6" t="b">
        <f t="shared" si="190"/>
        <v>0</v>
      </c>
      <c r="M198" s="6" t="b">
        <f t="shared" si="190"/>
        <v>0</v>
      </c>
      <c r="O198" s="4">
        <v>0.0199364918653302</v>
      </c>
      <c r="T198" s="4" t="str">
        <f t="shared" si="3"/>
        <v/>
      </c>
      <c r="U198" s="4" t="str">
        <f t="shared" si="4"/>
        <v/>
      </c>
    </row>
    <row r="199" ht="15.75" customHeight="1">
      <c r="A199" s="4" t="s">
        <v>821</v>
      </c>
      <c r="B199" s="4" t="s">
        <v>13</v>
      </c>
      <c r="D199" s="4">
        <v>0.00733</v>
      </c>
      <c r="E199" s="4">
        <v>0.00837</v>
      </c>
      <c r="F199" s="4">
        <v>0.02357</v>
      </c>
      <c r="G199" s="4">
        <v>0.00733</v>
      </c>
      <c r="H199" s="4">
        <v>0.00837</v>
      </c>
      <c r="K199" s="6" t="b">
        <f t="shared" ref="K199:M199" si="191">FALSE()</f>
        <v>0</v>
      </c>
      <c r="L199" s="6" t="b">
        <f t="shared" si="191"/>
        <v>0</v>
      </c>
      <c r="M199" s="6" t="b">
        <f t="shared" si="191"/>
        <v>0</v>
      </c>
      <c r="O199" s="4">
        <v>0.0232965165504354</v>
      </c>
      <c r="T199" s="4" t="str">
        <f t="shared" si="3"/>
        <v/>
      </c>
      <c r="U199" s="4" t="str">
        <f t="shared" si="4"/>
        <v/>
      </c>
    </row>
    <row r="200" ht="15.75" customHeight="1">
      <c r="A200" s="4" t="s">
        <v>828</v>
      </c>
      <c r="B200" s="4" t="s">
        <v>13</v>
      </c>
      <c r="D200" s="4">
        <v>0.002</v>
      </c>
      <c r="E200" s="4">
        <v>0.002</v>
      </c>
      <c r="F200" s="4">
        <v>0.014</v>
      </c>
      <c r="G200" s="4">
        <v>0.002</v>
      </c>
      <c r="H200" s="4">
        <v>0.002</v>
      </c>
      <c r="K200" s="6" t="b">
        <f t="shared" ref="K200:M200" si="192">FALSE()</f>
        <v>0</v>
      </c>
      <c r="L200" s="6" t="b">
        <f t="shared" si="192"/>
        <v>0</v>
      </c>
      <c r="M200" s="6" t="b">
        <f t="shared" si="192"/>
        <v>0</v>
      </c>
      <c r="O200" s="4">
        <v>0.0139029051689914</v>
      </c>
      <c r="T200" s="4" t="str">
        <f t="shared" si="3"/>
        <v/>
      </c>
      <c r="U200" s="4" t="str">
        <f t="shared" si="4"/>
        <v/>
      </c>
    </row>
    <row r="201" ht="15.75" customHeight="1">
      <c r="A201" s="4" t="s">
        <v>834</v>
      </c>
      <c r="B201" s="4" t="s">
        <v>13</v>
      </c>
      <c r="C201" s="4">
        <v>12.934</v>
      </c>
      <c r="D201" s="4">
        <v>2.36</v>
      </c>
      <c r="E201" s="4">
        <v>2.36</v>
      </c>
      <c r="K201" s="6" t="b">
        <f>TRUE()</f>
        <v>1</v>
      </c>
      <c r="L201" s="6" t="b">
        <f t="shared" ref="L201:M201" si="193">FALSE()</f>
        <v>0</v>
      </c>
      <c r="M201" s="6" t="b">
        <f t="shared" si="193"/>
        <v>0</v>
      </c>
      <c r="N201" s="4">
        <v>2.63433189660793</v>
      </c>
      <c r="T201" s="4">
        <f t="shared" si="3"/>
        <v>1</v>
      </c>
      <c r="U201" s="4" t="str">
        <f t="shared" si="4"/>
        <v/>
      </c>
    </row>
    <row r="202" ht="15.75" customHeight="1">
      <c r="A202" s="4" t="s">
        <v>841</v>
      </c>
      <c r="B202" s="4" t="s">
        <v>13</v>
      </c>
      <c r="D202" s="4">
        <v>0.0113</v>
      </c>
      <c r="E202" s="4">
        <v>0.0113</v>
      </c>
      <c r="F202" s="4">
        <v>0.051</v>
      </c>
      <c r="G202" s="4">
        <v>0.0113</v>
      </c>
      <c r="H202" s="4">
        <v>0.0113</v>
      </c>
      <c r="K202" s="6" t="b">
        <f t="shared" ref="K202:M202" si="194">FALSE()</f>
        <v>0</v>
      </c>
      <c r="L202" s="6" t="b">
        <f t="shared" si="194"/>
        <v>0</v>
      </c>
      <c r="M202" s="6" t="b">
        <f t="shared" si="194"/>
        <v>0</v>
      </c>
      <c r="O202" s="4">
        <v>0.049742091894814</v>
      </c>
      <c r="T202" s="4" t="str">
        <f t="shared" si="3"/>
        <v/>
      </c>
      <c r="U202" s="4" t="str">
        <f t="shared" si="4"/>
        <v/>
      </c>
    </row>
    <row r="203" ht="15.75" customHeight="1">
      <c r="A203" s="4" t="s">
        <v>848</v>
      </c>
      <c r="B203" s="4" t="s">
        <v>13</v>
      </c>
      <c r="D203" s="4">
        <v>0.053</v>
      </c>
      <c r="E203" s="4">
        <v>0.053</v>
      </c>
      <c r="F203" s="4">
        <v>0.4443</v>
      </c>
      <c r="G203" s="4">
        <v>0.053</v>
      </c>
      <c r="H203" s="4">
        <v>0.053</v>
      </c>
      <c r="K203" s="6" t="b">
        <f t="shared" ref="K203:M203" si="195">FALSE()</f>
        <v>0</v>
      </c>
      <c r="L203" s="6" t="b">
        <f t="shared" si="195"/>
        <v>0</v>
      </c>
      <c r="M203" s="6" t="b">
        <f t="shared" si="195"/>
        <v>0</v>
      </c>
      <c r="O203" s="4">
        <v>0.367624775124984</v>
      </c>
      <c r="T203" s="4" t="str">
        <f t="shared" si="3"/>
        <v/>
      </c>
      <c r="U203" s="4" t="str">
        <f t="shared" si="4"/>
        <v/>
      </c>
    </row>
    <row r="204" ht="15.75" customHeight="1">
      <c r="A204" s="4" t="s">
        <v>855</v>
      </c>
      <c r="B204" s="4" t="s">
        <v>13</v>
      </c>
      <c r="D204" s="4">
        <v>0.1</v>
      </c>
      <c r="E204" s="4">
        <v>0.2</v>
      </c>
      <c r="F204" s="4">
        <v>1.3</v>
      </c>
      <c r="G204" s="4">
        <v>0.1</v>
      </c>
      <c r="H204" s="4">
        <v>0.2</v>
      </c>
      <c r="K204" s="6" t="b">
        <f t="shared" ref="K204:M204" si="196">FALSE()</f>
        <v>0</v>
      </c>
      <c r="L204" s="6" t="b">
        <f t="shared" si="196"/>
        <v>0</v>
      </c>
      <c r="M204" s="6" t="b">
        <f t="shared" si="196"/>
        <v>0</v>
      </c>
      <c r="O204" s="4">
        <v>0.832909122935104</v>
      </c>
      <c r="T204" s="4" t="str">
        <f t="shared" si="3"/>
        <v/>
      </c>
      <c r="U204" s="4" t="str">
        <f t="shared" si="4"/>
        <v/>
      </c>
    </row>
    <row r="205" ht="15.75" customHeight="1">
      <c r="A205" s="4" t="s">
        <v>861</v>
      </c>
      <c r="B205" s="4" t="s">
        <v>13</v>
      </c>
      <c r="D205" s="4">
        <v>0.0192</v>
      </c>
      <c r="E205" s="4">
        <v>0.01054</v>
      </c>
      <c r="F205" s="4">
        <v>0.03153</v>
      </c>
      <c r="G205" s="4">
        <v>0.0192</v>
      </c>
      <c r="H205" s="4">
        <v>0.01054</v>
      </c>
      <c r="K205" s="6" t="b">
        <f t="shared" ref="K205:M205" si="197">FALSE()</f>
        <v>0</v>
      </c>
      <c r="L205" s="6" t="b">
        <f t="shared" si="197"/>
        <v>0</v>
      </c>
      <c r="M205" s="6" t="b">
        <f t="shared" si="197"/>
        <v>0</v>
      </c>
      <c r="O205" s="4">
        <v>0.0310431369647008</v>
      </c>
      <c r="T205" s="4" t="str">
        <f t="shared" si="3"/>
        <v/>
      </c>
      <c r="U205" s="4" t="str">
        <f t="shared" si="4"/>
        <v/>
      </c>
    </row>
    <row r="206" ht="15.75" customHeight="1">
      <c r="A206" s="4" t="s">
        <v>868</v>
      </c>
      <c r="B206" s="4" t="s">
        <v>13</v>
      </c>
      <c r="D206" s="4">
        <v>0.01082</v>
      </c>
      <c r="E206" s="4">
        <v>0.01067</v>
      </c>
      <c r="F206" s="4">
        <v>0.02495</v>
      </c>
      <c r="G206" s="4">
        <v>0.01082</v>
      </c>
      <c r="H206" s="4">
        <v>0.01067</v>
      </c>
      <c r="K206" s="6" t="b">
        <f t="shared" ref="K206:M206" si="198">FALSE()</f>
        <v>0</v>
      </c>
      <c r="L206" s="6" t="b">
        <f t="shared" si="198"/>
        <v>0</v>
      </c>
      <c r="M206" s="6" t="b">
        <f t="shared" si="198"/>
        <v>0</v>
      </c>
      <c r="O206" s="4">
        <v>0.0246438309127599</v>
      </c>
      <c r="T206" s="4" t="str">
        <f t="shared" si="3"/>
        <v/>
      </c>
      <c r="U206" s="4" t="str">
        <f t="shared" si="4"/>
        <v/>
      </c>
    </row>
    <row r="207" ht="15.75" customHeight="1">
      <c r="A207" s="4" t="s">
        <v>874</v>
      </c>
      <c r="B207" s="4" t="s">
        <v>13</v>
      </c>
      <c r="I207" s="4">
        <v>0.0505</v>
      </c>
      <c r="J207" s="4">
        <v>0.00125</v>
      </c>
      <c r="K207" s="6" t="b">
        <f t="shared" ref="K207:M207" si="199">FALSE()</f>
        <v>0</v>
      </c>
      <c r="L207" s="6" t="b">
        <f t="shared" si="199"/>
        <v>0</v>
      </c>
      <c r="M207" s="6" t="b">
        <f t="shared" si="199"/>
        <v>0</v>
      </c>
      <c r="P207" s="4">
        <v>0.049266241302918</v>
      </c>
      <c r="T207" s="4" t="str">
        <f t="shared" si="3"/>
        <v/>
      </c>
      <c r="U207" s="4">
        <f t="shared" si="4"/>
        <v>4554</v>
      </c>
    </row>
    <row r="208" ht="15.75" customHeight="1">
      <c r="A208" s="4" t="s">
        <v>880</v>
      </c>
      <c r="B208" s="4" t="s">
        <v>13</v>
      </c>
      <c r="D208" s="4">
        <v>0.0013</v>
      </c>
      <c r="E208" s="4">
        <v>0.0013</v>
      </c>
      <c r="F208" s="4">
        <v>0.013</v>
      </c>
      <c r="G208" s="4">
        <v>0.0013</v>
      </c>
      <c r="H208" s="4">
        <v>0.0013</v>
      </c>
      <c r="K208" s="6" t="b">
        <f t="shared" ref="K208:M208" si="200">FALSE()</f>
        <v>0</v>
      </c>
      <c r="L208" s="6" t="b">
        <f t="shared" si="200"/>
        <v>0</v>
      </c>
      <c r="M208" s="6" t="b">
        <f t="shared" si="200"/>
        <v>0</v>
      </c>
      <c r="O208" s="4">
        <v>0.0129162252665463</v>
      </c>
      <c r="T208" s="4" t="str">
        <f t="shared" si="3"/>
        <v/>
      </c>
      <c r="U208" s="4" t="str">
        <f t="shared" si="4"/>
        <v/>
      </c>
    </row>
    <row r="209" ht="15.75" customHeight="1">
      <c r="A209" s="4" t="s">
        <v>887</v>
      </c>
      <c r="B209" s="4" t="s">
        <v>13</v>
      </c>
      <c r="D209" s="4">
        <v>0.020759747</v>
      </c>
      <c r="E209" s="4">
        <v>0.012896206</v>
      </c>
      <c r="F209" s="4">
        <v>0.040902369</v>
      </c>
      <c r="G209" s="4">
        <v>0.020759747</v>
      </c>
      <c r="H209" s="4">
        <v>0.012896206</v>
      </c>
      <c r="K209" s="6" t="b">
        <f t="shared" ref="K209:M209" si="201">FALSE()</f>
        <v>0</v>
      </c>
      <c r="L209" s="6" t="b">
        <f t="shared" si="201"/>
        <v>0</v>
      </c>
      <c r="M209" s="6" t="b">
        <f t="shared" si="201"/>
        <v>0</v>
      </c>
      <c r="O209" s="4">
        <v>0.0400879994517692</v>
      </c>
      <c r="T209" s="4" t="str">
        <f t="shared" si="3"/>
        <v/>
      </c>
      <c r="U209" s="4" t="str">
        <f t="shared" si="4"/>
        <v/>
      </c>
    </row>
    <row r="210" ht="15.75" customHeight="1">
      <c r="A210" s="4" t="s">
        <v>893</v>
      </c>
      <c r="B210" s="4" t="s">
        <v>13</v>
      </c>
      <c r="D210" s="4">
        <v>0.09</v>
      </c>
      <c r="E210" s="4">
        <v>0.09</v>
      </c>
      <c r="F210" s="4">
        <v>3.37</v>
      </c>
      <c r="G210" s="4">
        <v>0.09</v>
      </c>
      <c r="H210" s="4">
        <v>0.09</v>
      </c>
      <c r="K210" s="6" t="b">
        <f t="shared" ref="K210:M210" si="202">FALSE()</f>
        <v>0</v>
      </c>
      <c r="L210" s="6" t="b">
        <f t="shared" si="202"/>
        <v>0</v>
      </c>
      <c r="M210" s="6" t="b">
        <f t="shared" si="202"/>
        <v>0</v>
      </c>
      <c r="O210" s="4">
        <v>1.4747630091075</v>
      </c>
      <c r="T210" s="4" t="str">
        <f t="shared" si="3"/>
        <v/>
      </c>
      <c r="U210" s="4" t="str">
        <f t="shared" si="4"/>
        <v/>
      </c>
    </row>
    <row r="211" ht="15.75" customHeight="1">
      <c r="A211" s="4" t="s">
        <v>900</v>
      </c>
      <c r="B211" s="4" t="s">
        <v>13</v>
      </c>
      <c r="D211" s="4">
        <v>0.01337</v>
      </c>
      <c r="E211" s="4">
        <v>0.011</v>
      </c>
      <c r="F211" s="4">
        <v>0.02759</v>
      </c>
      <c r="G211" s="4">
        <v>0.01337</v>
      </c>
      <c r="H211" s="4">
        <v>0.011</v>
      </c>
      <c r="K211" s="6" t="b">
        <f t="shared" ref="K211:M211" si="203">FALSE()</f>
        <v>0</v>
      </c>
      <c r="L211" s="6" t="b">
        <f t="shared" si="203"/>
        <v>0</v>
      </c>
      <c r="M211" s="6" t="b">
        <f t="shared" si="203"/>
        <v>0</v>
      </c>
      <c r="O211" s="4">
        <v>0.0272162547932397</v>
      </c>
      <c r="T211" s="4" t="str">
        <f t="shared" si="3"/>
        <v/>
      </c>
      <c r="U211" s="4" t="str">
        <f t="shared" si="4"/>
        <v/>
      </c>
    </row>
    <row r="212" ht="15.75" customHeight="1">
      <c r="A212" s="4" t="s">
        <v>226</v>
      </c>
      <c r="B212" s="4" t="s">
        <v>13</v>
      </c>
      <c r="C212" s="4">
        <v>0.01051</v>
      </c>
      <c r="D212" s="4">
        <v>0.00227</v>
      </c>
      <c r="E212" s="4">
        <v>0.00227</v>
      </c>
      <c r="I212" s="4">
        <v>0.19</v>
      </c>
      <c r="J212" s="4">
        <v>0.0098</v>
      </c>
      <c r="K212" s="6" t="b">
        <f t="shared" ref="K212:M212" si="204">FALSE()</f>
        <v>0</v>
      </c>
      <c r="L212" s="6" t="b">
        <f t="shared" si="204"/>
        <v>0</v>
      </c>
      <c r="M212" s="6" t="b">
        <f t="shared" si="204"/>
        <v>0</v>
      </c>
      <c r="N212" s="4">
        <v>0.0104551539036167</v>
      </c>
      <c r="P212" s="4">
        <v>0.173953307123438</v>
      </c>
      <c r="T212" s="4">
        <f t="shared" si="3"/>
        <v>1930</v>
      </c>
      <c r="U212" s="4">
        <f t="shared" si="4"/>
        <v>2732</v>
      </c>
    </row>
    <row r="213" ht="15.75" customHeight="1">
      <c r="A213" s="4" t="s">
        <v>912</v>
      </c>
      <c r="B213" s="4" t="s">
        <v>13</v>
      </c>
      <c r="D213" s="4">
        <v>0.0019</v>
      </c>
      <c r="E213" s="4">
        <v>0.0019</v>
      </c>
      <c r="F213" s="4">
        <v>0.0132</v>
      </c>
      <c r="G213" s="4">
        <v>0.0019</v>
      </c>
      <c r="H213" s="4">
        <v>0.0019</v>
      </c>
      <c r="K213" s="6" t="b">
        <f t="shared" ref="K213:M213" si="205">FALSE()</f>
        <v>0</v>
      </c>
      <c r="L213" s="6" t="b">
        <f t="shared" si="205"/>
        <v>0</v>
      </c>
      <c r="M213" s="6" t="b">
        <f t="shared" si="205"/>
        <v>0</v>
      </c>
      <c r="O213" s="4">
        <v>0.0131136391453831</v>
      </c>
      <c r="T213" s="4" t="str">
        <f t="shared" si="3"/>
        <v/>
      </c>
      <c r="U213" s="4" t="str">
        <f t="shared" si="4"/>
        <v/>
      </c>
    </row>
    <row r="214" ht="15.75" customHeight="1">
      <c r="A214" s="4" t="s">
        <v>919</v>
      </c>
      <c r="B214" s="4" t="s">
        <v>13</v>
      </c>
      <c r="D214" s="4">
        <v>0.001</v>
      </c>
      <c r="E214" s="4">
        <v>0.0011</v>
      </c>
      <c r="F214" s="4">
        <v>0.0056</v>
      </c>
      <c r="G214" s="4">
        <v>0.001</v>
      </c>
      <c r="H214" s="4">
        <v>0.0011</v>
      </c>
      <c r="K214" s="6" t="b">
        <f t="shared" ref="K214:M214" si="206">FALSE()</f>
        <v>0</v>
      </c>
      <c r="L214" s="6" t="b">
        <f t="shared" si="206"/>
        <v>0</v>
      </c>
      <c r="M214" s="6" t="b">
        <f t="shared" si="206"/>
        <v>0</v>
      </c>
      <c r="O214" s="4">
        <v>0.0055843782939006</v>
      </c>
      <c r="T214" s="4" t="str">
        <f t="shared" si="3"/>
        <v/>
      </c>
      <c r="U214" s="4" t="str">
        <f t="shared" si="4"/>
        <v/>
      </c>
    </row>
    <row r="215" ht="15.75" customHeight="1">
      <c r="A215" s="4" t="s">
        <v>925</v>
      </c>
      <c r="B215" s="4" t="s">
        <v>13</v>
      </c>
      <c r="D215" s="4">
        <v>0.0066</v>
      </c>
      <c r="E215" s="4">
        <v>0.0072</v>
      </c>
      <c r="F215" s="4">
        <v>0.033</v>
      </c>
      <c r="G215" s="4">
        <v>0.0066</v>
      </c>
      <c r="H215" s="4">
        <v>0.0072</v>
      </c>
      <c r="K215" s="6" t="b">
        <f t="shared" ref="K215:M215" si="207">FALSE()</f>
        <v>0</v>
      </c>
      <c r="L215" s="6" t="b">
        <f t="shared" si="207"/>
        <v>0</v>
      </c>
      <c r="M215" s="6" t="b">
        <f t="shared" si="207"/>
        <v>0</v>
      </c>
      <c r="O215" s="4">
        <v>0.0324671901375014</v>
      </c>
      <c r="T215" s="4" t="str">
        <f t="shared" si="3"/>
        <v/>
      </c>
      <c r="U215" s="4" t="str">
        <f t="shared" si="4"/>
        <v/>
      </c>
    </row>
    <row r="216" ht="15.75" customHeight="1">
      <c r="A216" s="4" t="s">
        <v>931</v>
      </c>
      <c r="B216" s="4" t="s">
        <v>13</v>
      </c>
      <c r="D216" s="4">
        <v>0.0576</v>
      </c>
      <c r="E216" s="4">
        <v>0.0576</v>
      </c>
      <c r="F216" s="4">
        <v>1.7528</v>
      </c>
      <c r="G216" s="4">
        <v>0.0576</v>
      </c>
      <c r="H216" s="4">
        <v>0.0576</v>
      </c>
      <c r="K216" s="6" t="b">
        <f t="shared" ref="K216:M216" si="208">FALSE()</f>
        <v>0</v>
      </c>
      <c r="L216" s="6" t="b">
        <f t="shared" si="208"/>
        <v>0</v>
      </c>
      <c r="M216" s="6" t="b">
        <f t="shared" si="208"/>
        <v>0</v>
      </c>
      <c r="O216" s="4">
        <v>1.01261857550113</v>
      </c>
      <c r="T216" s="4" t="str">
        <f t="shared" si="3"/>
        <v/>
      </c>
      <c r="U216" s="4" t="str">
        <f t="shared" si="4"/>
        <v/>
      </c>
    </row>
    <row r="217" ht="15.75" customHeight="1">
      <c r="A217" s="4" t="s">
        <v>937</v>
      </c>
      <c r="B217" s="4" t="s">
        <v>13</v>
      </c>
      <c r="D217" s="4">
        <v>0.0601</v>
      </c>
      <c r="E217" s="4">
        <v>0.0601</v>
      </c>
      <c r="F217" s="4">
        <v>1.644</v>
      </c>
      <c r="G217" s="4">
        <v>0.0601</v>
      </c>
      <c r="H217" s="4">
        <v>0.0601</v>
      </c>
      <c r="K217" s="6" t="b">
        <f t="shared" ref="K217:M217" si="209">FALSE()</f>
        <v>0</v>
      </c>
      <c r="L217" s="6" t="b">
        <f t="shared" si="209"/>
        <v>0</v>
      </c>
      <c r="M217" s="6" t="b">
        <f t="shared" si="209"/>
        <v>0</v>
      </c>
      <c r="O217" s="4">
        <v>0.97229292198944</v>
      </c>
      <c r="T217" s="4" t="str">
        <f t="shared" si="3"/>
        <v/>
      </c>
      <c r="U217" s="4" t="str">
        <f t="shared" si="4"/>
        <v/>
      </c>
    </row>
    <row r="218" ht="15.75" customHeight="1">
      <c r="A218" s="4" t="s">
        <v>944</v>
      </c>
      <c r="B218" s="4" t="s">
        <v>13</v>
      </c>
      <c r="D218" s="4">
        <v>0.006</v>
      </c>
      <c r="E218" s="4">
        <v>0.011</v>
      </c>
      <c r="F218" s="4">
        <v>0.038</v>
      </c>
      <c r="G218" s="4">
        <v>0.006</v>
      </c>
      <c r="H218" s="4">
        <v>0.011</v>
      </c>
      <c r="K218" s="6" t="b">
        <f t="shared" ref="K218:M218" si="210">FALSE()</f>
        <v>0</v>
      </c>
      <c r="L218" s="6" t="b">
        <f t="shared" si="210"/>
        <v>0</v>
      </c>
      <c r="M218" s="6" t="b">
        <f t="shared" si="210"/>
        <v>0</v>
      </c>
      <c r="O218" s="4">
        <v>0.0372957847436968</v>
      </c>
      <c r="T218" s="4" t="str">
        <f t="shared" si="3"/>
        <v/>
      </c>
      <c r="U218" s="4" t="str">
        <f t="shared" si="4"/>
        <v/>
      </c>
    </row>
    <row r="219" ht="15.75" customHeight="1">
      <c r="A219" s="4" t="s">
        <v>950</v>
      </c>
      <c r="B219" s="4" t="s">
        <v>13</v>
      </c>
      <c r="D219" s="4">
        <v>13.0</v>
      </c>
      <c r="E219" s="4">
        <v>13.0</v>
      </c>
      <c r="F219" s="4">
        <v>2.3</v>
      </c>
      <c r="G219" s="4">
        <v>13.0</v>
      </c>
      <c r="H219" s="4">
        <v>13.0</v>
      </c>
      <c r="K219" s="6" t="b">
        <f t="shared" ref="K219:M219" si="211">FALSE()</f>
        <v>0</v>
      </c>
      <c r="L219" s="6" t="b">
        <f t="shared" si="211"/>
        <v>0</v>
      </c>
      <c r="M219" s="6" t="b">
        <f t="shared" si="211"/>
        <v>0</v>
      </c>
      <c r="O219" s="4">
        <v>1.19392246847244</v>
      </c>
      <c r="T219" s="4" t="str">
        <f t="shared" si="3"/>
        <v/>
      </c>
      <c r="U219" s="4" t="str">
        <f t="shared" si="4"/>
        <v/>
      </c>
    </row>
    <row r="220" ht="15.75" customHeight="1">
      <c r="A220" s="4" t="s">
        <v>956</v>
      </c>
      <c r="B220" s="4" t="s">
        <v>13</v>
      </c>
      <c r="D220" s="4">
        <v>0.0107</v>
      </c>
      <c r="E220" s="4">
        <v>0.0107</v>
      </c>
      <c r="F220" s="4">
        <v>0.0673</v>
      </c>
      <c r="G220" s="4">
        <v>0.0107</v>
      </c>
      <c r="H220" s="4">
        <v>0.0107</v>
      </c>
      <c r="K220" s="6" t="b">
        <f t="shared" ref="K220:M220" si="212">FALSE()</f>
        <v>0</v>
      </c>
      <c r="L220" s="6" t="b">
        <f t="shared" si="212"/>
        <v>0</v>
      </c>
      <c r="M220" s="6" t="b">
        <f t="shared" si="212"/>
        <v>0</v>
      </c>
      <c r="O220" s="4">
        <v>0.0651320949377822</v>
      </c>
      <c r="T220" s="4" t="str">
        <f t="shared" si="3"/>
        <v/>
      </c>
      <c r="U220" s="4" t="str">
        <f t="shared" si="4"/>
        <v/>
      </c>
    </row>
    <row r="221" ht="15.75" customHeight="1">
      <c r="A221" s="4" t="s">
        <v>963</v>
      </c>
      <c r="B221" s="4" t="s">
        <v>13</v>
      </c>
      <c r="D221" s="4">
        <v>0.0028</v>
      </c>
      <c r="E221" s="4">
        <v>0.0028</v>
      </c>
      <c r="F221" s="4">
        <v>0.07406</v>
      </c>
      <c r="G221" s="4">
        <v>0.0028</v>
      </c>
      <c r="H221" s="4">
        <v>0.0028</v>
      </c>
      <c r="K221" s="6" t="b">
        <f t="shared" ref="K221:M221" si="213">FALSE()</f>
        <v>0</v>
      </c>
      <c r="L221" s="6" t="b">
        <f t="shared" si="213"/>
        <v>0</v>
      </c>
      <c r="M221" s="6" t="b">
        <f t="shared" si="213"/>
        <v>0</v>
      </c>
      <c r="O221" s="4">
        <v>0.0714458604480181</v>
      </c>
      <c r="T221" s="4" t="str">
        <f t="shared" si="3"/>
        <v/>
      </c>
      <c r="U221" s="4" t="str">
        <f t="shared" si="4"/>
        <v/>
      </c>
    </row>
    <row r="222" ht="15.75" customHeight="1">
      <c r="A222" s="4" t="s">
        <v>966</v>
      </c>
      <c r="B222" s="4" t="s">
        <v>13</v>
      </c>
      <c r="D222" s="4">
        <v>0.00396</v>
      </c>
      <c r="E222" s="4">
        <v>0.00396</v>
      </c>
      <c r="F222" s="4">
        <v>0.06636</v>
      </c>
      <c r="G222" s="4">
        <v>0.00396</v>
      </c>
      <c r="H222" s="4">
        <v>0.00396</v>
      </c>
      <c r="K222" s="6" t="b">
        <f t="shared" ref="K222:M222" si="214">FALSE()</f>
        <v>0</v>
      </c>
      <c r="L222" s="6" t="b">
        <f t="shared" si="214"/>
        <v>0</v>
      </c>
      <c r="M222" s="6" t="b">
        <f t="shared" si="214"/>
        <v>0</v>
      </c>
      <c r="O222" s="4">
        <v>0.0642509798015232</v>
      </c>
      <c r="T222" s="4" t="str">
        <f t="shared" si="3"/>
        <v/>
      </c>
      <c r="U222" s="4" t="str">
        <f t="shared" si="4"/>
        <v/>
      </c>
    </row>
    <row r="223" ht="15.75" customHeight="1">
      <c r="A223" s="4" t="s">
        <v>977</v>
      </c>
      <c r="B223" s="4" t="s">
        <v>13</v>
      </c>
      <c r="D223" s="4">
        <v>0.0031</v>
      </c>
      <c r="E223" s="4">
        <v>0.0031</v>
      </c>
      <c r="F223" s="4">
        <v>0.024</v>
      </c>
      <c r="G223" s="4">
        <v>0.0031</v>
      </c>
      <c r="H223" s="4">
        <v>0.0031</v>
      </c>
      <c r="K223" s="6" t="b">
        <f t="shared" ref="K223:M223" si="215">FALSE()</f>
        <v>0</v>
      </c>
      <c r="L223" s="6" t="b">
        <f t="shared" si="215"/>
        <v>0</v>
      </c>
      <c r="M223" s="6" t="b">
        <f t="shared" si="215"/>
        <v>0</v>
      </c>
      <c r="O223" s="4">
        <v>0.023716526617316</v>
      </c>
      <c r="T223" s="4" t="str">
        <f t="shared" si="3"/>
        <v/>
      </c>
      <c r="U223" s="4" t="str">
        <f t="shared" si="4"/>
        <v/>
      </c>
    </row>
    <row r="224" ht="15.75" customHeight="1">
      <c r="A224" s="4" t="s">
        <v>983</v>
      </c>
      <c r="B224" s="4" t="s">
        <v>13</v>
      </c>
      <c r="D224" s="4">
        <v>0.002</v>
      </c>
      <c r="E224" s="4">
        <v>0.002</v>
      </c>
      <c r="F224" s="4">
        <v>0.0103</v>
      </c>
      <c r="G224" s="4">
        <v>0.002</v>
      </c>
      <c r="H224" s="4">
        <v>0.002</v>
      </c>
      <c r="K224" s="6" t="b">
        <f t="shared" ref="K224:M224" si="216">FALSE()</f>
        <v>0</v>
      </c>
      <c r="L224" s="6" t="b">
        <f t="shared" si="216"/>
        <v>0</v>
      </c>
      <c r="M224" s="6" t="b">
        <f t="shared" si="216"/>
        <v>0</v>
      </c>
      <c r="O224" s="4">
        <v>0.0102473164515495</v>
      </c>
      <c r="T224" s="4" t="str">
        <f t="shared" si="3"/>
        <v/>
      </c>
      <c r="U224" s="4" t="str">
        <f t="shared" si="4"/>
        <v/>
      </c>
    </row>
    <row r="225" ht="15.75" customHeight="1">
      <c r="A225" s="4" t="s">
        <v>990</v>
      </c>
      <c r="B225" s="4" t="s">
        <v>13</v>
      </c>
      <c r="D225" s="4">
        <v>7.9E-4</v>
      </c>
      <c r="E225" s="4">
        <v>8.2E-4</v>
      </c>
      <c r="F225" s="4">
        <v>0.00636</v>
      </c>
      <c r="G225" s="4">
        <v>7.9E-4</v>
      </c>
      <c r="H225" s="4">
        <v>8.2E-4</v>
      </c>
      <c r="K225" s="6" t="b">
        <f t="shared" ref="K225:M225" si="217">FALSE()</f>
        <v>0</v>
      </c>
      <c r="L225" s="6" t="b">
        <f t="shared" si="217"/>
        <v>0</v>
      </c>
      <c r="M225" s="6" t="b">
        <f t="shared" si="217"/>
        <v>0</v>
      </c>
      <c r="O225" s="4">
        <v>0.0063398605461797</v>
      </c>
      <c r="T225" s="4" t="str">
        <f t="shared" si="3"/>
        <v/>
      </c>
      <c r="U225" s="4" t="str">
        <f t="shared" si="4"/>
        <v/>
      </c>
    </row>
    <row r="226" ht="15.75" customHeight="1">
      <c r="A226" s="4" t="s">
        <v>997</v>
      </c>
      <c r="B226" s="4" t="s">
        <v>13</v>
      </c>
      <c r="D226" s="4">
        <v>0.0015</v>
      </c>
      <c r="E226" s="4">
        <v>0.0016</v>
      </c>
      <c r="F226" s="4">
        <v>0.00727</v>
      </c>
      <c r="G226" s="4">
        <v>0.0015</v>
      </c>
      <c r="H226" s="4">
        <v>0.0016</v>
      </c>
      <c r="K226" s="6" t="b">
        <f t="shared" ref="K226:M226" si="218">FALSE()</f>
        <v>0</v>
      </c>
      <c r="L226" s="6" t="b">
        <f t="shared" si="218"/>
        <v>0</v>
      </c>
      <c r="M226" s="6" t="b">
        <f t="shared" si="218"/>
        <v>0</v>
      </c>
      <c r="O226" s="4">
        <v>0.0072437009358742</v>
      </c>
      <c r="T226" s="4" t="str">
        <f t="shared" si="3"/>
        <v/>
      </c>
      <c r="U226" s="4" t="str">
        <f t="shared" si="4"/>
        <v/>
      </c>
    </row>
    <row r="227" ht="15.75" customHeight="1">
      <c r="A227" s="4" t="s">
        <v>1004</v>
      </c>
      <c r="B227" s="4" t="s">
        <v>13</v>
      </c>
      <c r="D227" s="4">
        <v>0.0053</v>
      </c>
      <c r="E227" s="4">
        <v>0.0053</v>
      </c>
      <c r="F227" s="4">
        <v>0.35717</v>
      </c>
      <c r="G227" s="4">
        <v>0.0053</v>
      </c>
      <c r="H227" s="4">
        <v>0.0053</v>
      </c>
      <c r="K227" s="6" t="b">
        <f t="shared" ref="K227:M227" si="219">FALSE()</f>
        <v>0</v>
      </c>
      <c r="L227" s="6" t="b">
        <f t="shared" si="219"/>
        <v>0</v>
      </c>
      <c r="M227" s="6" t="b">
        <f t="shared" si="219"/>
        <v>0</v>
      </c>
      <c r="O227" s="4">
        <v>0.305401649351185</v>
      </c>
      <c r="T227" s="4" t="str">
        <f t="shared" si="3"/>
        <v/>
      </c>
      <c r="U227" s="4" t="str">
        <f t="shared" si="4"/>
        <v/>
      </c>
    </row>
    <row r="228" ht="15.75" customHeight="1">
      <c r="A228" s="4" t="s">
        <v>1010</v>
      </c>
      <c r="B228" s="4" t="s">
        <v>13</v>
      </c>
      <c r="D228" s="4">
        <v>0.0038</v>
      </c>
      <c r="E228" s="4">
        <v>0.0038</v>
      </c>
      <c r="F228" s="4">
        <v>0.0327</v>
      </c>
      <c r="G228" s="4">
        <v>0.0038</v>
      </c>
      <c r="H228" s="4">
        <v>0.0038</v>
      </c>
      <c r="K228" s="6" t="b">
        <f t="shared" ref="K228:M228" si="220">FALSE()</f>
        <v>0</v>
      </c>
      <c r="L228" s="6" t="b">
        <f t="shared" si="220"/>
        <v>0</v>
      </c>
      <c r="M228" s="6" t="b">
        <f t="shared" si="220"/>
        <v>0</v>
      </c>
      <c r="O228" s="4">
        <v>0.0321767316952212</v>
      </c>
      <c r="T228" s="4" t="str">
        <f t="shared" si="3"/>
        <v/>
      </c>
      <c r="U228" s="4" t="str">
        <f t="shared" si="4"/>
        <v/>
      </c>
    </row>
    <row r="229" ht="15.75" customHeight="1">
      <c r="A229" s="4" t="s">
        <v>227</v>
      </c>
      <c r="B229" s="4" t="s">
        <v>13</v>
      </c>
      <c r="C229" s="4">
        <v>0.00227</v>
      </c>
      <c r="D229" s="4">
        <v>4.4E-4</v>
      </c>
      <c r="E229" s="4">
        <v>4.4E-4</v>
      </c>
      <c r="I229" s="4">
        <v>0.0821</v>
      </c>
      <c r="J229" s="4">
        <v>0.0045</v>
      </c>
      <c r="K229" s="6" t="b">
        <f t="shared" ref="K229:M229" si="221">FALSE()</f>
        <v>0</v>
      </c>
      <c r="L229" s="6" t="b">
        <f t="shared" si="221"/>
        <v>0</v>
      </c>
      <c r="M229" s="6" t="b">
        <f t="shared" si="221"/>
        <v>0</v>
      </c>
      <c r="N229" s="4">
        <v>0.0022674274424016</v>
      </c>
      <c r="P229" s="4">
        <v>0.0789035975954659</v>
      </c>
      <c r="T229" s="4">
        <f t="shared" si="3"/>
        <v>2062</v>
      </c>
      <c r="U229" s="4">
        <f t="shared" si="4"/>
        <v>4396</v>
      </c>
    </row>
    <row r="230" ht="15.75" customHeight="1">
      <c r="A230" s="4" t="s">
        <v>228</v>
      </c>
      <c r="B230" s="4" t="s">
        <v>13</v>
      </c>
      <c r="C230" s="4">
        <v>0.0437</v>
      </c>
      <c r="D230" s="4">
        <v>0.0016</v>
      </c>
      <c r="E230" s="4">
        <v>0.0016</v>
      </c>
      <c r="I230" s="4">
        <v>0.38826</v>
      </c>
      <c r="J230" s="4">
        <v>0.0027</v>
      </c>
      <c r="K230" s="6" t="b">
        <f t="shared" ref="K230:M230" si="222">FALSE()</f>
        <v>0</v>
      </c>
      <c r="L230" s="6" t="b">
        <f t="shared" si="222"/>
        <v>0</v>
      </c>
      <c r="M230" s="6" t="b">
        <f t="shared" si="222"/>
        <v>0</v>
      </c>
      <c r="N230" s="4">
        <v>0.0427720918438689</v>
      </c>
      <c r="P230" s="4">
        <v>0.32805116442716</v>
      </c>
      <c r="T230" s="4">
        <f t="shared" si="3"/>
        <v>1436</v>
      </c>
      <c r="U230" s="4">
        <f t="shared" si="4"/>
        <v>1132</v>
      </c>
    </row>
    <row r="231" ht="15.75" customHeight="1">
      <c r="A231" s="4" t="s">
        <v>229</v>
      </c>
      <c r="B231" s="4" t="s">
        <v>13</v>
      </c>
      <c r="C231" s="4">
        <v>0.00585</v>
      </c>
      <c r="D231" s="4">
        <v>9.0E-4</v>
      </c>
      <c r="E231" s="4">
        <v>9.0E-4</v>
      </c>
      <c r="I231" s="4">
        <v>0.11277</v>
      </c>
      <c r="J231" s="4">
        <v>4.5E-4</v>
      </c>
      <c r="K231" s="6" t="b">
        <f t="shared" ref="K231:M231" si="223">FALSE()</f>
        <v>0</v>
      </c>
      <c r="L231" s="6" t="b">
        <f t="shared" si="223"/>
        <v>0</v>
      </c>
      <c r="M231" s="6" t="b">
        <f t="shared" si="223"/>
        <v>0</v>
      </c>
      <c r="N231" s="4">
        <v>0.0058329551924437</v>
      </c>
      <c r="P231" s="4">
        <v>0.106852402241409</v>
      </c>
      <c r="T231" s="4">
        <f t="shared" si="3"/>
        <v>2017</v>
      </c>
      <c r="U231" s="4">
        <f t="shared" si="4"/>
        <v>4000</v>
      </c>
    </row>
    <row r="232" ht="15.75" customHeight="1">
      <c r="A232" s="4" t="s">
        <v>1036</v>
      </c>
      <c r="B232" s="4" t="s">
        <v>13</v>
      </c>
      <c r="D232" s="4">
        <v>0.0</v>
      </c>
      <c r="E232" s="4">
        <v>0.031</v>
      </c>
      <c r="F232" s="4">
        <v>0.0214</v>
      </c>
      <c r="G232" s="4">
        <v>0.0</v>
      </c>
      <c r="H232" s="4">
        <v>0.031</v>
      </c>
      <c r="K232" s="6" t="b">
        <f t="shared" ref="K232:M232" si="224">FALSE()</f>
        <v>0</v>
      </c>
      <c r="L232" s="6" t="b">
        <f t="shared" si="224"/>
        <v>0</v>
      </c>
      <c r="M232" s="6" t="b">
        <f t="shared" si="224"/>
        <v>0</v>
      </c>
      <c r="O232" s="4">
        <v>0.0211742352314064</v>
      </c>
      <c r="T232" s="4" t="str">
        <f t="shared" si="3"/>
        <v/>
      </c>
      <c r="U232" s="4" t="str">
        <f t="shared" si="4"/>
        <v/>
      </c>
    </row>
    <row r="233" ht="15.75" customHeight="1">
      <c r="A233" s="4" t="s">
        <v>1042</v>
      </c>
      <c r="B233" s="4" t="s">
        <v>13</v>
      </c>
      <c r="D233" s="4">
        <v>0.01</v>
      </c>
      <c r="E233" s="4">
        <v>0.02</v>
      </c>
      <c r="F233" s="4">
        <v>0.46</v>
      </c>
      <c r="G233" s="4">
        <v>0.01</v>
      </c>
      <c r="H233" s="4">
        <v>0.02</v>
      </c>
      <c r="K233" s="6" t="b">
        <f t="shared" ref="K233:M233" si="225">FALSE()</f>
        <v>0</v>
      </c>
      <c r="L233" s="6" t="b">
        <f t="shared" si="225"/>
        <v>0</v>
      </c>
      <c r="M233" s="6" t="b">
        <f t="shared" si="225"/>
        <v>0</v>
      </c>
      <c r="O233" s="4">
        <v>0.378436435720245</v>
      </c>
      <c r="T233" s="4" t="str">
        <f t="shared" si="3"/>
        <v/>
      </c>
      <c r="U233" s="4" t="str">
        <f t="shared" si="4"/>
        <v/>
      </c>
    </row>
    <row r="234" ht="15.75" customHeight="1">
      <c r="A234" s="4" t="s">
        <v>1048</v>
      </c>
      <c r="B234" s="4" t="s">
        <v>13</v>
      </c>
      <c r="D234" s="4">
        <v>0.0</v>
      </c>
      <c r="E234" s="4">
        <v>1.0</v>
      </c>
      <c r="F234" s="4">
        <v>0.2</v>
      </c>
      <c r="G234" s="4">
        <v>0.0</v>
      </c>
      <c r="H234" s="4">
        <v>1.0</v>
      </c>
      <c r="K234" s="6" t="b">
        <f t="shared" ref="K234:M234" si="226">FALSE()</f>
        <v>0</v>
      </c>
      <c r="L234" s="6" t="b">
        <f t="shared" si="226"/>
        <v>0</v>
      </c>
      <c r="M234" s="6" t="b">
        <f t="shared" si="226"/>
        <v>0</v>
      </c>
      <c r="O234" s="4">
        <v>0.182321556793955</v>
      </c>
      <c r="T234" s="4" t="str">
        <f t="shared" si="3"/>
        <v/>
      </c>
      <c r="U234" s="4" t="str">
        <f t="shared" si="4"/>
        <v/>
      </c>
    </row>
    <row r="235" ht="15.75" customHeight="1">
      <c r="A235" s="4" t="s">
        <v>230</v>
      </c>
      <c r="B235" s="4" t="s">
        <v>13</v>
      </c>
      <c r="C235" s="4">
        <v>0.006566</v>
      </c>
      <c r="D235" s="4">
        <v>0.00101</v>
      </c>
      <c r="E235" s="4">
        <v>0.00101</v>
      </c>
      <c r="I235" s="4">
        <v>0.10411</v>
      </c>
      <c r="J235" s="4">
        <v>0.0033</v>
      </c>
      <c r="K235" s="6" t="b">
        <f t="shared" ref="K235:M235" si="227">FALSE()</f>
        <v>0</v>
      </c>
      <c r="L235" s="6" t="b">
        <f t="shared" si="227"/>
        <v>0</v>
      </c>
      <c r="M235" s="6" t="b">
        <f t="shared" si="227"/>
        <v>0</v>
      </c>
      <c r="N235" s="4">
        <v>0.0065445377183352</v>
      </c>
      <c r="P235" s="4">
        <v>0.0990395805725589</v>
      </c>
      <c r="T235" s="4">
        <f t="shared" si="3"/>
        <v>1998</v>
      </c>
      <c r="U235" s="4">
        <f t="shared" si="4"/>
        <v>4152</v>
      </c>
    </row>
    <row r="236" ht="15.75" customHeight="1">
      <c r="A236" s="4" t="s">
        <v>1059</v>
      </c>
      <c r="B236" s="4" t="s">
        <v>13</v>
      </c>
      <c r="D236" s="4">
        <v>0.00151</v>
      </c>
      <c r="E236" s="4">
        <v>0.00151</v>
      </c>
      <c r="F236" s="4">
        <v>0.01158</v>
      </c>
      <c r="G236" s="4">
        <v>0.00151</v>
      </c>
      <c r="H236" s="4">
        <v>0.00151</v>
      </c>
      <c r="K236" s="6" t="b">
        <f t="shared" ref="K236:M236" si="228">FALSE()</f>
        <v>0</v>
      </c>
      <c r="L236" s="6" t="b">
        <f t="shared" si="228"/>
        <v>0</v>
      </c>
      <c r="M236" s="6" t="b">
        <f t="shared" si="228"/>
        <v>0</v>
      </c>
      <c r="O236" s="4">
        <v>0.0115134649578908</v>
      </c>
      <c r="T236" s="4" t="str">
        <f t="shared" si="3"/>
        <v/>
      </c>
      <c r="U236" s="4" t="str">
        <f t="shared" si="4"/>
        <v/>
      </c>
    </row>
    <row r="237" ht="15.75" customHeight="1">
      <c r="A237" s="4" t="s">
        <v>1066</v>
      </c>
      <c r="B237" s="4" t="s">
        <v>13</v>
      </c>
      <c r="D237" s="4">
        <v>0.0053</v>
      </c>
      <c r="E237" s="4">
        <v>0.0053</v>
      </c>
      <c r="F237" s="4">
        <v>0.0227</v>
      </c>
      <c r="G237" s="4">
        <v>0.0053</v>
      </c>
      <c r="H237" s="4">
        <v>0.0053</v>
      </c>
      <c r="K237" s="6" t="b">
        <f t="shared" ref="K237:M237" si="229">FALSE()</f>
        <v>0</v>
      </c>
      <c r="L237" s="6" t="b">
        <f t="shared" si="229"/>
        <v>0</v>
      </c>
      <c r="M237" s="6" t="b">
        <f t="shared" si="229"/>
        <v>0</v>
      </c>
      <c r="O237" s="4">
        <v>0.02244618882983</v>
      </c>
      <c r="T237" s="4" t="str">
        <f t="shared" si="3"/>
        <v/>
      </c>
      <c r="U237" s="4" t="str">
        <f t="shared" si="4"/>
        <v/>
      </c>
    </row>
    <row r="238" ht="15.75" customHeight="1">
      <c r="A238" s="4" t="s">
        <v>1074</v>
      </c>
      <c r="B238" s="4" t="s">
        <v>13</v>
      </c>
      <c r="C238" s="4">
        <v>0.026</v>
      </c>
      <c r="D238" s="4">
        <v>0.007</v>
      </c>
      <c r="E238" s="4">
        <v>0.0188</v>
      </c>
      <c r="F238" s="4">
        <v>0.022</v>
      </c>
      <c r="G238" s="4">
        <v>0.0035</v>
      </c>
      <c r="H238" s="4">
        <v>0.0035</v>
      </c>
      <c r="K238" s="6" t="b">
        <f t="shared" ref="K238:M238" si="230">FALSE()</f>
        <v>0</v>
      </c>
      <c r="L238" s="6" t="b">
        <f t="shared" si="230"/>
        <v>0</v>
      </c>
      <c r="M238" s="6" t="b">
        <f t="shared" si="230"/>
        <v>0</v>
      </c>
      <c r="N238" s="4">
        <v>0.0256677467485777</v>
      </c>
      <c r="O238" s="4">
        <v>0.0217614917815126</v>
      </c>
      <c r="T238" s="4">
        <f t="shared" si="3"/>
        <v>1620</v>
      </c>
      <c r="U238" s="4" t="str">
        <f t="shared" si="4"/>
        <v/>
      </c>
    </row>
    <row r="239" ht="15.75" customHeight="1">
      <c r="A239" s="4" t="s">
        <v>231</v>
      </c>
      <c r="B239" s="4" t="s">
        <v>13</v>
      </c>
      <c r="C239" s="4">
        <v>0.001718</v>
      </c>
      <c r="D239" s="4">
        <v>2.2E-4</v>
      </c>
      <c r="E239" s="4">
        <v>4.1E-4</v>
      </c>
      <c r="I239" s="4">
        <v>0.0526</v>
      </c>
      <c r="J239" s="4">
        <v>0.0018</v>
      </c>
      <c r="K239" s="6" t="b">
        <f t="shared" ref="K239:M239" si="231">FALSE()</f>
        <v>0</v>
      </c>
      <c r="L239" s="6" t="b">
        <f t="shared" si="231"/>
        <v>0</v>
      </c>
      <c r="M239" s="6" t="b">
        <f t="shared" si="231"/>
        <v>0</v>
      </c>
      <c r="N239" s="4">
        <v>0.0017165259260645</v>
      </c>
      <c r="P239" s="4">
        <v>0.0512632939375415</v>
      </c>
      <c r="T239" s="4">
        <f t="shared" si="3"/>
        <v>2069</v>
      </c>
      <c r="U239" s="4">
        <f t="shared" si="4"/>
        <v>4551</v>
      </c>
    </row>
    <row r="240" ht="15.75" customHeight="1">
      <c r="A240" s="4" t="s">
        <v>1092</v>
      </c>
      <c r="B240" s="4" t="s">
        <v>13</v>
      </c>
      <c r="D240" s="4">
        <v>9.0E-4</v>
      </c>
      <c r="E240" s="4">
        <v>9.0E-4</v>
      </c>
      <c r="F240" s="4">
        <v>0.01284</v>
      </c>
      <c r="G240" s="4">
        <v>9.0E-4</v>
      </c>
      <c r="H240" s="4">
        <v>9.0E-4</v>
      </c>
      <c r="K240" s="6" t="b">
        <f t="shared" ref="K240:M240" si="232">FALSE()</f>
        <v>0</v>
      </c>
      <c r="L240" s="6" t="b">
        <f t="shared" si="232"/>
        <v>0</v>
      </c>
      <c r="M240" s="6" t="b">
        <f t="shared" si="232"/>
        <v>0</v>
      </c>
      <c r="O240" s="4">
        <v>0.0127582660986627</v>
      </c>
      <c r="T240" s="4" t="str">
        <f t="shared" si="3"/>
        <v/>
      </c>
      <c r="U240" s="4" t="str">
        <f t="shared" si="4"/>
        <v/>
      </c>
    </row>
    <row r="241" ht="15.75" customHeight="1">
      <c r="A241" s="4" t="s">
        <v>1099</v>
      </c>
      <c r="B241" s="4" t="s">
        <v>13</v>
      </c>
      <c r="D241" s="4">
        <v>0.0016</v>
      </c>
      <c r="E241" s="4">
        <v>0.0016</v>
      </c>
      <c r="F241" s="4">
        <v>0.01897</v>
      </c>
      <c r="G241" s="4">
        <v>0.0016</v>
      </c>
      <c r="H241" s="4">
        <v>0.0016</v>
      </c>
      <c r="K241" s="6" t="b">
        <f t="shared" ref="K241:M241" si="233">FALSE()</f>
        <v>0</v>
      </c>
      <c r="L241" s="6" t="b">
        <f t="shared" si="233"/>
        <v>0</v>
      </c>
      <c r="M241" s="6" t="b">
        <f t="shared" si="233"/>
        <v>0</v>
      </c>
      <c r="O241" s="4">
        <v>0.0187923131791372</v>
      </c>
      <c r="T241" s="4" t="str">
        <f t="shared" si="3"/>
        <v/>
      </c>
      <c r="U241" s="4" t="str">
        <f t="shared" si="4"/>
        <v/>
      </c>
    </row>
    <row r="242" ht="15.75" customHeight="1">
      <c r="A242" s="4" t="s">
        <v>1105</v>
      </c>
      <c r="B242" s="4" t="s">
        <v>13</v>
      </c>
      <c r="D242" s="4">
        <v>0.0016</v>
      </c>
      <c r="E242" s="4">
        <v>0.0016</v>
      </c>
      <c r="F242" s="4">
        <v>0.0252</v>
      </c>
      <c r="G242" s="4">
        <v>0.0016</v>
      </c>
      <c r="H242" s="4">
        <v>0.0016</v>
      </c>
      <c r="K242" s="6" t="b">
        <f t="shared" ref="K242:M242" si="234">FALSE()</f>
        <v>0</v>
      </c>
      <c r="L242" s="6" t="b">
        <f t="shared" si="234"/>
        <v>0</v>
      </c>
      <c r="M242" s="6" t="b">
        <f t="shared" si="234"/>
        <v>0</v>
      </c>
      <c r="O242" s="4">
        <v>0.0248877155077789</v>
      </c>
      <c r="T242" s="4" t="str">
        <f t="shared" si="3"/>
        <v/>
      </c>
      <c r="U242" s="4" t="str">
        <f t="shared" si="4"/>
        <v/>
      </c>
    </row>
    <row r="243" ht="15.75" customHeight="1">
      <c r="A243" s="4" t="s">
        <v>232</v>
      </c>
      <c r="B243" s="4" t="s">
        <v>13</v>
      </c>
      <c r="C243" s="4">
        <v>0.00381</v>
      </c>
      <c r="D243" s="4">
        <v>0.0013</v>
      </c>
      <c r="E243" s="4">
        <v>0.0013</v>
      </c>
      <c r="I243" s="4">
        <v>0.1026</v>
      </c>
      <c r="J243" s="4">
        <v>0.0036</v>
      </c>
      <c r="K243" s="6" t="b">
        <f t="shared" ref="K243:M243" si="235">FALSE()</f>
        <v>0</v>
      </c>
      <c r="L243" s="6" t="b">
        <f t="shared" si="235"/>
        <v>0</v>
      </c>
      <c r="M243" s="6" t="b">
        <f t="shared" si="235"/>
        <v>0</v>
      </c>
      <c r="N243" s="4">
        <v>0.0038027603329277</v>
      </c>
      <c r="P243" s="4">
        <v>0.0976710271734461</v>
      </c>
      <c r="T243" s="4">
        <f t="shared" si="3"/>
        <v>2045</v>
      </c>
      <c r="U243" s="4">
        <f t="shared" si="4"/>
        <v>4183</v>
      </c>
    </row>
    <row r="244" ht="15.75" customHeight="1">
      <c r="A244" s="4" t="s">
        <v>1119</v>
      </c>
      <c r="B244" s="4" t="s">
        <v>13</v>
      </c>
      <c r="D244" s="4">
        <v>0.00239</v>
      </c>
      <c r="E244" s="4">
        <v>0.00239</v>
      </c>
      <c r="F244" s="4">
        <v>0.01658</v>
      </c>
      <c r="G244" s="4">
        <v>0.00239</v>
      </c>
      <c r="H244" s="4">
        <v>0.00239</v>
      </c>
      <c r="K244" s="6" t="b">
        <f t="shared" ref="K244:M244" si="236">FALSE()</f>
        <v>0</v>
      </c>
      <c r="L244" s="6" t="b">
        <f t="shared" si="236"/>
        <v>0</v>
      </c>
      <c r="M244" s="6" t="b">
        <f t="shared" si="236"/>
        <v>0</v>
      </c>
      <c r="O244" s="4">
        <v>0.0164440524159328</v>
      </c>
      <c r="T244" s="4" t="str">
        <f t="shared" si="3"/>
        <v/>
      </c>
      <c r="U244" s="4" t="str">
        <f t="shared" si="4"/>
        <v/>
      </c>
    </row>
    <row r="245" ht="15.75" customHeight="1">
      <c r="A245" s="4" t="s">
        <v>1124</v>
      </c>
      <c r="B245" s="4" t="s">
        <v>13</v>
      </c>
      <c r="D245" s="4">
        <v>7.6E-4</v>
      </c>
      <c r="E245" s="4">
        <v>7.6E-4</v>
      </c>
      <c r="F245" s="4">
        <v>0.00538</v>
      </c>
      <c r="G245" s="4">
        <v>7.6E-4</v>
      </c>
      <c r="H245" s="4">
        <v>7.6E-4</v>
      </c>
      <c r="K245" s="6" t="b">
        <f t="shared" ref="K245:M245" si="237">FALSE()</f>
        <v>0</v>
      </c>
      <c r="L245" s="6" t="b">
        <f t="shared" si="237"/>
        <v>0</v>
      </c>
      <c r="M245" s="6" t="b">
        <f t="shared" si="237"/>
        <v>0</v>
      </c>
      <c r="O245" s="4">
        <v>0.0053655794984101</v>
      </c>
      <c r="T245" s="4" t="str">
        <f t="shared" si="3"/>
        <v/>
      </c>
      <c r="U245" s="4" t="str">
        <f t="shared" si="4"/>
        <v/>
      </c>
    </row>
    <row r="246" ht="15.75" customHeight="1">
      <c r="A246" s="4" t="s">
        <v>1130</v>
      </c>
      <c r="B246" s="4" t="s">
        <v>13</v>
      </c>
      <c r="D246" s="4">
        <v>0.0019</v>
      </c>
      <c r="E246" s="4">
        <v>0.0019</v>
      </c>
      <c r="F246" s="4">
        <v>0.0225</v>
      </c>
      <c r="G246" s="4">
        <v>0.0019</v>
      </c>
      <c r="H246" s="4">
        <v>0.0019</v>
      </c>
      <c r="K246" s="6" t="b">
        <f t="shared" ref="K246:M246" si="238">FALSE()</f>
        <v>0</v>
      </c>
      <c r="L246" s="6" t="b">
        <f t="shared" si="238"/>
        <v>0</v>
      </c>
      <c r="M246" s="6" t="b">
        <f t="shared" si="238"/>
        <v>0</v>
      </c>
      <c r="O246" s="4">
        <v>0.0222506089348197</v>
      </c>
      <c r="T246" s="4" t="str">
        <f t="shared" si="3"/>
        <v/>
      </c>
      <c r="U246" s="4" t="str">
        <f t="shared" si="4"/>
        <v/>
      </c>
    </row>
    <row r="247" ht="15.75" customHeight="1">
      <c r="A247" s="4" t="s">
        <v>1137</v>
      </c>
      <c r="B247" s="4" t="s">
        <v>13</v>
      </c>
      <c r="D247" s="4">
        <v>0.00132</v>
      </c>
      <c r="E247" s="4">
        <v>0.00132</v>
      </c>
      <c r="F247" s="4">
        <v>0.01161</v>
      </c>
      <c r="G247" s="4">
        <v>0.00132</v>
      </c>
      <c r="H247" s="4">
        <v>0.00132</v>
      </c>
      <c r="K247" s="6" t="b">
        <f t="shared" ref="K247:M247" si="239">FALSE()</f>
        <v>0</v>
      </c>
      <c r="L247" s="6" t="b">
        <f t="shared" si="239"/>
        <v>0</v>
      </c>
      <c r="M247" s="6" t="b">
        <f t="shared" si="239"/>
        <v>0</v>
      </c>
      <c r="O247" s="4">
        <v>0.0115431210949835</v>
      </c>
      <c r="T247" s="4" t="str">
        <f t="shared" si="3"/>
        <v/>
      </c>
      <c r="U247" s="4" t="str">
        <f t="shared" si="4"/>
        <v/>
      </c>
    </row>
    <row r="248" ht="15.75" customHeight="1">
      <c r="A248" s="4" t="s">
        <v>1143</v>
      </c>
      <c r="B248" s="4" t="s">
        <v>13</v>
      </c>
      <c r="D248" s="4">
        <v>9.0E-4</v>
      </c>
      <c r="E248" s="4">
        <v>9.0E-4</v>
      </c>
      <c r="F248" s="4">
        <v>0.0079</v>
      </c>
      <c r="G248" s="4">
        <v>9.0E-4</v>
      </c>
      <c r="H248" s="4">
        <v>9.0E-4</v>
      </c>
      <c r="K248" s="6" t="b">
        <f t="shared" ref="K248:M248" si="240">FALSE()</f>
        <v>0</v>
      </c>
      <c r="L248" s="6" t="b">
        <f t="shared" si="240"/>
        <v>0</v>
      </c>
      <c r="M248" s="6" t="b">
        <f t="shared" si="240"/>
        <v>0</v>
      </c>
      <c r="O248" s="4">
        <v>0.0078689583786951</v>
      </c>
      <c r="T248" s="4" t="str">
        <f t="shared" si="3"/>
        <v/>
      </c>
      <c r="U248" s="4" t="str">
        <f t="shared" si="4"/>
        <v/>
      </c>
    </row>
    <row r="249" ht="15.75" customHeight="1">
      <c r="A249" s="4" t="s">
        <v>1149</v>
      </c>
      <c r="B249" s="4" t="s">
        <v>13</v>
      </c>
      <c r="D249" s="4">
        <v>0.00236</v>
      </c>
      <c r="E249" s="4">
        <v>0.00245</v>
      </c>
      <c r="F249" s="4">
        <v>0.02146</v>
      </c>
      <c r="G249" s="4">
        <v>0.00236</v>
      </c>
      <c r="H249" s="4">
        <v>0.00245</v>
      </c>
      <c r="K249" s="6" t="b">
        <f t="shared" ref="K249:M249" si="241">FALSE()</f>
        <v>0</v>
      </c>
      <c r="L249" s="6" t="b">
        <f t="shared" si="241"/>
        <v>0</v>
      </c>
      <c r="M249" s="6" t="b">
        <f t="shared" si="241"/>
        <v>0</v>
      </c>
      <c r="O249" s="4">
        <v>0.0212329764080091</v>
      </c>
      <c r="T249" s="4" t="str">
        <f t="shared" si="3"/>
        <v/>
      </c>
      <c r="U249" s="4" t="str">
        <f t="shared" si="4"/>
        <v/>
      </c>
    </row>
    <row r="250" ht="15.75" customHeight="1">
      <c r="A250" s="4" t="s">
        <v>1155</v>
      </c>
      <c r="B250" s="4" t="s">
        <v>13</v>
      </c>
      <c r="D250" s="4">
        <v>0.003</v>
      </c>
      <c r="E250" s="4">
        <v>0.00302</v>
      </c>
      <c r="F250" s="4">
        <v>0.0191</v>
      </c>
      <c r="G250" s="4">
        <v>0.003</v>
      </c>
      <c r="H250" s="4">
        <v>0.00302</v>
      </c>
      <c r="K250" s="6" t="b">
        <f t="shared" ref="K250:M250" si="242">FALSE()</f>
        <v>0</v>
      </c>
      <c r="L250" s="6" t="b">
        <f t="shared" si="242"/>
        <v>0</v>
      </c>
      <c r="M250" s="6" t="b">
        <f t="shared" si="242"/>
        <v>0</v>
      </c>
      <c r="O250" s="4">
        <v>0.0189198848525108</v>
      </c>
      <c r="T250" s="4" t="str">
        <f t="shared" si="3"/>
        <v/>
      </c>
      <c r="U250" s="4" t="str">
        <f t="shared" si="4"/>
        <v/>
      </c>
    </row>
    <row r="251" ht="15.75" customHeight="1">
      <c r="A251" s="4" t="s">
        <v>1161</v>
      </c>
      <c r="B251" s="4" t="s">
        <v>13</v>
      </c>
      <c r="D251" s="4">
        <v>0.00777</v>
      </c>
      <c r="E251" s="4">
        <v>0.0098</v>
      </c>
      <c r="F251" s="4">
        <v>0.02762</v>
      </c>
      <c r="G251" s="4">
        <v>0.00777</v>
      </c>
      <c r="H251" s="4">
        <v>0.0098</v>
      </c>
      <c r="I251" s="4">
        <v>0.2632</v>
      </c>
      <c r="J251" s="4">
        <v>0.009</v>
      </c>
      <c r="K251" s="6" t="b">
        <f t="shared" ref="K251:M251" si="243">FALSE()</f>
        <v>0</v>
      </c>
      <c r="L251" s="6" t="b">
        <f t="shared" si="243"/>
        <v>0</v>
      </c>
      <c r="M251" s="6" t="b">
        <f t="shared" si="243"/>
        <v>0</v>
      </c>
      <c r="O251" s="4">
        <v>0.0272454488901954</v>
      </c>
      <c r="P251" s="4">
        <v>0.233648183959295</v>
      </c>
      <c r="T251" s="4" t="str">
        <f t="shared" si="3"/>
        <v/>
      </c>
      <c r="U251" s="4">
        <f t="shared" si="4"/>
        <v>1638</v>
      </c>
    </row>
    <row r="252" ht="15.75" customHeight="1">
      <c r="A252" s="4" t="s">
        <v>1168</v>
      </c>
      <c r="B252" s="4" t="s">
        <v>13</v>
      </c>
      <c r="D252" s="4">
        <v>0.0311</v>
      </c>
      <c r="E252" s="4">
        <v>0.0327</v>
      </c>
      <c r="F252" s="4">
        <v>0.17705</v>
      </c>
      <c r="G252" s="4">
        <v>0.0311</v>
      </c>
      <c r="H252" s="4">
        <v>0.0327</v>
      </c>
      <c r="I252" s="4">
        <v>0.7833</v>
      </c>
      <c r="J252" s="4">
        <v>0.2373</v>
      </c>
      <c r="K252" s="6" t="b">
        <f t="shared" ref="K252:L252" si="244">FALSE()</f>
        <v>0</v>
      </c>
      <c r="L252" s="6" t="b">
        <f t="shared" si="244"/>
        <v>0</v>
      </c>
      <c r="M252" s="6" t="b">
        <f>TRUE()</f>
        <v>1</v>
      </c>
      <c r="O252" s="4">
        <v>0.163011308259455</v>
      </c>
      <c r="P252" s="4">
        <v>0.578465580476331</v>
      </c>
      <c r="T252" s="4" t="str">
        <f t="shared" si="3"/>
        <v/>
      </c>
      <c r="U252" s="4">
        <f t="shared" si="4"/>
        <v>849</v>
      </c>
    </row>
    <row r="253" ht="15.75" customHeight="1">
      <c r="A253" s="4" t="s">
        <v>1177</v>
      </c>
      <c r="B253" s="4" t="s">
        <v>13</v>
      </c>
      <c r="D253" s="4">
        <v>0.0038</v>
      </c>
      <c r="E253" s="4">
        <v>0.0022</v>
      </c>
      <c r="F253" s="4">
        <v>0.0481</v>
      </c>
      <c r="G253" s="4">
        <v>0.0038</v>
      </c>
      <c r="H253" s="4">
        <v>0.0022</v>
      </c>
      <c r="K253" s="6" t="b">
        <f t="shared" ref="K253:M253" si="245">FALSE()</f>
        <v>0</v>
      </c>
      <c r="L253" s="6" t="b">
        <f t="shared" si="245"/>
        <v>0</v>
      </c>
      <c r="M253" s="6" t="b">
        <f t="shared" si="245"/>
        <v>0</v>
      </c>
      <c r="O253" s="4">
        <v>0.0469790011939946</v>
      </c>
      <c r="T253" s="4" t="str">
        <f t="shared" si="3"/>
        <v/>
      </c>
      <c r="U253" s="4" t="str">
        <f t="shared" si="4"/>
        <v/>
      </c>
    </row>
    <row r="254" ht="15.75" customHeight="1">
      <c r="A254" s="4" t="s">
        <v>1183</v>
      </c>
      <c r="B254" s="4" t="s">
        <v>13</v>
      </c>
      <c r="D254" s="4">
        <v>0.0019</v>
      </c>
      <c r="E254" s="4">
        <v>0.0013</v>
      </c>
      <c r="F254" s="4">
        <v>0.0135</v>
      </c>
      <c r="G254" s="4">
        <v>0.0019</v>
      </c>
      <c r="H254" s="4">
        <v>0.0013</v>
      </c>
      <c r="K254" s="6" t="b">
        <f t="shared" ref="K254:M254" si="246">FALSE()</f>
        <v>0</v>
      </c>
      <c r="L254" s="6" t="b">
        <f t="shared" si="246"/>
        <v>0</v>
      </c>
      <c r="M254" s="6" t="b">
        <f t="shared" si="246"/>
        <v>0</v>
      </c>
      <c r="O254" s="4">
        <v>0.0134096869099176</v>
      </c>
      <c r="T254" s="4" t="str">
        <f t="shared" si="3"/>
        <v/>
      </c>
      <c r="U254" s="4" t="str">
        <f t="shared" si="4"/>
        <v/>
      </c>
    </row>
    <row r="255" ht="15.75" customHeight="1">
      <c r="A255" s="4" t="s">
        <v>1190</v>
      </c>
      <c r="B255" s="4" t="s">
        <v>13</v>
      </c>
      <c r="D255" s="4">
        <v>0.00387</v>
      </c>
      <c r="E255" s="4">
        <v>0.00488</v>
      </c>
      <c r="F255" s="4">
        <v>0.01869</v>
      </c>
      <c r="G255" s="4">
        <v>0.00387</v>
      </c>
      <c r="H255" s="4">
        <v>0.00488</v>
      </c>
      <c r="K255" s="6" t="b">
        <f t="shared" ref="K255:M255" si="247">FALSE()</f>
        <v>0</v>
      </c>
      <c r="L255" s="6" t="b">
        <f t="shared" si="247"/>
        <v>0</v>
      </c>
      <c r="M255" s="6" t="b">
        <f t="shared" si="247"/>
        <v>0</v>
      </c>
      <c r="O255" s="4">
        <v>0.0185174881329937</v>
      </c>
      <c r="T255" s="4" t="str">
        <f t="shared" si="3"/>
        <v/>
      </c>
      <c r="U255" s="4" t="str">
        <f t="shared" si="4"/>
        <v/>
      </c>
    </row>
    <row r="256" ht="15.75" customHeight="1">
      <c r="A256" s="4" t="s">
        <v>1212</v>
      </c>
      <c r="B256" s="4" t="s">
        <v>13</v>
      </c>
      <c r="D256" s="4">
        <v>0.0327</v>
      </c>
      <c r="E256" s="4">
        <v>0.0327</v>
      </c>
      <c r="F256" s="4">
        <v>0.09055</v>
      </c>
      <c r="G256" s="4">
        <v>0.0327</v>
      </c>
      <c r="H256" s="4">
        <v>0.0327</v>
      </c>
      <c r="K256" s="6" t="b">
        <f t="shared" ref="K256:M256" si="248">FALSE()</f>
        <v>0</v>
      </c>
      <c r="L256" s="6" t="b">
        <f t="shared" si="248"/>
        <v>0</v>
      </c>
      <c r="M256" s="6" t="b">
        <f t="shared" si="248"/>
        <v>0</v>
      </c>
      <c r="O256" s="4">
        <v>0.0866821561357244</v>
      </c>
      <c r="T256" s="4" t="str">
        <f t="shared" si="3"/>
        <v/>
      </c>
      <c r="U256" s="4" t="str">
        <f t="shared" si="4"/>
        <v/>
      </c>
    </row>
    <row r="257" ht="15.75" customHeight="1">
      <c r="A257" s="4" t="s">
        <v>1219</v>
      </c>
      <c r="B257" s="4" t="s">
        <v>13</v>
      </c>
      <c r="D257" s="4">
        <v>0.00563</v>
      </c>
      <c r="E257" s="4">
        <v>0.00793</v>
      </c>
      <c r="F257" s="4">
        <v>0.01554</v>
      </c>
      <c r="G257" s="4">
        <v>0.00563</v>
      </c>
      <c r="H257" s="4">
        <v>0.00793</v>
      </c>
      <c r="K257" s="6" t="b">
        <f t="shared" ref="K257:M257" si="249">FALSE()</f>
        <v>0</v>
      </c>
      <c r="L257" s="6" t="b">
        <f t="shared" si="249"/>
        <v>0</v>
      </c>
      <c r="M257" s="6" t="b">
        <f t="shared" si="249"/>
        <v>0</v>
      </c>
      <c r="O257" s="4">
        <v>0.0154204907258763</v>
      </c>
      <c r="T257" s="4" t="str">
        <f t="shared" si="3"/>
        <v/>
      </c>
      <c r="U257" s="4" t="str">
        <f t="shared" si="4"/>
        <v/>
      </c>
    </row>
    <row r="258" ht="15.75" customHeight="1">
      <c r="A258" s="4" t="s">
        <v>233</v>
      </c>
      <c r="B258" s="4" t="s">
        <v>13</v>
      </c>
      <c r="C258" s="4">
        <v>0.05836</v>
      </c>
      <c r="D258" s="4">
        <v>0.0013</v>
      </c>
      <c r="E258" s="4">
        <v>0.0013</v>
      </c>
      <c r="I258" s="4">
        <v>0.32519</v>
      </c>
      <c r="J258" s="4">
        <v>0.0018</v>
      </c>
      <c r="K258" s="6" t="b">
        <f t="shared" ref="K258:M258" si="250">FALSE()</f>
        <v>0</v>
      </c>
      <c r="L258" s="6" t="b">
        <f t="shared" si="250"/>
        <v>0</v>
      </c>
      <c r="M258" s="6" t="b">
        <f t="shared" si="250"/>
        <v>0</v>
      </c>
      <c r="N258" s="4">
        <v>0.0567205402095036</v>
      </c>
      <c r="P258" s="4">
        <v>0.281555845384344</v>
      </c>
      <c r="T258" s="4">
        <f t="shared" si="3"/>
        <v>1367</v>
      </c>
      <c r="U258" s="4">
        <f t="shared" si="4"/>
        <v>1278</v>
      </c>
    </row>
    <row r="259" ht="15.75" customHeight="1">
      <c r="A259" s="4" t="s">
        <v>1231</v>
      </c>
      <c r="B259" s="4" t="s">
        <v>13</v>
      </c>
      <c r="C259" s="4">
        <v>3.6</v>
      </c>
      <c r="D259" s="4">
        <v>0.4</v>
      </c>
      <c r="E259" s="4">
        <v>0.4</v>
      </c>
      <c r="F259" s="4">
        <v>1.55</v>
      </c>
      <c r="G259" s="4">
        <v>0.15</v>
      </c>
      <c r="H259" s="4">
        <v>0.15</v>
      </c>
      <c r="K259" s="6" t="b">
        <f t="shared" ref="K259:M259" si="251">FALSE()</f>
        <v>0</v>
      </c>
      <c r="L259" s="6" t="b">
        <f t="shared" si="251"/>
        <v>0</v>
      </c>
      <c r="M259" s="6" t="b">
        <f t="shared" si="251"/>
        <v>0</v>
      </c>
      <c r="N259" s="4">
        <v>1.52605630349505</v>
      </c>
      <c r="O259" s="4">
        <v>0.936093359170335</v>
      </c>
      <c r="T259" s="4">
        <f t="shared" si="3"/>
        <v>284</v>
      </c>
      <c r="U259" s="4" t="str">
        <f t="shared" si="4"/>
        <v/>
      </c>
    </row>
    <row r="260" ht="15.75" customHeight="1">
      <c r="A260" s="4" t="s">
        <v>1238</v>
      </c>
      <c r="B260" s="4" t="s">
        <v>13</v>
      </c>
      <c r="D260" s="4">
        <v>0.0022</v>
      </c>
      <c r="E260" s="4">
        <v>0.0022</v>
      </c>
      <c r="F260" s="4">
        <v>0.0277</v>
      </c>
      <c r="G260" s="4">
        <v>0.0022</v>
      </c>
      <c r="H260" s="4">
        <v>0.0022</v>
      </c>
      <c r="K260" s="6" t="b">
        <f t="shared" ref="K260:M260" si="252">FALSE()</f>
        <v>0</v>
      </c>
      <c r="L260" s="6" t="b">
        <f t="shared" si="252"/>
        <v>0</v>
      </c>
      <c r="M260" s="6" t="b">
        <f t="shared" si="252"/>
        <v>0</v>
      </c>
      <c r="O260" s="4">
        <v>0.0273232956488903</v>
      </c>
      <c r="T260" s="4" t="str">
        <f t="shared" si="3"/>
        <v/>
      </c>
      <c r="U260" s="4" t="str">
        <f t="shared" si="4"/>
        <v/>
      </c>
    </row>
    <row r="261" ht="15.75" customHeight="1">
      <c r="A261" s="4" t="s">
        <v>1245</v>
      </c>
      <c r="B261" s="4" t="s">
        <v>13</v>
      </c>
      <c r="D261" s="4">
        <v>0.0019</v>
      </c>
      <c r="E261" s="4">
        <v>0.0019</v>
      </c>
      <c r="F261" s="4">
        <v>0.0085</v>
      </c>
      <c r="G261" s="4">
        <v>0.0019</v>
      </c>
      <c r="H261" s="4">
        <v>0.0019</v>
      </c>
      <c r="K261" s="6" t="b">
        <f t="shared" ref="K261:M261" si="253">FALSE()</f>
        <v>0</v>
      </c>
      <c r="L261" s="6" t="b">
        <f t="shared" si="253"/>
        <v>0</v>
      </c>
      <c r="M261" s="6" t="b">
        <f t="shared" si="253"/>
        <v>0</v>
      </c>
      <c r="O261" s="4">
        <v>0.0084640784121294</v>
      </c>
      <c r="T261" s="4" t="str">
        <f t="shared" si="3"/>
        <v/>
      </c>
      <c r="U261" s="4" t="str">
        <f t="shared" si="4"/>
        <v/>
      </c>
    </row>
    <row r="262" ht="15.75" customHeight="1">
      <c r="A262" s="4" t="s">
        <v>234</v>
      </c>
      <c r="B262" s="4" t="s">
        <v>13</v>
      </c>
      <c r="C262" s="4">
        <v>0.00887</v>
      </c>
      <c r="D262" s="4">
        <v>3.8E-4</v>
      </c>
      <c r="E262" s="4">
        <v>3.8E-4</v>
      </c>
      <c r="I262" s="4">
        <v>0.11643</v>
      </c>
      <c r="J262" s="4">
        <v>0.00598</v>
      </c>
      <c r="K262" s="6" t="b">
        <f t="shared" ref="K262:M262" si="254">FALSE()</f>
        <v>0</v>
      </c>
      <c r="L262" s="6" t="b">
        <f t="shared" si="254"/>
        <v>0</v>
      </c>
      <c r="M262" s="6" t="b">
        <f t="shared" si="254"/>
        <v>0</v>
      </c>
      <c r="N262" s="4">
        <v>0.0088308926347546</v>
      </c>
      <c r="P262" s="4">
        <v>0.110136094407839</v>
      </c>
      <c r="T262" s="4">
        <f t="shared" si="3"/>
        <v>1964</v>
      </c>
      <c r="U262" s="4">
        <f t="shared" si="4"/>
        <v>3945</v>
      </c>
    </row>
    <row r="263" ht="15.75" customHeight="1">
      <c r="A263" s="4" t="s">
        <v>235</v>
      </c>
      <c r="B263" s="4" t="s">
        <v>13</v>
      </c>
      <c r="C263" s="4">
        <v>4.0</v>
      </c>
      <c r="D263" s="4">
        <v>1.0</v>
      </c>
      <c r="E263" s="4">
        <v>4.5</v>
      </c>
      <c r="I263" s="4">
        <v>0.96</v>
      </c>
      <c r="J263" s="4">
        <v>0.07</v>
      </c>
      <c r="K263" s="6" t="b">
        <f>TRUE()</f>
        <v>1</v>
      </c>
      <c r="L263" s="6" t="b">
        <f>FALSE()</f>
        <v>0</v>
      </c>
      <c r="M263" s="6" t="b">
        <f>TRUE()</f>
        <v>1</v>
      </c>
      <c r="N263" s="4">
        <v>1.6094379124341</v>
      </c>
      <c r="P263" s="4">
        <v>0.672944473242426</v>
      </c>
      <c r="T263" s="4">
        <f t="shared" si="3"/>
        <v>259</v>
      </c>
      <c r="U263" s="4">
        <f t="shared" si="4"/>
        <v>709</v>
      </c>
    </row>
    <row r="264" ht="15.75" customHeight="1">
      <c r="A264" s="4" t="s">
        <v>1264</v>
      </c>
      <c r="B264" s="4" t="s">
        <v>13</v>
      </c>
      <c r="D264" s="4">
        <v>0.002</v>
      </c>
      <c r="E264" s="4">
        <v>0.0022</v>
      </c>
      <c r="F264" s="4">
        <v>0.0169</v>
      </c>
      <c r="G264" s="4">
        <v>0.002</v>
      </c>
      <c r="H264" s="4">
        <v>0.0022</v>
      </c>
      <c r="K264" s="6" t="b">
        <f t="shared" ref="K264:M264" si="255">FALSE()</f>
        <v>0</v>
      </c>
      <c r="L264" s="6" t="b">
        <f t="shared" si="255"/>
        <v>0</v>
      </c>
      <c r="M264" s="6" t="b">
        <f t="shared" si="255"/>
        <v>0</v>
      </c>
      <c r="O264" s="4">
        <v>0.0167587838149547</v>
      </c>
      <c r="T264" s="4" t="str">
        <f t="shared" si="3"/>
        <v/>
      </c>
      <c r="U264" s="4" t="str">
        <f t="shared" si="4"/>
        <v/>
      </c>
    </row>
    <row r="265" ht="15.75" customHeight="1">
      <c r="A265" s="4" t="s">
        <v>1271</v>
      </c>
      <c r="B265" s="4" t="s">
        <v>13</v>
      </c>
      <c r="C265" s="4">
        <v>0.0645</v>
      </c>
      <c r="D265" s="4">
        <v>0.01092</v>
      </c>
      <c r="E265" s="4">
        <v>0.01944</v>
      </c>
      <c r="F265" s="4">
        <v>0.04782</v>
      </c>
      <c r="G265" s="4">
        <v>8.5E-4</v>
      </c>
      <c r="H265" s="4">
        <v>6.9E-4</v>
      </c>
      <c r="K265" s="6" t="b">
        <f t="shared" ref="K265:M265" si="256">FALSE()</f>
        <v>0</v>
      </c>
      <c r="L265" s="6" t="b">
        <f t="shared" si="256"/>
        <v>0</v>
      </c>
      <c r="M265" s="6" t="b">
        <f t="shared" si="256"/>
        <v>0</v>
      </c>
      <c r="N265" s="4">
        <v>0.0625052053513971</v>
      </c>
      <c r="O265" s="4">
        <v>0.0467118154219558</v>
      </c>
      <c r="T265" s="4">
        <f t="shared" si="3"/>
        <v>1341</v>
      </c>
      <c r="U265" s="4" t="str">
        <f t="shared" si="4"/>
        <v/>
      </c>
    </row>
    <row r="266" ht="15.75" customHeight="1">
      <c r="A266" s="4" t="s">
        <v>1278</v>
      </c>
      <c r="B266" s="4" t="s">
        <v>13</v>
      </c>
      <c r="C266" s="4">
        <v>0.02143</v>
      </c>
      <c r="D266" s="4">
        <v>0.00365</v>
      </c>
      <c r="E266" s="4">
        <v>6.6E-4</v>
      </c>
      <c r="F266" s="4">
        <v>0.017783</v>
      </c>
      <c r="G266" s="4">
        <v>7.52E-4</v>
      </c>
      <c r="H266" s="4">
        <v>0.001214</v>
      </c>
      <c r="K266" s="6" t="b">
        <f t="shared" ref="K266:M266" si="257">FALSE()</f>
        <v>0</v>
      </c>
      <c r="L266" s="6" t="b">
        <f t="shared" si="257"/>
        <v>0</v>
      </c>
      <c r="M266" s="6" t="b">
        <f t="shared" si="257"/>
        <v>0</v>
      </c>
      <c r="N266" s="4">
        <v>0.0212036062510235</v>
      </c>
      <c r="O266" s="4">
        <v>0.0176267323410227</v>
      </c>
      <c r="T266" s="4">
        <f t="shared" si="3"/>
        <v>1693</v>
      </c>
      <c r="U266" s="4" t="str">
        <f t="shared" si="4"/>
        <v/>
      </c>
    </row>
    <row r="267" ht="15.75" customHeight="1">
      <c r="A267" s="4" t="s">
        <v>1285</v>
      </c>
      <c r="B267" s="4" t="s">
        <v>13</v>
      </c>
      <c r="C267" s="4">
        <v>0.0078</v>
      </c>
      <c r="D267" s="4">
        <v>0.00132</v>
      </c>
      <c r="E267" s="4">
        <v>0.0022</v>
      </c>
      <c r="F267" s="4">
        <v>0.005214</v>
      </c>
      <c r="G267" s="4">
        <v>5.07E-4</v>
      </c>
      <c r="H267" s="4">
        <v>7.6E-4</v>
      </c>
      <c r="K267" s="6" t="b">
        <f t="shared" ref="K267:M267" si="258">FALSE()</f>
        <v>0</v>
      </c>
      <c r="L267" s="6" t="b">
        <f t="shared" si="258"/>
        <v>0</v>
      </c>
      <c r="M267" s="6" t="b">
        <f t="shared" si="258"/>
        <v>0</v>
      </c>
      <c r="N267" s="4">
        <v>0.0077697372643606</v>
      </c>
      <c r="O267" s="4">
        <v>0.0052004541669139</v>
      </c>
      <c r="T267" s="4">
        <f t="shared" si="3"/>
        <v>1976</v>
      </c>
      <c r="U267" s="4" t="str">
        <f t="shared" si="4"/>
        <v/>
      </c>
    </row>
    <row r="268" ht="15.75" customHeight="1">
      <c r="A268" s="4" t="s">
        <v>1292</v>
      </c>
      <c r="B268" s="4" t="s">
        <v>13</v>
      </c>
      <c r="D268" s="4">
        <v>0.0016</v>
      </c>
      <c r="E268" s="4">
        <v>0.0015</v>
      </c>
      <c r="F268" s="4">
        <v>0.0095</v>
      </c>
      <c r="G268" s="4">
        <v>0.0016</v>
      </c>
      <c r="H268" s="4">
        <v>0.0015</v>
      </c>
      <c r="K268" s="6" t="b">
        <f t="shared" ref="K268:M268" si="259">FALSE()</f>
        <v>0</v>
      </c>
      <c r="L268" s="6" t="b">
        <f t="shared" si="259"/>
        <v>0</v>
      </c>
      <c r="M268" s="6" t="b">
        <f t="shared" si="259"/>
        <v>0</v>
      </c>
      <c r="O268" s="4">
        <v>0.0094551587707551</v>
      </c>
      <c r="T268" s="4" t="str">
        <f t="shared" si="3"/>
        <v/>
      </c>
      <c r="U268" s="4" t="str">
        <f t="shared" si="4"/>
        <v/>
      </c>
    </row>
    <row r="269" ht="15.75" customHeight="1">
      <c r="A269" s="4" t="s">
        <v>1298</v>
      </c>
      <c r="B269" s="4" t="s">
        <v>13</v>
      </c>
      <c r="D269" s="4">
        <v>0.032</v>
      </c>
      <c r="E269" s="4">
        <v>0.032</v>
      </c>
      <c r="F269" s="4">
        <v>0.328</v>
      </c>
      <c r="G269" s="4">
        <v>0.032</v>
      </c>
      <c r="H269" s="4">
        <v>0.032</v>
      </c>
      <c r="K269" s="6" t="b">
        <f t="shared" ref="K269:M269" si="260">FALSE()</f>
        <v>0</v>
      </c>
      <c r="L269" s="6" t="b">
        <f t="shared" si="260"/>
        <v>0</v>
      </c>
      <c r="M269" s="6" t="b">
        <f t="shared" si="260"/>
        <v>0</v>
      </c>
      <c r="O269" s="4">
        <v>0.283674051054242</v>
      </c>
      <c r="T269" s="4" t="str">
        <f t="shared" si="3"/>
        <v/>
      </c>
      <c r="U269" s="4" t="str">
        <f t="shared" si="4"/>
        <v/>
      </c>
    </row>
    <row r="270" ht="15.75" customHeight="1">
      <c r="A270" s="4" t="s">
        <v>1304</v>
      </c>
      <c r="B270" s="4" t="s">
        <v>13</v>
      </c>
      <c r="D270" s="4">
        <v>0.008</v>
      </c>
      <c r="E270" s="4">
        <v>0.008</v>
      </c>
      <c r="F270" s="4">
        <v>0.03</v>
      </c>
      <c r="G270" s="4">
        <v>0.008</v>
      </c>
      <c r="H270" s="4">
        <v>0.008</v>
      </c>
      <c r="K270" s="6" t="b">
        <f t="shared" ref="K270:M270" si="261">FALSE()</f>
        <v>0</v>
      </c>
      <c r="L270" s="6" t="b">
        <f t="shared" si="261"/>
        <v>0</v>
      </c>
      <c r="M270" s="6" t="b">
        <f t="shared" si="261"/>
        <v>0</v>
      </c>
      <c r="O270" s="4">
        <v>0.0295588022415444</v>
      </c>
      <c r="T270" s="4" t="str">
        <f t="shared" si="3"/>
        <v/>
      </c>
      <c r="U270" s="4" t="str">
        <f t="shared" si="4"/>
        <v/>
      </c>
    </row>
    <row r="271" ht="15.75" customHeight="1">
      <c r="A271" s="4" t="s">
        <v>1311</v>
      </c>
      <c r="B271" s="4" t="s">
        <v>13</v>
      </c>
      <c r="D271" s="4">
        <v>0.0041</v>
      </c>
      <c r="E271" s="4">
        <v>0.0044</v>
      </c>
      <c r="F271" s="4">
        <v>0.0176</v>
      </c>
      <c r="G271" s="4">
        <v>0.0041</v>
      </c>
      <c r="H271" s="4">
        <v>0.0044</v>
      </c>
      <c r="K271" s="6" t="b">
        <f t="shared" ref="K271:M271" si="262">FALSE()</f>
        <v>0</v>
      </c>
      <c r="L271" s="6" t="b">
        <f t="shared" si="262"/>
        <v>0</v>
      </c>
      <c r="M271" s="6" t="b">
        <f t="shared" si="262"/>
        <v>0</v>
      </c>
      <c r="O271" s="4">
        <v>0.0174469136037206</v>
      </c>
      <c r="T271" s="4" t="str">
        <f t="shared" si="3"/>
        <v/>
      </c>
      <c r="U271" s="4" t="str">
        <f t="shared" si="4"/>
        <v/>
      </c>
    </row>
    <row r="272" ht="15.75" customHeight="1">
      <c r="A272" s="4" t="s">
        <v>1317</v>
      </c>
      <c r="B272" s="4" t="s">
        <v>13</v>
      </c>
      <c r="D272" s="4">
        <v>0.0038</v>
      </c>
      <c r="E272" s="4">
        <v>0.0047</v>
      </c>
      <c r="F272" s="4">
        <v>0.012</v>
      </c>
      <c r="G272" s="4">
        <v>0.0038</v>
      </c>
      <c r="H272" s="4">
        <v>0.0047</v>
      </c>
      <c r="K272" s="6" t="b">
        <f t="shared" ref="K272:M272" si="263">FALSE()</f>
        <v>0</v>
      </c>
      <c r="L272" s="6" t="b">
        <f t="shared" si="263"/>
        <v>0</v>
      </c>
      <c r="M272" s="6" t="b">
        <f t="shared" si="263"/>
        <v>0</v>
      </c>
      <c r="O272" s="4">
        <v>0.0119285708652738</v>
      </c>
      <c r="T272" s="4" t="str">
        <f t="shared" si="3"/>
        <v/>
      </c>
      <c r="U272" s="4" t="str">
        <f t="shared" si="4"/>
        <v/>
      </c>
    </row>
    <row r="273" ht="15.75" customHeight="1">
      <c r="A273" s="4" t="s">
        <v>1324</v>
      </c>
      <c r="B273" s="4" t="s">
        <v>13</v>
      </c>
      <c r="D273" s="4">
        <v>0.0044</v>
      </c>
      <c r="E273" s="4">
        <v>0.005</v>
      </c>
      <c r="F273" s="4">
        <v>0.0085</v>
      </c>
      <c r="G273" s="4">
        <v>0.0044</v>
      </c>
      <c r="H273" s="4">
        <v>0.005</v>
      </c>
      <c r="K273" s="6" t="b">
        <f t="shared" ref="K273:M273" si="264">FALSE()</f>
        <v>0</v>
      </c>
      <c r="L273" s="6" t="b">
        <f t="shared" si="264"/>
        <v>0</v>
      </c>
      <c r="M273" s="6" t="b">
        <f t="shared" si="264"/>
        <v>0</v>
      </c>
      <c r="O273" s="4">
        <v>0.0084640784121294</v>
      </c>
      <c r="T273" s="4" t="str">
        <f t="shared" si="3"/>
        <v/>
      </c>
      <c r="U273" s="4" t="str">
        <f t="shared" si="4"/>
        <v/>
      </c>
    </row>
    <row r="274" ht="15.75" customHeight="1">
      <c r="A274" s="4" t="s">
        <v>1329</v>
      </c>
      <c r="B274" s="4" t="s">
        <v>13</v>
      </c>
      <c r="D274" s="4">
        <v>0.0038</v>
      </c>
      <c r="E274" s="4">
        <v>0.0044</v>
      </c>
      <c r="F274" s="4">
        <v>0.0085</v>
      </c>
      <c r="G274" s="4">
        <v>0.0038</v>
      </c>
      <c r="H274" s="4">
        <v>0.0044</v>
      </c>
      <c r="K274" s="6" t="b">
        <f t="shared" ref="K274:M274" si="265">FALSE()</f>
        <v>0</v>
      </c>
      <c r="L274" s="6" t="b">
        <f t="shared" si="265"/>
        <v>0</v>
      </c>
      <c r="M274" s="6" t="b">
        <f t="shared" si="265"/>
        <v>0</v>
      </c>
      <c r="O274" s="4">
        <v>0.0084640784121294</v>
      </c>
      <c r="T274" s="4" t="str">
        <f t="shared" si="3"/>
        <v/>
      </c>
      <c r="U274" s="4" t="str">
        <f t="shared" si="4"/>
        <v/>
      </c>
    </row>
    <row r="275" ht="15.75" customHeight="1">
      <c r="A275" s="4" t="s">
        <v>1335</v>
      </c>
      <c r="B275" s="4" t="s">
        <v>13</v>
      </c>
      <c r="D275" s="4">
        <v>0.0072</v>
      </c>
      <c r="E275" s="4">
        <v>0.0082</v>
      </c>
      <c r="F275" s="4">
        <v>0.0145</v>
      </c>
      <c r="G275" s="4">
        <v>0.0072</v>
      </c>
      <c r="H275" s="4">
        <v>0.0082</v>
      </c>
      <c r="K275" s="6" t="b">
        <f t="shared" ref="K275:M275" si="266">FALSE()</f>
        <v>0</v>
      </c>
      <c r="L275" s="6" t="b">
        <f t="shared" si="266"/>
        <v>0</v>
      </c>
      <c r="M275" s="6" t="b">
        <f t="shared" si="266"/>
        <v>0</v>
      </c>
      <c r="O275" s="4">
        <v>0.0143958802837323</v>
      </c>
      <c r="T275" s="4" t="str">
        <f t="shared" si="3"/>
        <v/>
      </c>
      <c r="U275" s="4" t="str">
        <f t="shared" si="4"/>
        <v/>
      </c>
    </row>
    <row r="276" ht="15.75" customHeight="1">
      <c r="A276" s="4" t="s">
        <v>1342</v>
      </c>
      <c r="B276" s="4" t="s">
        <v>13</v>
      </c>
      <c r="F276" s="4">
        <v>0.04</v>
      </c>
      <c r="I276" s="4">
        <v>1.13</v>
      </c>
      <c r="K276" s="6" t="b">
        <f t="shared" ref="K276:L276" si="267">FALSE()</f>
        <v>0</v>
      </c>
      <c r="L276" s="6" t="b">
        <f t="shared" si="267"/>
        <v>0</v>
      </c>
      <c r="M276" s="6" t="b">
        <f>TRUE()</f>
        <v>1</v>
      </c>
      <c r="O276" s="4">
        <v>0.0392207131532812</v>
      </c>
      <c r="P276" s="4">
        <v>0.756121979721334</v>
      </c>
      <c r="T276" s="4" t="str">
        <f t="shared" si="3"/>
        <v/>
      </c>
      <c r="U276" s="4">
        <f t="shared" si="4"/>
        <v>473</v>
      </c>
    </row>
    <row r="277" ht="15.75" customHeight="1">
      <c r="A277" s="4" t="s">
        <v>1348</v>
      </c>
      <c r="B277" s="4" t="s">
        <v>13</v>
      </c>
      <c r="C277" s="4">
        <v>5.792</v>
      </c>
      <c r="D277" s="4">
        <v>0.477</v>
      </c>
      <c r="E277" s="4">
        <v>0.469</v>
      </c>
      <c r="F277" s="4">
        <v>4.733</v>
      </c>
      <c r="G277" s="4">
        <v>0.01</v>
      </c>
      <c r="H277" s="4">
        <v>0.011</v>
      </c>
      <c r="K277" s="6" t="b">
        <f>TRUE()</f>
        <v>1</v>
      </c>
      <c r="L277" s="6" t="b">
        <f t="shared" ref="L277:M277" si="268">FALSE()</f>
        <v>0</v>
      </c>
      <c r="M277" s="6" t="b">
        <f t="shared" si="268"/>
        <v>0</v>
      </c>
      <c r="N277" s="4">
        <v>1.91574544900905</v>
      </c>
      <c r="O277" s="4">
        <v>1.74623895392625</v>
      </c>
      <c r="T277" s="4">
        <f t="shared" si="3"/>
        <v>180</v>
      </c>
      <c r="U277" s="4" t="str">
        <f t="shared" si="4"/>
        <v/>
      </c>
    </row>
    <row r="278" ht="15.75" customHeight="1">
      <c r="A278" s="4" t="s">
        <v>1358</v>
      </c>
      <c r="B278" s="4" t="s">
        <v>13</v>
      </c>
      <c r="D278" s="4">
        <v>0.002</v>
      </c>
      <c r="E278" s="4">
        <v>0.002</v>
      </c>
      <c r="F278" s="4">
        <v>0.014</v>
      </c>
      <c r="G278" s="4">
        <v>0.002</v>
      </c>
      <c r="H278" s="4">
        <v>0.002</v>
      </c>
      <c r="K278" s="6" t="b">
        <f t="shared" ref="K278:M278" si="269">FALSE()</f>
        <v>0</v>
      </c>
      <c r="L278" s="6" t="b">
        <f t="shared" si="269"/>
        <v>0</v>
      </c>
      <c r="M278" s="6" t="b">
        <f t="shared" si="269"/>
        <v>0</v>
      </c>
      <c r="O278" s="4">
        <v>0.0139029051689914</v>
      </c>
      <c r="T278" s="4" t="str">
        <f t="shared" si="3"/>
        <v/>
      </c>
      <c r="U278" s="4" t="str">
        <f t="shared" si="4"/>
        <v/>
      </c>
    </row>
    <row r="279" ht="15.75" customHeight="1">
      <c r="A279" s="4" t="s">
        <v>1364</v>
      </c>
      <c r="B279" s="4" t="s">
        <v>13</v>
      </c>
      <c r="D279" s="4">
        <v>0.005</v>
      </c>
      <c r="E279" s="4">
        <v>0.005</v>
      </c>
      <c r="F279" s="4">
        <v>0.036</v>
      </c>
      <c r="G279" s="4">
        <v>0.005</v>
      </c>
      <c r="H279" s="4">
        <v>0.005</v>
      </c>
      <c r="K279" s="6" t="b">
        <f t="shared" ref="K279:M279" si="270">FALSE()</f>
        <v>0</v>
      </c>
      <c r="L279" s="6" t="b">
        <f t="shared" si="270"/>
        <v>0</v>
      </c>
      <c r="M279" s="6" t="b">
        <f t="shared" si="270"/>
        <v>0</v>
      </c>
      <c r="O279" s="4">
        <v>0.0353671438372913</v>
      </c>
      <c r="T279" s="4" t="str">
        <f t="shared" si="3"/>
        <v/>
      </c>
      <c r="U279" s="4" t="str">
        <f t="shared" si="4"/>
        <v/>
      </c>
    </row>
    <row r="280" ht="15.75" customHeight="1">
      <c r="A280" s="4" t="s">
        <v>1370</v>
      </c>
      <c r="B280" s="4" t="s">
        <v>13</v>
      </c>
      <c r="D280" s="4">
        <v>0.007548999</v>
      </c>
      <c r="E280" s="4">
        <v>0.01163804</v>
      </c>
      <c r="F280" s="4">
        <v>0.013843879</v>
      </c>
      <c r="G280" s="4">
        <v>0.007548999</v>
      </c>
      <c r="H280" s="4">
        <v>0.01163804</v>
      </c>
      <c r="K280" s="6" t="b">
        <f t="shared" ref="K280:M280" si="271">FALSE()</f>
        <v>0</v>
      </c>
      <c r="L280" s="6" t="b">
        <f t="shared" si="271"/>
        <v>0</v>
      </c>
      <c r="M280" s="6" t="b">
        <f t="shared" si="271"/>
        <v>0</v>
      </c>
      <c r="O280" s="4">
        <v>0.0137489278318549</v>
      </c>
      <c r="T280" s="4" t="str">
        <f t="shared" si="3"/>
        <v/>
      </c>
      <c r="U280" s="4" t="str">
        <f t="shared" si="4"/>
        <v/>
      </c>
    </row>
    <row r="281" ht="15.75" customHeight="1">
      <c r="A281" s="4" t="s">
        <v>1377</v>
      </c>
      <c r="B281" s="4" t="s">
        <v>13</v>
      </c>
      <c r="D281" s="4">
        <v>0.014468914</v>
      </c>
      <c r="E281" s="4">
        <v>0.018243414</v>
      </c>
      <c r="F281" s="4">
        <v>0.027365121</v>
      </c>
      <c r="G281" s="4">
        <v>0.014468914</v>
      </c>
      <c r="H281" s="4">
        <v>0.018243414</v>
      </c>
      <c r="K281" s="6" t="b">
        <f t="shared" ref="K281:M281" si="272">FALSE()</f>
        <v>0</v>
      </c>
      <c r="L281" s="6" t="b">
        <f t="shared" si="272"/>
        <v>0</v>
      </c>
      <c r="M281" s="6" t="b">
        <f t="shared" si="272"/>
        <v>0</v>
      </c>
      <c r="O281" s="4">
        <v>0.0269973896719535</v>
      </c>
      <c r="T281" s="4" t="str">
        <f t="shared" si="3"/>
        <v/>
      </c>
      <c r="U281" s="4" t="str">
        <f t="shared" si="4"/>
        <v/>
      </c>
    </row>
    <row r="282" ht="15.75" customHeight="1">
      <c r="A282" s="4" t="s">
        <v>1383</v>
      </c>
      <c r="B282" s="4" t="s">
        <v>13</v>
      </c>
      <c r="D282" s="4">
        <v>5.7E-4</v>
      </c>
      <c r="E282" s="4">
        <v>5.7E-4</v>
      </c>
      <c r="F282" s="4">
        <v>0.0283</v>
      </c>
      <c r="G282" s="4">
        <v>5.7E-4</v>
      </c>
      <c r="H282" s="4">
        <v>5.7E-4</v>
      </c>
      <c r="K282" s="6" t="b">
        <f t="shared" ref="K282:M282" si="273">FALSE()</f>
        <v>0</v>
      </c>
      <c r="L282" s="6" t="b">
        <f t="shared" si="273"/>
        <v>0</v>
      </c>
      <c r="M282" s="6" t="b">
        <f t="shared" si="273"/>
        <v>0</v>
      </c>
      <c r="O282" s="4">
        <v>0.0279069532530078</v>
      </c>
      <c r="T282" s="4" t="str">
        <f t="shared" si="3"/>
        <v/>
      </c>
      <c r="U282" s="4" t="str">
        <f t="shared" si="4"/>
        <v/>
      </c>
    </row>
    <row r="283" ht="15.75" customHeight="1">
      <c r="A283" s="4" t="s">
        <v>1390</v>
      </c>
      <c r="B283" s="4" t="s">
        <v>13</v>
      </c>
      <c r="D283" s="4">
        <v>0.003</v>
      </c>
      <c r="E283" s="4">
        <v>0.003</v>
      </c>
      <c r="F283" s="4">
        <v>0.0541</v>
      </c>
      <c r="G283" s="4">
        <v>0.003</v>
      </c>
      <c r="H283" s="4">
        <v>0.003</v>
      </c>
      <c r="K283" s="6" t="b">
        <f t="shared" ref="K283:M283" si="274">FALSE()</f>
        <v>0</v>
      </c>
      <c r="L283" s="6" t="b">
        <f t="shared" si="274"/>
        <v>0</v>
      </c>
      <c r="M283" s="6" t="b">
        <f t="shared" si="274"/>
        <v>0</v>
      </c>
      <c r="O283" s="4">
        <v>0.0526873222790064</v>
      </c>
      <c r="T283" s="4" t="str">
        <f t="shared" si="3"/>
        <v/>
      </c>
      <c r="U283" s="4" t="str">
        <f t="shared" si="4"/>
        <v/>
      </c>
    </row>
    <row r="284" ht="15.75" customHeight="1">
      <c r="A284" s="4" t="s">
        <v>1396</v>
      </c>
      <c r="B284" s="4" t="s">
        <v>13</v>
      </c>
      <c r="D284" s="4">
        <v>0.0129</v>
      </c>
      <c r="E284" s="4">
        <v>0.0129</v>
      </c>
      <c r="F284" s="4">
        <v>0.05</v>
      </c>
      <c r="G284" s="4">
        <v>0.0129</v>
      </c>
      <c r="H284" s="4">
        <v>0.0129</v>
      </c>
      <c r="K284" s="6" t="b">
        <f t="shared" ref="K284:M284" si="275">FALSE()</f>
        <v>0</v>
      </c>
      <c r="L284" s="6" t="b">
        <f t="shared" si="275"/>
        <v>0</v>
      </c>
      <c r="M284" s="6" t="b">
        <f t="shared" si="275"/>
        <v>0</v>
      </c>
      <c r="O284" s="4">
        <v>0.048790164169432</v>
      </c>
      <c r="T284" s="4" t="str">
        <f t="shared" si="3"/>
        <v/>
      </c>
      <c r="U284" s="4" t="str">
        <f t="shared" si="4"/>
        <v/>
      </c>
    </row>
    <row r="285" ht="15.75" customHeight="1">
      <c r="A285" s="4" t="s">
        <v>1403</v>
      </c>
      <c r="B285" s="4" t="s">
        <v>13</v>
      </c>
      <c r="D285" s="4">
        <v>0.00249</v>
      </c>
      <c r="E285" s="4">
        <v>0.00249</v>
      </c>
      <c r="F285" s="4">
        <v>0.04292</v>
      </c>
      <c r="G285" s="4">
        <v>0.00249</v>
      </c>
      <c r="H285" s="4">
        <v>0.00249</v>
      </c>
      <c r="K285" s="6" t="b">
        <f t="shared" ref="K285:M285" si="276">FALSE()</f>
        <v>0</v>
      </c>
      <c r="L285" s="6" t="b">
        <f t="shared" si="276"/>
        <v>0</v>
      </c>
      <c r="M285" s="6" t="b">
        <f t="shared" si="276"/>
        <v>0</v>
      </c>
      <c r="O285" s="4">
        <v>0.0420244712552319</v>
      </c>
      <c r="T285" s="4" t="str">
        <f t="shared" si="3"/>
        <v/>
      </c>
      <c r="U285" s="4" t="str">
        <f t="shared" si="4"/>
        <v/>
      </c>
    </row>
    <row r="286" ht="15.75" customHeight="1">
      <c r="A286" s="4" t="s">
        <v>1408</v>
      </c>
      <c r="B286" s="4" t="s">
        <v>13</v>
      </c>
      <c r="D286" s="4">
        <v>0.00274</v>
      </c>
      <c r="E286" s="4">
        <v>0.00302</v>
      </c>
      <c r="F286" s="4">
        <v>0.03382</v>
      </c>
      <c r="G286" s="4">
        <v>0.00274</v>
      </c>
      <c r="H286" s="4">
        <v>0.00302</v>
      </c>
      <c r="K286" s="6" t="b">
        <f t="shared" ref="K286:M286" si="277">FALSE()</f>
        <v>0</v>
      </c>
      <c r="L286" s="6" t="b">
        <f t="shared" si="277"/>
        <v>0</v>
      </c>
      <c r="M286" s="6" t="b">
        <f t="shared" si="277"/>
        <v>0</v>
      </c>
      <c r="O286" s="4">
        <v>0.0332606796944289</v>
      </c>
      <c r="T286" s="4" t="str">
        <f t="shared" si="3"/>
        <v/>
      </c>
      <c r="U286" s="4" t="str">
        <f t="shared" si="4"/>
        <v/>
      </c>
    </row>
    <row r="287" ht="15.75" customHeight="1">
      <c r="A287" s="4" t="s">
        <v>1415</v>
      </c>
      <c r="B287" s="4" t="s">
        <v>13</v>
      </c>
      <c r="D287" s="4">
        <v>0.0016</v>
      </c>
      <c r="E287" s="4">
        <v>0.0016</v>
      </c>
      <c r="F287" s="4">
        <v>0.00931</v>
      </c>
      <c r="G287" s="4">
        <v>0.0016</v>
      </c>
      <c r="H287" s="4">
        <v>0.0016</v>
      </c>
      <c r="K287" s="6" t="b">
        <f t="shared" ref="K287:M287" si="278">FALSE()</f>
        <v>0</v>
      </c>
      <c r="L287" s="6" t="b">
        <f t="shared" si="278"/>
        <v>0</v>
      </c>
      <c r="M287" s="6" t="b">
        <f t="shared" si="278"/>
        <v>0</v>
      </c>
      <c r="O287" s="4">
        <v>0.0092669290705248</v>
      </c>
      <c r="T287" s="4" t="str">
        <f t="shared" si="3"/>
        <v/>
      </c>
      <c r="U287" s="4" t="str">
        <f t="shared" si="4"/>
        <v/>
      </c>
    </row>
    <row r="288" ht="15.75" customHeight="1">
      <c r="A288" s="4" t="s">
        <v>1422</v>
      </c>
      <c r="B288" s="4" t="s">
        <v>13</v>
      </c>
      <c r="D288" s="4">
        <v>0.0044</v>
      </c>
      <c r="E288" s="4">
        <v>0.003</v>
      </c>
      <c r="F288" s="4">
        <v>0.0384</v>
      </c>
      <c r="G288" s="4">
        <v>0.0044</v>
      </c>
      <c r="H288" s="4">
        <v>0.003</v>
      </c>
      <c r="K288" s="6" t="b">
        <f t="shared" ref="K288:M288" si="279">FALSE()</f>
        <v>0</v>
      </c>
      <c r="L288" s="6" t="b">
        <f t="shared" si="279"/>
        <v>0</v>
      </c>
      <c r="M288" s="6" t="b">
        <f t="shared" si="279"/>
        <v>0</v>
      </c>
      <c r="O288" s="4">
        <v>0.0376810669676884</v>
      </c>
      <c r="T288" s="4" t="str">
        <f t="shared" si="3"/>
        <v/>
      </c>
      <c r="U288" s="4" t="str">
        <f t="shared" si="4"/>
        <v/>
      </c>
    </row>
    <row r="289" ht="15.75" customHeight="1">
      <c r="A289" s="4" t="s">
        <v>1428</v>
      </c>
      <c r="B289" s="4" t="s">
        <v>13</v>
      </c>
      <c r="C289" s="4">
        <v>1.68</v>
      </c>
      <c r="D289" s="4">
        <v>0.16</v>
      </c>
      <c r="E289" s="4">
        <v>0.26</v>
      </c>
      <c r="F289" s="4">
        <v>1.495</v>
      </c>
      <c r="G289" s="4">
        <v>0.15</v>
      </c>
      <c r="H289" s="4">
        <v>0.15</v>
      </c>
      <c r="K289" s="6" t="b">
        <f t="shared" ref="K289:M289" si="280">FALSE()</f>
        <v>0</v>
      </c>
      <c r="L289" s="6" t="b">
        <f t="shared" si="280"/>
        <v>0</v>
      </c>
      <c r="M289" s="6" t="b">
        <f t="shared" si="280"/>
        <v>0</v>
      </c>
      <c r="N289" s="4">
        <v>0.985816794522765</v>
      </c>
      <c r="O289" s="4">
        <v>0.914288729203482</v>
      </c>
      <c r="T289" s="4">
        <f t="shared" si="3"/>
        <v>485</v>
      </c>
      <c r="U289" s="4" t="str">
        <f t="shared" si="4"/>
        <v/>
      </c>
    </row>
    <row r="290" ht="15.75" customHeight="1">
      <c r="A290" s="4" t="s">
        <v>1436</v>
      </c>
      <c r="B290" s="4" t="s">
        <v>13</v>
      </c>
      <c r="C290" s="4">
        <v>0.08</v>
      </c>
      <c r="D290" s="4">
        <v>0.011</v>
      </c>
      <c r="E290" s="4">
        <v>0.049</v>
      </c>
      <c r="F290" s="4">
        <v>0.06381</v>
      </c>
      <c r="G290" s="4">
        <v>0.00994</v>
      </c>
      <c r="H290" s="4">
        <v>0.00994</v>
      </c>
      <c r="K290" s="6" t="b">
        <f t="shared" ref="K290:M290" si="281">FALSE()</f>
        <v>0</v>
      </c>
      <c r="L290" s="6" t="b">
        <f t="shared" si="281"/>
        <v>0</v>
      </c>
      <c r="M290" s="6" t="b">
        <f t="shared" si="281"/>
        <v>0</v>
      </c>
      <c r="N290" s="4">
        <v>0.0769610411361283</v>
      </c>
      <c r="O290" s="4">
        <v>0.0618568035451053</v>
      </c>
      <c r="T290" s="4">
        <f t="shared" si="3"/>
        <v>1296</v>
      </c>
      <c r="U290" s="4" t="str">
        <f t="shared" si="4"/>
        <v/>
      </c>
    </row>
    <row r="291" ht="15.75" customHeight="1">
      <c r="A291" s="4" t="s">
        <v>1443</v>
      </c>
      <c r="B291" s="4" t="s">
        <v>13</v>
      </c>
      <c r="C291" s="4">
        <v>0.032</v>
      </c>
      <c r="D291" s="4">
        <v>0.004</v>
      </c>
      <c r="E291" s="4">
        <v>0.004</v>
      </c>
      <c r="K291" s="6" t="b">
        <f t="shared" ref="K291:M291" si="282">FALSE()</f>
        <v>0</v>
      </c>
      <c r="L291" s="6" t="b">
        <f t="shared" si="282"/>
        <v>0</v>
      </c>
      <c r="M291" s="6" t="b">
        <f t="shared" si="282"/>
        <v>0</v>
      </c>
      <c r="N291" s="4">
        <v>0.0314986670593709</v>
      </c>
      <c r="T291" s="4">
        <f t="shared" si="3"/>
        <v>1525</v>
      </c>
      <c r="U291" s="4" t="str">
        <f t="shared" si="4"/>
        <v/>
      </c>
    </row>
    <row r="292" ht="15.75" customHeight="1">
      <c r="A292" s="4" t="s">
        <v>1449</v>
      </c>
      <c r="B292" s="4" t="s">
        <v>13</v>
      </c>
      <c r="D292" s="4">
        <v>0.003</v>
      </c>
      <c r="E292" s="4">
        <v>0.003</v>
      </c>
      <c r="F292" s="4">
        <v>0.0532</v>
      </c>
      <c r="G292" s="4">
        <v>0.003</v>
      </c>
      <c r="H292" s="4">
        <v>0.003</v>
      </c>
      <c r="K292" s="6" t="b">
        <f t="shared" ref="K292:M292" si="283">FALSE()</f>
        <v>0</v>
      </c>
      <c r="L292" s="6" t="b">
        <f t="shared" si="283"/>
        <v>0</v>
      </c>
      <c r="M292" s="6" t="b">
        <f t="shared" si="283"/>
        <v>0</v>
      </c>
      <c r="O292" s="4">
        <v>0.0518331486400172</v>
      </c>
      <c r="T292" s="4" t="str">
        <f t="shared" si="3"/>
        <v/>
      </c>
      <c r="U292" s="4" t="str">
        <f t="shared" si="4"/>
        <v/>
      </c>
    </row>
    <row r="293" ht="15.75" customHeight="1">
      <c r="A293" s="4" t="s">
        <v>1456</v>
      </c>
      <c r="B293" s="4" t="s">
        <v>13</v>
      </c>
      <c r="D293" s="4">
        <v>0.02</v>
      </c>
      <c r="E293" s="4">
        <v>0.02</v>
      </c>
      <c r="F293" s="4">
        <v>0.076</v>
      </c>
      <c r="G293" s="4">
        <v>0.02</v>
      </c>
      <c r="H293" s="4">
        <v>0.02</v>
      </c>
      <c r="K293" s="6" t="b">
        <f t="shared" ref="K293:M293" si="284">FALSE()</f>
        <v>0</v>
      </c>
      <c r="L293" s="6" t="b">
        <f t="shared" si="284"/>
        <v>0</v>
      </c>
      <c r="M293" s="6" t="b">
        <f t="shared" si="284"/>
        <v>0</v>
      </c>
      <c r="O293" s="4">
        <v>0.0732504617395926</v>
      </c>
      <c r="T293" s="4" t="str">
        <f t="shared" si="3"/>
        <v/>
      </c>
      <c r="U293" s="4" t="str">
        <f t="shared" si="4"/>
        <v/>
      </c>
    </row>
    <row r="294" ht="15.75" customHeight="1">
      <c r="A294" s="4" t="s">
        <v>1464</v>
      </c>
      <c r="B294" s="4" t="s">
        <v>13</v>
      </c>
      <c r="D294" s="4">
        <v>0.06</v>
      </c>
      <c r="E294" s="4">
        <v>0.06</v>
      </c>
      <c r="F294" s="4">
        <v>0.74</v>
      </c>
      <c r="G294" s="4">
        <v>0.06</v>
      </c>
      <c r="H294" s="4">
        <v>0.06</v>
      </c>
      <c r="K294" s="6" t="b">
        <f t="shared" ref="K294:M294" si="285">FALSE()</f>
        <v>0</v>
      </c>
      <c r="L294" s="6" t="b">
        <f t="shared" si="285"/>
        <v>0</v>
      </c>
      <c r="M294" s="6" t="b">
        <f t="shared" si="285"/>
        <v>0</v>
      </c>
      <c r="O294" s="4">
        <v>0.553885113226438</v>
      </c>
      <c r="T294" s="4" t="str">
        <f t="shared" si="3"/>
        <v/>
      </c>
      <c r="U294" s="4" t="str">
        <f t="shared" si="4"/>
        <v/>
      </c>
    </row>
    <row r="295" ht="15.75" customHeight="1">
      <c r="A295" s="4" t="s">
        <v>1471</v>
      </c>
      <c r="B295" s="4" t="s">
        <v>13</v>
      </c>
      <c r="D295" s="4">
        <v>0.05</v>
      </c>
      <c r="E295" s="4">
        <v>0.05</v>
      </c>
      <c r="F295" s="4">
        <v>0.9</v>
      </c>
      <c r="G295" s="4">
        <v>0.05</v>
      </c>
      <c r="H295" s="4">
        <v>0.05</v>
      </c>
      <c r="K295" s="6" t="b">
        <f t="shared" ref="K295:M295" si="286">FALSE()</f>
        <v>0</v>
      </c>
      <c r="L295" s="6" t="b">
        <f t="shared" si="286"/>
        <v>0</v>
      </c>
      <c r="M295" s="6" t="b">
        <f t="shared" si="286"/>
        <v>0</v>
      </c>
      <c r="O295" s="4">
        <v>0.641853886172395</v>
      </c>
      <c r="T295" s="4" t="str">
        <f t="shared" si="3"/>
        <v/>
      </c>
      <c r="U295" s="4" t="str">
        <f t="shared" si="4"/>
        <v/>
      </c>
    </row>
    <row r="296" ht="15.75" customHeight="1">
      <c r="A296" s="4" t="s">
        <v>1477</v>
      </c>
      <c r="B296" s="4" t="s">
        <v>13</v>
      </c>
      <c r="F296" s="4">
        <v>0.77</v>
      </c>
      <c r="K296" s="6" t="b">
        <f t="shared" ref="K296:M296" si="287">FALSE()</f>
        <v>0</v>
      </c>
      <c r="L296" s="6" t="b">
        <f t="shared" si="287"/>
        <v>0</v>
      </c>
      <c r="M296" s="6" t="b">
        <f t="shared" si="287"/>
        <v>0</v>
      </c>
      <c r="O296" s="4">
        <v>0.570979546585738</v>
      </c>
      <c r="T296" s="4" t="str">
        <f t="shared" si="3"/>
        <v/>
      </c>
      <c r="U296" s="4" t="str">
        <f t="shared" si="4"/>
        <v/>
      </c>
    </row>
    <row r="297" ht="15.75" customHeight="1">
      <c r="A297" s="4" t="s">
        <v>1483</v>
      </c>
      <c r="B297" s="4" t="s">
        <v>13</v>
      </c>
      <c r="D297" s="4">
        <v>0.1</v>
      </c>
      <c r="E297" s="4">
        <v>0.1</v>
      </c>
      <c r="F297" s="4">
        <v>4.27</v>
      </c>
      <c r="G297" s="4">
        <v>0.1</v>
      </c>
      <c r="H297" s="4">
        <v>0.1</v>
      </c>
      <c r="K297" s="6" t="b">
        <f t="shared" ref="K297:M297" si="288">FALSE()</f>
        <v>0</v>
      </c>
      <c r="L297" s="6" t="b">
        <f t="shared" si="288"/>
        <v>0</v>
      </c>
      <c r="M297" s="6" t="b">
        <f t="shared" si="288"/>
        <v>0</v>
      </c>
      <c r="O297" s="4">
        <v>1.66203036255327</v>
      </c>
      <c r="T297" s="4" t="str">
        <f t="shared" si="3"/>
        <v/>
      </c>
      <c r="U297" s="4" t="str">
        <f t="shared" si="4"/>
        <v/>
      </c>
    </row>
    <row r="298" ht="15.75" customHeight="1">
      <c r="A298" s="4" t="s">
        <v>1490</v>
      </c>
      <c r="B298" s="4" t="s">
        <v>13</v>
      </c>
      <c r="C298" s="4">
        <v>3.6</v>
      </c>
      <c r="K298" s="6" t="b">
        <f t="shared" ref="K298:M298" si="289">FALSE()</f>
        <v>0</v>
      </c>
      <c r="L298" s="6" t="b">
        <f t="shared" si="289"/>
        <v>0</v>
      </c>
      <c r="M298" s="6" t="b">
        <f t="shared" si="289"/>
        <v>0</v>
      </c>
      <c r="N298" s="4">
        <v>1.52605630349505</v>
      </c>
      <c r="T298" s="4">
        <f t="shared" si="3"/>
        <v>285</v>
      </c>
      <c r="U298" s="4" t="str">
        <f t="shared" si="4"/>
        <v/>
      </c>
    </row>
    <row r="299" ht="15.75" customHeight="1">
      <c r="A299" s="4" t="s">
        <v>1496</v>
      </c>
      <c r="B299" s="4" t="s">
        <v>13</v>
      </c>
      <c r="D299" s="4">
        <v>0.013</v>
      </c>
      <c r="E299" s="4">
        <v>0.013</v>
      </c>
      <c r="F299" s="4">
        <v>0.698</v>
      </c>
      <c r="G299" s="4">
        <v>0.013</v>
      </c>
      <c r="H299" s="4">
        <v>0.013</v>
      </c>
      <c r="K299" s="6" t="b">
        <f t="shared" ref="K299:M299" si="290">FALSE()</f>
        <v>0</v>
      </c>
      <c r="L299" s="6" t="b">
        <f t="shared" si="290"/>
        <v>0</v>
      </c>
      <c r="M299" s="6" t="b">
        <f t="shared" si="290"/>
        <v>0</v>
      </c>
      <c r="O299" s="4">
        <v>0.529451087889156</v>
      </c>
      <c r="T299" s="4" t="str">
        <f t="shared" si="3"/>
        <v/>
      </c>
      <c r="U299" s="4" t="str">
        <f t="shared" si="4"/>
        <v/>
      </c>
    </row>
    <row r="300" ht="15.75" customHeight="1">
      <c r="A300" s="4" t="s">
        <v>1503</v>
      </c>
      <c r="B300" s="4" t="s">
        <v>13</v>
      </c>
      <c r="C300" s="4">
        <v>0.021741</v>
      </c>
      <c r="D300" s="4">
        <v>8.5E-4</v>
      </c>
      <c r="E300" s="4">
        <v>6.9E-4</v>
      </c>
      <c r="K300" s="6" t="b">
        <f t="shared" ref="K300:M300" si="291">FALSE()</f>
        <v>0</v>
      </c>
      <c r="L300" s="6" t="b">
        <f t="shared" si="291"/>
        <v>0</v>
      </c>
      <c r="M300" s="6" t="b">
        <f t="shared" si="291"/>
        <v>0</v>
      </c>
      <c r="N300" s="4">
        <v>0.0215080350065235</v>
      </c>
      <c r="T300" s="4">
        <f t="shared" si="3"/>
        <v>1686</v>
      </c>
      <c r="U300" s="4" t="str">
        <f t="shared" si="4"/>
        <v/>
      </c>
    </row>
    <row r="301" ht="15.75" customHeight="1">
      <c r="A301" s="4" t="s">
        <v>1509</v>
      </c>
      <c r="B301" s="4" t="s">
        <v>13</v>
      </c>
      <c r="C301" s="4">
        <v>0.04855</v>
      </c>
      <c r="D301" s="4">
        <v>0.004</v>
      </c>
      <c r="E301" s="4">
        <v>0.00406</v>
      </c>
      <c r="K301" s="6" t="b">
        <f t="shared" ref="K301:M301" si="292">FALSE()</f>
        <v>0</v>
      </c>
      <c r="L301" s="6" t="b">
        <f t="shared" si="292"/>
        <v>0</v>
      </c>
      <c r="M301" s="6" t="b">
        <f t="shared" si="292"/>
        <v>0</v>
      </c>
      <c r="N301" s="4">
        <v>0.0474082573949912</v>
      </c>
      <c r="T301" s="4">
        <f t="shared" si="3"/>
        <v>1406</v>
      </c>
      <c r="U301" s="4" t="str">
        <f t="shared" si="4"/>
        <v/>
      </c>
    </row>
    <row r="302" ht="15.75" customHeight="1">
      <c r="A302" s="4" t="s">
        <v>1516</v>
      </c>
      <c r="B302" s="4" t="s">
        <v>13</v>
      </c>
      <c r="D302" s="4">
        <v>0.0019</v>
      </c>
      <c r="E302" s="4">
        <v>0.0019</v>
      </c>
      <c r="F302" s="4">
        <v>0.0132</v>
      </c>
      <c r="G302" s="4">
        <v>0.0019</v>
      </c>
      <c r="H302" s="4">
        <v>0.0019</v>
      </c>
      <c r="K302" s="6" t="b">
        <f t="shared" ref="K302:M302" si="293">FALSE()</f>
        <v>0</v>
      </c>
      <c r="L302" s="6" t="b">
        <f t="shared" si="293"/>
        <v>0</v>
      </c>
      <c r="M302" s="6" t="b">
        <f t="shared" si="293"/>
        <v>0</v>
      </c>
      <c r="O302" s="4">
        <v>0.0131136391453831</v>
      </c>
      <c r="T302" s="4" t="str">
        <f t="shared" si="3"/>
        <v/>
      </c>
      <c r="U302" s="4" t="str">
        <f t="shared" si="4"/>
        <v/>
      </c>
    </row>
    <row r="303" ht="15.75" customHeight="1">
      <c r="A303" s="4" t="s">
        <v>1523</v>
      </c>
      <c r="B303" s="4" t="s">
        <v>13</v>
      </c>
      <c r="D303" s="4">
        <v>0.0038</v>
      </c>
      <c r="E303" s="4">
        <v>0.0038</v>
      </c>
      <c r="F303" s="4">
        <v>0.0239</v>
      </c>
      <c r="G303" s="4">
        <v>0.0038</v>
      </c>
      <c r="H303" s="4">
        <v>0.0038</v>
      </c>
      <c r="K303" s="6" t="b">
        <f t="shared" ref="K303:M303" si="294">FALSE()</f>
        <v>0</v>
      </c>
      <c r="L303" s="6" t="b">
        <f t="shared" si="294"/>
        <v>0</v>
      </c>
      <c r="M303" s="6" t="b">
        <f t="shared" si="294"/>
        <v>0</v>
      </c>
      <c r="O303" s="4">
        <v>0.023618865598634</v>
      </c>
      <c r="T303" s="4" t="str">
        <f t="shared" si="3"/>
        <v/>
      </c>
      <c r="U303" s="4" t="str">
        <f t="shared" si="4"/>
        <v/>
      </c>
    </row>
    <row r="304" ht="15.75" customHeight="1">
      <c r="A304" s="4" t="s">
        <v>1529</v>
      </c>
      <c r="B304" s="4" t="s">
        <v>13</v>
      </c>
      <c r="C304" s="4">
        <v>2.26</v>
      </c>
      <c r="D304" s="4">
        <v>0.57</v>
      </c>
      <c r="E304" s="4">
        <v>0.57</v>
      </c>
      <c r="K304" s="6" t="b">
        <f t="shared" ref="K304:M304" si="295">FALSE()</f>
        <v>0</v>
      </c>
      <c r="L304" s="6" t="b">
        <f t="shared" si="295"/>
        <v>0</v>
      </c>
      <c r="M304" s="6" t="b">
        <f t="shared" si="295"/>
        <v>0</v>
      </c>
      <c r="N304" s="4">
        <v>1.18172719537862</v>
      </c>
      <c r="T304" s="4">
        <f t="shared" si="3"/>
        <v>408</v>
      </c>
      <c r="U304" s="4" t="str">
        <f t="shared" si="4"/>
        <v/>
      </c>
    </row>
    <row r="305" ht="15.75" customHeight="1">
      <c r="A305" s="4" t="s">
        <v>1536</v>
      </c>
      <c r="B305" s="4" t="s">
        <v>13</v>
      </c>
      <c r="C305" s="4">
        <v>11.0</v>
      </c>
      <c r="K305" s="6" t="b">
        <f>TRUE()</f>
        <v>1</v>
      </c>
      <c r="L305" s="6" t="b">
        <f t="shared" ref="L305:M305" si="296">FALSE()</f>
        <v>0</v>
      </c>
      <c r="M305" s="6" t="b">
        <f t="shared" si="296"/>
        <v>0</v>
      </c>
      <c r="N305" s="4">
        <v>2.484906649788</v>
      </c>
      <c r="T305" s="4">
        <f t="shared" si="3"/>
        <v>32</v>
      </c>
      <c r="U305" s="4" t="str">
        <f t="shared" si="4"/>
        <v/>
      </c>
    </row>
    <row r="306" ht="15.75" customHeight="1">
      <c r="A306" s="4" t="s">
        <v>1542</v>
      </c>
      <c r="B306" s="4" t="s">
        <v>13</v>
      </c>
      <c r="D306" s="4">
        <v>0.02</v>
      </c>
      <c r="E306" s="4">
        <v>0.02</v>
      </c>
      <c r="F306" s="4">
        <v>0.23</v>
      </c>
      <c r="G306" s="4">
        <v>0.02</v>
      </c>
      <c r="H306" s="4">
        <v>0.02</v>
      </c>
      <c r="K306" s="6" t="b">
        <f t="shared" ref="K306:M306" si="297">FALSE()</f>
        <v>0</v>
      </c>
      <c r="L306" s="6" t="b">
        <f t="shared" si="297"/>
        <v>0</v>
      </c>
      <c r="M306" s="6" t="b">
        <f t="shared" si="297"/>
        <v>0</v>
      </c>
      <c r="O306" s="4">
        <v>0.207014169384326</v>
      </c>
      <c r="T306" s="4" t="str">
        <f t="shared" si="3"/>
        <v/>
      </c>
      <c r="U306" s="4" t="str">
        <f t="shared" si="4"/>
        <v/>
      </c>
    </row>
    <row r="307" ht="15.75" customHeight="1">
      <c r="A307" s="4" t="s">
        <v>1548</v>
      </c>
      <c r="B307" s="4" t="s">
        <v>13</v>
      </c>
      <c r="D307" s="4">
        <v>0.006</v>
      </c>
      <c r="E307" s="4">
        <v>0.006</v>
      </c>
      <c r="F307" s="4">
        <v>0.0374</v>
      </c>
      <c r="G307" s="4">
        <v>0.006</v>
      </c>
      <c r="H307" s="4">
        <v>0.006</v>
      </c>
      <c r="K307" s="6" t="b">
        <f t="shared" ref="K307:M307" si="298">FALSE()</f>
        <v>0</v>
      </c>
      <c r="L307" s="6" t="b">
        <f t="shared" si="298"/>
        <v>0</v>
      </c>
      <c r="M307" s="6" t="b">
        <f t="shared" si="298"/>
        <v>0</v>
      </c>
      <c r="O307" s="4">
        <v>0.0367175829351627</v>
      </c>
      <c r="T307" s="4" t="str">
        <f t="shared" si="3"/>
        <v/>
      </c>
      <c r="U307" s="4" t="str">
        <f t="shared" si="4"/>
        <v/>
      </c>
    </row>
    <row r="308" ht="15.75" customHeight="1">
      <c r="A308" s="4" t="s">
        <v>1554</v>
      </c>
      <c r="B308" s="4" t="s">
        <v>13</v>
      </c>
      <c r="D308" s="4">
        <v>0.0044</v>
      </c>
      <c r="E308" s="4">
        <v>0.0044</v>
      </c>
      <c r="F308" s="4">
        <v>0.03036</v>
      </c>
      <c r="G308" s="4">
        <v>0.0044</v>
      </c>
      <c r="H308" s="4">
        <v>0.0044</v>
      </c>
      <c r="K308" s="6" t="b">
        <f t="shared" ref="K308:M308" si="299">FALSE()</f>
        <v>0</v>
      </c>
      <c r="L308" s="6" t="b">
        <f t="shared" si="299"/>
        <v>0</v>
      </c>
      <c r="M308" s="6" t="b">
        <f t="shared" si="299"/>
        <v>0</v>
      </c>
      <c r="O308" s="4">
        <v>0.0299082557386648</v>
      </c>
      <c r="T308" s="4" t="str">
        <f t="shared" si="3"/>
        <v/>
      </c>
      <c r="U308" s="4" t="str">
        <f t="shared" si="4"/>
        <v/>
      </c>
    </row>
    <row r="309" ht="15.75" customHeight="1">
      <c r="A309" s="4" t="s">
        <v>1562</v>
      </c>
      <c r="B309" s="4" t="s">
        <v>13</v>
      </c>
      <c r="C309" s="4">
        <v>9.403</v>
      </c>
      <c r="D309" s="4">
        <v>1.695</v>
      </c>
      <c r="E309" s="4">
        <v>3.055</v>
      </c>
      <c r="K309" s="6" t="b">
        <f>TRUE()</f>
        <v>1</v>
      </c>
      <c r="L309" s="6" t="b">
        <f t="shared" ref="L309:M309" si="300">FALSE()</f>
        <v>0</v>
      </c>
      <c r="M309" s="6" t="b">
        <f t="shared" si="300"/>
        <v>0</v>
      </c>
      <c r="N309" s="4">
        <v>2.34209422608876</v>
      </c>
      <c r="T309" s="4">
        <f t="shared" si="3"/>
        <v>67</v>
      </c>
      <c r="U309" s="4" t="str">
        <f t="shared" si="4"/>
        <v/>
      </c>
    </row>
    <row r="310" ht="15.75" customHeight="1">
      <c r="A310" s="4" t="s">
        <v>236</v>
      </c>
      <c r="B310" s="4" t="s">
        <v>13</v>
      </c>
      <c r="C310" s="4">
        <v>0.01532</v>
      </c>
      <c r="D310" s="4">
        <v>0.00116</v>
      </c>
      <c r="E310" s="4">
        <v>0.00116</v>
      </c>
      <c r="I310" s="4">
        <v>0.13641</v>
      </c>
      <c r="J310" s="4">
        <v>0.00517</v>
      </c>
      <c r="K310" s="6" t="b">
        <f t="shared" ref="K310:M310" si="301">FALSE()</f>
        <v>0</v>
      </c>
      <c r="L310" s="6" t="b">
        <f t="shared" si="301"/>
        <v>0</v>
      </c>
      <c r="M310" s="6" t="b">
        <f t="shared" si="301"/>
        <v>0</v>
      </c>
      <c r="N310" s="4">
        <v>0.0152038337422727</v>
      </c>
      <c r="P310" s="4">
        <v>0.127874170677588</v>
      </c>
      <c r="T310" s="4">
        <f t="shared" si="3"/>
        <v>1819</v>
      </c>
      <c r="U310" s="4">
        <f t="shared" si="4"/>
        <v>3566</v>
      </c>
    </row>
    <row r="311" ht="15.75" customHeight="1">
      <c r="A311" s="4" t="s">
        <v>237</v>
      </c>
      <c r="B311" s="4" t="s">
        <v>13</v>
      </c>
      <c r="C311" s="4">
        <v>0.00604</v>
      </c>
      <c r="D311" s="4">
        <v>0.00154</v>
      </c>
      <c r="E311" s="4">
        <v>0.00154</v>
      </c>
      <c r="I311" s="4">
        <v>0.107</v>
      </c>
      <c r="J311" s="4">
        <v>0.0041</v>
      </c>
      <c r="K311" s="6" t="b">
        <f t="shared" ref="K311:M311" si="302">FALSE()</f>
        <v>0</v>
      </c>
      <c r="L311" s="6" t="b">
        <f t="shared" si="302"/>
        <v>0</v>
      </c>
      <c r="M311" s="6" t="b">
        <f t="shared" si="302"/>
        <v>0</v>
      </c>
      <c r="N311" s="4">
        <v>0.0060218323184942</v>
      </c>
      <c r="P311" s="4">
        <v>0.1016536537265</v>
      </c>
      <c r="T311" s="4">
        <f t="shared" si="3"/>
        <v>2008</v>
      </c>
      <c r="U311" s="4">
        <f t="shared" si="4"/>
        <v>4090</v>
      </c>
    </row>
    <row r="312" ht="15.75" customHeight="1">
      <c r="A312" s="4" t="s">
        <v>238</v>
      </c>
      <c r="B312" s="4" t="s">
        <v>13</v>
      </c>
      <c r="C312" s="4">
        <v>0.01076</v>
      </c>
      <c r="D312" s="4">
        <v>0.00195</v>
      </c>
      <c r="E312" s="4">
        <v>0.00195</v>
      </c>
      <c r="I312" s="4">
        <v>0.17441</v>
      </c>
      <c r="J312" s="4">
        <v>0.00669</v>
      </c>
      <c r="K312" s="6" t="b">
        <f t="shared" ref="K312:M312" si="303">FALSE()</f>
        <v>0</v>
      </c>
      <c r="L312" s="6" t="b">
        <f t="shared" si="303"/>
        <v>0</v>
      </c>
      <c r="M312" s="6" t="b">
        <f t="shared" si="303"/>
        <v>0</v>
      </c>
      <c r="N312" s="4">
        <v>0.0107025231331355</v>
      </c>
      <c r="P312" s="4">
        <v>0.160765893828238</v>
      </c>
      <c r="T312" s="4">
        <f t="shared" si="3"/>
        <v>1925</v>
      </c>
      <c r="U312" s="4">
        <f t="shared" si="4"/>
        <v>2987</v>
      </c>
    </row>
    <row r="313" ht="15.75" customHeight="1">
      <c r="A313" s="4" t="s">
        <v>1588</v>
      </c>
      <c r="B313" s="4" t="s">
        <v>13</v>
      </c>
      <c r="D313" s="4">
        <v>0.006</v>
      </c>
      <c r="E313" s="4">
        <v>0.006</v>
      </c>
      <c r="F313" s="4">
        <v>0.04097</v>
      </c>
      <c r="G313" s="4">
        <v>0.006</v>
      </c>
      <c r="H313" s="4">
        <v>0.006</v>
      </c>
      <c r="K313" s="6" t="b">
        <f t="shared" ref="K313:M313" si="304">FALSE()</f>
        <v>0</v>
      </c>
      <c r="L313" s="6" t="b">
        <f t="shared" si="304"/>
        <v>0</v>
      </c>
      <c r="M313" s="6" t="b">
        <f t="shared" si="304"/>
        <v>0</v>
      </c>
      <c r="O313" s="4">
        <v>0.0401529707737684</v>
      </c>
      <c r="T313" s="4" t="str">
        <f t="shared" si="3"/>
        <v/>
      </c>
      <c r="U313" s="4" t="str">
        <f t="shared" si="4"/>
        <v/>
      </c>
    </row>
    <row r="314" ht="15.75" customHeight="1">
      <c r="A314" s="4" t="s">
        <v>1596</v>
      </c>
      <c r="B314" s="4" t="s">
        <v>13</v>
      </c>
      <c r="D314" s="4">
        <v>0.0038</v>
      </c>
      <c r="E314" s="4">
        <v>0.0038</v>
      </c>
      <c r="F314" s="4">
        <v>0.0249</v>
      </c>
      <c r="G314" s="4">
        <v>0.0038</v>
      </c>
      <c r="H314" s="4">
        <v>0.0038</v>
      </c>
      <c r="K314" s="6" t="b">
        <f t="shared" ref="K314:M314" si="305">FALSE()</f>
        <v>0</v>
      </c>
      <c r="L314" s="6" t="b">
        <f t="shared" si="305"/>
        <v>0</v>
      </c>
      <c r="M314" s="6" t="b">
        <f t="shared" si="305"/>
        <v>0</v>
      </c>
      <c r="O314" s="4">
        <v>0.0245950468553802</v>
      </c>
      <c r="T314" s="4" t="str">
        <f t="shared" si="3"/>
        <v/>
      </c>
      <c r="U314" s="4" t="str">
        <f t="shared" si="4"/>
        <v/>
      </c>
    </row>
    <row r="315" ht="15.75" customHeight="1">
      <c r="A315" s="4" t="s">
        <v>1602</v>
      </c>
      <c r="B315" s="4" t="s">
        <v>13</v>
      </c>
      <c r="D315" s="4">
        <v>0.0028</v>
      </c>
      <c r="E315" s="4">
        <v>0.0028</v>
      </c>
      <c r="F315" s="4">
        <v>0.0164</v>
      </c>
      <c r="G315" s="4">
        <v>0.0028</v>
      </c>
      <c r="H315" s="4">
        <v>0.0028</v>
      </c>
      <c r="K315" s="6" t="b">
        <f t="shared" ref="K315:M315" si="306">FALSE()</f>
        <v>0</v>
      </c>
      <c r="L315" s="6" t="b">
        <f t="shared" si="306"/>
        <v>0</v>
      </c>
      <c r="M315" s="6" t="b">
        <f t="shared" si="306"/>
        <v>0</v>
      </c>
      <c r="O315" s="4">
        <v>0.0162669724638719</v>
      </c>
      <c r="T315" s="4" t="str">
        <f t="shared" si="3"/>
        <v/>
      </c>
      <c r="U315" s="4" t="str">
        <f t="shared" si="4"/>
        <v/>
      </c>
    </row>
    <row r="316" ht="15.75" customHeight="1">
      <c r="A316" s="4" t="s">
        <v>1609</v>
      </c>
      <c r="B316" s="4" t="s">
        <v>13</v>
      </c>
      <c r="D316" s="4">
        <v>0.0028</v>
      </c>
      <c r="E316" s="4">
        <v>0.0028</v>
      </c>
      <c r="F316" s="4">
        <v>0.02029</v>
      </c>
      <c r="G316" s="4">
        <v>0.0028</v>
      </c>
      <c r="H316" s="4">
        <v>0.0028</v>
      </c>
      <c r="K316" s="6" t="b">
        <f t="shared" ref="K316:M316" si="307">FALSE()</f>
        <v>0</v>
      </c>
      <c r="L316" s="6" t="b">
        <f t="shared" si="307"/>
        <v>0</v>
      </c>
      <c r="M316" s="6" t="b">
        <f t="shared" si="307"/>
        <v>0</v>
      </c>
      <c r="O316" s="4">
        <v>0.0200869006121817</v>
      </c>
      <c r="T316" s="4" t="str">
        <f t="shared" si="3"/>
        <v/>
      </c>
      <c r="U316" s="4" t="str">
        <f t="shared" si="4"/>
        <v/>
      </c>
    </row>
    <row r="317" ht="15.75" customHeight="1">
      <c r="A317" s="4" t="s">
        <v>1617</v>
      </c>
      <c r="B317" s="4" t="s">
        <v>13</v>
      </c>
      <c r="D317" s="4">
        <v>0.35</v>
      </c>
      <c r="E317" s="4">
        <v>0.35</v>
      </c>
      <c r="F317" s="4">
        <v>2.78</v>
      </c>
      <c r="G317" s="4">
        <v>0.35</v>
      </c>
      <c r="H317" s="4">
        <v>0.35</v>
      </c>
      <c r="K317" s="6" t="b">
        <f t="shared" ref="K317:M317" si="308">FALSE()</f>
        <v>0</v>
      </c>
      <c r="L317" s="6" t="b">
        <f t="shared" si="308"/>
        <v>0</v>
      </c>
      <c r="M317" s="6" t="b">
        <f t="shared" si="308"/>
        <v>0</v>
      </c>
      <c r="O317" s="4">
        <v>1.3297240096315</v>
      </c>
      <c r="T317" s="4" t="str">
        <f t="shared" si="3"/>
        <v/>
      </c>
      <c r="U317" s="4" t="str">
        <f t="shared" si="4"/>
        <v/>
      </c>
    </row>
    <row r="318" ht="15.75" customHeight="1">
      <c r="A318" s="4" t="s">
        <v>239</v>
      </c>
      <c r="B318" s="4" t="s">
        <v>13</v>
      </c>
      <c r="C318" s="4">
        <v>0.00494</v>
      </c>
      <c r="D318" s="4">
        <v>0.00236</v>
      </c>
      <c r="E318" s="4">
        <v>0.0025</v>
      </c>
      <c r="I318" s="4">
        <v>0.0919</v>
      </c>
      <c r="J318" s="4">
        <v>0.0098</v>
      </c>
      <c r="K318" s="6" t="b">
        <f t="shared" ref="K318:M318" si="309">FALSE()</f>
        <v>0</v>
      </c>
      <c r="L318" s="6" t="b">
        <f t="shared" si="309"/>
        <v>0</v>
      </c>
      <c r="M318" s="6" t="b">
        <f t="shared" si="309"/>
        <v>0</v>
      </c>
      <c r="N318" s="4">
        <v>0.0049278382362967</v>
      </c>
      <c r="P318" s="4">
        <v>0.0879192980378835</v>
      </c>
      <c r="T318" s="4">
        <f t="shared" si="3"/>
        <v>2028</v>
      </c>
      <c r="U318" s="4">
        <f t="shared" si="4"/>
        <v>4314</v>
      </c>
    </row>
    <row r="319" ht="15.75" customHeight="1">
      <c r="A319" s="4" t="s">
        <v>1638</v>
      </c>
      <c r="B319" s="4" t="s">
        <v>13</v>
      </c>
      <c r="D319" s="4">
        <v>0.00214</v>
      </c>
      <c r="E319" s="4">
        <v>0.00214</v>
      </c>
      <c r="F319" s="4">
        <v>0.01771</v>
      </c>
      <c r="G319" s="4">
        <v>0.00214</v>
      </c>
      <c r="H319" s="4">
        <v>0.00214</v>
      </c>
      <c r="K319" s="6" t="b">
        <f t="shared" ref="K319:M319" si="310">FALSE()</f>
        <v>0</v>
      </c>
      <c r="L319" s="6" t="b">
        <f t="shared" si="310"/>
        <v>0</v>
      </c>
      <c r="M319" s="6" t="b">
        <f t="shared" si="310"/>
        <v>0</v>
      </c>
      <c r="O319" s="4">
        <v>0.0175550052458853</v>
      </c>
      <c r="T319" s="4" t="str">
        <f t="shared" si="3"/>
        <v/>
      </c>
      <c r="U319" s="4" t="str">
        <f t="shared" si="4"/>
        <v/>
      </c>
    </row>
    <row r="320" ht="15.75" customHeight="1">
      <c r="A320" s="4" t="s">
        <v>183</v>
      </c>
      <c r="B320" s="4" t="s">
        <v>13</v>
      </c>
      <c r="C320" s="4">
        <v>11.0</v>
      </c>
      <c r="D320" s="4">
        <v>1.0</v>
      </c>
      <c r="E320" s="4">
        <v>1.0</v>
      </c>
      <c r="I320" s="4">
        <v>1.35</v>
      </c>
      <c r="J320" s="4">
        <v>0.03</v>
      </c>
      <c r="K320" s="6" t="b">
        <f>TRUE()</f>
        <v>1</v>
      </c>
      <c r="L320" s="6" t="b">
        <f>FALSE()</f>
        <v>0</v>
      </c>
      <c r="M320" s="6" t="b">
        <f t="shared" ref="M320:M321" si="312">TRUE()</f>
        <v>1</v>
      </c>
      <c r="N320" s="4">
        <v>2.484906649788</v>
      </c>
      <c r="P320" s="4">
        <v>0.854415328156068</v>
      </c>
      <c r="T320" s="4">
        <f t="shared" si="3"/>
        <v>33</v>
      </c>
      <c r="U320" s="4">
        <f t="shared" si="4"/>
        <v>207</v>
      </c>
    </row>
    <row r="321" ht="15.75" customHeight="1">
      <c r="A321" s="4" t="s">
        <v>240</v>
      </c>
      <c r="B321" s="4" t="s">
        <v>13</v>
      </c>
      <c r="C321" s="4">
        <v>0.46</v>
      </c>
      <c r="D321" s="4">
        <v>0.028</v>
      </c>
      <c r="E321" s="4">
        <v>0.028</v>
      </c>
      <c r="I321" s="4">
        <v>1.045</v>
      </c>
      <c r="J321" s="4">
        <v>0.033</v>
      </c>
      <c r="K321" s="6" t="b">
        <f t="shared" ref="K321:L321" si="311">FALSE()</f>
        <v>0</v>
      </c>
      <c r="L321" s="6" t="b">
        <f t="shared" si="311"/>
        <v>0</v>
      </c>
      <c r="M321" s="6" t="b">
        <f t="shared" si="312"/>
        <v>1</v>
      </c>
      <c r="N321" s="4">
        <v>0.378436435720245</v>
      </c>
      <c r="P321" s="4">
        <v>0.715397789494765</v>
      </c>
      <c r="T321" s="4">
        <f t="shared" si="3"/>
        <v>974</v>
      </c>
      <c r="U321" s="4">
        <f t="shared" si="4"/>
        <v>610</v>
      </c>
    </row>
    <row r="322" ht="15.75" customHeight="1">
      <c r="A322" s="4" t="s">
        <v>241</v>
      </c>
      <c r="B322" s="4" t="s">
        <v>13</v>
      </c>
      <c r="C322" s="4">
        <v>0.0736</v>
      </c>
      <c r="D322" s="4">
        <v>0.0047</v>
      </c>
      <c r="E322" s="4">
        <v>0.0047</v>
      </c>
      <c r="I322" s="4">
        <v>0.389</v>
      </c>
      <c r="J322" s="4">
        <v>0.0054</v>
      </c>
      <c r="K322" s="6" t="b">
        <f t="shared" ref="K322:M322" si="313">FALSE()</f>
        <v>0</v>
      </c>
      <c r="L322" s="6" t="b">
        <f t="shared" si="313"/>
        <v>0</v>
      </c>
      <c r="M322" s="6" t="b">
        <f t="shared" si="313"/>
        <v>0</v>
      </c>
      <c r="N322" s="4">
        <v>0.0710174872352803</v>
      </c>
      <c r="P322" s="4">
        <v>0.328584063772207</v>
      </c>
      <c r="T322" s="4">
        <f t="shared" si="3"/>
        <v>1316</v>
      </c>
      <c r="U322" s="4">
        <f t="shared" si="4"/>
        <v>1130</v>
      </c>
    </row>
    <row r="323" ht="15.75" customHeight="1">
      <c r="A323" s="4" t="s">
        <v>1665</v>
      </c>
      <c r="B323" s="4" t="s">
        <v>13</v>
      </c>
      <c r="C323" s="4">
        <v>3.06</v>
      </c>
      <c r="D323" s="4">
        <v>0.4</v>
      </c>
      <c r="E323" s="4">
        <v>0.4</v>
      </c>
      <c r="F323" s="4">
        <v>1.595</v>
      </c>
      <c r="G323" s="4">
        <v>0.085</v>
      </c>
      <c r="H323" s="4">
        <v>0.094</v>
      </c>
      <c r="K323" s="6" t="b">
        <f t="shared" ref="K323:M323" si="314">FALSE()</f>
        <v>0</v>
      </c>
      <c r="L323" s="6" t="b">
        <f t="shared" si="314"/>
        <v>0</v>
      </c>
      <c r="M323" s="6" t="b">
        <f t="shared" si="314"/>
        <v>0</v>
      </c>
      <c r="N323" s="4">
        <v>1.40118297361364</v>
      </c>
      <c r="O323" s="4">
        <v>0.953586516617852</v>
      </c>
      <c r="T323" s="4">
        <f t="shared" si="3"/>
        <v>315</v>
      </c>
      <c r="U323" s="4" t="str">
        <f t="shared" si="4"/>
        <v/>
      </c>
    </row>
    <row r="324" ht="15.75" customHeight="1">
      <c r="A324" s="4" t="s">
        <v>242</v>
      </c>
      <c r="B324" s="4" t="s">
        <v>13</v>
      </c>
      <c r="C324" s="4">
        <v>0.210489885</v>
      </c>
      <c r="D324" s="4">
        <v>0.013183148</v>
      </c>
      <c r="E324" s="4">
        <v>0.013183148</v>
      </c>
      <c r="I324" s="4">
        <v>0.949</v>
      </c>
      <c r="J324" s="4">
        <v>0.061</v>
      </c>
      <c r="K324" s="6" t="b">
        <f t="shared" ref="K324:L324" si="315">FALSE()</f>
        <v>0</v>
      </c>
      <c r="L324" s="6" t="b">
        <f t="shared" si="315"/>
        <v>0</v>
      </c>
      <c r="M324" s="6" t="b">
        <f t="shared" ref="M324:M329" si="317">TRUE()</f>
        <v>1</v>
      </c>
      <c r="N324" s="4">
        <v>0.191025141309846</v>
      </c>
      <c r="P324" s="4">
        <v>0.667316420525424</v>
      </c>
      <c r="T324" s="4">
        <f t="shared" si="3"/>
        <v>1144</v>
      </c>
      <c r="U324" s="4">
        <f t="shared" si="4"/>
        <v>728</v>
      </c>
    </row>
    <row r="325" ht="15.75" customHeight="1">
      <c r="A325" s="4" t="s">
        <v>243</v>
      </c>
      <c r="B325" s="4" t="s">
        <v>13</v>
      </c>
      <c r="C325" s="4">
        <v>0.9</v>
      </c>
      <c r="D325" s="4">
        <v>0.03</v>
      </c>
      <c r="E325" s="4">
        <v>0.03</v>
      </c>
      <c r="I325" s="4">
        <v>1.44</v>
      </c>
      <c r="J325" s="4">
        <v>0.04</v>
      </c>
      <c r="K325" s="6" t="b">
        <f t="shared" ref="K325:L325" si="316">FALSE()</f>
        <v>0</v>
      </c>
      <c r="L325" s="6" t="b">
        <f t="shared" si="316"/>
        <v>0</v>
      </c>
      <c r="M325" s="6" t="b">
        <f t="shared" si="317"/>
        <v>1</v>
      </c>
      <c r="N325" s="4">
        <v>0.641853886172395</v>
      </c>
      <c r="P325" s="4">
        <v>0.891998039305111</v>
      </c>
      <c r="T325" s="4">
        <f t="shared" si="3"/>
        <v>713</v>
      </c>
      <c r="U325" s="4">
        <f t="shared" si="4"/>
        <v>149</v>
      </c>
    </row>
    <row r="326" ht="15.75" customHeight="1">
      <c r="A326" s="4" t="s">
        <v>244</v>
      </c>
      <c r="B326" s="4" t="s">
        <v>13</v>
      </c>
      <c r="C326" s="4">
        <v>2.444</v>
      </c>
      <c r="D326" s="4">
        <v>0.06</v>
      </c>
      <c r="E326" s="4">
        <v>0.06</v>
      </c>
      <c r="I326" s="4">
        <v>1.01</v>
      </c>
      <c r="J326" s="4">
        <v>0.038</v>
      </c>
      <c r="K326" s="6" t="b">
        <f t="shared" ref="K326:L326" si="318">FALSE()</f>
        <v>0</v>
      </c>
      <c r="L326" s="6" t="b">
        <f t="shared" si="318"/>
        <v>0</v>
      </c>
      <c r="M326" s="6" t="b">
        <f t="shared" si="317"/>
        <v>1</v>
      </c>
      <c r="N326" s="4">
        <v>1.23663358656548</v>
      </c>
      <c r="P326" s="4">
        <v>0.698134722070984</v>
      </c>
      <c r="T326" s="4">
        <f t="shared" si="3"/>
        <v>375</v>
      </c>
      <c r="U326" s="4">
        <f t="shared" si="4"/>
        <v>650</v>
      </c>
    </row>
    <row r="327" ht="15.75" customHeight="1">
      <c r="A327" s="4" t="s">
        <v>245</v>
      </c>
      <c r="B327" s="4" t="s">
        <v>13</v>
      </c>
      <c r="C327" s="4">
        <v>1.946</v>
      </c>
      <c r="D327" s="4">
        <v>0.066</v>
      </c>
      <c r="E327" s="4">
        <v>0.066</v>
      </c>
      <c r="I327" s="4">
        <v>1.072</v>
      </c>
      <c r="J327" s="4">
        <v>0.043</v>
      </c>
      <c r="K327" s="6" t="b">
        <f t="shared" ref="K327:L327" si="319">FALSE()</f>
        <v>0</v>
      </c>
      <c r="L327" s="6" t="b">
        <f t="shared" si="319"/>
        <v>0</v>
      </c>
      <c r="M327" s="6" t="b">
        <f t="shared" si="317"/>
        <v>1</v>
      </c>
      <c r="N327" s="4">
        <v>1.08044831804044</v>
      </c>
      <c r="P327" s="4">
        <v>0.728514324397237</v>
      </c>
      <c r="T327" s="4">
        <f t="shared" si="3"/>
        <v>447</v>
      </c>
      <c r="U327" s="4">
        <f t="shared" si="4"/>
        <v>565</v>
      </c>
    </row>
    <row r="328" ht="15.75" customHeight="1">
      <c r="A328" s="4" t="s">
        <v>246</v>
      </c>
      <c r="B328" s="4" t="s">
        <v>13</v>
      </c>
      <c r="C328" s="4">
        <v>4.193</v>
      </c>
      <c r="D328" s="4">
        <v>0.094</v>
      </c>
      <c r="E328" s="4">
        <v>0.094</v>
      </c>
      <c r="I328" s="4">
        <v>1.289</v>
      </c>
      <c r="J328" s="4">
        <v>0.066</v>
      </c>
      <c r="K328" s="6" t="b">
        <f>TRUE()</f>
        <v>1</v>
      </c>
      <c r="L328" s="6" t="b">
        <f>FALSE()</f>
        <v>0</v>
      </c>
      <c r="M328" s="6" t="b">
        <f t="shared" si="317"/>
        <v>1</v>
      </c>
      <c r="N328" s="4">
        <v>1.64731156486218</v>
      </c>
      <c r="P328" s="4">
        <v>0.82811504097043</v>
      </c>
      <c r="T328" s="4">
        <f t="shared" si="3"/>
        <v>246</v>
      </c>
      <c r="U328" s="4">
        <f t="shared" si="4"/>
        <v>270</v>
      </c>
    </row>
    <row r="329" ht="15.75" customHeight="1">
      <c r="A329" s="4" t="s">
        <v>247</v>
      </c>
      <c r="B329" s="4" t="s">
        <v>13</v>
      </c>
      <c r="C329" s="4">
        <v>0.571</v>
      </c>
      <c r="D329" s="4">
        <v>0.018</v>
      </c>
      <c r="E329" s="4">
        <v>0.018</v>
      </c>
      <c r="I329" s="4">
        <v>0.98</v>
      </c>
      <c r="J329" s="4">
        <v>0.03</v>
      </c>
      <c r="K329" s="6" t="b">
        <f t="shared" ref="K329:L329" si="320">FALSE()</f>
        <v>0</v>
      </c>
      <c r="L329" s="6" t="b">
        <f t="shared" si="320"/>
        <v>0</v>
      </c>
      <c r="M329" s="6" t="b">
        <f t="shared" si="317"/>
        <v>1</v>
      </c>
      <c r="N329" s="4">
        <v>0.451712359273484</v>
      </c>
      <c r="P329" s="4">
        <v>0.683096844706444</v>
      </c>
      <c r="T329" s="4">
        <f t="shared" si="3"/>
        <v>910</v>
      </c>
      <c r="U329" s="4">
        <f t="shared" si="4"/>
        <v>694</v>
      </c>
    </row>
    <row r="330" ht="15.75" customHeight="1">
      <c r="A330" s="4" t="s">
        <v>1717</v>
      </c>
      <c r="B330" s="4" t="s">
        <v>13</v>
      </c>
      <c r="F330" s="4">
        <v>1.4</v>
      </c>
      <c r="K330" s="6" t="b">
        <f t="shared" ref="K330:M330" si="321">FALSE()</f>
        <v>0</v>
      </c>
      <c r="L330" s="6" t="b">
        <f t="shared" si="321"/>
        <v>0</v>
      </c>
      <c r="M330" s="6" t="b">
        <f t="shared" si="321"/>
        <v>0</v>
      </c>
      <c r="O330" s="4">
        <v>0.8754687373539</v>
      </c>
      <c r="T330" s="4" t="str">
        <f t="shared" si="3"/>
        <v/>
      </c>
      <c r="U330" s="4" t="str">
        <f t="shared" si="4"/>
        <v/>
      </c>
    </row>
    <row r="331" ht="15.75" customHeight="1">
      <c r="A331" s="4" t="s">
        <v>248</v>
      </c>
      <c r="B331" s="4" t="s">
        <v>13</v>
      </c>
      <c r="C331" s="4">
        <v>0.183</v>
      </c>
      <c r="D331" s="4">
        <v>0.032</v>
      </c>
      <c r="E331" s="4">
        <v>0.034</v>
      </c>
      <c r="I331" s="4">
        <v>0.947</v>
      </c>
      <c r="J331" s="4">
        <v>0.044</v>
      </c>
      <c r="K331" s="6" t="b">
        <f t="shared" ref="K331:L331" si="322">FALSE()</f>
        <v>0</v>
      </c>
      <c r="L331" s="6" t="b">
        <f t="shared" si="322"/>
        <v>0</v>
      </c>
      <c r="M331" s="6" t="b">
        <f t="shared" ref="M331:M339" si="324">TRUE()</f>
        <v>1</v>
      </c>
      <c r="N331" s="4">
        <v>0.16805358499625</v>
      </c>
      <c r="P331" s="4">
        <v>0.666289726390063</v>
      </c>
      <c r="T331" s="4">
        <f t="shared" si="3"/>
        <v>1168</v>
      </c>
      <c r="U331" s="4">
        <f t="shared" si="4"/>
        <v>730</v>
      </c>
    </row>
    <row r="332" ht="15.75" customHeight="1">
      <c r="A332" s="4" t="s">
        <v>249</v>
      </c>
      <c r="B332" s="4" t="s">
        <v>13</v>
      </c>
      <c r="C332" s="4">
        <v>0.292</v>
      </c>
      <c r="D332" s="4">
        <v>0.018</v>
      </c>
      <c r="E332" s="4">
        <v>0.018</v>
      </c>
      <c r="I332" s="4">
        <v>1.132</v>
      </c>
      <c r="J332" s="4">
        <v>0.072</v>
      </c>
      <c r="K332" s="6" t="b">
        <f t="shared" ref="K332:L332" si="323">FALSE()</f>
        <v>0</v>
      </c>
      <c r="L332" s="6" t="b">
        <f t="shared" si="323"/>
        <v>0</v>
      </c>
      <c r="M332" s="6" t="b">
        <f t="shared" si="324"/>
        <v>1</v>
      </c>
      <c r="N332" s="4">
        <v>0.25619140536041</v>
      </c>
      <c r="P332" s="4">
        <v>0.757060506303598</v>
      </c>
      <c r="T332" s="4">
        <f t="shared" si="3"/>
        <v>1074</v>
      </c>
      <c r="U332" s="4">
        <f t="shared" si="4"/>
        <v>469</v>
      </c>
    </row>
    <row r="333" ht="15.75" customHeight="1">
      <c r="A333" s="4" t="s">
        <v>250</v>
      </c>
      <c r="B333" s="4" t="s">
        <v>13</v>
      </c>
      <c r="C333" s="4">
        <v>0.525</v>
      </c>
      <c r="D333" s="4">
        <v>0.019</v>
      </c>
      <c r="E333" s="4">
        <v>0.019</v>
      </c>
      <c r="I333" s="4">
        <v>1.319</v>
      </c>
      <c r="J333" s="4">
        <v>0.019</v>
      </c>
      <c r="K333" s="6" t="b">
        <f t="shared" ref="K333:L333" si="325">FALSE()</f>
        <v>0</v>
      </c>
      <c r="L333" s="6" t="b">
        <f t="shared" si="325"/>
        <v>0</v>
      </c>
      <c r="M333" s="6" t="b">
        <f t="shared" si="324"/>
        <v>1</v>
      </c>
      <c r="N333" s="4">
        <v>0.421994410059375</v>
      </c>
      <c r="P333" s="4">
        <v>0.841136058273395</v>
      </c>
      <c r="T333" s="4">
        <f t="shared" si="3"/>
        <v>938</v>
      </c>
      <c r="U333" s="4">
        <f t="shared" si="4"/>
        <v>236</v>
      </c>
    </row>
    <row r="334" ht="15.75" customHeight="1">
      <c r="A334" s="4" t="s">
        <v>251</v>
      </c>
      <c r="B334" s="4" t="s">
        <v>13</v>
      </c>
      <c r="C334" s="4">
        <v>7.246</v>
      </c>
      <c r="D334" s="4">
        <v>0.187</v>
      </c>
      <c r="E334" s="4">
        <v>0.187</v>
      </c>
      <c r="I334" s="4">
        <v>0.867</v>
      </c>
      <c r="J334" s="4">
        <v>0.033</v>
      </c>
      <c r="K334" s="6" t="b">
        <f t="shared" ref="K334:K335" si="326">TRUE()</f>
        <v>1</v>
      </c>
      <c r="L334" s="6" t="b">
        <f t="shared" ref="L334:L335" si="327">FALSE()</f>
        <v>0</v>
      </c>
      <c r="M334" s="6" t="b">
        <f t="shared" si="324"/>
        <v>1</v>
      </c>
      <c r="N334" s="4">
        <v>2.10972823428471</v>
      </c>
      <c r="P334" s="4">
        <v>0.624332864559586</v>
      </c>
      <c r="T334" s="4">
        <f t="shared" si="3"/>
        <v>128</v>
      </c>
      <c r="U334" s="4">
        <f t="shared" si="4"/>
        <v>790</v>
      </c>
    </row>
    <row r="335" ht="15.75" customHeight="1">
      <c r="A335" s="4" t="s">
        <v>252</v>
      </c>
      <c r="B335" s="4" t="s">
        <v>13</v>
      </c>
      <c r="C335" s="4">
        <v>4.063</v>
      </c>
      <c r="D335" s="4">
        <v>0.161</v>
      </c>
      <c r="E335" s="4">
        <v>0.161</v>
      </c>
      <c r="I335" s="4">
        <v>1.024</v>
      </c>
      <c r="J335" s="4">
        <v>0.092</v>
      </c>
      <c r="K335" s="6" t="b">
        <f t="shared" si="326"/>
        <v>1</v>
      </c>
      <c r="L335" s="6" t="b">
        <f t="shared" si="327"/>
        <v>0</v>
      </c>
      <c r="M335" s="6" t="b">
        <f t="shared" si="324"/>
        <v>1</v>
      </c>
      <c r="N335" s="4">
        <v>1.62195919298777</v>
      </c>
      <c r="P335" s="4">
        <v>0.705075751425219</v>
      </c>
      <c r="T335" s="4">
        <f t="shared" si="3"/>
        <v>255</v>
      </c>
      <c r="U335" s="4">
        <f t="shared" si="4"/>
        <v>637</v>
      </c>
    </row>
    <row r="336" ht="15.75" customHeight="1">
      <c r="A336" s="4" t="s">
        <v>253</v>
      </c>
      <c r="B336" s="4" t="s">
        <v>13</v>
      </c>
      <c r="C336" s="4">
        <v>2.147</v>
      </c>
      <c r="D336" s="4">
        <v>0.061</v>
      </c>
      <c r="E336" s="4">
        <v>0.061</v>
      </c>
      <c r="I336" s="4">
        <v>1.08</v>
      </c>
      <c r="J336" s="4">
        <v>0.058</v>
      </c>
      <c r="K336" s="6" t="b">
        <f t="shared" ref="K336:L336" si="328">FALSE()</f>
        <v>0</v>
      </c>
      <c r="L336" s="6" t="b">
        <f t="shared" si="328"/>
        <v>0</v>
      </c>
      <c r="M336" s="6" t="b">
        <f t="shared" si="324"/>
        <v>1</v>
      </c>
      <c r="N336" s="4">
        <v>1.14644961808227</v>
      </c>
      <c r="P336" s="4">
        <v>0.732367893713227</v>
      </c>
      <c r="T336" s="4">
        <f t="shared" si="3"/>
        <v>421</v>
      </c>
      <c r="U336" s="4">
        <f t="shared" si="4"/>
        <v>549</v>
      </c>
    </row>
    <row r="337" ht="15.75" customHeight="1">
      <c r="A337" s="4" t="s">
        <v>254</v>
      </c>
      <c r="B337" s="4" t="s">
        <v>13</v>
      </c>
      <c r="C337" s="4">
        <v>2.09</v>
      </c>
      <c r="D337" s="4">
        <v>0.11</v>
      </c>
      <c r="E337" s="4">
        <v>0.11</v>
      </c>
      <c r="I337" s="4">
        <v>1.368</v>
      </c>
      <c r="J337" s="4">
        <v>0.09</v>
      </c>
      <c r="K337" s="6" t="b">
        <f t="shared" ref="K337:L337" si="329">FALSE()</f>
        <v>0</v>
      </c>
      <c r="L337" s="6" t="b">
        <f t="shared" si="329"/>
        <v>0</v>
      </c>
      <c r="M337" s="6" t="b">
        <f t="shared" si="324"/>
        <v>1</v>
      </c>
      <c r="N337" s="4">
        <v>1.12817109090965</v>
      </c>
      <c r="P337" s="4">
        <v>0.862045717021759</v>
      </c>
      <c r="T337" s="4">
        <f t="shared" si="3"/>
        <v>428</v>
      </c>
      <c r="U337" s="4">
        <f t="shared" si="4"/>
        <v>199</v>
      </c>
    </row>
    <row r="338" ht="15.75" customHeight="1">
      <c r="A338" s="4" t="s">
        <v>255</v>
      </c>
      <c r="B338" s="4" t="s">
        <v>13</v>
      </c>
      <c r="C338" s="4">
        <v>0.685</v>
      </c>
      <c r="D338" s="4">
        <v>0.033</v>
      </c>
      <c r="E338" s="4">
        <v>0.033</v>
      </c>
      <c r="I338" s="4">
        <v>1.242</v>
      </c>
      <c r="J338" s="4">
        <v>0.067</v>
      </c>
      <c r="K338" s="6" t="b">
        <f t="shared" ref="K338:L338" si="330">FALSE()</f>
        <v>0</v>
      </c>
      <c r="L338" s="6" t="b">
        <f t="shared" si="330"/>
        <v>0</v>
      </c>
      <c r="M338" s="6" t="b">
        <f t="shared" si="324"/>
        <v>1</v>
      </c>
      <c r="N338" s="4">
        <v>0.521765563804325</v>
      </c>
      <c r="P338" s="4">
        <v>0.807368324649968</v>
      </c>
      <c r="T338" s="4">
        <f t="shared" si="3"/>
        <v>827</v>
      </c>
      <c r="U338" s="4">
        <f t="shared" si="4"/>
        <v>323</v>
      </c>
    </row>
    <row r="339" ht="15.75" customHeight="1">
      <c r="A339" s="4" t="s">
        <v>256</v>
      </c>
      <c r="B339" s="4" t="s">
        <v>13</v>
      </c>
      <c r="C339" s="4">
        <v>0.567</v>
      </c>
      <c r="I339" s="4">
        <v>1.19</v>
      </c>
      <c r="K339" s="6" t="b">
        <f t="shared" ref="K339:L339" si="331">FALSE()</f>
        <v>0</v>
      </c>
      <c r="L339" s="6" t="b">
        <f t="shared" si="331"/>
        <v>0</v>
      </c>
      <c r="M339" s="6" t="b">
        <f t="shared" si="324"/>
        <v>1</v>
      </c>
      <c r="N339" s="4">
        <v>0.449162963373884</v>
      </c>
      <c r="P339" s="4">
        <v>0.783901543828409</v>
      </c>
      <c r="T339" s="4">
        <f t="shared" si="3"/>
        <v>916</v>
      </c>
      <c r="U339" s="4">
        <f t="shared" si="4"/>
        <v>398</v>
      </c>
    </row>
    <row r="340" ht="15.75" customHeight="1">
      <c r="A340" s="4" t="s">
        <v>257</v>
      </c>
      <c r="B340" s="4" t="s">
        <v>13</v>
      </c>
      <c r="C340" s="4">
        <v>0.0585</v>
      </c>
      <c r="D340" s="4">
        <v>0.00717</v>
      </c>
      <c r="E340" s="4">
        <v>0.00717</v>
      </c>
      <c r="I340" s="4">
        <v>0.57</v>
      </c>
      <c r="J340" s="4">
        <v>0.01</v>
      </c>
      <c r="K340" s="6" t="b">
        <f t="shared" ref="K340:M340" si="332">FALSE()</f>
        <v>0</v>
      </c>
      <c r="L340" s="6" t="b">
        <f t="shared" si="332"/>
        <v>0</v>
      </c>
      <c r="M340" s="6" t="b">
        <f t="shared" si="332"/>
        <v>0</v>
      </c>
      <c r="N340" s="4">
        <v>0.0568528115927828</v>
      </c>
      <c r="P340" s="4">
        <v>0.451075619360217</v>
      </c>
      <c r="T340" s="4">
        <f t="shared" si="3"/>
        <v>1366</v>
      </c>
      <c r="U340" s="4">
        <f t="shared" si="4"/>
        <v>960</v>
      </c>
    </row>
    <row r="341" ht="15.75" customHeight="1">
      <c r="A341" s="4" t="s">
        <v>1800</v>
      </c>
      <c r="B341" s="4" t="s">
        <v>13</v>
      </c>
      <c r="I341" s="4">
        <v>0.1758</v>
      </c>
      <c r="J341" s="4">
        <v>0.018</v>
      </c>
      <c r="K341" s="6" t="b">
        <f t="shared" ref="K341:M341" si="333">FALSE()</f>
        <v>0</v>
      </c>
      <c r="L341" s="6" t="b">
        <f t="shared" si="333"/>
        <v>0</v>
      </c>
      <c r="M341" s="6" t="b">
        <f t="shared" si="333"/>
        <v>0</v>
      </c>
      <c r="P341" s="4">
        <v>0.161948766986018</v>
      </c>
      <c r="T341" s="4" t="str">
        <f t="shared" si="3"/>
        <v/>
      </c>
      <c r="U341" s="4">
        <f t="shared" si="4"/>
        <v>2964</v>
      </c>
    </row>
    <row r="342" ht="15.75" customHeight="1">
      <c r="A342" s="4" t="s">
        <v>258</v>
      </c>
      <c r="B342" s="4" t="s">
        <v>13</v>
      </c>
      <c r="C342" s="4">
        <v>0.66</v>
      </c>
      <c r="D342" s="4">
        <v>0.033</v>
      </c>
      <c r="E342" s="4">
        <v>0.033</v>
      </c>
      <c r="I342" s="4">
        <v>1.055</v>
      </c>
      <c r="J342" s="4">
        <v>0.036</v>
      </c>
      <c r="K342" s="6" t="b">
        <f t="shared" ref="K342:L342" si="334">FALSE()</f>
        <v>0</v>
      </c>
      <c r="L342" s="6" t="b">
        <f t="shared" si="334"/>
        <v>0</v>
      </c>
      <c r="M342" s="6" t="b">
        <f>TRUE()</f>
        <v>1</v>
      </c>
      <c r="N342" s="4">
        <v>0.506817602368452</v>
      </c>
      <c r="P342" s="4">
        <v>0.720275847948198</v>
      </c>
      <c r="T342" s="4">
        <f t="shared" si="3"/>
        <v>849</v>
      </c>
      <c r="U342" s="4">
        <f t="shared" si="4"/>
        <v>599</v>
      </c>
    </row>
    <row r="343" ht="15.75" customHeight="1">
      <c r="A343" s="4" t="s">
        <v>1814</v>
      </c>
      <c r="B343" s="4" t="s">
        <v>13</v>
      </c>
      <c r="I343" s="4">
        <v>0.3863</v>
      </c>
      <c r="J343" s="4">
        <v>0.0393</v>
      </c>
      <c r="K343" s="6" t="b">
        <f t="shared" ref="K343:M343" si="335">FALSE()</f>
        <v>0</v>
      </c>
      <c r="L343" s="6" t="b">
        <f t="shared" si="335"/>
        <v>0</v>
      </c>
      <c r="M343" s="6" t="b">
        <f t="shared" si="335"/>
        <v>0</v>
      </c>
      <c r="P343" s="4">
        <v>0.326638327562193</v>
      </c>
      <c r="T343" s="4" t="str">
        <f t="shared" si="3"/>
        <v/>
      </c>
      <c r="U343" s="4">
        <f t="shared" si="4"/>
        <v>1137</v>
      </c>
    </row>
    <row r="344" ht="15.75" customHeight="1">
      <c r="A344" s="4" t="s">
        <v>259</v>
      </c>
      <c r="B344" s="4" t="s">
        <v>13</v>
      </c>
      <c r="C344" s="4">
        <v>0.626</v>
      </c>
      <c r="D344" s="4">
        <v>0.037</v>
      </c>
      <c r="E344" s="4">
        <v>0.037</v>
      </c>
      <c r="I344" s="4">
        <v>1.212</v>
      </c>
      <c r="J344" s="4">
        <v>0.082</v>
      </c>
      <c r="K344" s="6" t="b">
        <f t="shared" ref="K344:L344" si="336">FALSE()</f>
        <v>0</v>
      </c>
      <c r="L344" s="6" t="b">
        <f t="shared" si="336"/>
        <v>0</v>
      </c>
      <c r="M344" s="6" t="b">
        <f t="shared" ref="M344:M346" si="338">TRUE()</f>
        <v>1</v>
      </c>
      <c r="N344" s="4">
        <v>0.486123011125619</v>
      </c>
      <c r="P344" s="4">
        <v>0.793897083660088</v>
      </c>
      <c r="T344" s="4">
        <f t="shared" si="3"/>
        <v>870</v>
      </c>
      <c r="U344" s="4">
        <f t="shared" si="4"/>
        <v>361</v>
      </c>
    </row>
    <row r="345" ht="15.75" customHeight="1">
      <c r="A345" s="4" t="s">
        <v>260</v>
      </c>
      <c r="B345" s="4" t="s">
        <v>13</v>
      </c>
      <c r="C345" s="4">
        <v>0.778</v>
      </c>
      <c r="D345" s="4">
        <v>0.04</v>
      </c>
      <c r="E345" s="4">
        <v>0.076</v>
      </c>
      <c r="I345" s="4">
        <v>1.107</v>
      </c>
      <c r="J345" s="4">
        <v>0.082</v>
      </c>
      <c r="K345" s="6" t="b">
        <f t="shared" ref="K345:L345" si="337">FALSE()</f>
        <v>0</v>
      </c>
      <c r="L345" s="6" t="b">
        <f t="shared" si="337"/>
        <v>0</v>
      </c>
      <c r="M345" s="6" t="b">
        <f t="shared" si="338"/>
        <v>1</v>
      </c>
      <c r="N345" s="4">
        <v>0.575489137091713</v>
      </c>
      <c r="P345" s="4">
        <v>0.745265134822052</v>
      </c>
      <c r="T345" s="4">
        <f t="shared" si="3"/>
        <v>781</v>
      </c>
      <c r="U345" s="4">
        <f t="shared" si="4"/>
        <v>507</v>
      </c>
    </row>
    <row r="346" ht="15.75" customHeight="1">
      <c r="A346" s="4" t="s">
        <v>261</v>
      </c>
      <c r="B346" s="4" t="s">
        <v>13</v>
      </c>
      <c r="C346" s="4">
        <v>8.74</v>
      </c>
      <c r="D346" s="4">
        <v>0.26</v>
      </c>
      <c r="E346" s="4">
        <v>0.26</v>
      </c>
      <c r="I346" s="4">
        <v>0.951</v>
      </c>
      <c r="J346" s="4">
        <v>0.053</v>
      </c>
      <c r="K346" s="6" t="b">
        <f>TRUE()</f>
        <v>1</v>
      </c>
      <c r="L346" s="6" t="b">
        <f>FALSE()</f>
        <v>0</v>
      </c>
      <c r="M346" s="6" t="b">
        <f t="shared" si="338"/>
        <v>1</v>
      </c>
      <c r="N346" s="4">
        <v>2.27624111765444</v>
      </c>
      <c r="P346" s="4">
        <v>0.668342061640974</v>
      </c>
      <c r="T346" s="4">
        <f t="shared" si="3"/>
        <v>87</v>
      </c>
      <c r="U346" s="4">
        <f t="shared" si="4"/>
        <v>727</v>
      </c>
    </row>
    <row r="347" ht="15.75" customHeight="1">
      <c r="A347" s="4" t="s">
        <v>1845</v>
      </c>
      <c r="B347" s="4" t="s">
        <v>13</v>
      </c>
      <c r="D347" s="4">
        <v>2.2</v>
      </c>
      <c r="E347" s="4">
        <v>5.2</v>
      </c>
      <c r="F347" s="4">
        <v>10.7</v>
      </c>
      <c r="G347" s="4">
        <v>2.2</v>
      </c>
      <c r="H347" s="4">
        <v>5.2</v>
      </c>
      <c r="K347" s="6" t="b">
        <f t="shared" ref="K347:K351" si="339">FALSE()</f>
        <v>0</v>
      </c>
      <c r="L347" s="6" t="b">
        <f>TRUE()</f>
        <v>1</v>
      </c>
      <c r="M347" s="6" t="b">
        <f>FALSE()</f>
        <v>0</v>
      </c>
      <c r="O347" s="4">
        <v>2.45958884180371</v>
      </c>
      <c r="T347" s="4" t="str">
        <f t="shared" si="3"/>
        <v/>
      </c>
      <c r="U347" s="4" t="str">
        <f t="shared" si="4"/>
        <v/>
      </c>
    </row>
    <row r="348" ht="15.75" customHeight="1">
      <c r="A348" s="4" t="s">
        <v>262</v>
      </c>
      <c r="B348" s="4" t="s">
        <v>13</v>
      </c>
      <c r="C348" s="4">
        <v>0.723</v>
      </c>
      <c r="D348" s="4">
        <v>0.017</v>
      </c>
      <c r="E348" s="4">
        <v>0.017</v>
      </c>
      <c r="I348" s="4">
        <v>1.41</v>
      </c>
      <c r="J348" s="4">
        <v>0.036</v>
      </c>
      <c r="K348" s="6" t="b">
        <f t="shared" si="339"/>
        <v>0</v>
      </c>
      <c r="L348" s="6" t="b">
        <f t="shared" ref="L348:L352" si="340">FALSE()</f>
        <v>0</v>
      </c>
      <c r="M348" s="6" t="b">
        <f t="shared" ref="M348:M363" si="341">TRUE()</f>
        <v>1</v>
      </c>
      <c r="N348" s="4">
        <v>0.544066957545793</v>
      </c>
      <c r="P348" s="4">
        <v>0.879626747502564</v>
      </c>
      <c r="T348" s="4">
        <f t="shared" si="3"/>
        <v>807</v>
      </c>
      <c r="U348" s="4">
        <f t="shared" si="4"/>
        <v>171</v>
      </c>
    </row>
    <row r="349" ht="15.75" customHeight="1">
      <c r="A349" s="4" t="s">
        <v>263</v>
      </c>
      <c r="B349" s="4" t="s">
        <v>13</v>
      </c>
      <c r="C349" s="4">
        <v>2.171</v>
      </c>
      <c r="D349" s="4">
        <v>0.077</v>
      </c>
      <c r="E349" s="4">
        <v>0.105</v>
      </c>
      <c r="I349" s="4">
        <v>1.07</v>
      </c>
      <c r="J349" s="4">
        <v>0.16</v>
      </c>
      <c r="K349" s="6" t="b">
        <f t="shared" si="339"/>
        <v>0</v>
      </c>
      <c r="L349" s="6" t="b">
        <f t="shared" si="340"/>
        <v>0</v>
      </c>
      <c r="M349" s="6" t="b">
        <f t="shared" si="341"/>
        <v>1</v>
      </c>
      <c r="N349" s="4">
        <v>1.15404699555621</v>
      </c>
      <c r="P349" s="4">
        <v>0.727548607277278</v>
      </c>
      <c r="T349" s="4">
        <f t="shared" si="3"/>
        <v>417</v>
      </c>
      <c r="U349" s="4">
        <f t="shared" si="4"/>
        <v>568</v>
      </c>
    </row>
    <row r="350" ht="15.75" customHeight="1">
      <c r="A350" s="4" t="s">
        <v>264</v>
      </c>
      <c r="B350" s="4" t="s">
        <v>13</v>
      </c>
      <c r="C350" s="4">
        <v>0.75</v>
      </c>
      <c r="D350" s="4">
        <v>0.13</v>
      </c>
      <c r="E350" s="4">
        <v>0.13</v>
      </c>
      <c r="I350" s="4">
        <v>1.789</v>
      </c>
      <c r="J350" s="4">
        <v>0.025</v>
      </c>
      <c r="K350" s="6" t="b">
        <f t="shared" si="339"/>
        <v>0</v>
      </c>
      <c r="L350" s="6" t="b">
        <f t="shared" si="340"/>
        <v>0</v>
      </c>
      <c r="M350" s="6" t="b">
        <f t="shared" si="341"/>
        <v>1</v>
      </c>
      <c r="N350" s="4">
        <v>0.559615787935423</v>
      </c>
      <c r="P350" s="4">
        <v>1.02568310864535</v>
      </c>
      <c r="T350" s="4">
        <f t="shared" si="3"/>
        <v>795</v>
      </c>
      <c r="U350" s="4">
        <f t="shared" si="4"/>
        <v>32</v>
      </c>
    </row>
    <row r="351" ht="15.75" customHeight="1">
      <c r="A351" s="4" t="s">
        <v>265</v>
      </c>
      <c r="B351" s="4" t="s">
        <v>13</v>
      </c>
      <c r="C351" s="4">
        <v>0.763</v>
      </c>
      <c r="D351" s="4">
        <v>0.117</v>
      </c>
      <c r="E351" s="4">
        <v>0.117</v>
      </c>
      <c r="I351" s="4">
        <v>1.827</v>
      </c>
      <c r="J351" s="4">
        <v>0.29</v>
      </c>
      <c r="K351" s="6" t="b">
        <f t="shared" si="339"/>
        <v>0</v>
      </c>
      <c r="L351" s="6" t="b">
        <f t="shared" si="340"/>
        <v>0</v>
      </c>
      <c r="M351" s="6" t="b">
        <f t="shared" si="341"/>
        <v>1</v>
      </c>
      <c r="N351" s="4">
        <v>0.567016903415733</v>
      </c>
      <c r="P351" s="4">
        <v>1.03921607871145</v>
      </c>
      <c r="T351" s="4">
        <f t="shared" si="3"/>
        <v>788</v>
      </c>
      <c r="U351" s="4">
        <f t="shared" si="4"/>
        <v>29</v>
      </c>
    </row>
    <row r="352" ht="15.75" customHeight="1">
      <c r="A352" s="4" t="s">
        <v>266</v>
      </c>
      <c r="B352" s="4" t="s">
        <v>13</v>
      </c>
      <c r="C352" s="4">
        <v>3.64</v>
      </c>
      <c r="D352" s="4">
        <v>0.211</v>
      </c>
      <c r="E352" s="4">
        <v>0.211</v>
      </c>
      <c r="I352" s="4">
        <v>1.142</v>
      </c>
      <c r="J352" s="4">
        <v>0.09</v>
      </c>
      <c r="K352" s="6" t="b">
        <f>TRUE()</f>
        <v>1</v>
      </c>
      <c r="L352" s="6" t="b">
        <f t="shared" si="340"/>
        <v>0</v>
      </c>
      <c r="M352" s="6" t="b">
        <f t="shared" si="341"/>
        <v>1</v>
      </c>
      <c r="N352" s="4">
        <v>1.53471436623816</v>
      </c>
      <c r="P352" s="4">
        <v>0.761739972025557</v>
      </c>
      <c r="T352" s="4">
        <f t="shared" si="3"/>
        <v>280</v>
      </c>
      <c r="U352" s="4">
        <f t="shared" si="4"/>
        <v>455</v>
      </c>
    </row>
    <row r="353" ht="15.75" customHeight="1">
      <c r="A353" s="4" t="s">
        <v>267</v>
      </c>
      <c r="B353" s="4" t="s">
        <v>13</v>
      </c>
      <c r="C353" s="4">
        <v>1.054</v>
      </c>
      <c r="D353" s="4">
        <v>0.033</v>
      </c>
      <c r="E353" s="4">
        <v>0.033</v>
      </c>
      <c r="I353" s="4">
        <v>1.332</v>
      </c>
      <c r="J353" s="4">
        <v>0.098</v>
      </c>
      <c r="K353" s="6" t="b">
        <f t="shared" ref="K353:L353" si="342">FALSE()</f>
        <v>0</v>
      </c>
      <c r="L353" s="6" t="b">
        <f t="shared" si="342"/>
        <v>0</v>
      </c>
      <c r="M353" s="6" t="b">
        <f t="shared" si="341"/>
        <v>1</v>
      </c>
      <c r="N353" s="4">
        <v>0.719789111506367</v>
      </c>
      <c r="P353" s="4">
        <v>0.846726268488246</v>
      </c>
      <c r="T353" s="4">
        <f t="shared" si="3"/>
        <v>645</v>
      </c>
      <c r="U353" s="4">
        <f t="shared" si="4"/>
        <v>219</v>
      </c>
    </row>
    <row r="354" ht="15.75" customHeight="1">
      <c r="A354" s="4" t="s">
        <v>268</v>
      </c>
      <c r="B354" s="4" t="s">
        <v>13</v>
      </c>
      <c r="C354" s="4">
        <v>1.832</v>
      </c>
      <c r="D354" s="4">
        <v>0.099</v>
      </c>
      <c r="E354" s="4">
        <v>0.099</v>
      </c>
      <c r="I354" s="4">
        <v>1.264</v>
      </c>
      <c r="J354" s="4">
        <v>0.071</v>
      </c>
      <c r="K354" s="6" t="b">
        <f t="shared" ref="K354:L354" si="343">FALSE()</f>
        <v>0</v>
      </c>
      <c r="L354" s="6" t="b">
        <f t="shared" si="343"/>
        <v>0</v>
      </c>
      <c r="M354" s="6" t="b">
        <f t="shared" si="341"/>
        <v>1</v>
      </c>
      <c r="N354" s="4">
        <v>1.04098317583147</v>
      </c>
      <c r="P354" s="4">
        <v>0.817133160340937</v>
      </c>
      <c r="T354" s="4">
        <f t="shared" si="3"/>
        <v>465</v>
      </c>
      <c r="U354" s="4">
        <f t="shared" si="4"/>
        <v>303</v>
      </c>
    </row>
    <row r="355" ht="15.75" customHeight="1">
      <c r="A355" s="4" t="s">
        <v>269</v>
      </c>
      <c r="B355" s="4" t="s">
        <v>13</v>
      </c>
      <c r="C355" s="4">
        <v>1.169</v>
      </c>
      <c r="D355" s="4">
        <v>0.103</v>
      </c>
      <c r="E355" s="4">
        <v>0.103</v>
      </c>
      <c r="I355" s="4">
        <v>1.178</v>
      </c>
      <c r="J355" s="4">
        <v>0.077</v>
      </c>
      <c r="K355" s="6" t="b">
        <f t="shared" ref="K355:L355" si="344">FALSE()</f>
        <v>0</v>
      </c>
      <c r="L355" s="6" t="b">
        <f t="shared" si="344"/>
        <v>0</v>
      </c>
      <c r="M355" s="6" t="b">
        <f t="shared" si="341"/>
        <v>1</v>
      </c>
      <c r="N355" s="4">
        <v>0.774266231844737</v>
      </c>
      <c r="P355" s="4">
        <v>0.778407024510769</v>
      </c>
      <c r="T355" s="4">
        <f t="shared" si="3"/>
        <v>604</v>
      </c>
      <c r="U355" s="4">
        <f t="shared" si="4"/>
        <v>417</v>
      </c>
    </row>
    <row r="356" ht="15.75" customHeight="1">
      <c r="A356" s="4" t="s">
        <v>270</v>
      </c>
      <c r="B356" s="4" t="s">
        <v>13</v>
      </c>
      <c r="C356" s="4">
        <v>0.267</v>
      </c>
      <c r="D356" s="4">
        <v>0.02</v>
      </c>
      <c r="E356" s="4">
        <v>0.02</v>
      </c>
      <c r="I356" s="4">
        <v>0.825</v>
      </c>
      <c r="J356" s="4">
        <v>0.063</v>
      </c>
      <c r="K356" s="6" t="b">
        <f t="shared" ref="K356:L356" si="345">FALSE()</f>
        <v>0</v>
      </c>
      <c r="L356" s="6" t="b">
        <f t="shared" si="345"/>
        <v>0</v>
      </c>
      <c r="M356" s="6" t="b">
        <f t="shared" si="341"/>
        <v>1</v>
      </c>
      <c r="N356" s="4">
        <v>0.236651901339002</v>
      </c>
      <c r="P356" s="4">
        <v>0.601579987034455</v>
      </c>
      <c r="T356" s="4">
        <f t="shared" si="3"/>
        <v>1095</v>
      </c>
      <c r="U356" s="4">
        <f t="shared" si="4"/>
        <v>820</v>
      </c>
    </row>
    <row r="357" ht="15.75" customHeight="1">
      <c r="A357" s="4" t="s">
        <v>271</v>
      </c>
      <c r="B357" s="4" t="s">
        <v>13</v>
      </c>
      <c r="C357" s="4">
        <v>0.599</v>
      </c>
      <c r="D357" s="4">
        <v>0.099</v>
      </c>
      <c r="E357" s="4">
        <v>0.099</v>
      </c>
      <c r="I357" s="4">
        <v>1.571</v>
      </c>
      <c r="J357" s="4">
        <v>0.081</v>
      </c>
      <c r="K357" s="6" t="b">
        <f t="shared" ref="K357:L357" si="346">FALSE()</f>
        <v>0</v>
      </c>
      <c r="L357" s="6" t="b">
        <f t="shared" si="346"/>
        <v>0</v>
      </c>
      <c r="M357" s="6" t="b">
        <f t="shared" si="341"/>
        <v>1</v>
      </c>
      <c r="N357" s="4">
        <v>0.469378433851817</v>
      </c>
      <c r="P357" s="4">
        <v>0.944294928283752</v>
      </c>
      <c r="T357" s="4">
        <f t="shared" si="3"/>
        <v>888</v>
      </c>
      <c r="U357" s="4">
        <f t="shared" si="4"/>
        <v>87</v>
      </c>
    </row>
    <row r="358" ht="15.75" customHeight="1">
      <c r="A358" s="4" t="s">
        <v>272</v>
      </c>
      <c r="B358" s="4" t="s">
        <v>13</v>
      </c>
      <c r="C358" s="4">
        <v>0.591</v>
      </c>
      <c r="D358" s="4">
        <v>0.018</v>
      </c>
      <c r="E358" s="4">
        <v>0.018</v>
      </c>
      <c r="I358" s="4">
        <v>0.827</v>
      </c>
      <c r="J358" s="4">
        <v>0.055</v>
      </c>
      <c r="K358" s="6" t="b">
        <f t="shared" ref="K358:L358" si="347">FALSE()</f>
        <v>0</v>
      </c>
      <c r="L358" s="6" t="b">
        <f t="shared" si="347"/>
        <v>0</v>
      </c>
      <c r="M358" s="6" t="b">
        <f t="shared" si="341"/>
        <v>1</v>
      </c>
      <c r="N358" s="4">
        <v>0.46436274935565</v>
      </c>
      <c r="P358" s="4">
        <v>0.60267527739587</v>
      </c>
      <c r="T358" s="4">
        <f t="shared" si="3"/>
        <v>893</v>
      </c>
      <c r="U358" s="4">
        <f t="shared" si="4"/>
        <v>819</v>
      </c>
    </row>
    <row r="359" ht="15.75" customHeight="1">
      <c r="A359" s="4" t="s">
        <v>273</v>
      </c>
      <c r="B359" s="4" t="s">
        <v>13</v>
      </c>
      <c r="C359" s="4">
        <v>0.615</v>
      </c>
      <c r="D359" s="4">
        <v>0.038</v>
      </c>
      <c r="E359" s="4">
        <v>0.038</v>
      </c>
      <c r="I359" s="4">
        <v>1.73</v>
      </c>
      <c r="J359" s="4">
        <v>0.062</v>
      </c>
      <c r="K359" s="6" t="b">
        <f t="shared" ref="K359:L359" si="348">FALSE()</f>
        <v>0</v>
      </c>
      <c r="L359" s="6" t="b">
        <f t="shared" si="348"/>
        <v>0</v>
      </c>
      <c r="M359" s="6" t="b">
        <f t="shared" si="341"/>
        <v>1</v>
      </c>
      <c r="N359" s="4">
        <v>0.47933495667462</v>
      </c>
      <c r="P359" s="4">
        <v>1.00430160919687</v>
      </c>
      <c r="T359" s="4">
        <f t="shared" si="3"/>
        <v>879</v>
      </c>
      <c r="U359" s="4">
        <f t="shared" si="4"/>
        <v>39</v>
      </c>
    </row>
    <row r="360" ht="15.75" customHeight="1">
      <c r="A360" s="4" t="s">
        <v>274</v>
      </c>
      <c r="B360" s="4" t="s">
        <v>13</v>
      </c>
      <c r="C360" s="4">
        <v>0.8</v>
      </c>
      <c r="D360" s="4">
        <v>0.102</v>
      </c>
      <c r="E360" s="4">
        <v>0.102</v>
      </c>
      <c r="I360" s="4">
        <v>1.685</v>
      </c>
      <c r="J360" s="4">
        <v>0.051</v>
      </c>
      <c r="K360" s="6" t="b">
        <f t="shared" ref="K360:L360" si="349">FALSE()</f>
        <v>0</v>
      </c>
      <c r="L360" s="6" t="b">
        <f t="shared" si="349"/>
        <v>0</v>
      </c>
      <c r="M360" s="6" t="b">
        <f t="shared" si="341"/>
        <v>1</v>
      </c>
      <c r="N360" s="4">
        <v>0.587786664902119</v>
      </c>
      <c r="P360" s="4">
        <v>0.987680727960828</v>
      </c>
      <c r="T360" s="4">
        <f t="shared" si="3"/>
        <v>766</v>
      </c>
      <c r="U360" s="4">
        <f t="shared" si="4"/>
        <v>51</v>
      </c>
    </row>
    <row r="361" ht="15.75" customHeight="1">
      <c r="A361" s="4" t="s">
        <v>275</v>
      </c>
      <c r="B361" s="4" t="s">
        <v>13</v>
      </c>
      <c r="C361" s="4">
        <v>0.975</v>
      </c>
      <c r="D361" s="4">
        <v>0.126</v>
      </c>
      <c r="E361" s="4">
        <v>0.126</v>
      </c>
      <c r="I361" s="4">
        <v>1.277</v>
      </c>
      <c r="J361" s="4">
        <v>0.149</v>
      </c>
      <c r="K361" s="6" t="b">
        <f t="shared" ref="K361:L361" si="350">FALSE()</f>
        <v>0</v>
      </c>
      <c r="L361" s="6" t="b">
        <f t="shared" si="350"/>
        <v>0</v>
      </c>
      <c r="M361" s="6" t="b">
        <f t="shared" si="341"/>
        <v>1</v>
      </c>
      <c r="N361" s="4">
        <v>0.680568398353085</v>
      </c>
      <c r="P361" s="4">
        <v>0.822858787081603</v>
      </c>
      <c r="T361" s="4">
        <f t="shared" si="3"/>
        <v>674</v>
      </c>
      <c r="U361" s="4">
        <f t="shared" si="4"/>
        <v>286</v>
      </c>
    </row>
    <row r="362" ht="15.75" customHeight="1">
      <c r="A362" s="4" t="s">
        <v>276</v>
      </c>
      <c r="B362" s="4" t="s">
        <v>13</v>
      </c>
      <c r="C362" s="4">
        <v>0.66</v>
      </c>
      <c r="D362" s="4">
        <v>0.083</v>
      </c>
      <c r="E362" s="4">
        <v>0.083</v>
      </c>
      <c r="I362" s="4">
        <v>1.283</v>
      </c>
      <c r="J362" s="4">
        <v>0.034</v>
      </c>
      <c r="K362" s="6" t="b">
        <f t="shared" ref="K362:L362" si="351">FALSE()</f>
        <v>0</v>
      </c>
      <c r="L362" s="6" t="b">
        <f t="shared" si="351"/>
        <v>0</v>
      </c>
      <c r="M362" s="6" t="b">
        <f t="shared" si="341"/>
        <v>1</v>
      </c>
      <c r="N362" s="4">
        <v>0.506817602368452</v>
      </c>
      <c r="P362" s="4">
        <v>0.825490367547659</v>
      </c>
      <c r="T362" s="4">
        <f t="shared" si="3"/>
        <v>850</v>
      </c>
      <c r="U362" s="4">
        <f t="shared" si="4"/>
        <v>279</v>
      </c>
    </row>
    <row r="363" ht="15.75" customHeight="1">
      <c r="A363" s="4" t="s">
        <v>277</v>
      </c>
      <c r="B363" s="4" t="s">
        <v>13</v>
      </c>
      <c r="C363" s="4">
        <v>0.392</v>
      </c>
      <c r="D363" s="4">
        <v>0.031</v>
      </c>
      <c r="E363" s="4">
        <v>0.031</v>
      </c>
      <c r="I363" s="4">
        <v>1.28</v>
      </c>
      <c r="J363" s="4">
        <v>0.074</v>
      </c>
      <c r="K363" s="6" t="b">
        <f t="shared" ref="K363:L363" si="352">FALSE()</f>
        <v>0</v>
      </c>
      <c r="L363" s="6" t="b">
        <f t="shared" si="352"/>
        <v>0</v>
      </c>
      <c r="M363" s="6" t="b">
        <f t="shared" si="341"/>
        <v>1</v>
      </c>
      <c r="N363" s="4">
        <v>0.330741561912228</v>
      </c>
      <c r="P363" s="4">
        <v>0.824175442966349</v>
      </c>
      <c r="T363" s="4">
        <f t="shared" si="3"/>
        <v>1020</v>
      </c>
      <c r="U363" s="4">
        <f t="shared" si="4"/>
        <v>284</v>
      </c>
    </row>
    <row r="364" ht="15.75" customHeight="1">
      <c r="A364" s="4" t="s">
        <v>1916</v>
      </c>
      <c r="B364" s="4" t="s">
        <v>13</v>
      </c>
      <c r="C364" s="4">
        <v>1.6</v>
      </c>
      <c r="D364" s="4">
        <v>0.2</v>
      </c>
      <c r="E364" s="4">
        <v>0.2</v>
      </c>
      <c r="K364" s="6" t="b">
        <f t="shared" ref="K364:M364" si="353">FALSE()</f>
        <v>0</v>
      </c>
      <c r="L364" s="6" t="b">
        <f t="shared" si="353"/>
        <v>0</v>
      </c>
      <c r="M364" s="6" t="b">
        <f t="shared" si="353"/>
        <v>0</v>
      </c>
      <c r="N364" s="4">
        <v>0.955511445027436</v>
      </c>
      <c r="T364" s="4">
        <f t="shared" si="3"/>
        <v>497</v>
      </c>
      <c r="U364" s="4" t="str">
        <f t="shared" si="4"/>
        <v/>
      </c>
    </row>
    <row r="365" ht="15.75" customHeight="1">
      <c r="A365" s="4" t="s">
        <v>278</v>
      </c>
      <c r="B365" s="4" t="s">
        <v>13</v>
      </c>
      <c r="C365" s="4">
        <v>0.892</v>
      </c>
      <c r="D365" s="4">
        <v>0.099</v>
      </c>
      <c r="E365" s="4">
        <v>0.137</v>
      </c>
      <c r="I365" s="4">
        <v>1.426</v>
      </c>
      <c r="J365" s="4">
        <v>0.087</v>
      </c>
      <c r="K365" s="6" t="b">
        <f t="shared" ref="K365:L365" si="354">FALSE()</f>
        <v>0</v>
      </c>
      <c r="L365" s="6" t="b">
        <f t="shared" si="354"/>
        <v>0</v>
      </c>
      <c r="M365" s="6" t="b">
        <f t="shared" ref="M365:M366" si="356">TRUE()</f>
        <v>1</v>
      </c>
      <c r="N365" s="4">
        <v>0.637634470629687</v>
      </c>
      <c r="P365" s="4">
        <v>0.886243810521858</v>
      </c>
      <c r="T365" s="4">
        <f t="shared" si="3"/>
        <v>716</v>
      </c>
      <c r="U365" s="4">
        <f t="shared" si="4"/>
        <v>161</v>
      </c>
    </row>
    <row r="366" ht="15.75" customHeight="1">
      <c r="A366" s="4" t="s">
        <v>279</v>
      </c>
      <c r="B366" s="4" t="s">
        <v>13</v>
      </c>
      <c r="C366" s="4">
        <v>0.493</v>
      </c>
      <c r="D366" s="4">
        <v>0.052</v>
      </c>
      <c r="E366" s="4">
        <v>0.082</v>
      </c>
      <c r="I366" s="4">
        <v>1.284</v>
      </c>
      <c r="J366" s="4">
        <v>0.133</v>
      </c>
      <c r="K366" s="6" t="b">
        <f t="shared" ref="K366:L366" si="355">FALSE()</f>
        <v>0</v>
      </c>
      <c r="L366" s="6" t="b">
        <f t="shared" si="355"/>
        <v>0</v>
      </c>
      <c r="M366" s="6" t="b">
        <f t="shared" si="356"/>
        <v>1</v>
      </c>
      <c r="N366" s="4">
        <v>0.400787518557053</v>
      </c>
      <c r="P366" s="4">
        <v>0.825928291793764</v>
      </c>
      <c r="T366" s="4">
        <f t="shared" si="3"/>
        <v>961</v>
      </c>
      <c r="U366" s="4">
        <f t="shared" si="4"/>
        <v>277</v>
      </c>
    </row>
    <row r="367" ht="15.75" customHeight="1">
      <c r="A367" s="4" t="s">
        <v>1917</v>
      </c>
      <c r="B367" s="4" t="s">
        <v>13</v>
      </c>
      <c r="C367" s="4">
        <v>2.0</v>
      </c>
      <c r="D367" s="4">
        <v>0.3</v>
      </c>
      <c r="E367" s="4">
        <v>0.3</v>
      </c>
      <c r="K367" s="6" t="b">
        <f t="shared" ref="K367:M367" si="357">FALSE()</f>
        <v>0</v>
      </c>
      <c r="L367" s="6" t="b">
        <f t="shared" si="357"/>
        <v>0</v>
      </c>
      <c r="M367" s="6" t="b">
        <f t="shared" si="357"/>
        <v>0</v>
      </c>
      <c r="N367" s="4">
        <v>1.09861228866811</v>
      </c>
      <c r="T367" s="4">
        <f t="shared" si="3"/>
        <v>440</v>
      </c>
      <c r="U367" s="4" t="str">
        <f t="shared" si="4"/>
        <v/>
      </c>
    </row>
    <row r="368" ht="15.75" customHeight="1">
      <c r="A368" s="4" t="s">
        <v>280</v>
      </c>
      <c r="B368" s="4" t="s">
        <v>13</v>
      </c>
      <c r="C368" s="4">
        <v>0.206</v>
      </c>
      <c r="D368" s="4">
        <v>0.039</v>
      </c>
      <c r="E368" s="4">
        <v>0.039</v>
      </c>
      <c r="I368" s="4">
        <v>1.313</v>
      </c>
      <c r="J368" s="4">
        <v>0.045</v>
      </c>
      <c r="K368" s="6" t="b">
        <f t="shared" ref="K368:L368" si="358">FALSE()</f>
        <v>0</v>
      </c>
      <c r="L368" s="6" t="b">
        <f t="shared" si="358"/>
        <v>0</v>
      </c>
      <c r="M368" s="6" t="b">
        <f t="shared" ref="M368:M399" si="360">TRUE()</f>
        <v>1</v>
      </c>
      <c r="N368" s="4">
        <v>0.187309098304994</v>
      </c>
      <c r="P368" s="4">
        <v>0.838545383249302</v>
      </c>
      <c r="T368" s="4">
        <f t="shared" si="3"/>
        <v>1148</v>
      </c>
      <c r="U368" s="4">
        <f t="shared" si="4"/>
        <v>239</v>
      </c>
    </row>
    <row r="369" ht="15.75" customHeight="1">
      <c r="A369" s="4" t="s">
        <v>281</v>
      </c>
      <c r="B369" s="4" t="s">
        <v>13</v>
      </c>
      <c r="C369" s="4">
        <v>0.168</v>
      </c>
      <c r="D369" s="4">
        <v>0.024</v>
      </c>
      <c r="E369" s="4">
        <v>0.024</v>
      </c>
      <c r="I369" s="4">
        <v>1.131</v>
      </c>
      <c r="J369" s="4">
        <v>0.054</v>
      </c>
      <c r="K369" s="6" t="b">
        <f t="shared" ref="K369:L369" si="359">FALSE()</f>
        <v>0</v>
      </c>
      <c r="L369" s="6" t="b">
        <f t="shared" si="359"/>
        <v>0</v>
      </c>
      <c r="M369" s="6" t="b">
        <f t="shared" si="360"/>
        <v>1</v>
      </c>
      <c r="N369" s="4">
        <v>0.155292884406035</v>
      </c>
      <c r="P369" s="4">
        <v>0.75659135311648</v>
      </c>
      <c r="T369" s="4">
        <f t="shared" si="3"/>
        <v>1186</v>
      </c>
      <c r="U369" s="4">
        <f t="shared" si="4"/>
        <v>471</v>
      </c>
    </row>
    <row r="370" ht="15.75" customHeight="1">
      <c r="A370" s="4" t="s">
        <v>282</v>
      </c>
      <c r="B370" s="4" t="s">
        <v>13</v>
      </c>
      <c r="C370" s="4">
        <v>1.73</v>
      </c>
      <c r="D370" s="4">
        <v>0.205</v>
      </c>
      <c r="E370" s="4">
        <v>0.205</v>
      </c>
      <c r="I370" s="4">
        <v>1.448</v>
      </c>
      <c r="J370" s="4">
        <v>0.061</v>
      </c>
      <c r="K370" s="6" t="b">
        <f t="shared" ref="K370:L370" si="361">FALSE()</f>
        <v>0</v>
      </c>
      <c r="L370" s="6" t="b">
        <f t="shared" si="361"/>
        <v>0</v>
      </c>
      <c r="M370" s="6" t="b">
        <f t="shared" si="360"/>
        <v>1</v>
      </c>
      <c r="N370" s="4">
        <v>1.00430160919687</v>
      </c>
      <c r="P370" s="4">
        <v>0.89527136465008</v>
      </c>
      <c r="T370" s="4">
        <f t="shared" si="3"/>
        <v>479</v>
      </c>
      <c r="U370" s="4">
        <f t="shared" si="4"/>
        <v>144</v>
      </c>
    </row>
    <row r="371" ht="15.75" customHeight="1">
      <c r="A371" s="4" t="s">
        <v>283</v>
      </c>
      <c r="B371" s="4" t="s">
        <v>13</v>
      </c>
      <c r="C371" s="4">
        <v>0.68</v>
      </c>
      <c r="D371" s="4">
        <v>0.04</v>
      </c>
      <c r="E371" s="4">
        <v>0.04</v>
      </c>
      <c r="I371" s="4">
        <v>1.27</v>
      </c>
      <c r="J371" s="4">
        <v>0.05</v>
      </c>
      <c r="K371" s="6" t="b">
        <f t="shared" ref="K371:L371" si="362">FALSE()</f>
        <v>0</v>
      </c>
      <c r="L371" s="6" t="b">
        <f t="shared" si="362"/>
        <v>0</v>
      </c>
      <c r="M371" s="6" t="b">
        <f t="shared" si="360"/>
        <v>1</v>
      </c>
      <c r="N371" s="4">
        <v>0.518793793415168</v>
      </c>
      <c r="P371" s="4">
        <v>0.819779831493311</v>
      </c>
      <c r="T371" s="4">
        <f t="shared" si="3"/>
        <v>830</v>
      </c>
      <c r="U371" s="4">
        <f t="shared" si="4"/>
        <v>293</v>
      </c>
    </row>
    <row r="372" ht="15.75" customHeight="1">
      <c r="A372" s="4" t="s">
        <v>284</v>
      </c>
      <c r="B372" s="4" t="s">
        <v>13</v>
      </c>
      <c r="C372" s="4">
        <v>1.36</v>
      </c>
      <c r="D372" s="4">
        <v>0.075</v>
      </c>
      <c r="E372" s="4">
        <v>0.075</v>
      </c>
      <c r="F372" s="4">
        <v>1.35</v>
      </c>
      <c r="G372" s="4">
        <v>0.073</v>
      </c>
      <c r="H372" s="4">
        <v>0.073</v>
      </c>
      <c r="I372" s="4">
        <v>1.288</v>
      </c>
      <c r="J372" s="4">
        <v>0.064</v>
      </c>
      <c r="K372" s="6" t="b">
        <f t="shared" ref="K372:L372" si="363">FALSE()</f>
        <v>0</v>
      </c>
      <c r="L372" s="6" t="b">
        <f t="shared" si="363"/>
        <v>0</v>
      </c>
      <c r="M372" s="6" t="b">
        <f t="shared" si="360"/>
        <v>1</v>
      </c>
      <c r="N372" s="4">
        <v>0.858661619037519</v>
      </c>
      <c r="O372" s="4">
        <v>0.854415328156068</v>
      </c>
      <c r="P372" s="4">
        <v>0.827678073517552</v>
      </c>
      <c r="Q372" s="4">
        <v>0.207292045982738</v>
      </c>
      <c r="R372" s="4">
        <v>0.204024027701728</v>
      </c>
      <c r="S372" s="4">
        <v>0.865766617992327</v>
      </c>
      <c r="T372" s="4">
        <f t="shared" si="3"/>
        <v>545</v>
      </c>
      <c r="U372" s="4">
        <f t="shared" si="4"/>
        <v>272</v>
      </c>
    </row>
    <row r="373" ht="15.75" customHeight="1">
      <c r="A373" s="4" t="s">
        <v>285</v>
      </c>
      <c r="B373" s="4" t="s">
        <v>13</v>
      </c>
      <c r="C373" s="4">
        <v>0.309</v>
      </c>
      <c r="D373" s="4">
        <v>0.018</v>
      </c>
      <c r="E373" s="4">
        <v>0.018</v>
      </c>
      <c r="F373" s="4">
        <v>0.309</v>
      </c>
      <c r="G373" s="4">
        <v>0.018</v>
      </c>
      <c r="H373" s="4">
        <v>0.018</v>
      </c>
      <c r="I373" s="4">
        <v>1.293</v>
      </c>
      <c r="J373" s="4">
        <v>0.054</v>
      </c>
      <c r="K373" s="6" t="b">
        <f t="shared" ref="K373:L373" si="364">FALSE()</f>
        <v>0</v>
      </c>
      <c r="L373" s="6" t="b">
        <f t="shared" si="364"/>
        <v>0</v>
      </c>
      <c r="M373" s="6" t="b">
        <f t="shared" si="360"/>
        <v>1</v>
      </c>
      <c r="N373" s="4">
        <v>0.269263486927763</v>
      </c>
      <c r="O373" s="4">
        <v>0.269263486927763</v>
      </c>
      <c r="P373" s="4">
        <v>0.829861003875767</v>
      </c>
      <c r="Q373" s="4">
        <v>-0.438251300406878</v>
      </c>
      <c r="R373" s="4">
        <v>-0.456424953884978</v>
      </c>
      <c r="S373" s="4">
        <v>0.875121712400092</v>
      </c>
      <c r="T373" s="4">
        <f t="shared" si="3"/>
        <v>1065</v>
      </c>
      <c r="U373" s="4">
        <f t="shared" si="4"/>
        <v>262</v>
      </c>
    </row>
    <row r="374" ht="15.75" customHeight="1">
      <c r="A374" s="4" t="s">
        <v>286</v>
      </c>
      <c r="B374" s="4" t="s">
        <v>13</v>
      </c>
      <c r="C374" s="4">
        <v>0.819</v>
      </c>
      <c r="D374" s="4">
        <v>0.03</v>
      </c>
      <c r="E374" s="4">
        <v>0.03</v>
      </c>
      <c r="F374" s="4">
        <v>0.818</v>
      </c>
      <c r="G374" s="4">
        <v>0.029</v>
      </c>
      <c r="H374" s="4">
        <v>0.029</v>
      </c>
      <c r="I374" s="4">
        <v>1.009</v>
      </c>
      <c r="J374" s="4">
        <v>0.072</v>
      </c>
      <c r="K374" s="6" t="b">
        <f t="shared" ref="K374:L374" si="365">FALSE()</f>
        <v>0</v>
      </c>
      <c r="L374" s="6" t="b">
        <f t="shared" si="365"/>
        <v>0</v>
      </c>
      <c r="M374" s="6" t="b">
        <f t="shared" si="360"/>
        <v>1</v>
      </c>
      <c r="N374" s="4">
        <v>0.598286899535985</v>
      </c>
      <c r="O374" s="4">
        <v>0.597736995755287</v>
      </c>
      <c r="P374" s="4">
        <v>0.697637085832797</v>
      </c>
      <c r="Q374" s="4">
        <v>-0.125000009580328</v>
      </c>
      <c r="R374" s="4">
        <v>-0.133496489305119</v>
      </c>
      <c r="S374" s="4">
        <v>0.343752350039062</v>
      </c>
      <c r="T374" s="4">
        <f t="shared" si="3"/>
        <v>759</v>
      </c>
      <c r="U374" s="4">
        <f t="shared" si="4"/>
        <v>653</v>
      </c>
    </row>
    <row r="375" ht="15.75" customHeight="1">
      <c r="A375" s="4" t="s">
        <v>287</v>
      </c>
      <c r="B375" s="4" t="s">
        <v>13</v>
      </c>
      <c r="C375" s="4">
        <v>1.487</v>
      </c>
      <c r="D375" s="4">
        <v>0.058</v>
      </c>
      <c r="E375" s="4">
        <v>0.059</v>
      </c>
      <c r="F375" s="4">
        <v>1.484</v>
      </c>
      <c r="G375" s="4">
        <v>0.056</v>
      </c>
      <c r="H375" s="4">
        <v>0.056</v>
      </c>
      <c r="I375" s="4">
        <v>1.318</v>
      </c>
      <c r="J375" s="4">
        <v>0.091</v>
      </c>
      <c r="K375" s="6" t="b">
        <f t="shared" ref="K375:L375" si="366">FALSE()</f>
        <v>0</v>
      </c>
      <c r="L375" s="6" t="b">
        <f t="shared" si="366"/>
        <v>0</v>
      </c>
      <c r="M375" s="6" t="b">
        <f t="shared" si="360"/>
        <v>1</v>
      </c>
      <c r="N375" s="4">
        <v>0.911077164821268</v>
      </c>
      <c r="O375" s="4">
        <v>0.909870164071232</v>
      </c>
      <c r="P375" s="4">
        <v>0.84070474491756</v>
      </c>
      <c r="Q375" s="4">
        <v>0.285297759580722</v>
      </c>
      <c r="R375" s="4">
        <v>0.289038594015483</v>
      </c>
      <c r="S375" s="4">
        <v>0.921897184438915</v>
      </c>
      <c r="T375" s="4">
        <f t="shared" si="3"/>
        <v>514</v>
      </c>
      <c r="U375" s="4">
        <f t="shared" si="4"/>
        <v>237</v>
      </c>
    </row>
    <row r="376" ht="15.75" customHeight="1">
      <c r="A376" s="4" t="s">
        <v>288</v>
      </c>
      <c r="B376" s="4" t="s">
        <v>13</v>
      </c>
      <c r="C376" s="4">
        <v>0.76</v>
      </c>
      <c r="D376" s="4">
        <v>0.032</v>
      </c>
      <c r="E376" s="4">
        <v>0.032</v>
      </c>
      <c r="I376" s="4">
        <v>0.944</v>
      </c>
      <c r="J376" s="4">
        <v>0.028</v>
      </c>
      <c r="K376" s="6" t="b">
        <f t="shared" ref="K376:L376" si="367">FALSE()</f>
        <v>0</v>
      </c>
      <c r="L376" s="6" t="b">
        <f t="shared" si="367"/>
        <v>0</v>
      </c>
      <c r="M376" s="6" t="b">
        <f t="shared" si="360"/>
        <v>1</v>
      </c>
      <c r="N376" s="4">
        <v>0.565313809050061</v>
      </c>
      <c r="P376" s="4">
        <v>0.664747706038247</v>
      </c>
      <c r="T376" s="4">
        <f t="shared" si="3"/>
        <v>791</v>
      </c>
      <c r="U376" s="4">
        <f t="shared" si="4"/>
        <v>733</v>
      </c>
    </row>
    <row r="377" ht="15.75" customHeight="1">
      <c r="A377" s="4" t="s">
        <v>289</v>
      </c>
      <c r="B377" s="4" t="s">
        <v>13</v>
      </c>
      <c r="C377" s="4">
        <v>0.582</v>
      </c>
      <c r="D377" s="4">
        <v>0.056</v>
      </c>
      <c r="E377" s="4">
        <v>0.056</v>
      </c>
      <c r="F377" s="4">
        <v>0.582</v>
      </c>
      <c r="G377" s="4">
        <v>0.056</v>
      </c>
      <c r="H377" s="4">
        <v>0.056</v>
      </c>
      <c r="I377" s="4">
        <v>1.182</v>
      </c>
      <c r="J377" s="4">
        <v>0.055</v>
      </c>
      <c r="K377" s="6" t="b">
        <f t="shared" ref="K377:L377" si="368">FALSE()</f>
        <v>0</v>
      </c>
      <c r="L377" s="6" t="b">
        <f t="shared" si="368"/>
        <v>0</v>
      </c>
      <c r="M377" s="6" t="b">
        <f t="shared" si="360"/>
        <v>1</v>
      </c>
      <c r="N377" s="4">
        <v>0.458689869345462</v>
      </c>
      <c r="O377" s="4">
        <v>0.458689869345462</v>
      </c>
      <c r="P377" s="4">
        <v>0.780241887410879</v>
      </c>
      <c r="Q377" s="4">
        <v>-0.270569727082078</v>
      </c>
      <c r="R377" s="4">
        <v>-0.283223635947254</v>
      </c>
      <c r="S377" s="4">
        <v>0.667438616547717</v>
      </c>
      <c r="T377" s="4">
        <f t="shared" si="3"/>
        <v>899</v>
      </c>
      <c r="U377" s="4">
        <f t="shared" si="4"/>
        <v>411</v>
      </c>
    </row>
    <row r="378" ht="15.75" customHeight="1">
      <c r="A378" s="4" t="s">
        <v>290</v>
      </c>
      <c r="B378" s="4" t="s">
        <v>13</v>
      </c>
      <c r="C378" s="4">
        <v>2.31</v>
      </c>
      <c r="D378" s="4">
        <v>0.44</v>
      </c>
      <c r="E378" s="4">
        <v>0.44</v>
      </c>
      <c r="F378" s="4">
        <v>2.18</v>
      </c>
      <c r="G378" s="4">
        <v>0.25</v>
      </c>
      <c r="H378" s="4">
        <v>0.25</v>
      </c>
      <c r="I378" s="4">
        <v>1.51</v>
      </c>
      <c r="J378" s="4">
        <v>0.11</v>
      </c>
      <c r="K378" s="6" t="b">
        <f t="shared" ref="K378:L378" si="369">FALSE()</f>
        <v>0</v>
      </c>
      <c r="L378" s="6" t="b">
        <f t="shared" si="369"/>
        <v>0</v>
      </c>
      <c r="M378" s="6" t="b">
        <f t="shared" si="360"/>
        <v>1</v>
      </c>
      <c r="N378" s="4">
        <v>1.19694818938897</v>
      </c>
      <c r="O378" s="4">
        <v>1.15688119679209</v>
      </c>
      <c r="P378" s="4">
        <v>0.920282753143693</v>
      </c>
      <c r="Q378" s="4">
        <v>0.790799352424351</v>
      </c>
      <c r="R378" s="4">
        <v>0.730606789197373</v>
      </c>
      <c r="S378" s="4">
        <v>1.28113280969708</v>
      </c>
      <c r="T378" s="4">
        <f t="shared" si="3"/>
        <v>395</v>
      </c>
      <c r="U378" s="4">
        <f t="shared" si="4"/>
        <v>108</v>
      </c>
    </row>
    <row r="379" ht="15.75" customHeight="1">
      <c r="A379" s="4" t="s">
        <v>291</v>
      </c>
      <c r="B379" s="4" t="s">
        <v>13</v>
      </c>
      <c r="C379" s="4">
        <v>1.85</v>
      </c>
      <c r="D379" s="4">
        <v>1.85</v>
      </c>
      <c r="E379" s="4">
        <v>0.0</v>
      </c>
      <c r="F379" s="4">
        <v>1.85</v>
      </c>
      <c r="G379" s="4">
        <v>1.85</v>
      </c>
      <c r="H379" s="4">
        <v>0.0</v>
      </c>
      <c r="I379" s="4">
        <v>1.413</v>
      </c>
      <c r="J379" s="4">
        <v>0.054</v>
      </c>
      <c r="K379" s="6" t="b">
        <f t="shared" ref="K379:L379" si="370">FALSE()</f>
        <v>0</v>
      </c>
      <c r="L379" s="6" t="b">
        <f t="shared" si="370"/>
        <v>0</v>
      </c>
      <c r="M379" s="6" t="b">
        <f t="shared" si="360"/>
        <v>1</v>
      </c>
      <c r="N379" s="4">
        <v>1.04731899428056</v>
      </c>
      <c r="O379" s="4">
        <v>1.04731899428056</v>
      </c>
      <c r="P379" s="4">
        <v>0.880870786642895</v>
      </c>
      <c r="Q379" s="4">
        <v>0.508258972463149</v>
      </c>
      <c r="R379" s="4">
        <v>0.521242558723201</v>
      </c>
      <c r="S379" s="4">
        <v>1.09964397818644</v>
      </c>
      <c r="T379" s="4">
        <f t="shared" si="3"/>
        <v>461</v>
      </c>
      <c r="U379" s="4">
        <f t="shared" si="4"/>
        <v>168</v>
      </c>
    </row>
    <row r="380" ht="15.75" customHeight="1">
      <c r="A380" s="4" t="s">
        <v>292</v>
      </c>
      <c r="B380" s="4" t="s">
        <v>13</v>
      </c>
      <c r="C380" s="4">
        <v>0.372</v>
      </c>
      <c r="D380" s="4">
        <v>0.03</v>
      </c>
      <c r="E380" s="4">
        <v>0.03</v>
      </c>
      <c r="I380" s="4">
        <v>1.332</v>
      </c>
      <c r="J380" s="4">
        <v>0.043</v>
      </c>
      <c r="K380" s="6" t="b">
        <f t="shared" ref="K380:L380" si="371">FALSE()</f>
        <v>0</v>
      </c>
      <c r="L380" s="6" t="b">
        <f t="shared" si="371"/>
        <v>0</v>
      </c>
      <c r="M380" s="6" t="b">
        <f t="shared" si="360"/>
        <v>1</v>
      </c>
      <c r="N380" s="4">
        <v>0.316269529303693</v>
      </c>
      <c r="P380" s="4">
        <v>0.846726268488246</v>
      </c>
      <c r="T380" s="4">
        <f t="shared" si="3"/>
        <v>1034</v>
      </c>
      <c r="U380" s="4">
        <f t="shared" si="4"/>
        <v>220</v>
      </c>
    </row>
    <row r="381" ht="15.75" customHeight="1">
      <c r="A381" s="4" t="s">
        <v>293</v>
      </c>
      <c r="B381" s="4" t="s">
        <v>13</v>
      </c>
      <c r="C381" s="4">
        <v>1.54</v>
      </c>
      <c r="D381" s="4">
        <v>0.067</v>
      </c>
      <c r="E381" s="4">
        <v>0.067</v>
      </c>
      <c r="I381" s="4">
        <v>1.123</v>
      </c>
      <c r="J381" s="4">
        <v>0.013</v>
      </c>
      <c r="K381" s="6" t="b">
        <f t="shared" ref="K381:L381" si="372">FALSE()</f>
        <v>0</v>
      </c>
      <c r="L381" s="6" t="b">
        <f t="shared" si="372"/>
        <v>0</v>
      </c>
      <c r="M381" s="6" t="b">
        <f t="shared" si="360"/>
        <v>1</v>
      </c>
      <c r="N381" s="4">
        <v>0.932164081030445</v>
      </c>
      <c r="P381" s="4">
        <v>0.752830182721119</v>
      </c>
      <c r="T381" s="4">
        <f t="shared" si="3"/>
        <v>505</v>
      </c>
      <c r="U381" s="4">
        <f t="shared" si="4"/>
        <v>487</v>
      </c>
    </row>
    <row r="382" ht="15.75" customHeight="1">
      <c r="A382" s="4" t="s">
        <v>294</v>
      </c>
      <c r="B382" s="4" t="s">
        <v>13</v>
      </c>
      <c r="C382" s="4">
        <v>1.06</v>
      </c>
      <c r="D382" s="4">
        <v>0.11</v>
      </c>
      <c r="E382" s="4">
        <v>0.11</v>
      </c>
      <c r="I382" s="4">
        <v>1.252</v>
      </c>
      <c r="J382" s="4">
        <v>0.05</v>
      </c>
      <c r="K382" s="6" t="b">
        <f t="shared" ref="K382:L382" si="373">FALSE()</f>
        <v>0</v>
      </c>
      <c r="L382" s="6" t="b">
        <f t="shared" si="373"/>
        <v>0</v>
      </c>
      <c r="M382" s="6" t="b">
        <f t="shared" si="360"/>
        <v>1</v>
      </c>
      <c r="N382" s="4">
        <v>0.72270598280149</v>
      </c>
      <c r="P382" s="4">
        <v>0.811818710277444</v>
      </c>
      <c r="T382" s="4">
        <f t="shared" si="3"/>
        <v>641</v>
      </c>
      <c r="U382" s="4">
        <f t="shared" si="4"/>
        <v>313</v>
      </c>
    </row>
    <row r="383" ht="15.75" customHeight="1">
      <c r="A383" s="4" t="s">
        <v>295</v>
      </c>
      <c r="B383" s="4" t="s">
        <v>13</v>
      </c>
      <c r="C383" s="4">
        <v>0.574</v>
      </c>
      <c r="D383" s="4">
        <v>0.038</v>
      </c>
      <c r="E383" s="4">
        <v>0.038</v>
      </c>
      <c r="I383" s="4">
        <v>1.631</v>
      </c>
      <c r="J383" s="4">
        <v>0.024</v>
      </c>
      <c r="K383" s="6" t="b">
        <f t="shared" ref="K383:L383" si="374">FALSE()</f>
        <v>0</v>
      </c>
      <c r="L383" s="6" t="b">
        <f t="shared" si="374"/>
        <v>0</v>
      </c>
      <c r="M383" s="6" t="b">
        <f t="shared" si="360"/>
        <v>1</v>
      </c>
      <c r="N383" s="4">
        <v>0.453620149995211</v>
      </c>
      <c r="P383" s="4">
        <v>0.967364002058156</v>
      </c>
      <c r="T383" s="4">
        <f t="shared" si="3"/>
        <v>909</v>
      </c>
      <c r="U383" s="4">
        <f t="shared" si="4"/>
        <v>66</v>
      </c>
    </row>
    <row r="384" ht="15.75" customHeight="1">
      <c r="A384" s="4" t="s">
        <v>296</v>
      </c>
      <c r="B384" s="4" t="s">
        <v>13</v>
      </c>
      <c r="C384" s="4">
        <v>1.057</v>
      </c>
      <c r="D384" s="4">
        <v>0.07</v>
      </c>
      <c r="E384" s="4">
        <v>0.07</v>
      </c>
      <c r="I384" s="4">
        <v>0.899</v>
      </c>
      <c r="J384" s="4">
        <v>0.027</v>
      </c>
      <c r="K384" s="6" t="b">
        <f t="shared" ref="K384:L384" si="375">FALSE()</f>
        <v>0</v>
      </c>
      <c r="L384" s="6" t="b">
        <f t="shared" si="375"/>
        <v>0</v>
      </c>
      <c r="M384" s="6" t="b">
        <f t="shared" si="360"/>
        <v>1</v>
      </c>
      <c r="N384" s="4">
        <v>0.72124861067082</v>
      </c>
      <c r="P384" s="4">
        <v>0.641327431830149</v>
      </c>
      <c r="T384" s="4">
        <f t="shared" si="3"/>
        <v>643</v>
      </c>
      <c r="U384" s="4">
        <f t="shared" si="4"/>
        <v>767</v>
      </c>
    </row>
    <row r="385" ht="15.75" customHeight="1">
      <c r="A385" s="4" t="s">
        <v>297</v>
      </c>
      <c r="B385" s="4" t="s">
        <v>13</v>
      </c>
      <c r="C385" s="4">
        <v>0.761</v>
      </c>
      <c r="D385" s="4">
        <v>0.088</v>
      </c>
      <c r="E385" s="4">
        <v>0.088</v>
      </c>
      <c r="I385" s="4">
        <v>1.073</v>
      </c>
      <c r="J385" s="4">
        <v>0.029</v>
      </c>
      <c r="K385" s="6" t="b">
        <f t="shared" ref="K385:L385" si="376">FALSE()</f>
        <v>0</v>
      </c>
      <c r="L385" s="6" t="b">
        <f t="shared" si="376"/>
        <v>0</v>
      </c>
      <c r="M385" s="6" t="b">
        <f t="shared" si="360"/>
        <v>1</v>
      </c>
      <c r="N385" s="4">
        <v>0.565881829514069</v>
      </c>
      <c r="P385" s="4">
        <v>0.728996833453643</v>
      </c>
      <c r="T385" s="4">
        <f t="shared" si="3"/>
        <v>789</v>
      </c>
      <c r="U385" s="4">
        <f t="shared" si="4"/>
        <v>564</v>
      </c>
    </row>
    <row r="386" ht="15.75" customHeight="1">
      <c r="A386" s="4" t="s">
        <v>298</v>
      </c>
      <c r="B386" s="4" t="s">
        <v>13</v>
      </c>
      <c r="C386" s="4">
        <v>0.614</v>
      </c>
      <c r="D386" s="4">
        <v>0.024</v>
      </c>
      <c r="E386" s="4">
        <v>0.024</v>
      </c>
      <c r="I386" s="4">
        <v>1.119</v>
      </c>
      <c r="J386" s="4">
        <v>0.033</v>
      </c>
      <c r="K386" s="6" t="b">
        <f t="shared" ref="K386:L386" si="377">FALSE()</f>
        <v>0</v>
      </c>
      <c r="L386" s="6" t="b">
        <f t="shared" si="377"/>
        <v>0</v>
      </c>
      <c r="M386" s="6" t="b">
        <f t="shared" si="360"/>
        <v>1</v>
      </c>
      <c r="N386" s="4">
        <v>0.478715569847757</v>
      </c>
      <c r="P386" s="4">
        <v>0.750944279286162</v>
      </c>
      <c r="T386" s="4">
        <f t="shared" si="3"/>
        <v>880</v>
      </c>
      <c r="U386" s="4">
        <f t="shared" si="4"/>
        <v>493</v>
      </c>
    </row>
    <row r="387" ht="15.75" customHeight="1">
      <c r="A387" s="4" t="s">
        <v>299</v>
      </c>
      <c r="B387" s="4" t="s">
        <v>13</v>
      </c>
      <c r="C387" s="4">
        <v>0.58</v>
      </c>
      <c r="D387" s="4">
        <v>0.13</v>
      </c>
      <c r="E387" s="4">
        <v>0.18</v>
      </c>
      <c r="I387" s="4">
        <v>1.703</v>
      </c>
      <c r="J387" s="4">
        <v>0.07</v>
      </c>
      <c r="K387" s="6" t="b">
        <f t="shared" ref="K387:L387" si="378">FALSE()</f>
        <v>0</v>
      </c>
      <c r="L387" s="6" t="b">
        <f t="shared" si="378"/>
        <v>0</v>
      </c>
      <c r="M387" s="6" t="b">
        <f t="shared" si="360"/>
        <v>1</v>
      </c>
      <c r="N387" s="4">
        <v>0.457424847038875</v>
      </c>
      <c r="P387" s="4">
        <v>0.99436226729431</v>
      </c>
      <c r="T387" s="4">
        <f t="shared" si="3"/>
        <v>900</v>
      </c>
      <c r="U387" s="4">
        <f t="shared" si="4"/>
        <v>42</v>
      </c>
    </row>
    <row r="388" ht="15.75" customHeight="1">
      <c r="A388" s="4" t="s">
        <v>300</v>
      </c>
      <c r="B388" s="4" t="s">
        <v>13</v>
      </c>
      <c r="C388" s="4">
        <v>0.527</v>
      </c>
      <c r="D388" s="4">
        <v>0.083</v>
      </c>
      <c r="E388" s="4">
        <v>0.083</v>
      </c>
      <c r="I388" s="4">
        <v>1.89</v>
      </c>
      <c r="J388" s="4">
        <v>0.13</v>
      </c>
      <c r="K388" s="6" t="b">
        <f t="shared" ref="K388:L388" si="379">FALSE()</f>
        <v>0</v>
      </c>
      <c r="L388" s="6" t="b">
        <f t="shared" si="379"/>
        <v>0</v>
      </c>
      <c r="M388" s="6" t="b">
        <f t="shared" si="360"/>
        <v>1</v>
      </c>
      <c r="N388" s="4">
        <v>0.423305026236495</v>
      </c>
      <c r="P388" s="4">
        <v>1.06125650212434</v>
      </c>
      <c r="T388" s="4">
        <f t="shared" si="3"/>
        <v>936</v>
      </c>
      <c r="U388" s="4">
        <f t="shared" si="4"/>
        <v>20</v>
      </c>
    </row>
    <row r="389" ht="15.75" customHeight="1">
      <c r="A389" s="4" t="s">
        <v>301</v>
      </c>
      <c r="B389" s="4" t="s">
        <v>13</v>
      </c>
      <c r="C389" s="4">
        <v>0.783</v>
      </c>
      <c r="D389" s="4">
        <v>0.057</v>
      </c>
      <c r="E389" s="4">
        <v>0.057</v>
      </c>
      <c r="I389" s="4">
        <v>1.59</v>
      </c>
      <c r="J389" s="4">
        <v>0.1</v>
      </c>
      <c r="K389" s="6" t="b">
        <f t="shared" ref="K389:L389" si="380">FALSE()</f>
        <v>0</v>
      </c>
      <c r="L389" s="6" t="b">
        <f t="shared" si="380"/>
        <v>0</v>
      </c>
      <c r="M389" s="6" t="b">
        <f t="shared" si="360"/>
        <v>1</v>
      </c>
      <c r="N389" s="4">
        <v>0.578297338881003</v>
      </c>
      <c r="P389" s="4">
        <v>0.951657875711446</v>
      </c>
      <c r="T389" s="4">
        <f t="shared" si="3"/>
        <v>780</v>
      </c>
      <c r="U389" s="4">
        <f t="shared" si="4"/>
        <v>81</v>
      </c>
    </row>
    <row r="390" ht="15.75" customHeight="1">
      <c r="A390" s="4" t="s">
        <v>302</v>
      </c>
      <c r="B390" s="4" t="s">
        <v>13</v>
      </c>
      <c r="C390" s="4">
        <v>0.45</v>
      </c>
      <c r="D390" s="4">
        <v>0.15</v>
      </c>
      <c r="E390" s="4">
        <v>0.15</v>
      </c>
      <c r="I390" s="4">
        <v>2.14</v>
      </c>
      <c r="J390" s="4">
        <v>0.025</v>
      </c>
      <c r="K390" s="6" t="b">
        <f t="shared" ref="K390:L390" si="381">FALSE()</f>
        <v>0</v>
      </c>
      <c r="L390" s="6" t="b">
        <f t="shared" si="381"/>
        <v>0</v>
      </c>
      <c r="M390" s="6" t="b">
        <f t="shared" si="360"/>
        <v>1</v>
      </c>
      <c r="N390" s="4">
        <v>0.371563556432483</v>
      </c>
      <c r="P390" s="4">
        <v>1.14422279992016</v>
      </c>
      <c r="T390" s="4">
        <f t="shared" si="3"/>
        <v>981</v>
      </c>
      <c r="U390" s="4">
        <f t="shared" si="4"/>
        <v>7</v>
      </c>
    </row>
    <row r="391" ht="15.75" customHeight="1">
      <c r="A391" s="4" t="s">
        <v>303</v>
      </c>
      <c r="B391" s="4" t="s">
        <v>13</v>
      </c>
      <c r="C391" s="4">
        <v>0.724</v>
      </c>
      <c r="D391" s="4">
        <v>0.043</v>
      </c>
      <c r="E391" s="4">
        <v>0.043</v>
      </c>
      <c r="I391" s="4">
        <v>1.072</v>
      </c>
      <c r="J391" s="4">
        <v>0.012</v>
      </c>
      <c r="K391" s="6" t="b">
        <f t="shared" ref="K391:L391" si="382">FALSE()</f>
        <v>0</v>
      </c>
      <c r="L391" s="6" t="b">
        <f t="shared" si="382"/>
        <v>0</v>
      </c>
      <c r="M391" s="6" t="b">
        <f t="shared" si="360"/>
        <v>1</v>
      </c>
      <c r="N391" s="4">
        <v>0.544647172241501</v>
      </c>
      <c r="P391" s="4">
        <v>0.728514324397237</v>
      </c>
      <c r="T391" s="4">
        <f t="shared" si="3"/>
        <v>806</v>
      </c>
      <c r="U391" s="4">
        <f t="shared" si="4"/>
        <v>566</v>
      </c>
    </row>
    <row r="392" ht="15.75" customHeight="1">
      <c r="A392" s="4" t="s">
        <v>304</v>
      </c>
      <c r="B392" s="4" t="s">
        <v>13</v>
      </c>
      <c r="C392" s="4">
        <v>3.58</v>
      </c>
      <c r="D392" s="4">
        <v>0.58</v>
      </c>
      <c r="E392" s="4">
        <v>0.58</v>
      </c>
      <c r="I392" s="4">
        <v>1.676</v>
      </c>
      <c r="J392" s="4">
        <v>0.033</v>
      </c>
      <c r="K392" s="6" t="b">
        <f t="shared" ref="K392:L392" si="383">FALSE()</f>
        <v>0</v>
      </c>
      <c r="L392" s="6" t="b">
        <f t="shared" si="383"/>
        <v>0</v>
      </c>
      <c r="M392" s="6" t="b">
        <f t="shared" si="360"/>
        <v>1</v>
      </c>
      <c r="N392" s="4">
        <v>1.52169899812609</v>
      </c>
      <c r="P392" s="4">
        <v>0.984323142265982</v>
      </c>
      <c r="T392" s="4">
        <f t="shared" si="3"/>
        <v>288</v>
      </c>
      <c r="U392" s="4">
        <f t="shared" si="4"/>
        <v>55</v>
      </c>
    </row>
    <row r="393" ht="15.75" customHeight="1">
      <c r="A393" s="4" t="s">
        <v>305</v>
      </c>
      <c r="B393" s="4" t="s">
        <v>13</v>
      </c>
      <c r="C393" s="4">
        <v>1.11</v>
      </c>
      <c r="D393" s="4">
        <v>0.04</v>
      </c>
      <c r="E393" s="4">
        <v>0.04</v>
      </c>
      <c r="I393" s="4">
        <v>1.275</v>
      </c>
      <c r="J393" s="4">
        <v>0.05</v>
      </c>
      <c r="K393" s="6" t="b">
        <f t="shared" ref="K393:L393" si="384">FALSE()</f>
        <v>0</v>
      </c>
      <c r="L393" s="6" t="b">
        <f t="shared" si="384"/>
        <v>0</v>
      </c>
      <c r="M393" s="6" t="b">
        <f t="shared" si="360"/>
        <v>1</v>
      </c>
      <c r="N393" s="4">
        <v>0.746687947487975</v>
      </c>
      <c r="P393" s="4">
        <v>0.821980052402914</v>
      </c>
      <c r="T393" s="4">
        <f t="shared" si="3"/>
        <v>621</v>
      </c>
      <c r="U393" s="4">
        <f t="shared" si="4"/>
        <v>288</v>
      </c>
    </row>
    <row r="394" ht="15.75" customHeight="1">
      <c r="A394" s="4" t="s">
        <v>306</v>
      </c>
      <c r="B394" s="4" t="s">
        <v>13</v>
      </c>
      <c r="C394" s="4">
        <v>6.78</v>
      </c>
      <c r="D394" s="4">
        <v>6.77</v>
      </c>
      <c r="E394" s="4">
        <v>0.0</v>
      </c>
      <c r="I394" s="4">
        <v>1.87</v>
      </c>
      <c r="J394" s="4">
        <v>0.1</v>
      </c>
      <c r="K394" s="6" t="b">
        <f>TRUE()</f>
        <v>1</v>
      </c>
      <c r="L394" s="6" t="b">
        <f>FALSE()</f>
        <v>0</v>
      </c>
      <c r="M394" s="6" t="b">
        <f t="shared" si="360"/>
        <v>1</v>
      </c>
      <c r="N394" s="4">
        <v>2.0515563381903</v>
      </c>
      <c r="P394" s="4">
        <v>1.05431202977153</v>
      </c>
      <c r="T394" s="4">
        <f t="shared" si="3"/>
        <v>138</v>
      </c>
      <c r="U394" s="4">
        <f t="shared" si="4"/>
        <v>22</v>
      </c>
    </row>
    <row r="395" ht="15.75" customHeight="1">
      <c r="A395" s="4" t="s">
        <v>307</v>
      </c>
      <c r="B395" s="4" t="s">
        <v>13</v>
      </c>
      <c r="C395" s="4">
        <v>1.79</v>
      </c>
      <c r="D395" s="4">
        <v>0.034</v>
      </c>
      <c r="E395" s="4">
        <v>0.034</v>
      </c>
      <c r="I395" s="4">
        <v>1.51</v>
      </c>
      <c r="J395" s="4">
        <v>0.01</v>
      </c>
      <c r="K395" s="6" t="b">
        <f t="shared" ref="K395:L395" si="385">FALSE()</f>
        <v>0</v>
      </c>
      <c r="L395" s="6" t="b">
        <f t="shared" si="385"/>
        <v>0</v>
      </c>
      <c r="M395" s="6" t="b">
        <f t="shared" si="360"/>
        <v>1</v>
      </c>
      <c r="N395" s="4">
        <v>1.02604159583327</v>
      </c>
      <c r="P395" s="4">
        <v>0.920282753143693</v>
      </c>
      <c r="T395" s="4">
        <f t="shared" si="3"/>
        <v>472</v>
      </c>
      <c r="U395" s="4">
        <f t="shared" si="4"/>
        <v>109</v>
      </c>
    </row>
    <row r="396" ht="15.75" customHeight="1">
      <c r="A396" s="4" t="s">
        <v>308</v>
      </c>
      <c r="B396" s="4" t="s">
        <v>13</v>
      </c>
      <c r="C396" s="4">
        <v>1.35</v>
      </c>
      <c r="D396" s="4">
        <v>0.03</v>
      </c>
      <c r="E396" s="4">
        <v>0.03</v>
      </c>
      <c r="I396" s="4">
        <v>1.42</v>
      </c>
      <c r="J396" s="4">
        <v>0.05</v>
      </c>
      <c r="K396" s="6" t="b">
        <f t="shared" ref="K396:L396" si="386">FALSE()</f>
        <v>0</v>
      </c>
      <c r="L396" s="6" t="b">
        <f t="shared" si="386"/>
        <v>0</v>
      </c>
      <c r="M396" s="6" t="b">
        <f t="shared" si="360"/>
        <v>1</v>
      </c>
      <c r="N396" s="4">
        <v>0.854415328156068</v>
      </c>
      <c r="P396" s="4">
        <v>0.883767540168595</v>
      </c>
      <c r="T396" s="4">
        <f t="shared" si="3"/>
        <v>547</v>
      </c>
      <c r="U396" s="4">
        <f t="shared" si="4"/>
        <v>164</v>
      </c>
    </row>
    <row r="397" ht="15.75" customHeight="1">
      <c r="A397" s="4" t="s">
        <v>309</v>
      </c>
      <c r="B397" s="4" t="s">
        <v>13</v>
      </c>
      <c r="C397" s="4">
        <v>0.67</v>
      </c>
      <c r="D397" s="4">
        <v>0.08</v>
      </c>
      <c r="E397" s="4">
        <v>0.08</v>
      </c>
      <c r="I397" s="4">
        <v>1.4</v>
      </c>
      <c r="J397" s="4">
        <v>0.06</v>
      </c>
      <c r="K397" s="6" t="b">
        <f t="shared" ref="K397:L397" si="387">FALSE()</f>
        <v>0</v>
      </c>
      <c r="L397" s="6" t="b">
        <f t="shared" si="387"/>
        <v>0</v>
      </c>
      <c r="M397" s="6" t="b">
        <f t="shared" si="360"/>
        <v>1</v>
      </c>
      <c r="N397" s="4">
        <v>0.512823626428664</v>
      </c>
      <c r="P397" s="4">
        <v>0.8754687373539</v>
      </c>
      <c r="T397" s="4">
        <f t="shared" si="3"/>
        <v>836</v>
      </c>
      <c r="U397" s="4">
        <f t="shared" si="4"/>
        <v>175</v>
      </c>
    </row>
    <row r="398" ht="15.75" customHeight="1">
      <c r="A398" s="4" t="s">
        <v>310</v>
      </c>
      <c r="B398" s="4" t="s">
        <v>13</v>
      </c>
      <c r="C398" s="4">
        <v>0.526</v>
      </c>
      <c r="D398" s="4">
        <v>0.081</v>
      </c>
      <c r="E398" s="4">
        <v>0.081</v>
      </c>
      <c r="F398" s="4">
        <v>0.526</v>
      </c>
      <c r="G398" s="4">
        <v>0.081</v>
      </c>
      <c r="H398" s="4">
        <v>0.081</v>
      </c>
      <c r="I398" s="4">
        <v>0.969</v>
      </c>
      <c r="J398" s="4">
        <v>0.045</v>
      </c>
      <c r="K398" s="6" t="b">
        <f t="shared" ref="K398:L398" si="388">FALSE()</f>
        <v>0</v>
      </c>
      <c r="L398" s="6" t="b">
        <f t="shared" si="388"/>
        <v>0</v>
      </c>
      <c r="M398" s="6" t="b">
        <f t="shared" si="360"/>
        <v>1</v>
      </c>
      <c r="N398" s="4">
        <v>0.422649932862265</v>
      </c>
      <c r="O398" s="4">
        <v>0.422649932862265</v>
      </c>
      <c r="P398" s="4">
        <v>0.677525799656988</v>
      </c>
      <c r="Q398" s="4">
        <v>-0.304965947251267</v>
      </c>
      <c r="R398" s="4">
        <v>-0.318752111421659</v>
      </c>
      <c r="S398" s="4">
        <v>0.268911594776945</v>
      </c>
      <c r="T398" s="4">
        <f t="shared" si="3"/>
        <v>937</v>
      </c>
      <c r="U398" s="4">
        <f t="shared" si="4"/>
        <v>704</v>
      </c>
    </row>
    <row r="399" ht="15.75" customHeight="1">
      <c r="A399" s="4" t="s">
        <v>311</v>
      </c>
      <c r="B399" s="4" t="s">
        <v>13</v>
      </c>
      <c r="C399" s="4">
        <v>0.85</v>
      </c>
      <c r="D399" s="4">
        <v>0.12</v>
      </c>
      <c r="E399" s="4">
        <v>0.12</v>
      </c>
      <c r="F399" s="4">
        <v>0.85</v>
      </c>
      <c r="G399" s="4">
        <v>0.12</v>
      </c>
      <c r="H399" s="4">
        <v>0.12</v>
      </c>
      <c r="I399" s="4">
        <v>1.609</v>
      </c>
      <c r="J399" s="4">
        <v>0.064</v>
      </c>
      <c r="K399" s="6" t="b">
        <f t="shared" ref="K399:L399" si="389">FALSE()</f>
        <v>0</v>
      </c>
      <c r="L399" s="6" t="b">
        <f t="shared" si="389"/>
        <v>0</v>
      </c>
      <c r="M399" s="6" t="b">
        <f t="shared" si="360"/>
        <v>1</v>
      </c>
      <c r="N399" s="4">
        <v>0.615185639090234</v>
      </c>
      <c r="O399" s="4">
        <v>0.615185639090234</v>
      </c>
      <c r="P399" s="4">
        <v>0.958967006154591</v>
      </c>
      <c r="Q399" s="4">
        <v>-0.105959244843812</v>
      </c>
      <c r="R399" s="4">
        <v>-0.113194503319745</v>
      </c>
      <c r="S399" s="4">
        <v>1.46636367897081</v>
      </c>
      <c r="T399" s="4">
        <f t="shared" si="3"/>
        <v>738</v>
      </c>
      <c r="U399" s="4">
        <f t="shared" si="4"/>
        <v>77</v>
      </c>
    </row>
    <row r="400" ht="15.75" customHeight="1">
      <c r="A400" s="4" t="s">
        <v>312</v>
      </c>
      <c r="B400" s="4" t="s">
        <v>13</v>
      </c>
      <c r="C400" s="4">
        <v>2.38</v>
      </c>
      <c r="D400" s="4">
        <v>0.087</v>
      </c>
      <c r="E400" s="4">
        <v>0.087</v>
      </c>
      <c r="I400" s="4">
        <v>0.692</v>
      </c>
      <c r="J400" s="4">
        <v>0.042</v>
      </c>
      <c r="K400" s="6" t="b">
        <f t="shared" ref="K400:M400" si="390">FALSE()</f>
        <v>0</v>
      </c>
      <c r="L400" s="6" t="b">
        <f t="shared" si="390"/>
        <v>0</v>
      </c>
      <c r="M400" s="6" t="b">
        <f t="shared" si="390"/>
        <v>0</v>
      </c>
      <c r="N400" s="4">
        <v>1.21787570949493</v>
      </c>
      <c r="P400" s="4">
        <v>0.525911261184032</v>
      </c>
      <c r="T400" s="4">
        <f t="shared" si="3"/>
        <v>386</v>
      </c>
      <c r="U400" s="4">
        <f t="shared" si="4"/>
        <v>899</v>
      </c>
    </row>
    <row r="401" ht="15.75" customHeight="1">
      <c r="A401" s="4" t="s">
        <v>313</v>
      </c>
      <c r="B401" s="4" t="s">
        <v>13</v>
      </c>
      <c r="C401" s="4">
        <v>0.543</v>
      </c>
      <c r="D401" s="4">
        <v>0.072</v>
      </c>
      <c r="E401" s="4">
        <v>0.072</v>
      </c>
      <c r="F401" s="4">
        <v>0.543</v>
      </c>
      <c r="G401" s="4">
        <v>0.072</v>
      </c>
      <c r="H401" s="4">
        <v>0.072</v>
      </c>
      <c r="I401" s="4">
        <v>1.212</v>
      </c>
      <c r="J401" s="4">
        <v>0.035</v>
      </c>
      <c r="K401" s="6" t="b">
        <f t="shared" ref="K401:L401" si="391">FALSE()</f>
        <v>0</v>
      </c>
      <c r="L401" s="6" t="b">
        <f t="shared" si="391"/>
        <v>0</v>
      </c>
      <c r="M401" s="6" t="b">
        <f t="shared" ref="M401:M426" si="393">TRUE()</f>
        <v>1</v>
      </c>
      <c r="N401" s="4">
        <v>0.433728573381024</v>
      </c>
      <c r="O401" s="4">
        <v>0.433728573381024</v>
      </c>
      <c r="P401" s="4">
        <v>0.793897083660088</v>
      </c>
      <c r="Q401" s="4">
        <v>-0.294524237557049</v>
      </c>
      <c r="R401" s="4">
        <v>-0.307966681366929</v>
      </c>
      <c r="S401" s="4">
        <v>0.723569182994305</v>
      </c>
      <c r="T401" s="4">
        <f t="shared" si="3"/>
        <v>924</v>
      </c>
      <c r="U401" s="4">
        <f t="shared" si="4"/>
        <v>362</v>
      </c>
    </row>
    <row r="402" ht="15.75" customHeight="1">
      <c r="A402" s="4" t="s">
        <v>314</v>
      </c>
      <c r="B402" s="4" t="s">
        <v>13</v>
      </c>
      <c r="C402" s="4">
        <v>1.071</v>
      </c>
      <c r="D402" s="4">
        <v>0.07</v>
      </c>
      <c r="E402" s="4">
        <v>0.07</v>
      </c>
      <c r="F402" s="4">
        <v>1.071</v>
      </c>
      <c r="G402" s="4">
        <v>0.07</v>
      </c>
      <c r="H402" s="4">
        <v>0.07</v>
      </c>
      <c r="I402" s="4">
        <v>1.039</v>
      </c>
      <c r="J402" s="4">
        <v>0.0022</v>
      </c>
      <c r="K402" s="6" t="b">
        <f t="shared" ref="K402:L402" si="392">FALSE()</f>
        <v>0</v>
      </c>
      <c r="L402" s="6" t="b">
        <f t="shared" si="392"/>
        <v>0</v>
      </c>
      <c r="M402" s="6" t="b">
        <f t="shared" si="393"/>
        <v>1</v>
      </c>
      <c r="N402" s="4">
        <v>0.728031582413447</v>
      </c>
      <c r="O402" s="4">
        <v>0.728031582413447</v>
      </c>
      <c r="P402" s="4">
        <v>0.712459491592318</v>
      </c>
      <c r="Q402" s="4">
        <v>0.0297829811810263</v>
      </c>
      <c r="R402" s="4">
        <v>0.0270160873917461</v>
      </c>
      <c r="S402" s="4">
        <v>0.39988291648565</v>
      </c>
      <c r="T402" s="4">
        <f t="shared" si="3"/>
        <v>636</v>
      </c>
      <c r="U402" s="4">
        <f t="shared" si="4"/>
        <v>617</v>
      </c>
    </row>
    <row r="403" ht="15.75" customHeight="1">
      <c r="A403" s="4" t="s">
        <v>315</v>
      </c>
      <c r="B403" s="4" t="s">
        <v>13</v>
      </c>
      <c r="C403" s="4">
        <v>2.17</v>
      </c>
      <c r="D403" s="4">
        <v>0.15</v>
      </c>
      <c r="E403" s="4">
        <v>0.15</v>
      </c>
      <c r="I403" s="4">
        <v>1.105</v>
      </c>
      <c r="J403" s="4">
        <v>0.04</v>
      </c>
      <c r="K403" s="6" t="b">
        <f t="shared" ref="K403:L403" si="394">FALSE()</f>
        <v>0</v>
      </c>
      <c r="L403" s="6" t="b">
        <f t="shared" si="394"/>
        <v>0</v>
      </c>
      <c r="M403" s="6" t="b">
        <f t="shared" si="393"/>
        <v>1</v>
      </c>
      <c r="N403" s="4">
        <v>1.15373158788919</v>
      </c>
      <c r="P403" s="4">
        <v>0.744315467134345</v>
      </c>
      <c r="T403" s="4">
        <f t="shared" si="3"/>
        <v>418</v>
      </c>
      <c r="U403" s="4">
        <f t="shared" si="4"/>
        <v>509</v>
      </c>
    </row>
    <row r="404" ht="15.75" customHeight="1">
      <c r="A404" s="4" t="s">
        <v>316</v>
      </c>
      <c r="B404" s="4" t="s">
        <v>13</v>
      </c>
      <c r="C404" s="4">
        <v>3.27</v>
      </c>
      <c r="D404" s="4">
        <v>0.19</v>
      </c>
      <c r="E404" s="4">
        <v>0.19</v>
      </c>
      <c r="I404" s="4">
        <v>1.3</v>
      </c>
      <c r="J404" s="4">
        <v>0.15</v>
      </c>
      <c r="K404" s="6" t="b">
        <f t="shared" ref="K404:L404" si="395">FALSE()</f>
        <v>0</v>
      </c>
      <c r="L404" s="6" t="b">
        <f t="shared" si="395"/>
        <v>0</v>
      </c>
      <c r="M404" s="6" t="b">
        <f t="shared" si="393"/>
        <v>1</v>
      </c>
      <c r="N404" s="4">
        <v>1.45161382724053</v>
      </c>
      <c r="P404" s="4">
        <v>0.832909122935104</v>
      </c>
      <c r="T404" s="4">
        <f t="shared" si="3"/>
        <v>305</v>
      </c>
      <c r="U404" s="4">
        <f t="shared" si="4"/>
        <v>250</v>
      </c>
    </row>
    <row r="405" ht="15.75" customHeight="1">
      <c r="A405" s="4" t="s">
        <v>317</v>
      </c>
      <c r="B405" s="4" t="s">
        <v>13</v>
      </c>
      <c r="C405" s="4">
        <v>1.338</v>
      </c>
      <c r="D405" s="4">
        <v>0.065</v>
      </c>
      <c r="E405" s="4">
        <v>0.065</v>
      </c>
      <c r="F405" s="4">
        <v>1.338</v>
      </c>
      <c r="G405" s="4">
        <v>0.065</v>
      </c>
      <c r="H405" s="4">
        <v>0.065</v>
      </c>
      <c r="I405" s="4">
        <v>0.777</v>
      </c>
      <c r="J405" s="4">
        <v>0.056</v>
      </c>
      <c r="K405" s="6" t="b">
        <f t="shared" ref="K405:L405" si="396">FALSE()</f>
        <v>0</v>
      </c>
      <c r="L405" s="6" t="b">
        <f t="shared" si="396"/>
        <v>0</v>
      </c>
      <c r="M405" s="6" t="b">
        <f t="shared" si="393"/>
        <v>1</v>
      </c>
      <c r="N405" s="4">
        <v>0.849295863049877</v>
      </c>
      <c r="O405" s="4">
        <v>0.849295863049877</v>
      </c>
      <c r="P405" s="4">
        <v>0.574926549172514</v>
      </c>
      <c r="Q405" s="4">
        <v>0.193779245201985</v>
      </c>
      <c r="R405" s="4">
        <v>0.196410782957213</v>
      </c>
      <c r="S405" s="4">
        <v>-0.0903240304812153</v>
      </c>
      <c r="T405" s="4">
        <f t="shared" si="3"/>
        <v>551</v>
      </c>
      <c r="U405" s="4">
        <f t="shared" si="4"/>
        <v>852</v>
      </c>
    </row>
    <row r="406" ht="15.75" customHeight="1">
      <c r="A406" s="4" t="s">
        <v>318</v>
      </c>
      <c r="B406" s="4" t="s">
        <v>13</v>
      </c>
      <c r="C406" s="4">
        <v>1.98</v>
      </c>
      <c r="D406" s="4">
        <v>0.077</v>
      </c>
      <c r="E406" s="4">
        <v>0.077</v>
      </c>
      <c r="I406" s="4">
        <v>1.337</v>
      </c>
      <c r="J406" s="4">
        <v>0.049</v>
      </c>
      <c r="K406" s="6" t="b">
        <f t="shared" ref="K406:L406" si="397">FALSE()</f>
        <v>0</v>
      </c>
      <c r="L406" s="6" t="b">
        <f t="shared" si="397"/>
        <v>0</v>
      </c>
      <c r="M406" s="6" t="b">
        <f t="shared" si="393"/>
        <v>1</v>
      </c>
      <c r="N406" s="4">
        <v>1.09192330051731</v>
      </c>
      <c r="P406" s="4">
        <v>0.848868055556721</v>
      </c>
      <c r="T406" s="4">
        <f t="shared" si="3"/>
        <v>444</v>
      </c>
      <c r="U406" s="4">
        <f t="shared" si="4"/>
        <v>217</v>
      </c>
    </row>
    <row r="407" ht="15.75" customHeight="1">
      <c r="A407" s="4" t="s">
        <v>319</v>
      </c>
      <c r="B407" s="4" t="s">
        <v>13</v>
      </c>
      <c r="C407" s="4">
        <v>0.427</v>
      </c>
      <c r="D407" s="4">
        <v>0.071</v>
      </c>
      <c r="E407" s="4">
        <v>0.071</v>
      </c>
      <c r="I407" s="4">
        <v>1.66</v>
      </c>
      <c r="J407" s="4">
        <v>0.21</v>
      </c>
      <c r="K407" s="6" t="b">
        <f t="shared" ref="K407:L407" si="398">FALSE()</f>
        <v>0</v>
      </c>
      <c r="L407" s="6" t="b">
        <f t="shared" si="398"/>
        <v>0</v>
      </c>
      <c r="M407" s="6" t="b">
        <f t="shared" si="393"/>
        <v>1</v>
      </c>
      <c r="N407" s="4">
        <v>0.355574338494699</v>
      </c>
      <c r="P407" s="4">
        <v>0.978326122793608</v>
      </c>
      <c r="T407" s="4">
        <f t="shared" si="3"/>
        <v>998</v>
      </c>
      <c r="U407" s="4">
        <f t="shared" si="4"/>
        <v>58</v>
      </c>
    </row>
    <row r="408" ht="15.75" customHeight="1">
      <c r="A408" s="4" t="s">
        <v>320</v>
      </c>
      <c r="B408" s="4" t="s">
        <v>13</v>
      </c>
      <c r="C408" s="4">
        <v>1.855</v>
      </c>
      <c r="D408" s="4">
        <v>4.0E-6</v>
      </c>
      <c r="E408" s="4">
        <v>4.0E-6</v>
      </c>
      <c r="I408" s="4">
        <v>1.302</v>
      </c>
      <c r="J408" s="4">
        <v>0.058</v>
      </c>
      <c r="K408" s="6" t="b">
        <f t="shared" ref="K408:L408" si="399">FALSE()</f>
        <v>0</v>
      </c>
      <c r="L408" s="6" t="b">
        <f t="shared" si="399"/>
        <v>0</v>
      </c>
      <c r="M408" s="6" t="b">
        <f t="shared" si="393"/>
        <v>1</v>
      </c>
      <c r="N408" s="4">
        <v>1.04907184310797</v>
      </c>
      <c r="P408" s="4">
        <v>0.833778310299691</v>
      </c>
      <c r="T408" s="4">
        <f t="shared" si="3"/>
        <v>460</v>
      </c>
      <c r="U408" s="4">
        <f t="shared" si="4"/>
        <v>247</v>
      </c>
    </row>
    <row r="409" ht="15.75" customHeight="1">
      <c r="A409" s="4" t="s">
        <v>321</v>
      </c>
      <c r="B409" s="4" t="s">
        <v>13</v>
      </c>
      <c r="C409" s="4">
        <v>0.273</v>
      </c>
      <c r="D409" s="4">
        <v>0.035</v>
      </c>
      <c r="E409" s="4">
        <v>0.035</v>
      </c>
      <c r="I409" s="4">
        <v>0.776</v>
      </c>
      <c r="J409" s="4">
        <v>0.055</v>
      </c>
      <c r="K409" s="6" t="b">
        <f t="shared" ref="K409:L409" si="400">FALSE()</f>
        <v>0</v>
      </c>
      <c r="L409" s="6" t="b">
        <f t="shared" si="400"/>
        <v>0</v>
      </c>
      <c r="M409" s="6" t="b">
        <f t="shared" si="393"/>
        <v>1</v>
      </c>
      <c r="N409" s="4">
        <v>0.241376319575269</v>
      </c>
      <c r="P409" s="4">
        <v>0.574363644569978</v>
      </c>
      <c r="T409" s="4">
        <f t="shared" si="3"/>
        <v>1088</v>
      </c>
      <c r="U409" s="4">
        <f t="shared" si="4"/>
        <v>853</v>
      </c>
    </row>
    <row r="410" ht="15.75" customHeight="1">
      <c r="A410" s="4" t="s">
        <v>322</v>
      </c>
      <c r="B410" s="4" t="s">
        <v>13</v>
      </c>
      <c r="C410" s="4">
        <v>0.332</v>
      </c>
      <c r="D410" s="4">
        <v>0.03</v>
      </c>
      <c r="E410" s="4">
        <v>0.04</v>
      </c>
      <c r="I410" s="4">
        <v>1.123</v>
      </c>
      <c r="J410" s="4">
        <v>0.054</v>
      </c>
      <c r="K410" s="6" t="b">
        <f t="shared" ref="K410:L410" si="401">FALSE()</f>
        <v>0</v>
      </c>
      <c r="L410" s="6" t="b">
        <f t="shared" si="401"/>
        <v>0</v>
      </c>
      <c r="M410" s="6" t="b">
        <f t="shared" si="393"/>
        <v>1</v>
      </c>
      <c r="N410" s="4">
        <v>0.286681572118197</v>
      </c>
      <c r="P410" s="4">
        <v>0.752830182721119</v>
      </c>
      <c r="T410" s="4">
        <f t="shared" si="3"/>
        <v>1055</v>
      </c>
      <c r="U410" s="4">
        <f t="shared" si="4"/>
        <v>488</v>
      </c>
    </row>
    <row r="411" ht="15.75" customHeight="1">
      <c r="A411" s="4" t="s">
        <v>323</v>
      </c>
      <c r="B411" s="4" t="s">
        <v>13</v>
      </c>
      <c r="C411" s="4">
        <v>2.74</v>
      </c>
      <c r="D411" s="4">
        <v>0.11</v>
      </c>
      <c r="E411" s="4">
        <v>0.11</v>
      </c>
      <c r="I411" s="4">
        <v>0.953</v>
      </c>
      <c r="J411" s="4">
        <v>0.029</v>
      </c>
      <c r="K411" s="6" t="b">
        <f t="shared" ref="K411:L411" si="402">FALSE()</f>
        <v>0</v>
      </c>
      <c r="L411" s="6" t="b">
        <f t="shared" si="402"/>
        <v>0</v>
      </c>
      <c r="M411" s="6" t="b">
        <f t="shared" si="393"/>
        <v>1</v>
      </c>
      <c r="N411" s="4">
        <v>1.31908561142644</v>
      </c>
      <c r="P411" s="4">
        <v>0.669366651894542</v>
      </c>
      <c r="T411" s="4">
        <f t="shared" si="3"/>
        <v>349</v>
      </c>
      <c r="U411" s="4">
        <f t="shared" si="4"/>
        <v>724</v>
      </c>
    </row>
    <row r="412" ht="15.75" customHeight="1">
      <c r="A412" s="4" t="s">
        <v>324</v>
      </c>
      <c r="B412" s="4" t="s">
        <v>13</v>
      </c>
      <c r="C412" s="4">
        <v>1.47</v>
      </c>
      <c r="D412" s="4">
        <v>0.072</v>
      </c>
      <c r="E412" s="4">
        <v>0.072</v>
      </c>
      <c r="I412" s="4">
        <v>1.86</v>
      </c>
      <c r="J412" s="4">
        <v>0.4</v>
      </c>
      <c r="K412" s="6" t="b">
        <f t="shared" ref="K412:L412" si="403">FALSE()</f>
        <v>0</v>
      </c>
      <c r="L412" s="6" t="b">
        <f t="shared" si="403"/>
        <v>0</v>
      </c>
      <c r="M412" s="6" t="b">
        <f t="shared" si="393"/>
        <v>1</v>
      </c>
      <c r="N412" s="4">
        <v>0.904218150639886</v>
      </c>
      <c r="P412" s="4">
        <v>1.05082162483176</v>
      </c>
      <c r="T412" s="4">
        <f t="shared" si="3"/>
        <v>516</v>
      </c>
      <c r="U412" s="4">
        <f t="shared" si="4"/>
        <v>25</v>
      </c>
    </row>
    <row r="413" ht="15.75" customHeight="1">
      <c r="A413" s="4" t="s">
        <v>325</v>
      </c>
      <c r="B413" s="4" t="s">
        <v>13</v>
      </c>
      <c r="C413" s="4">
        <v>2.44</v>
      </c>
      <c r="D413" s="4">
        <v>0.18</v>
      </c>
      <c r="E413" s="4">
        <v>0.18</v>
      </c>
      <c r="I413" s="4">
        <v>1.487</v>
      </c>
      <c r="J413" s="4">
        <v>0.054</v>
      </c>
      <c r="K413" s="6" t="b">
        <f t="shared" ref="K413:L413" si="404">FALSE()</f>
        <v>0</v>
      </c>
      <c r="L413" s="6" t="b">
        <f t="shared" si="404"/>
        <v>0</v>
      </c>
      <c r="M413" s="6" t="b">
        <f t="shared" si="393"/>
        <v>1</v>
      </c>
      <c r="N413" s="4">
        <v>1.23547147138531</v>
      </c>
      <c r="P413" s="4">
        <v>0.911077164821268</v>
      </c>
      <c r="T413" s="4">
        <f t="shared" si="3"/>
        <v>376</v>
      </c>
      <c r="U413" s="4">
        <f t="shared" si="4"/>
        <v>127</v>
      </c>
    </row>
    <row r="414" ht="15.75" customHeight="1">
      <c r="A414" s="4" t="s">
        <v>326</v>
      </c>
      <c r="B414" s="4" t="s">
        <v>13</v>
      </c>
      <c r="C414" s="4">
        <v>0.613</v>
      </c>
      <c r="D414" s="4">
        <v>0.042</v>
      </c>
      <c r="E414" s="4">
        <v>0.042</v>
      </c>
      <c r="I414" s="4">
        <v>1.26</v>
      </c>
      <c r="J414" s="4">
        <v>0.1</v>
      </c>
      <c r="K414" s="6" t="b">
        <f t="shared" ref="K414:L414" si="405">FALSE()</f>
        <v>0</v>
      </c>
      <c r="L414" s="6" t="b">
        <f t="shared" si="405"/>
        <v>0</v>
      </c>
      <c r="M414" s="6" t="b">
        <f t="shared" si="393"/>
        <v>1</v>
      </c>
      <c r="N414" s="4">
        <v>0.478095799143072</v>
      </c>
      <c r="P414" s="4">
        <v>0.815364813284195</v>
      </c>
      <c r="T414" s="4">
        <f t="shared" si="3"/>
        <v>881</v>
      </c>
      <c r="U414" s="4">
        <f t="shared" si="4"/>
        <v>305</v>
      </c>
    </row>
    <row r="415" ht="15.75" customHeight="1">
      <c r="A415" s="4" t="s">
        <v>327</v>
      </c>
      <c r="B415" s="4" t="s">
        <v>13</v>
      </c>
      <c r="C415" s="4">
        <v>0.65</v>
      </c>
      <c r="D415" s="4">
        <v>0.076</v>
      </c>
      <c r="E415" s="4">
        <v>0.076</v>
      </c>
      <c r="I415" s="4">
        <v>1.75</v>
      </c>
      <c r="J415" s="4">
        <v>0.21</v>
      </c>
      <c r="K415" s="6" t="b">
        <f t="shared" ref="K415:L415" si="406">FALSE()</f>
        <v>0</v>
      </c>
      <c r="L415" s="6" t="b">
        <f t="shared" si="406"/>
        <v>0</v>
      </c>
      <c r="M415" s="6" t="b">
        <f t="shared" si="393"/>
        <v>1</v>
      </c>
      <c r="N415" s="4">
        <v>0.500775287912489</v>
      </c>
      <c r="P415" s="4">
        <v>1.01160091167848</v>
      </c>
      <c r="T415" s="4">
        <f t="shared" si="3"/>
        <v>855</v>
      </c>
      <c r="U415" s="4">
        <f t="shared" si="4"/>
        <v>38</v>
      </c>
    </row>
    <row r="416" ht="15.75" customHeight="1">
      <c r="A416" s="4" t="s">
        <v>329</v>
      </c>
      <c r="B416" s="4" t="s">
        <v>13</v>
      </c>
      <c r="C416" s="4">
        <v>0.53</v>
      </c>
      <c r="D416" s="4">
        <v>0.13</v>
      </c>
      <c r="E416" s="4">
        <v>0.13</v>
      </c>
      <c r="I416" s="4">
        <v>1.5</v>
      </c>
      <c r="J416" s="4">
        <v>0.11</v>
      </c>
      <c r="K416" s="6" t="b">
        <f t="shared" ref="K416:L416" si="407">FALSE()</f>
        <v>0</v>
      </c>
      <c r="L416" s="6" t="b">
        <f t="shared" si="407"/>
        <v>0</v>
      </c>
      <c r="M416" s="6" t="b">
        <f t="shared" si="393"/>
        <v>1</v>
      </c>
      <c r="N416" s="4">
        <v>0.425267735404344</v>
      </c>
      <c r="P416" s="4">
        <v>0.916290731874155</v>
      </c>
      <c r="T416" s="4">
        <f t="shared" si="3"/>
        <v>932</v>
      </c>
      <c r="U416" s="4">
        <f t="shared" si="4"/>
        <v>113</v>
      </c>
    </row>
    <row r="417" ht="15.75" customHeight="1">
      <c r="A417" s="4" t="s">
        <v>330</v>
      </c>
      <c r="B417" s="4" t="s">
        <v>13</v>
      </c>
      <c r="C417" s="4">
        <v>0.672</v>
      </c>
      <c r="D417" s="4">
        <v>0.087</v>
      </c>
      <c r="E417" s="4">
        <v>0.087</v>
      </c>
      <c r="I417" s="4">
        <v>1.194</v>
      </c>
      <c r="J417" s="4">
        <v>0.07</v>
      </c>
      <c r="K417" s="6" t="b">
        <f t="shared" ref="K417:L417" si="408">FALSE()</f>
        <v>0</v>
      </c>
      <c r="L417" s="6" t="b">
        <f t="shared" si="408"/>
        <v>0</v>
      </c>
      <c r="M417" s="6" t="b">
        <f t="shared" si="393"/>
        <v>1</v>
      </c>
      <c r="N417" s="4">
        <v>0.51402051466251</v>
      </c>
      <c r="P417" s="4">
        <v>0.785726361853039</v>
      </c>
      <c r="T417" s="4">
        <f t="shared" si="3"/>
        <v>835</v>
      </c>
      <c r="U417" s="4">
        <f t="shared" si="4"/>
        <v>394</v>
      </c>
    </row>
    <row r="418" ht="15.75" customHeight="1">
      <c r="A418" s="4" t="s">
        <v>331</v>
      </c>
      <c r="B418" s="4" t="s">
        <v>13</v>
      </c>
      <c r="C418" s="4">
        <v>0.653</v>
      </c>
      <c r="D418" s="4">
        <v>0.063</v>
      </c>
      <c r="E418" s="4">
        <v>0.063</v>
      </c>
      <c r="I418" s="4">
        <v>1.251</v>
      </c>
      <c r="J418" s="4">
        <v>0.061</v>
      </c>
      <c r="K418" s="6" t="b">
        <f t="shared" ref="K418:L418" si="409">FALSE()</f>
        <v>0</v>
      </c>
      <c r="L418" s="6" t="b">
        <f t="shared" si="409"/>
        <v>0</v>
      </c>
      <c r="M418" s="6" t="b">
        <f t="shared" si="393"/>
        <v>1</v>
      </c>
      <c r="N418" s="4">
        <v>0.502591818838887</v>
      </c>
      <c r="P418" s="4">
        <v>0.811374561924595</v>
      </c>
      <c r="T418" s="4">
        <f t="shared" si="3"/>
        <v>854</v>
      </c>
      <c r="U418" s="4">
        <f t="shared" si="4"/>
        <v>315</v>
      </c>
    </row>
    <row r="419" ht="15.75" customHeight="1">
      <c r="A419" s="4" t="s">
        <v>332</v>
      </c>
      <c r="B419" s="4" t="s">
        <v>13</v>
      </c>
      <c r="C419" s="4">
        <v>1.345</v>
      </c>
      <c r="D419" s="4">
        <v>0.15</v>
      </c>
      <c r="E419" s="4">
        <v>0.15</v>
      </c>
      <c r="I419" s="4">
        <v>1.168</v>
      </c>
      <c r="J419" s="4">
        <v>0.03</v>
      </c>
      <c r="K419" s="6" t="b">
        <f t="shared" ref="K419:L419" si="410">FALSE()</f>
        <v>0</v>
      </c>
      <c r="L419" s="6" t="b">
        <f t="shared" si="410"/>
        <v>0</v>
      </c>
      <c r="M419" s="6" t="b">
        <f t="shared" si="393"/>
        <v>1</v>
      </c>
      <c r="N419" s="4">
        <v>0.852285401898243</v>
      </c>
      <c r="P419" s="4">
        <v>0.7738050835774</v>
      </c>
      <c r="T419" s="4">
        <f t="shared" si="3"/>
        <v>548</v>
      </c>
      <c r="U419" s="4">
        <f t="shared" si="4"/>
        <v>430</v>
      </c>
    </row>
    <row r="420" ht="15.75" customHeight="1">
      <c r="A420" s="4" t="s">
        <v>333</v>
      </c>
      <c r="B420" s="4" t="s">
        <v>13</v>
      </c>
      <c r="C420" s="4">
        <v>0.706</v>
      </c>
      <c r="D420" s="4">
        <v>0.039</v>
      </c>
      <c r="E420" s="4">
        <v>0.039</v>
      </c>
      <c r="I420" s="4">
        <v>1.175</v>
      </c>
      <c r="J420" s="4">
        <v>0.052</v>
      </c>
      <c r="K420" s="6" t="b">
        <f t="shared" ref="K420:L420" si="411">FALSE()</f>
        <v>0</v>
      </c>
      <c r="L420" s="6" t="b">
        <f t="shared" si="411"/>
        <v>0</v>
      </c>
      <c r="M420" s="6" t="b">
        <f t="shared" si="393"/>
        <v>1</v>
      </c>
      <c r="N420" s="4">
        <v>0.534151449069487</v>
      </c>
      <c r="P420" s="4">
        <v>0.777028664540648</v>
      </c>
      <c r="T420" s="4">
        <f t="shared" si="3"/>
        <v>816</v>
      </c>
      <c r="U420" s="4">
        <f t="shared" si="4"/>
        <v>419</v>
      </c>
    </row>
    <row r="421" ht="15.75" customHeight="1">
      <c r="A421" s="4" t="s">
        <v>334</v>
      </c>
      <c r="B421" s="4" t="s">
        <v>13</v>
      </c>
      <c r="C421" s="4">
        <v>0.88</v>
      </c>
      <c r="D421" s="4">
        <v>0.12</v>
      </c>
      <c r="E421" s="4">
        <v>0.12</v>
      </c>
      <c r="I421" s="4">
        <v>1.64</v>
      </c>
      <c r="J421" s="4">
        <v>0.22</v>
      </c>
      <c r="K421" s="6" t="b">
        <f t="shared" ref="K421:L421" si="412">FALSE()</f>
        <v>0</v>
      </c>
      <c r="L421" s="6" t="b">
        <f t="shared" si="412"/>
        <v>0</v>
      </c>
      <c r="M421" s="6" t="b">
        <f t="shared" si="393"/>
        <v>1</v>
      </c>
      <c r="N421" s="4">
        <v>0.631271776841858</v>
      </c>
      <c r="P421" s="4">
        <v>0.970778917158225</v>
      </c>
      <c r="T421" s="4">
        <f t="shared" si="3"/>
        <v>723</v>
      </c>
      <c r="U421" s="4">
        <f t="shared" si="4"/>
        <v>64</v>
      </c>
    </row>
    <row r="422" ht="15.75" customHeight="1">
      <c r="A422" s="4" t="s">
        <v>335</v>
      </c>
      <c r="B422" s="4" t="s">
        <v>13</v>
      </c>
      <c r="C422" s="4">
        <v>0.92</v>
      </c>
      <c r="D422" s="4">
        <v>0.1</v>
      </c>
      <c r="E422" s="4">
        <v>0.1</v>
      </c>
      <c r="I422" s="4">
        <v>1.249</v>
      </c>
      <c r="J422" s="4">
        <v>0.096</v>
      </c>
      <c r="K422" s="6" t="b">
        <f t="shared" ref="K422:L422" si="413">FALSE()</f>
        <v>0</v>
      </c>
      <c r="L422" s="6" t="b">
        <f t="shared" si="413"/>
        <v>0</v>
      </c>
      <c r="M422" s="6" t="b">
        <f t="shared" si="393"/>
        <v>1</v>
      </c>
      <c r="N422" s="4">
        <v>0.65232518603969</v>
      </c>
      <c r="P422" s="4">
        <v>0.810485672977179</v>
      </c>
      <c r="T422" s="4">
        <f t="shared" si="3"/>
        <v>702</v>
      </c>
      <c r="U422" s="4">
        <f t="shared" si="4"/>
        <v>319</v>
      </c>
    </row>
    <row r="423" ht="15.75" customHeight="1">
      <c r="A423" s="4" t="s">
        <v>336</v>
      </c>
      <c r="B423" s="4" t="s">
        <v>13</v>
      </c>
      <c r="C423" s="4">
        <v>1.192</v>
      </c>
      <c r="D423" s="4">
        <v>0.053</v>
      </c>
      <c r="E423" s="4">
        <v>0.053</v>
      </c>
      <c r="I423" s="4">
        <v>1.23</v>
      </c>
      <c r="J423" s="4">
        <v>0.08</v>
      </c>
      <c r="K423" s="6" t="b">
        <f t="shared" ref="K423:L423" si="414">FALSE()</f>
        <v>0</v>
      </c>
      <c r="L423" s="6" t="b">
        <f t="shared" si="414"/>
        <v>0</v>
      </c>
      <c r="M423" s="6" t="b">
        <f t="shared" si="393"/>
        <v>1</v>
      </c>
      <c r="N423" s="4">
        <v>0.784814369085769</v>
      </c>
      <c r="P423" s="4">
        <v>0.802001585472027</v>
      </c>
      <c r="T423" s="4">
        <f t="shared" si="3"/>
        <v>590</v>
      </c>
      <c r="U423" s="4">
        <f t="shared" si="4"/>
        <v>338</v>
      </c>
    </row>
    <row r="424" ht="15.75" customHeight="1">
      <c r="A424" s="4" t="s">
        <v>337</v>
      </c>
      <c r="B424" s="4" t="s">
        <v>13</v>
      </c>
      <c r="C424" s="4">
        <v>0.941</v>
      </c>
      <c r="D424" s="4">
        <v>0.072</v>
      </c>
      <c r="E424" s="4">
        <v>0.072</v>
      </c>
      <c r="I424" s="4">
        <v>1.43</v>
      </c>
      <c r="J424" s="4">
        <v>0.19</v>
      </c>
      <c r="K424" s="6" t="b">
        <f t="shared" ref="K424:L424" si="415">FALSE()</f>
        <v>0</v>
      </c>
      <c r="L424" s="6" t="b">
        <f t="shared" si="415"/>
        <v>0</v>
      </c>
      <c r="M424" s="6" t="b">
        <f t="shared" si="393"/>
        <v>1</v>
      </c>
      <c r="N424" s="4">
        <v>0.663203304186873</v>
      </c>
      <c r="P424" s="4">
        <v>0.887891257352457</v>
      </c>
      <c r="T424" s="4">
        <f t="shared" si="3"/>
        <v>690</v>
      </c>
      <c r="U424" s="4">
        <f t="shared" si="4"/>
        <v>157</v>
      </c>
    </row>
    <row r="425" ht="15.75" customHeight="1">
      <c r="A425" s="4" t="s">
        <v>338</v>
      </c>
      <c r="B425" s="4" t="s">
        <v>13</v>
      </c>
      <c r="C425" s="4">
        <v>1.222</v>
      </c>
      <c r="D425" s="4">
        <v>0.078</v>
      </c>
      <c r="E425" s="4">
        <v>0.078</v>
      </c>
      <c r="I425" s="4">
        <v>1.464</v>
      </c>
      <c r="J425" s="4">
        <v>0.044</v>
      </c>
      <c r="K425" s="6" t="b">
        <f t="shared" ref="K425:L425" si="416">FALSE()</f>
        <v>0</v>
      </c>
      <c r="L425" s="6" t="b">
        <f t="shared" si="416"/>
        <v>0</v>
      </c>
      <c r="M425" s="6" t="b">
        <f t="shared" si="393"/>
        <v>1</v>
      </c>
      <c r="N425" s="4">
        <v>0.798407691217438</v>
      </c>
      <c r="P425" s="4">
        <v>0.901786045671273</v>
      </c>
      <c r="T425" s="4">
        <f t="shared" si="3"/>
        <v>581</v>
      </c>
      <c r="U425" s="4">
        <f t="shared" si="4"/>
        <v>135</v>
      </c>
    </row>
    <row r="426" ht="15.75" customHeight="1">
      <c r="A426" s="4" t="s">
        <v>339</v>
      </c>
      <c r="B426" s="4" t="s">
        <v>13</v>
      </c>
      <c r="C426" s="4">
        <v>2.79</v>
      </c>
      <c r="D426" s="4">
        <v>0.4</v>
      </c>
      <c r="E426" s="4">
        <v>0.4</v>
      </c>
      <c r="I426" s="4">
        <v>1.153</v>
      </c>
      <c r="J426" s="4">
        <v>0.034</v>
      </c>
      <c r="K426" s="6" t="b">
        <f t="shared" ref="K426:L426" si="417">FALSE()</f>
        <v>0</v>
      </c>
      <c r="L426" s="6" t="b">
        <f t="shared" si="417"/>
        <v>0</v>
      </c>
      <c r="M426" s="6" t="b">
        <f t="shared" si="393"/>
        <v>1</v>
      </c>
      <c r="N426" s="4">
        <v>1.33236601909434</v>
      </c>
      <c r="P426" s="4">
        <v>0.766862218382226</v>
      </c>
      <c r="T426" s="4">
        <f t="shared" si="3"/>
        <v>342</v>
      </c>
      <c r="U426" s="4">
        <f t="shared" si="4"/>
        <v>445</v>
      </c>
    </row>
    <row r="427" ht="15.75" customHeight="1">
      <c r="A427" s="4" t="s">
        <v>340</v>
      </c>
      <c r="B427" s="4" t="s">
        <v>13</v>
      </c>
      <c r="C427" s="4">
        <v>0.099</v>
      </c>
      <c r="D427" s="4">
        <v>0.042</v>
      </c>
      <c r="E427" s="4">
        <v>0.042</v>
      </c>
      <c r="I427" s="4">
        <v>0.606</v>
      </c>
      <c r="J427" s="4">
        <v>0.016</v>
      </c>
      <c r="K427" s="6" t="b">
        <f t="shared" ref="K427:M427" si="418">FALSE()</f>
        <v>0</v>
      </c>
      <c r="L427" s="6" t="b">
        <f t="shared" si="418"/>
        <v>0</v>
      </c>
      <c r="M427" s="6" t="b">
        <f t="shared" si="418"/>
        <v>0</v>
      </c>
      <c r="N427" s="4">
        <v>0.0944006754214843</v>
      </c>
      <c r="P427" s="4">
        <v>0.47374661552457</v>
      </c>
      <c r="T427" s="4">
        <f t="shared" si="3"/>
        <v>1263</v>
      </c>
      <c r="U427" s="4">
        <f t="shared" si="4"/>
        <v>946</v>
      </c>
    </row>
    <row r="428" ht="15.75" customHeight="1">
      <c r="A428" s="4" t="s">
        <v>341</v>
      </c>
      <c r="B428" s="4" t="s">
        <v>13</v>
      </c>
      <c r="C428" s="4">
        <v>0.074</v>
      </c>
      <c r="D428" s="4">
        <v>0.011</v>
      </c>
      <c r="E428" s="4">
        <v>0.011</v>
      </c>
      <c r="I428" s="4">
        <v>0.614</v>
      </c>
      <c r="J428" s="4">
        <v>0.017</v>
      </c>
      <c r="K428" s="6" t="b">
        <f t="shared" ref="K428:M428" si="419">FALSE()</f>
        <v>0</v>
      </c>
      <c r="L428" s="6" t="b">
        <f t="shared" si="419"/>
        <v>0</v>
      </c>
      <c r="M428" s="6" t="b">
        <f t="shared" si="419"/>
        <v>0</v>
      </c>
      <c r="N428" s="4">
        <v>0.0713899960866729</v>
      </c>
      <c r="P428" s="4">
        <v>0.478715569847757</v>
      </c>
      <c r="T428" s="4">
        <f t="shared" si="3"/>
        <v>1311</v>
      </c>
      <c r="U428" s="4">
        <f t="shared" si="4"/>
        <v>939</v>
      </c>
    </row>
    <row r="429" ht="15.75" customHeight="1">
      <c r="A429" s="4" t="s">
        <v>342</v>
      </c>
      <c r="B429" s="4" t="s">
        <v>13</v>
      </c>
      <c r="C429" s="4">
        <v>0.63</v>
      </c>
      <c r="D429" s="4">
        <v>0.13</v>
      </c>
      <c r="E429" s="4">
        <v>0.13</v>
      </c>
      <c r="I429" s="4">
        <v>1.57</v>
      </c>
      <c r="J429" s="4">
        <v>0.12</v>
      </c>
      <c r="K429" s="6" t="b">
        <f t="shared" ref="K429:L429" si="420">FALSE()</f>
        <v>0</v>
      </c>
      <c r="L429" s="6" t="b">
        <f t="shared" si="420"/>
        <v>0</v>
      </c>
      <c r="M429" s="6" t="b">
        <f t="shared" ref="M429:M451" si="422">TRUE()</f>
        <v>1</v>
      </c>
      <c r="N429" s="4">
        <v>0.488580014818671</v>
      </c>
      <c r="P429" s="4">
        <v>0.943905898907128</v>
      </c>
      <c r="T429" s="4">
        <f t="shared" si="3"/>
        <v>864</v>
      </c>
      <c r="U429" s="4">
        <f t="shared" si="4"/>
        <v>88</v>
      </c>
    </row>
    <row r="430" ht="15.75" customHeight="1">
      <c r="A430" s="4" t="s">
        <v>343</v>
      </c>
      <c r="B430" s="4" t="s">
        <v>13</v>
      </c>
      <c r="C430" s="4">
        <v>1.071</v>
      </c>
      <c r="D430" s="4">
        <v>0.136</v>
      </c>
      <c r="E430" s="4">
        <v>0.136</v>
      </c>
      <c r="I430" s="4">
        <v>1.381</v>
      </c>
      <c r="J430" s="4">
        <v>0.035</v>
      </c>
      <c r="K430" s="6" t="b">
        <f t="shared" ref="K430:L430" si="421">FALSE()</f>
        <v>0</v>
      </c>
      <c r="L430" s="6" t="b">
        <f t="shared" si="421"/>
        <v>0</v>
      </c>
      <c r="M430" s="6" t="b">
        <f t="shared" si="422"/>
        <v>1</v>
      </c>
      <c r="N430" s="4">
        <v>0.728031582413447</v>
      </c>
      <c r="P430" s="4">
        <v>0.867520567504726</v>
      </c>
      <c r="T430" s="4">
        <f t="shared" si="3"/>
        <v>637</v>
      </c>
      <c r="U430" s="4">
        <f t="shared" si="4"/>
        <v>192</v>
      </c>
    </row>
    <row r="431" ht="15.75" customHeight="1">
      <c r="A431" s="4" t="s">
        <v>344</v>
      </c>
      <c r="B431" s="4" t="s">
        <v>13</v>
      </c>
      <c r="C431" s="4">
        <v>1.59</v>
      </c>
      <c r="D431" s="4">
        <v>0.24</v>
      </c>
      <c r="E431" s="4">
        <v>0.24</v>
      </c>
      <c r="I431" s="4">
        <v>1.58</v>
      </c>
      <c r="J431" s="4">
        <v>0.12</v>
      </c>
      <c r="K431" s="6" t="b">
        <f t="shared" ref="K431:L431" si="423">FALSE()</f>
        <v>0</v>
      </c>
      <c r="L431" s="6" t="b">
        <f t="shared" si="423"/>
        <v>0</v>
      </c>
      <c r="M431" s="6" t="b">
        <f t="shared" si="422"/>
        <v>1</v>
      </c>
      <c r="N431" s="4">
        <v>0.951657875711446</v>
      </c>
      <c r="P431" s="4">
        <v>0.947789398933526</v>
      </c>
      <c r="T431" s="4">
        <f t="shared" si="3"/>
        <v>502</v>
      </c>
      <c r="U431" s="4">
        <f t="shared" si="4"/>
        <v>84</v>
      </c>
    </row>
    <row r="432" ht="15.75" customHeight="1">
      <c r="A432" s="4" t="s">
        <v>345</v>
      </c>
      <c r="B432" s="4" t="s">
        <v>13</v>
      </c>
      <c r="C432" s="4">
        <v>9.7</v>
      </c>
      <c r="D432" s="4">
        <v>1.6</v>
      </c>
      <c r="E432" s="4">
        <v>1.6</v>
      </c>
      <c r="I432" s="4">
        <v>1.33</v>
      </c>
      <c r="J432" s="4">
        <v>0.2</v>
      </c>
      <c r="K432" s="6" t="b">
        <f>TRUE()</f>
        <v>1</v>
      </c>
      <c r="L432" s="6" t="b">
        <f>FALSE()</f>
        <v>0</v>
      </c>
      <c r="M432" s="6" t="b">
        <f t="shared" si="422"/>
        <v>1</v>
      </c>
      <c r="N432" s="4">
        <v>2.37024374146786</v>
      </c>
      <c r="P432" s="4">
        <v>0.845868267577609</v>
      </c>
      <c r="T432" s="4">
        <f t="shared" si="3"/>
        <v>64</v>
      </c>
      <c r="U432" s="4">
        <f t="shared" si="4"/>
        <v>222</v>
      </c>
    </row>
    <row r="433" ht="15.75" customHeight="1">
      <c r="A433" s="4" t="s">
        <v>346</v>
      </c>
      <c r="B433" s="4" t="s">
        <v>13</v>
      </c>
      <c r="C433" s="4">
        <v>1.88</v>
      </c>
      <c r="D433" s="4">
        <v>0.15</v>
      </c>
      <c r="E433" s="4">
        <v>0.15</v>
      </c>
      <c r="I433" s="4">
        <v>1.4</v>
      </c>
      <c r="J433" s="4">
        <v>0.14</v>
      </c>
      <c r="K433" s="6" t="b">
        <f t="shared" ref="K433:L433" si="424">FALSE()</f>
        <v>0</v>
      </c>
      <c r="L433" s="6" t="b">
        <f t="shared" si="424"/>
        <v>0</v>
      </c>
      <c r="M433" s="6" t="b">
        <f t="shared" si="422"/>
        <v>1</v>
      </c>
      <c r="N433" s="4">
        <v>1.05779029414785</v>
      </c>
      <c r="P433" s="4">
        <v>0.8754687373539</v>
      </c>
      <c r="T433" s="4">
        <f t="shared" si="3"/>
        <v>457</v>
      </c>
      <c r="U433" s="4">
        <f t="shared" si="4"/>
        <v>176</v>
      </c>
    </row>
    <row r="434" ht="15.75" customHeight="1">
      <c r="A434" s="4" t="s">
        <v>347</v>
      </c>
      <c r="B434" s="4" t="s">
        <v>13</v>
      </c>
      <c r="C434" s="4">
        <v>0.261</v>
      </c>
      <c r="D434" s="4">
        <v>0.054</v>
      </c>
      <c r="E434" s="4">
        <v>0.054</v>
      </c>
      <c r="I434" s="4">
        <v>1.18</v>
      </c>
      <c r="J434" s="4">
        <v>0.05</v>
      </c>
      <c r="K434" s="6" t="b">
        <f t="shared" ref="K434:L434" si="425">FALSE()</f>
        <v>0</v>
      </c>
      <c r="L434" s="6" t="b">
        <f t="shared" si="425"/>
        <v>0</v>
      </c>
      <c r="M434" s="6" t="b">
        <f t="shared" si="422"/>
        <v>1</v>
      </c>
      <c r="N434" s="4">
        <v>0.231905056982783</v>
      </c>
      <c r="P434" s="4">
        <v>0.779324876800998</v>
      </c>
      <c r="T434" s="4">
        <f t="shared" si="3"/>
        <v>1098</v>
      </c>
      <c r="U434" s="4">
        <f t="shared" si="4"/>
        <v>413</v>
      </c>
    </row>
    <row r="435" ht="15.75" customHeight="1">
      <c r="A435" s="4" t="s">
        <v>348</v>
      </c>
      <c r="B435" s="4" t="s">
        <v>13</v>
      </c>
      <c r="C435" s="4">
        <v>0.56</v>
      </c>
      <c r="D435" s="4">
        <v>0.11</v>
      </c>
      <c r="E435" s="4">
        <v>0.11</v>
      </c>
      <c r="I435" s="4">
        <v>1.067</v>
      </c>
      <c r="J435" s="4">
        <v>0.071</v>
      </c>
      <c r="K435" s="6" t="b">
        <f t="shared" ref="K435:L435" si="426">FALSE()</f>
        <v>0</v>
      </c>
      <c r="L435" s="6" t="b">
        <f t="shared" si="426"/>
        <v>0</v>
      </c>
      <c r="M435" s="6" t="b">
        <f t="shared" si="422"/>
        <v>1</v>
      </c>
      <c r="N435" s="4">
        <v>0.444685821261446</v>
      </c>
      <c r="P435" s="4">
        <v>0.726098280699631</v>
      </c>
      <c r="T435" s="4">
        <f t="shared" si="3"/>
        <v>918</v>
      </c>
      <c r="U435" s="4">
        <f t="shared" si="4"/>
        <v>581</v>
      </c>
    </row>
    <row r="436" ht="15.75" customHeight="1">
      <c r="A436" s="4" t="s">
        <v>349</v>
      </c>
      <c r="B436" s="4" t="s">
        <v>13</v>
      </c>
      <c r="C436" s="4">
        <v>0.7</v>
      </c>
      <c r="D436" s="4">
        <v>0.15</v>
      </c>
      <c r="E436" s="4">
        <v>0.15</v>
      </c>
      <c r="I436" s="4">
        <v>1.286</v>
      </c>
      <c r="J436" s="4">
        <v>0.093</v>
      </c>
      <c r="K436" s="6" t="b">
        <f t="shared" ref="K436:L436" si="427">FALSE()</f>
        <v>0</v>
      </c>
      <c r="L436" s="6" t="b">
        <f t="shared" si="427"/>
        <v>0</v>
      </c>
      <c r="M436" s="6" t="b">
        <f t="shared" si="422"/>
        <v>1</v>
      </c>
      <c r="N436" s="4">
        <v>0.53062825106217</v>
      </c>
      <c r="P436" s="4">
        <v>0.826803565372619</v>
      </c>
      <c r="T436" s="4">
        <f t="shared" si="3"/>
        <v>817</v>
      </c>
      <c r="U436" s="4">
        <f t="shared" si="4"/>
        <v>273</v>
      </c>
    </row>
    <row r="437" ht="15.75" customHeight="1">
      <c r="A437" s="4" t="s">
        <v>350</v>
      </c>
      <c r="B437" s="4" t="s">
        <v>13</v>
      </c>
      <c r="C437" s="4">
        <v>0.173</v>
      </c>
      <c r="D437" s="4">
        <v>0.062</v>
      </c>
      <c r="E437" s="4">
        <v>0.062</v>
      </c>
      <c r="I437" s="4">
        <v>0.903</v>
      </c>
      <c r="J437" s="4">
        <v>0.045</v>
      </c>
      <c r="K437" s="6" t="b">
        <f t="shared" ref="K437:L437" si="428">FALSE()</f>
        <v>0</v>
      </c>
      <c r="L437" s="6" t="b">
        <f t="shared" si="428"/>
        <v>0</v>
      </c>
      <c r="M437" s="6" t="b">
        <f t="shared" si="422"/>
        <v>1</v>
      </c>
      <c r="N437" s="4">
        <v>0.159564569671338</v>
      </c>
      <c r="P437" s="4">
        <v>0.643431588314013</v>
      </c>
      <c r="T437" s="4">
        <f t="shared" si="3"/>
        <v>1182</v>
      </c>
      <c r="U437" s="4">
        <f t="shared" si="4"/>
        <v>761</v>
      </c>
    </row>
    <row r="438" ht="15.75" customHeight="1">
      <c r="A438" s="4" t="s">
        <v>351</v>
      </c>
      <c r="B438" s="4" t="s">
        <v>13</v>
      </c>
      <c r="C438" s="4">
        <v>0.369</v>
      </c>
      <c r="D438" s="4">
        <v>0.021</v>
      </c>
      <c r="E438" s="4">
        <v>0.031</v>
      </c>
      <c r="I438" s="4">
        <v>1.117</v>
      </c>
      <c r="J438" s="4">
        <v>0.014</v>
      </c>
      <c r="K438" s="6" t="b">
        <f t="shared" ref="K438:L438" si="429">FALSE()</f>
        <v>0</v>
      </c>
      <c r="L438" s="6" t="b">
        <f t="shared" si="429"/>
        <v>0</v>
      </c>
      <c r="M438" s="6" t="b">
        <f t="shared" si="422"/>
        <v>1</v>
      </c>
      <c r="N438" s="4">
        <v>0.314080546306312</v>
      </c>
      <c r="P438" s="4">
        <v>0.749999992152728</v>
      </c>
      <c r="T438" s="4">
        <f t="shared" si="3"/>
        <v>1041</v>
      </c>
      <c r="U438" s="4">
        <f t="shared" si="4"/>
        <v>494</v>
      </c>
    </row>
    <row r="439" ht="15.75" customHeight="1">
      <c r="A439" s="4" t="s">
        <v>352</v>
      </c>
      <c r="B439" s="4" t="s">
        <v>13</v>
      </c>
      <c r="C439" s="4">
        <v>0.243</v>
      </c>
      <c r="D439" s="4">
        <v>0.03</v>
      </c>
      <c r="E439" s="4">
        <v>0.022</v>
      </c>
      <c r="I439" s="4">
        <v>0.8</v>
      </c>
      <c r="J439" s="4">
        <v>0.015</v>
      </c>
      <c r="K439" s="6" t="b">
        <f t="shared" ref="K439:L439" si="430">FALSE()</f>
        <v>0</v>
      </c>
      <c r="L439" s="6" t="b">
        <f t="shared" si="430"/>
        <v>0</v>
      </c>
      <c r="M439" s="6" t="b">
        <f t="shared" si="422"/>
        <v>1</v>
      </c>
      <c r="N439" s="4">
        <v>0.217527812528574</v>
      </c>
      <c r="P439" s="4">
        <v>0.587786664902119</v>
      </c>
      <c r="T439" s="4">
        <f t="shared" si="3"/>
        <v>1117</v>
      </c>
      <c r="U439" s="4">
        <f t="shared" si="4"/>
        <v>839</v>
      </c>
    </row>
    <row r="440" ht="15.75" customHeight="1">
      <c r="A440" s="4" t="s">
        <v>353</v>
      </c>
      <c r="B440" s="4" t="s">
        <v>13</v>
      </c>
      <c r="C440" s="4">
        <v>0.353</v>
      </c>
      <c r="D440" s="4">
        <v>0.027</v>
      </c>
      <c r="E440" s="4">
        <v>0.038</v>
      </c>
      <c r="I440" s="4">
        <v>0.765</v>
      </c>
      <c r="J440" s="4">
        <v>0.013</v>
      </c>
      <c r="K440" s="6" t="b">
        <f t="shared" ref="K440:L440" si="431">FALSE()</f>
        <v>0</v>
      </c>
      <c r="L440" s="6" t="b">
        <f t="shared" si="431"/>
        <v>0</v>
      </c>
      <c r="M440" s="6" t="b">
        <f t="shared" si="422"/>
        <v>1</v>
      </c>
      <c r="N440" s="4">
        <v>0.302324349188651</v>
      </c>
      <c r="P440" s="4">
        <v>0.56815069038526</v>
      </c>
      <c r="T440" s="4">
        <f t="shared" si="3"/>
        <v>1047</v>
      </c>
      <c r="U440" s="4">
        <f t="shared" si="4"/>
        <v>865</v>
      </c>
    </row>
    <row r="441" ht="15.75" customHeight="1">
      <c r="A441" s="4" t="s">
        <v>354</v>
      </c>
      <c r="B441" s="4" t="s">
        <v>13</v>
      </c>
      <c r="C441" s="4">
        <v>1.323</v>
      </c>
      <c r="D441" s="4">
        <v>0.028</v>
      </c>
      <c r="E441" s="4">
        <v>0.028</v>
      </c>
      <c r="I441" s="4">
        <v>1.02</v>
      </c>
      <c r="J441" s="4">
        <v>0.037</v>
      </c>
      <c r="K441" s="6" t="b">
        <f t="shared" ref="K441:L441" si="432">FALSE()</f>
        <v>0</v>
      </c>
      <c r="L441" s="6" t="b">
        <f t="shared" si="432"/>
        <v>0</v>
      </c>
      <c r="M441" s="6" t="b">
        <f t="shared" si="422"/>
        <v>1</v>
      </c>
      <c r="N441" s="4">
        <v>0.842859453788272</v>
      </c>
      <c r="P441" s="4">
        <v>0.703097511413113</v>
      </c>
      <c r="T441" s="4">
        <f t="shared" si="3"/>
        <v>553</v>
      </c>
      <c r="U441" s="4">
        <f t="shared" si="4"/>
        <v>641</v>
      </c>
    </row>
    <row r="442" ht="15.75" customHeight="1">
      <c r="A442" s="4" t="s">
        <v>355</v>
      </c>
      <c r="B442" s="4" t="s">
        <v>13</v>
      </c>
      <c r="C442" s="4">
        <v>0.39</v>
      </c>
      <c r="D442" s="4">
        <v>0.1</v>
      </c>
      <c r="E442" s="4">
        <v>0.1</v>
      </c>
      <c r="I442" s="4">
        <v>1.13</v>
      </c>
      <c r="J442" s="4">
        <v>0.075</v>
      </c>
      <c r="K442" s="6" t="b">
        <f t="shared" ref="K442:L442" si="433">FALSE()</f>
        <v>0</v>
      </c>
      <c r="L442" s="6" t="b">
        <f t="shared" si="433"/>
        <v>0</v>
      </c>
      <c r="M442" s="6" t="b">
        <f t="shared" si="422"/>
        <v>1</v>
      </c>
      <c r="N442" s="4">
        <v>0.3293037471426</v>
      </c>
      <c r="P442" s="4">
        <v>0.756121979721334</v>
      </c>
      <c r="T442" s="4">
        <f t="shared" si="3"/>
        <v>1021</v>
      </c>
      <c r="U442" s="4">
        <f t="shared" si="4"/>
        <v>474</v>
      </c>
    </row>
    <row r="443" ht="15.75" customHeight="1">
      <c r="A443" s="4" t="s">
        <v>356</v>
      </c>
      <c r="B443" s="4" t="s">
        <v>13</v>
      </c>
      <c r="C443" s="4">
        <v>0.768</v>
      </c>
      <c r="D443" s="4">
        <v>0.045</v>
      </c>
      <c r="E443" s="4">
        <v>0.045</v>
      </c>
      <c r="I443" s="4">
        <v>1.41</v>
      </c>
      <c r="J443" s="4">
        <v>0.19</v>
      </c>
      <c r="K443" s="6" t="b">
        <f t="shared" ref="K443:L443" si="434">FALSE()</f>
        <v>0</v>
      </c>
      <c r="L443" s="6" t="b">
        <f t="shared" si="434"/>
        <v>0</v>
      </c>
      <c r="M443" s="6" t="b">
        <f t="shared" si="422"/>
        <v>1</v>
      </c>
      <c r="N443" s="4">
        <v>0.569848964215452</v>
      </c>
      <c r="P443" s="4">
        <v>0.879626747502564</v>
      </c>
      <c r="T443" s="4">
        <f t="shared" si="3"/>
        <v>786</v>
      </c>
      <c r="U443" s="4">
        <f t="shared" si="4"/>
        <v>172</v>
      </c>
    </row>
    <row r="444" ht="15.75" customHeight="1">
      <c r="A444" s="4" t="s">
        <v>357</v>
      </c>
      <c r="B444" s="4" t="s">
        <v>13</v>
      </c>
      <c r="C444" s="4">
        <v>2.24</v>
      </c>
      <c r="D444" s="4">
        <v>0.15</v>
      </c>
      <c r="E444" s="4">
        <v>0.15</v>
      </c>
      <c r="I444" s="4">
        <v>1.382</v>
      </c>
      <c r="J444" s="4">
        <v>0.086</v>
      </c>
      <c r="K444" s="6" t="b">
        <f t="shared" ref="K444:L444" si="435">FALSE()</f>
        <v>0</v>
      </c>
      <c r="L444" s="6" t="b">
        <f t="shared" si="435"/>
        <v>0</v>
      </c>
      <c r="M444" s="6" t="b">
        <f t="shared" si="422"/>
        <v>1</v>
      </c>
      <c r="N444" s="4">
        <v>1.17557332980424</v>
      </c>
      <c r="P444" s="4">
        <v>0.867940470933108</v>
      </c>
      <c r="T444" s="4">
        <f t="shared" si="3"/>
        <v>411</v>
      </c>
      <c r="U444" s="4">
        <f t="shared" si="4"/>
        <v>191</v>
      </c>
    </row>
    <row r="445" ht="15.75" customHeight="1">
      <c r="A445" s="4" t="s">
        <v>358</v>
      </c>
      <c r="B445" s="4" t="s">
        <v>13</v>
      </c>
      <c r="C445" s="4">
        <v>0.595</v>
      </c>
      <c r="D445" s="4">
        <v>0.089</v>
      </c>
      <c r="E445" s="4">
        <v>0.089</v>
      </c>
      <c r="I445" s="4">
        <v>1.34</v>
      </c>
      <c r="J445" s="4">
        <v>0.056</v>
      </c>
      <c r="K445" s="6" t="b">
        <f t="shared" ref="K445:L445" si="436">FALSE()</f>
        <v>0</v>
      </c>
      <c r="L445" s="6" t="b">
        <f t="shared" si="436"/>
        <v>0</v>
      </c>
      <c r="M445" s="6" t="b">
        <f t="shared" si="422"/>
        <v>1</v>
      </c>
      <c r="N445" s="4">
        <v>0.466873736236808</v>
      </c>
      <c r="P445" s="4">
        <v>0.85015092936961</v>
      </c>
      <c r="T445" s="4">
        <f t="shared" si="3"/>
        <v>890</v>
      </c>
      <c r="U445" s="4">
        <f t="shared" si="4"/>
        <v>214</v>
      </c>
    </row>
    <row r="446" ht="15.75" customHeight="1">
      <c r="A446" s="4" t="s">
        <v>359</v>
      </c>
      <c r="B446" s="4" t="s">
        <v>13</v>
      </c>
      <c r="C446" s="4">
        <v>0.753</v>
      </c>
      <c r="D446" s="4">
        <v>0.057</v>
      </c>
      <c r="E446" s="4">
        <v>0.057</v>
      </c>
      <c r="I446" s="4">
        <v>1.015</v>
      </c>
      <c r="J446" s="4">
        <v>0.024</v>
      </c>
      <c r="K446" s="6" t="b">
        <f t="shared" ref="K446:L446" si="437">FALSE()</f>
        <v>0</v>
      </c>
      <c r="L446" s="6" t="b">
        <f t="shared" si="437"/>
        <v>0</v>
      </c>
      <c r="M446" s="6" t="b">
        <f t="shared" si="422"/>
        <v>1</v>
      </c>
      <c r="N446" s="4">
        <v>0.561328605939098</v>
      </c>
      <c r="P446" s="4">
        <v>0.700619195398646</v>
      </c>
      <c r="T446" s="4">
        <f t="shared" si="3"/>
        <v>793</v>
      </c>
      <c r="U446" s="4">
        <f t="shared" si="4"/>
        <v>649</v>
      </c>
    </row>
    <row r="447" ht="15.75" customHeight="1">
      <c r="A447" s="4" t="s">
        <v>360</v>
      </c>
      <c r="B447" s="4" t="s">
        <v>13</v>
      </c>
      <c r="C447" s="4">
        <v>0.921</v>
      </c>
      <c r="D447" s="4">
        <v>0.76</v>
      </c>
      <c r="E447" s="4">
        <v>0.76</v>
      </c>
      <c r="I447" s="4">
        <v>1.251</v>
      </c>
      <c r="J447" s="4">
        <v>0.026</v>
      </c>
      <c r="K447" s="6" t="b">
        <f t="shared" ref="K447:L447" si="438">FALSE()</f>
        <v>0</v>
      </c>
      <c r="L447" s="6" t="b">
        <f t="shared" si="438"/>
        <v>0</v>
      </c>
      <c r="M447" s="6" t="b">
        <f t="shared" si="422"/>
        <v>1</v>
      </c>
      <c r="N447" s="4">
        <v>0.65284588378642</v>
      </c>
      <c r="P447" s="4">
        <v>0.811374561924595</v>
      </c>
      <c r="T447" s="4">
        <f t="shared" si="3"/>
        <v>701</v>
      </c>
      <c r="U447" s="4">
        <f t="shared" si="4"/>
        <v>316</v>
      </c>
    </row>
    <row r="448" ht="15.75" customHeight="1">
      <c r="A448" s="4" t="s">
        <v>361</v>
      </c>
      <c r="B448" s="4" t="s">
        <v>13</v>
      </c>
      <c r="C448" s="4">
        <v>0.602</v>
      </c>
      <c r="D448" s="4">
        <v>0.035</v>
      </c>
      <c r="E448" s="4">
        <v>0.035</v>
      </c>
      <c r="I448" s="4">
        <v>1.688</v>
      </c>
      <c r="J448" s="4">
        <v>0.055</v>
      </c>
      <c r="K448" s="6" t="b">
        <f t="shared" ref="K448:L448" si="439">FALSE()</f>
        <v>0</v>
      </c>
      <c r="L448" s="6" t="b">
        <f t="shared" si="439"/>
        <v>0</v>
      </c>
      <c r="M448" s="6" t="b">
        <f t="shared" si="422"/>
        <v>1</v>
      </c>
      <c r="N448" s="4">
        <v>0.471252848646167</v>
      </c>
      <c r="P448" s="4">
        <v>0.988797422660903</v>
      </c>
      <c r="T448" s="4">
        <f t="shared" si="3"/>
        <v>885</v>
      </c>
      <c r="U448" s="4">
        <f t="shared" si="4"/>
        <v>50</v>
      </c>
    </row>
    <row r="449" ht="15.75" customHeight="1">
      <c r="A449" s="4" t="s">
        <v>362</v>
      </c>
      <c r="B449" s="4" t="s">
        <v>13</v>
      </c>
      <c r="C449" s="4">
        <v>3.147</v>
      </c>
      <c r="D449" s="4">
        <v>0.073</v>
      </c>
      <c r="E449" s="4">
        <v>0.073</v>
      </c>
      <c r="I449" s="4">
        <v>1.13</v>
      </c>
      <c r="J449" s="4">
        <v>0.028</v>
      </c>
      <c r="K449" s="6" t="b">
        <f t="shared" ref="K449:L449" si="440">FALSE()</f>
        <v>0</v>
      </c>
      <c r="L449" s="6" t="b">
        <f t="shared" si="440"/>
        <v>0</v>
      </c>
      <c r="M449" s="6" t="b">
        <f t="shared" si="422"/>
        <v>1</v>
      </c>
      <c r="N449" s="4">
        <v>1.42238518126424</v>
      </c>
      <c r="P449" s="4">
        <v>0.756121979721334</v>
      </c>
      <c r="T449" s="4">
        <f t="shared" si="3"/>
        <v>313</v>
      </c>
      <c r="U449" s="4">
        <f t="shared" si="4"/>
        <v>475</v>
      </c>
    </row>
    <row r="450" ht="15.75" customHeight="1">
      <c r="A450" s="4" t="s">
        <v>363</v>
      </c>
      <c r="B450" s="4" t="s">
        <v>13</v>
      </c>
      <c r="C450" s="4">
        <v>1.03</v>
      </c>
      <c r="D450" s="4">
        <v>0.23</v>
      </c>
      <c r="E450" s="4">
        <v>0.23</v>
      </c>
      <c r="I450" s="4">
        <v>1.095</v>
      </c>
      <c r="J450" s="4">
        <v>0.062</v>
      </c>
      <c r="K450" s="6" t="b">
        <f t="shared" ref="K450:L450" si="441">FALSE()</f>
        <v>0</v>
      </c>
      <c r="L450" s="6" t="b">
        <f t="shared" si="441"/>
        <v>0</v>
      </c>
      <c r="M450" s="6" t="b">
        <f t="shared" si="422"/>
        <v>1</v>
      </c>
      <c r="N450" s="4">
        <v>0.708035793053696</v>
      </c>
      <c r="P450" s="4">
        <v>0.739553553374101</v>
      </c>
      <c r="T450" s="4">
        <f t="shared" si="3"/>
        <v>651</v>
      </c>
      <c r="U450" s="4">
        <f t="shared" si="4"/>
        <v>525</v>
      </c>
    </row>
    <row r="451" ht="15.75" customHeight="1">
      <c r="A451" s="4" t="s">
        <v>364</v>
      </c>
      <c r="B451" s="4" t="s">
        <v>13</v>
      </c>
      <c r="C451" s="4">
        <v>0.806</v>
      </c>
      <c r="D451" s="4">
        <v>0.069</v>
      </c>
      <c r="E451" s="4">
        <v>0.069</v>
      </c>
      <c r="I451" s="4">
        <v>1.126</v>
      </c>
      <c r="J451" s="4">
        <v>0.077</v>
      </c>
      <c r="K451" s="6" t="b">
        <f t="shared" ref="K451:L451" si="442">FALSE()</f>
        <v>0</v>
      </c>
      <c r="L451" s="6" t="b">
        <f t="shared" si="442"/>
        <v>0</v>
      </c>
      <c r="M451" s="6" t="b">
        <f t="shared" si="422"/>
        <v>1</v>
      </c>
      <c r="N451" s="4">
        <v>0.591114454994794</v>
      </c>
      <c r="P451" s="4">
        <v>0.754242279919756</v>
      </c>
      <c r="T451" s="4">
        <f t="shared" si="3"/>
        <v>763</v>
      </c>
      <c r="U451" s="4">
        <f t="shared" si="4"/>
        <v>484</v>
      </c>
    </row>
    <row r="452" ht="15.75" customHeight="1">
      <c r="A452" s="4" t="s">
        <v>1918</v>
      </c>
      <c r="B452" s="4" t="s">
        <v>13</v>
      </c>
      <c r="D452" s="4">
        <v>0.9</v>
      </c>
      <c r="E452" s="4">
        <v>0.9</v>
      </c>
      <c r="F452" s="4">
        <v>12.7</v>
      </c>
      <c r="G452" s="4">
        <v>0.9</v>
      </c>
      <c r="H452" s="4">
        <v>0.9</v>
      </c>
      <c r="K452" s="6" t="b">
        <f t="shared" ref="K452:K459" si="443">FALSE()</f>
        <v>0</v>
      </c>
      <c r="L452" s="6" t="b">
        <f>TRUE()</f>
        <v>1</v>
      </c>
      <c r="M452" s="6" t="b">
        <f>FALSE()</f>
        <v>0</v>
      </c>
      <c r="O452" s="4">
        <v>2.61739583283408</v>
      </c>
      <c r="T452" s="4" t="str">
        <f t="shared" si="3"/>
        <v/>
      </c>
      <c r="U452" s="4" t="str">
        <f t="shared" si="4"/>
        <v/>
      </c>
    </row>
    <row r="453" ht="15.75" customHeight="1">
      <c r="A453" s="4" t="s">
        <v>365</v>
      </c>
      <c r="B453" s="4" t="s">
        <v>13</v>
      </c>
      <c r="C453" s="4">
        <v>0.237</v>
      </c>
      <c r="D453" s="4">
        <v>0.012</v>
      </c>
      <c r="E453" s="4">
        <v>0.012</v>
      </c>
      <c r="I453" s="4">
        <v>0.912</v>
      </c>
      <c r="J453" s="4">
        <v>0.025</v>
      </c>
      <c r="K453" s="6" t="b">
        <f t="shared" si="443"/>
        <v>0</v>
      </c>
      <c r="L453" s="6" t="b">
        <f t="shared" ref="L453:L460" si="444">FALSE()</f>
        <v>0</v>
      </c>
      <c r="M453" s="6" t="b">
        <f t="shared" ref="M453:M466" si="445">TRUE()</f>
        <v>1</v>
      </c>
      <c r="N453" s="4">
        <v>0.212689093410351</v>
      </c>
      <c r="P453" s="4">
        <v>0.64814981462921</v>
      </c>
      <c r="T453" s="4">
        <f t="shared" si="3"/>
        <v>1124</v>
      </c>
      <c r="U453" s="4">
        <f t="shared" si="4"/>
        <v>756</v>
      </c>
    </row>
    <row r="454" ht="15.75" customHeight="1">
      <c r="A454" s="4" t="s">
        <v>366</v>
      </c>
      <c r="B454" s="4" t="s">
        <v>13</v>
      </c>
      <c r="C454" s="4">
        <v>0.662</v>
      </c>
      <c r="D454" s="4">
        <v>0.055</v>
      </c>
      <c r="E454" s="4">
        <v>0.055</v>
      </c>
      <c r="I454" s="4">
        <v>1.153</v>
      </c>
      <c r="J454" s="4">
        <v>0.053</v>
      </c>
      <c r="K454" s="6" t="b">
        <f t="shared" si="443"/>
        <v>0</v>
      </c>
      <c r="L454" s="6" t="b">
        <f t="shared" si="444"/>
        <v>0</v>
      </c>
      <c r="M454" s="6" t="b">
        <f t="shared" si="445"/>
        <v>1</v>
      </c>
      <c r="N454" s="4">
        <v>0.508021696433257</v>
      </c>
      <c r="P454" s="4">
        <v>0.766862218382226</v>
      </c>
      <c r="T454" s="4">
        <f t="shared" si="3"/>
        <v>847</v>
      </c>
      <c r="U454" s="4">
        <f t="shared" si="4"/>
        <v>446</v>
      </c>
    </row>
    <row r="455" ht="15.75" customHeight="1">
      <c r="A455" s="4" t="s">
        <v>367</v>
      </c>
      <c r="B455" s="4" t="s">
        <v>13</v>
      </c>
      <c r="C455" s="4">
        <v>3.4</v>
      </c>
      <c r="D455" s="4">
        <v>0.14</v>
      </c>
      <c r="E455" s="4">
        <v>0.14</v>
      </c>
      <c r="I455" s="4">
        <v>1.195</v>
      </c>
      <c r="J455" s="4">
        <v>0.067</v>
      </c>
      <c r="K455" s="6" t="b">
        <f t="shared" si="443"/>
        <v>0</v>
      </c>
      <c r="L455" s="6" t="b">
        <f t="shared" si="444"/>
        <v>0</v>
      </c>
      <c r="M455" s="6" t="b">
        <f t="shared" si="445"/>
        <v>1</v>
      </c>
      <c r="N455" s="4">
        <v>1.48160454092422</v>
      </c>
      <c r="P455" s="4">
        <v>0.786182046527135</v>
      </c>
      <c r="T455" s="4">
        <f t="shared" si="3"/>
        <v>298</v>
      </c>
      <c r="U455" s="4">
        <f t="shared" si="4"/>
        <v>392</v>
      </c>
    </row>
    <row r="456" ht="15.75" customHeight="1">
      <c r="A456" s="4" t="s">
        <v>368</v>
      </c>
      <c r="B456" s="4" t="s">
        <v>13</v>
      </c>
      <c r="C456" s="4">
        <v>0.179</v>
      </c>
      <c r="D456" s="4">
        <v>0.179</v>
      </c>
      <c r="E456" s="4">
        <v>0.0</v>
      </c>
      <c r="I456" s="4">
        <v>1.055</v>
      </c>
      <c r="J456" s="4">
        <v>0.025</v>
      </c>
      <c r="K456" s="6" t="b">
        <f t="shared" si="443"/>
        <v>0</v>
      </c>
      <c r="L456" s="6" t="b">
        <f t="shared" si="444"/>
        <v>0</v>
      </c>
      <c r="M456" s="6" t="b">
        <f t="shared" si="445"/>
        <v>1</v>
      </c>
      <c r="N456" s="4">
        <v>0.164666621555234</v>
      </c>
      <c r="P456" s="4">
        <v>0.720275847948198</v>
      </c>
      <c r="T456" s="4">
        <f t="shared" si="3"/>
        <v>1172</v>
      </c>
      <c r="U456" s="4">
        <f t="shared" si="4"/>
        <v>600</v>
      </c>
    </row>
    <row r="457" ht="15.75" customHeight="1">
      <c r="A457" s="4" t="s">
        <v>369</v>
      </c>
      <c r="B457" s="4" t="s">
        <v>13</v>
      </c>
      <c r="C457" s="4">
        <v>0.96</v>
      </c>
      <c r="D457" s="4">
        <v>0.12</v>
      </c>
      <c r="E457" s="4">
        <v>0.12</v>
      </c>
      <c r="I457" s="4">
        <v>1.207</v>
      </c>
      <c r="J457" s="4">
        <v>0.039</v>
      </c>
      <c r="K457" s="6" t="b">
        <f t="shared" si="443"/>
        <v>0</v>
      </c>
      <c r="L457" s="6" t="b">
        <f t="shared" si="444"/>
        <v>0</v>
      </c>
      <c r="M457" s="6" t="b">
        <f t="shared" si="445"/>
        <v>1</v>
      </c>
      <c r="N457" s="4">
        <v>0.672944473242426</v>
      </c>
      <c r="P457" s="4">
        <v>0.791634127274599</v>
      </c>
      <c r="T457" s="4">
        <f t="shared" si="3"/>
        <v>679</v>
      </c>
      <c r="U457" s="4">
        <f t="shared" si="4"/>
        <v>372</v>
      </c>
    </row>
    <row r="458" ht="15.75" customHeight="1">
      <c r="A458" s="4" t="s">
        <v>370</v>
      </c>
      <c r="B458" s="4" t="s">
        <v>13</v>
      </c>
      <c r="C458" s="4">
        <v>0.96</v>
      </c>
      <c r="D458" s="4">
        <v>0.2</v>
      </c>
      <c r="E458" s="4">
        <v>0.2</v>
      </c>
      <c r="I458" s="4">
        <v>1.679</v>
      </c>
      <c r="J458" s="4">
        <v>0.081</v>
      </c>
      <c r="K458" s="6" t="b">
        <f t="shared" si="443"/>
        <v>0</v>
      </c>
      <c r="L458" s="6" t="b">
        <f t="shared" si="444"/>
        <v>0</v>
      </c>
      <c r="M458" s="6" t="b">
        <f t="shared" si="445"/>
        <v>1</v>
      </c>
      <c r="N458" s="4">
        <v>0.672944473242426</v>
      </c>
      <c r="P458" s="4">
        <v>0.985443590562472</v>
      </c>
      <c r="T458" s="4">
        <f t="shared" si="3"/>
        <v>680</v>
      </c>
      <c r="U458" s="4">
        <f t="shared" si="4"/>
        <v>54</v>
      </c>
    </row>
    <row r="459" ht="15.75" customHeight="1">
      <c r="A459" s="4" t="s">
        <v>371</v>
      </c>
      <c r="B459" s="4" t="s">
        <v>13</v>
      </c>
      <c r="C459" s="4">
        <v>0.821</v>
      </c>
      <c r="D459" s="4">
        <v>0.083</v>
      </c>
      <c r="E459" s="4">
        <v>0.083</v>
      </c>
      <c r="I459" s="4">
        <v>1.501</v>
      </c>
      <c r="J459" s="4">
        <v>0.05</v>
      </c>
      <c r="K459" s="6" t="b">
        <f t="shared" si="443"/>
        <v>0</v>
      </c>
      <c r="L459" s="6" t="b">
        <f t="shared" si="444"/>
        <v>0</v>
      </c>
      <c r="M459" s="6" t="b">
        <f t="shared" si="445"/>
        <v>1</v>
      </c>
      <c r="N459" s="4">
        <v>0.599385800745471</v>
      </c>
      <c r="P459" s="4">
        <v>0.916690651895482</v>
      </c>
      <c r="T459" s="4">
        <f t="shared" si="3"/>
        <v>755</v>
      </c>
      <c r="U459" s="4">
        <f t="shared" si="4"/>
        <v>112</v>
      </c>
    </row>
    <row r="460" ht="15.75" customHeight="1">
      <c r="A460" s="4" t="s">
        <v>372</v>
      </c>
      <c r="B460" s="4" t="s">
        <v>13</v>
      </c>
      <c r="C460" s="4">
        <v>5.33</v>
      </c>
      <c r="D460" s="4">
        <v>0.68</v>
      </c>
      <c r="E460" s="4">
        <v>0.68</v>
      </c>
      <c r="I460" s="4">
        <v>1.411</v>
      </c>
      <c r="J460" s="4">
        <v>0.084</v>
      </c>
      <c r="K460" s="6" t="b">
        <f>TRUE()</f>
        <v>1</v>
      </c>
      <c r="L460" s="6" t="b">
        <f t="shared" si="444"/>
        <v>0</v>
      </c>
      <c r="M460" s="6" t="b">
        <f t="shared" si="445"/>
        <v>1</v>
      </c>
      <c r="N460" s="4">
        <v>1.84530023615609</v>
      </c>
      <c r="P460" s="4">
        <v>0.880041599199034</v>
      </c>
      <c r="T460" s="4">
        <f t="shared" si="3"/>
        <v>197</v>
      </c>
      <c r="U460" s="4">
        <f t="shared" si="4"/>
        <v>169</v>
      </c>
    </row>
    <row r="461" ht="15.75" customHeight="1">
      <c r="A461" s="4" t="s">
        <v>373</v>
      </c>
      <c r="B461" s="4" t="s">
        <v>13</v>
      </c>
      <c r="C461" s="4">
        <v>1.45</v>
      </c>
      <c r="D461" s="4">
        <v>0.12</v>
      </c>
      <c r="E461" s="4">
        <v>0.12</v>
      </c>
      <c r="I461" s="4">
        <v>1.685</v>
      </c>
      <c r="J461" s="4">
        <v>0.047</v>
      </c>
      <c r="K461" s="6" t="b">
        <f t="shared" ref="K461:L461" si="446">FALSE()</f>
        <v>0</v>
      </c>
      <c r="L461" s="6" t="b">
        <f t="shared" si="446"/>
        <v>0</v>
      </c>
      <c r="M461" s="6" t="b">
        <f t="shared" si="445"/>
        <v>1</v>
      </c>
      <c r="N461" s="4">
        <v>0.896088024556636</v>
      </c>
      <c r="P461" s="4">
        <v>0.987680727960828</v>
      </c>
      <c r="T461" s="4">
        <f t="shared" si="3"/>
        <v>523</v>
      </c>
      <c r="U461" s="4">
        <f t="shared" si="4"/>
        <v>52</v>
      </c>
    </row>
    <row r="462" ht="15.75" customHeight="1">
      <c r="A462" s="4" t="s">
        <v>374</v>
      </c>
      <c r="B462" s="4" t="s">
        <v>13</v>
      </c>
      <c r="C462" s="4">
        <v>1.29</v>
      </c>
      <c r="D462" s="4">
        <v>0.0592</v>
      </c>
      <c r="E462" s="4">
        <v>0.0592</v>
      </c>
      <c r="I462" s="4">
        <v>1.2321</v>
      </c>
      <c r="J462" s="4">
        <v>0.0294</v>
      </c>
      <c r="K462" s="6" t="b">
        <f t="shared" ref="K462:L462" si="447">FALSE()</f>
        <v>0</v>
      </c>
      <c r="L462" s="6" t="b">
        <f t="shared" si="447"/>
        <v>0</v>
      </c>
      <c r="M462" s="6" t="b">
        <f t="shared" si="445"/>
        <v>1</v>
      </c>
      <c r="N462" s="4">
        <v>0.828551817566148</v>
      </c>
      <c r="P462" s="4">
        <v>0.80294284638283</v>
      </c>
      <c r="T462" s="4">
        <f t="shared" si="3"/>
        <v>564</v>
      </c>
      <c r="U462" s="4">
        <f t="shared" si="4"/>
        <v>336</v>
      </c>
    </row>
    <row r="463" ht="15.75" customHeight="1">
      <c r="A463" s="4" t="s">
        <v>375</v>
      </c>
      <c r="B463" s="4" t="s">
        <v>13</v>
      </c>
      <c r="C463" s="4">
        <v>0.577</v>
      </c>
      <c r="D463" s="4">
        <v>0.577</v>
      </c>
      <c r="E463" s="4">
        <v>0.0</v>
      </c>
      <c r="I463" s="4">
        <v>0.945</v>
      </c>
      <c r="J463" s="4">
        <v>0.022</v>
      </c>
      <c r="K463" s="6" t="b">
        <f t="shared" ref="K463:L463" si="448">FALSE()</f>
        <v>0</v>
      </c>
      <c r="L463" s="6" t="b">
        <f t="shared" si="448"/>
        <v>0</v>
      </c>
      <c r="M463" s="6" t="b">
        <f t="shared" si="445"/>
        <v>1</v>
      </c>
      <c r="N463" s="4">
        <v>0.455524307980901</v>
      </c>
      <c r="P463" s="4">
        <v>0.66526197707041</v>
      </c>
      <c r="T463" s="4">
        <f t="shared" si="3"/>
        <v>906</v>
      </c>
      <c r="U463" s="4">
        <f t="shared" si="4"/>
        <v>732</v>
      </c>
    </row>
    <row r="464" ht="15.75" customHeight="1">
      <c r="A464" s="4" t="s">
        <v>376</v>
      </c>
      <c r="B464" s="4" t="s">
        <v>13</v>
      </c>
      <c r="C464" s="4">
        <v>0.319</v>
      </c>
      <c r="D464" s="4">
        <v>0.07</v>
      </c>
      <c r="E464" s="4">
        <v>0.07</v>
      </c>
      <c r="I464" s="4">
        <v>0.998</v>
      </c>
      <c r="J464" s="4">
        <v>0.019</v>
      </c>
      <c r="K464" s="6" t="b">
        <f t="shared" ref="K464:L464" si="449">FALSE()</f>
        <v>0</v>
      </c>
      <c r="L464" s="6" t="b">
        <f t="shared" si="449"/>
        <v>0</v>
      </c>
      <c r="M464" s="6" t="b">
        <f t="shared" si="445"/>
        <v>1</v>
      </c>
      <c r="N464" s="4">
        <v>0.276873873735178</v>
      </c>
      <c r="P464" s="4">
        <v>0.692146680226362</v>
      </c>
      <c r="T464" s="4">
        <f t="shared" si="3"/>
        <v>1058</v>
      </c>
      <c r="U464" s="4">
        <f t="shared" si="4"/>
        <v>679</v>
      </c>
    </row>
    <row r="465" ht="15.75" customHeight="1">
      <c r="A465" s="4" t="s">
        <v>165</v>
      </c>
      <c r="B465" s="4" t="s">
        <v>13</v>
      </c>
      <c r="C465" s="4">
        <v>12.9</v>
      </c>
      <c r="D465" s="4">
        <v>1.6</v>
      </c>
      <c r="E465" s="4">
        <v>1.8</v>
      </c>
      <c r="I465" s="4">
        <v>1.384</v>
      </c>
      <c r="J465" s="4">
        <v>0.074</v>
      </c>
      <c r="K465" s="6" t="b">
        <f>TRUE()</f>
        <v>1</v>
      </c>
      <c r="L465" s="6" t="b">
        <f>FALSE()</f>
        <v>0</v>
      </c>
      <c r="M465" s="6" t="b">
        <f t="shared" si="445"/>
        <v>1</v>
      </c>
      <c r="N465" s="4">
        <v>2.63188884013665</v>
      </c>
      <c r="P465" s="4">
        <v>0.868779749203103</v>
      </c>
      <c r="T465" s="4">
        <f t="shared" si="3"/>
        <v>2</v>
      </c>
      <c r="U465" s="4">
        <f t="shared" si="4"/>
        <v>190</v>
      </c>
    </row>
    <row r="466" ht="15.75" customHeight="1">
      <c r="A466" s="4" t="s">
        <v>377</v>
      </c>
      <c r="B466" s="4" t="s">
        <v>13</v>
      </c>
      <c r="C466" s="4">
        <v>0.45</v>
      </c>
      <c r="D466" s="4">
        <v>0.24</v>
      </c>
      <c r="E466" s="4">
        <v>0.24</v>
      </c>
      <c r="I466" s="4">
        <v>1.08</v>
      </c>
      <c r="J466" s="4">
        <v>0.016</v>
      </c>
      <c r="K466" s="6" t="b">
        <f t="shared" ref="K466:L466" si="450">FALSE()</f>
        <v>0</v>
      </c>
      <c r="L466" s="6" t="b">
        <f t="shared" si="450"/>
        <v>0</v>
      </c>
      <c r="M466" s="6" t="b">
        <f t="shared" si="445"/>
        <v>1</v>
      </c>
      <c r="N466" s="4">
        <v>0.371563556432483</v>
      </c>
      <c r="P466" s="4">
        <v>0.732367893713227</v>
      </c>
      <c r="T466" s="4">
        <f t="shared" si="3"/>
        <v>982</v>
      </c>
      <c r="U466" s="4">
        <f t="shared" si="4"/>
        <v>550</v>
      </c>
    </row>
    <row r="467" ht="15.75" customHeight="1">
      <c r="A467" s="4" t="s">
        <v>378</v>
      </c>
      <c r="B467" s="4" t="s">
        <v>13</v>
      </c>
      <c r="C467" s="4">
        <v>0.1254</v>
      </c>
      <c r="D467" s="4">
        <v>0.0039</v>
      </c>
      <c r="E467" s="4">
        <v>0.0039</v>
      </c>
      <c r="I467" s="4">
        <v>0.7224</v>
      </c>
      <c r="J467" s="4">
        <v>0.0032</v>
      </c>
      <c r="K467" s="6" t="b">
        <f t="shared" ref="K467:M467" si="451">FALSE()</f>
        <v>0</v>
      </c>
      <c r="L467" s="6" t="b">
        <f t="shared" si="451"/>
        <v>0</v>
      </c>
      <c r="M467" s="6" t="b">
        <f t="shared" si="451"/>
        <v>0</v>
      </c>
      <c r="N467" s="4">
        <v>0.118138528017042</v>
      </c>
      <c r="P467" s="4">
        <v>0.543718667068016</v>
      </c>
      <c r="T467" s="4">
        <f t="shared" si="3"/>
        <v>1221</v>
      </c>
      <c r="U467" s="4">
        <f t="shared" si="4"/>
        <v>890</v>
      </c>
    </row>
    <row r="468" ht="15.75" customHeight="1">
      <c r="A468" s="4" t="s">
        <v>379</v>
      </c>
      <c r="B468" s="4" t="s">
        <v>13</v>
      </c>
      <c r="C468" s="4">
        <v>1.46</v>
      </c>
      <c r="D468" s="4">
        <v>0.14</v>
      </c>
      <c r="E468" s="4">
        <v>0.14</v>
      </c>
      <c r="I468" s="4">
        <v>1.032</v>
      </c>
      <c r="J468" s="4">
        <v>0.021</v>
      </c>
      <c r="K468" s="6" t="b">
        <f t="shared" ref="K468:L468" si="452">FALSE()</f>
        <v>0</v>
      </c>
      <c r="L468" s="6" t="b">
        <f t="shared" si="452"/>
        <v>0</v>
      </c>
      <c r="M468" s="6" t="b">
        <f t="shared" ref="M468:M471" si="454">TRUE()</f>
        <v>1</v>
      </c>
      <c r="N468" s="4">
        <v>0.900161349944271</v>
      </c>
      <c r="P468" s="4">
        <v>0.709020529716236</v>
      </c>
      <c r="T468" s="4">
        <f t="shared" si="3"/>
        <v>522</v>
      </c>
      <c r="U468" s="4">
        <f t="shared" si="4"/>
        <v>623</v>
      </c>
    </row>
    <row r="469" ht="15.75" customHeight="1">
      <c r="A469" s="4" t="s">
        <v>380</v>
      </c>
      <c r="B469" s="4" t="s">
        <v>13</v>
      </c>
      <c r="C469" s="4">
        <v>0.491</v>
      </c>
      <c r="D469" s="4">
        <v>0.039</v>
      </c>
      <c r="E469" s="4">
        <v>0.039</v>
      </c>
      <c r="I469" s="4">
        <v>0.884</v>
      </c>
      <c r="J469" s="4">
        <v>0.013</v>
      </c>
      <c r="K469" s="6" t="b">
        <f t="shared" ref="K469:L469" si="453">FALSE()</f>
        <v>0</v>
      </c>
      <c r="L469" s="6" t="b">
        <f t="shared" si="453"/>
        <v>0</v>
      </c>
      <c r="M469" s="6" t="b">
        <f t="shared" si="454"/>
        <v>1</v>
      </c>
      <c r="N469" s="4">
        <v>0.399447035782601</v>
      </c>
      <c r="P469" s="4">
        <v>0.633397176154171</v>
      </c>
      <c r="T469" s="4">
        <f t="shared" si="3"/>
        <v>962</v>
      </c>
      <c r="U469" s="4">
        <f t="shared" si="4"/>
        <v>776</v>
      </c>
    </row>
    <row r="470" ht="15.75" customHeight="1">
      <c r="A470" s="4" t="s">
        <v>381</v>
      </c>
      <c r="B470" s="4" t="s">
        <v>13</v>
      </c>
      <c r="C470" s="4">
        <v>2.629</v>
      </c>
      <c r="D470" s="4">
        <v>0.089</v>
      </c>
      <c r="E470" s="4">
        <v>0.089</v>
      </c>
      <c r="I470" s="4">
        <v>1.079</v>
      </c>
      <c r="J470" s="4">
        <v>0.031</v>
      </c>
      <c r="K470" s="6" t="b">
        <f t="shared" ref="K470:L470" si="455">FALSE()</f>
        <v>0</v>
      </c>
      <c r="L470" s="6" t="b">
        <f t="shared" si="455"/>
        <v>0</v>
      </c>
      <c r="M470" s="6" t="b">
        <f t="shared" si="454"/>
        <v>1</v>
      </c>
      <c r="N470" s="4">
        <v>1.28895712823093</v>
      </c>
      <c r="P470" s="4">
        <v>0.731887008875876</v>
      </c>
      <c r="T470" s="4">
        <f t="shared" si="3"/>
        <v>357</v>
      </c>
      <c r="U470" s="4">
        <f t="shared" si="4"/>
        <v>558</v>
      </c>
    </row>
    <row r="471" ht="15.75" customHeight="1">
      <c r="A471" s="4" t="s">
        <v>382</v>
      </c>
      <c r="B471" s="4" t="s">
        <v>13</v>
      </c>
      <c r="C471" s="4">
        <v>1.374</v>
      </c>
      <c r="D471" s="4">
        <v>0.074</v>
      </c>
      <c r="E471" s="4">
        <v>0.1</v>
      </c>
      <c r="I471" s="4">
        <v>1.165</v>
      </c>
      <c r="J471" s="4">
        <v>0.021</v>
      </c>
      <c r="K471" s="6" t="b">
        <f t="shared" ref="K471:L471" si="456">FALSE()</f>
        <v>0</v>
      </c>
      <c r="L471" s="6" t="b">
        <f t="shared" si="456"/>
        <v>0</v>
      </c>
      <c r="M471" s="6" t="b">
        <f t="shared" si="454"/>
        <v>1</v>
      </c>
      <c r="N471" s="4">
        <v>0.864576296187476</v>
      </c>
      <c r="P471" s="4">
        <v>0.772420361454453</v>
      </c>
      <c r="T471" s="4">
        <f t="shared" si="3"/>
        <v>541</v>
      </c>
      <c r="U471" s="4">
        <f t="shared" si="4"/>
        <v>435</v>
      </c>
    </row>
    <row r="472" ht="15.75" customHeight="1">
      <c r="A472" s="4" t="s">
        <v>383</v>
      </c>
      <c r="B472" s="4" t="s">
        <v>13</v>
      </c>
      <c r="C472" s="4">
        <v>0.12</v>
      </c>
      <c r="D472" s="4">
        <v>0.012</v>
      </c>
      <c r="E472" s="4">
        <v>0.012</v>
      </c>
      <c r="I472" s="4">
        <v>0.563</v>
      </c>
      <c r="J472" s="4">
        <v>0.034</v>
      </c>
      <c r="K472" s="6" t="b">
        <f t="shared" ref="K472:M472" si="457">FALSE()</f>
        <v>0</v>
      </c>
      <c r="L472" s="6" t="b">
        <f t="shared" si="457"/>
        <v>0</v>
      </c>
      <c r="M472" s="6" t="b">
        <f t="shared" si="457"/>
        <v>0</v>
      </c>
      <c r="N472" s="4">
        <v>0.113328685307003</v>
      </c>
      <c r="P472" s="4">
        <v>0.44660705143934</v>
      </c>
      <c r="T472" s="4">
        <f t="shared" si="3"/>
        <v>1229</v>
      </c>
      <c r="U472" s="4">
        <f t="shared" si="4"/>
        <v>965</v>
      </c>
    </row>
    <row r="473" ht="15.75" customHeight="1">
      <c r="A473" s="4" t="s">
        <v>384</v>
      </c>
      <c r="B473" s="4" t="s">
        <v>13</v>
      </c>
      <c r="C473" s="4">
        <v>0.138</v>
      </c>
      <c r="D473" s="4">
        <v>0.019</v>
      </c>
      <c r="E473" s="4">
        <v>0.019</v>
      </c>
      <c r="F473" s="4">
        <v>0.138</v>
      </c>
      <c r="G473" s="4">
        <v>0.019</v>
      </c>
      <c r="H473" s="4">
        <v>0.019</v>
      </c>
      <c r="I473" s="4">
        <v>0.873</v>
      </c>
      <c r="J473" s="4">
        <v>0.075</v>
      </c>
      <c r="K473" s="6" t="b">
        <f t="shared" ref="K473:L473" si="458">FALSE()</f>
        <v>0</v>
      </c>
      <c r="L473" s="6" t="b">
        <f t="shared" si="458"/>
        <v>0</v>
      </c>
      <c r="M473" s="6" t="b">
        <f t="shared" ref="M473:M475" si="460">TRUE()</f>
        <v>1</v>
      </c>
      <c r="N473" s="4">
        <v>0.129272335704139</v>
      </c>
      <c r="O473" s="4">
        <v>0.129272335704139</v>
      </c>
      <c r="P473" s="4">
        <v>0.627541423461951</v>
      </c>
      <c r="Q473" s="4">
        <v>-0.543282615566368</v>
      </c>
      <c r="R473" s="4">
        <v>-0.564913691494322</v>
      </c>
      <c r="S473" s="4">
        <v>0.089293782147865</v>
      </c>
      <c r="T473" s="4">
        <f t="shared" si="3"/>
        <v>1207</v>
      </c>
      <c r="U473" s="4">
        <f t="shared" si="4"/>
        <v>782</v>
      </c>
    </row>
    <row r="474" ht="15.75" customHeight="1">
      <c r="A474" s="4" t="s">
        <v>385</v>
      </c>
      <c r="B474" s="4" t="s">
        <v>13</v>
      </c>
      <c r="C474" s="4">
        <v>0.839</v>
      </c>
      <c r="D474" s="4">
        <v>0.03</v>
      </c>
      <c r="E474" s="4">
        <v>0.032</v>
      </c>
      <c r="F474" s="4">
        <v>0.837</v>
      </c>
      <c r="G474" s="4">
        <v>0.029</v>
      </c>
      <c r="H474" s="4">
        <v>0.029</v>
      </c>
      <c r="I474" s="4">
        <v>1.236</v>
      </c>
      <c r="J474" s="4">
        <v>0.031</v>
      </c>
      <c r="K474" s="6" t="b">
        <f t="shared" ref="K474:L474" si="459">FALSE()</f>
        <v>0</v>
      </c>
      <c r="L474" s="6" t="b">
        <f t="shared" si="459"/>
        <v>0</v>
      </c>
      <c r="M474" s="6" t="b">
        <f t="shared" si="460"/>
        <v>1</v>
      </c>
      <c r="N474" s="4">
        <v>0.609221945622184</v>
      </c>
      <c r="O474" s="4">
        <v>0.608133806232989</v>
      </c>
      <c r="P474" s="4">
        <v>0.804688555292853</v>
      </c>
      <c r="Q474" s="4">
        <v>-0.112715645234189</v>
      </c>
      <c r="R474" s="4">
        <v>-0.121442185126303</v>
      </c>
      <c r="S474" s="4">
        <v>0.768473636151575</v>
      </c>
      <c r="T474" s="4">
        <f t="shared" si="3"/>
        <v>750</v>
      </c>
      <c r="U474" s="4">
        <f t="shared" si="4"/>
        <v>333</v>
      </c>
    </row>
    <row r="475" ht="15.75" customHeight="1">
      <c r="A475" s="4" t="s">
        <v>386</v>
      </c>
      <c r="B475" s="4" t="s">
        <v>13</v>
      </c>
      <c r="C475" s="4">
        <v>1.65</v>
      </c>
      <c r="I475" s="4">
        <v>6.9</v>
      </c>
      <c r="J475" s="4">
        <v>2.9</v>
      </c>
      <c r="K475" s="6" t="b">
        <f t="shared" ref="K475:L475" si="461">FALSE()</f>
        <v>0</v>
      </c>
      <c r="L475" s="6" t="b">
        <f t="shared" si="461"/>
        <v>0</v>
      </c>
      <c r="M475" s="6" t="b">
        <f t="shared" si="460"/>
        <v>1</v>
      </c>
      <c r="N475" s="4">
        <v>0.974559639998131</v>
      </c>
      <c r="P475" s="4">
        <v>2.06686275947298</v>
      </c>
      <c r="T475" s="4">
        <f t="shared" si="3"/>
        <v>490</v>
      </c>
      <c r="U475" s="4">
        <f t="shared" si="4"/>
        <v>1</v>
      </c>
    </row>
    <row r="476" ht="15.75" customHeight="1">
      <c r="A476" s="4" t="s">
        <v>1919</v>
      </c>
      <c r="B476" s="4" t="s">
        <v>13</v>
      </c>
      <c r="D476" s="4">
        <v>0.2</v>
      </c>
      <c r="E476" s="4">
        <v>0.1</v>
      </c>
      <c r="F476" s="4">
        <v>1.7</v>
      </c>
      <c r="G476" s="4">
        <v>0.2</v>
      </c>
      <c r="H476" s="4">
        <v>0.1</v>
      </c>
      <c r="K476" s="6" t="b">
        <f t="shared" ref="K476:M476" si="462">FALSE()</f>
        <v>0</v>
      </c>
      <c r="L476" s="6" t="b">
        <f t="shared" si="462"/>
        <v>0</v>
      </c>
      <c r="M476" s="6" t="b">
        <f t="shared" si="462"/>
        <v>0</v>
      </c>
      <c r="O476" s="4">
        <v>0.993251773010283</v>
      </c>
      <c r="T476" s="4" t="str">
        <f t="shared" si="3"/>
        <v/>
      </c>
      <c r="U476" s="4" t="str">
        <f t="shared" si="4"/>
        <v/>
      </c>
    </row>
    <row r="477" ht="15.75" customHeight="1">
      <c r="A477" s="4" t="s">
        <v>1920</v>
      </c>
      <c r="B477" s="4" t="s">
        <v>13</v>
      </c>
      <c r="D477" s="4">
        <v>0.03</v>
      </c>
      <c r="E477" s="4">
        <v>0.03</v>
      </c>
      <c r="F477" s="4">
        <v>1.16</v>
      </c>
      <c r="G477" s="4">
        <v>0.03</v>
      </c>
      <c r="H477" s="4">
        <v>0.03</v>
      </c>
      <c r="K477" s="6" t="b">
        <f t="shared" ref="K477:M477" si="463">FALSE()</f>
        <v>0</v>
      </c>
      <c r="L477" s="6" t="b">
        <f t="shared" si="463"/>
        <v>0</v>
      </c>
      <c r="M477" s="6" t="b">
        <f t="shared" si="463"/>
        <v>0</v>
      </c>
      <c r="O477" s="4">
        <v>0.770108221696074</v>
      </c>
      <c r="T477" s="4" t="str">
        <f t="shared" si="3"/>
        <v/>
      </c>
      <c r="U477" s="4" t="str">
        <f t="shared" si="4"/>
        <v/>
      </c>
    </row>
    <row r="478" ht="15.75" customHeight="1">
      <c r="A478" s="4" t="s">
        <v>1921</v>
      </c>
      <c r="B478" s="4" t="s">
        <v>13</v>
      </c>
      <c r="I478" s="4">
        <v>0.08529</v>
      </c>
      <c r="J478" s="4">
        <v>0.00562</v>
      </c>
      <c r="K478" s="6" t="b">
        <f t="shared" ref="K478:M478" si="464">FALSE()</f>
        <v>0</v>
      </c>
      <c r="L478" s="6" t="b">
        <f t="shared" si="464"/>
        <v>0</v>
      </c>
      <c r="M478" s="6" t="b">
        <f t="shared" si="464"/>
        <v>0</v>
      </c>
      <c r="P478" s="4">
        <v>0.0818472323851823</v>
      </c>
      <c r="T478" s="4" t="str">
        <f t="shared" si="3"/>
        <v/>
      </c>
      <c r="U478" s="4">
        <f t="shared" si="4"/>
        <v>4372</v>
      </c>
    </row>
    <row r="479" ht="15.75" customHeight="1">
      <c r="A479" s="4" t="s">
        <v>1922</v>
      </c>
      <c r="B479" s="4" t="s">
        <v>13</v>
      </c>
      <c r="I479" s="4">
        <v>0.0883</v>
      </c>
      <c r="J479" s="4">
        <v>0.0062</v>
      </c>
      <c r="K479" s="6" t="b">
        <f t="shared" ref="K479:M479" si="465">FALSE()</f>
        <v>0</v>
      </c>
      <c r="L479" s="6" t="b">
        <f t="shared" si="465"/>
        <v>0</v>
      </c>
      <c r="M479" s="6" t="b">
        <f t="shared" si="465"/>
        <v>0</v>
      </c>
      <c r="P479" s="4">
        <v>0.0846168457198789</v>
      </c>
      <c r="T479" s="4" t="str">
        <f t="shared" si="3"/>
        <v/>
      </c>
      <c r="U479" s="4">
        <f t="shared" si="4"/>
        <v>4346</v>
      </c>
    </row>
    <row r="480" ht="15.75" customHeight="1">
      <c r="A480" s="4" t="s">
        <v>1923</v>
      </c>
      <c r="B480" s="4" t="s">
        <v>13</v>
      </c>
      <c r="F480" s="4">
        <v>0.041217</v>
      </c>
      <c r="K480" s="6" t="b">
        <f t="shared" ref="K480:M480" si="466">FALSE()</f>
        <v>0</v>
      </c>
      <c r="L480" s="6" t="b">
        <f t="shared" si="466"/>
        <v>0</v>
      </c>
      <c r="M480" s="6" t="b">
        <f t="shared" si="466"/>
        <v>0</v>
      </c>
      <c r="O480" s="4">
        <v>0.040390221319621</v>
      </c>
      <c r="T480" s="4" t="str">
        <f t="shared" si="3"/>
        <v/>
      </c>
      <c r="U480" s="4" t="str">
        <f t="shared" si="4"/>
        <v/>
      </c>
    </row>
    <row r="481" ht="15.75" customHeight="1">
      <c r="A481" s="4" t="s">
        <v>1924</v>
      </c>
      <c r="B481" s="4" t="s">
        <v>13</v>
      </c>
      <c r="F481" s="4">
        <v>0.03696945</v>
      </c>
      <c r="K481" s="6" t="b">
        <f t="shared" ref="K481:M481" si="467">FALSE()</f>
        <v>0</v>
      </c>
      <c r="L481" s="6" t="b">
        <f t="shared" si="467"/>
        <v>0</v>
      </c>
      <c r="M481" s="6" t="b">
        <f t="shared" si="467"/>
        <v>0</v>
      </c>
      <c r="O481" s="4">
        <v>0.0363024688327229</v>
      </c>
      <c r="T481" s="4" t="str">
        <f t="shared" si="3"/>
        <v/>
      </c>
      <c r="U481" s="4" t="str">
        <f t="shared" si="4"/>
        <v/>
      </c>
    </row>
    <row r="482" ht="15.75" customHeight="1">
      <c r="A482" s="4" t="s">
        <v>1925</v>
      </c>
      <c r="B482" s="4" t="s">
        <v>13</v>
      </c>
      <c r="F482" s="4">
        <v>0.07897304</v>
      </c>
      <c r="K482" s="6" t="b">
        <f t="shared" ref="K482:M482" si="468">FALSE()</f>
        <v>0</v>
      </c>
      <c r="L482" s="6" t="b">
        <f t="shared" si="468"/>
        <v>0</v>
      </c>
      <c r="M482" s="6" t="b">
        <f t="shared" si="468"/>
        <v>0</v>
      </c>
      <c r="O482" s="4">
        <v>0.0760096998656007</v>
      </c>
      <c r="T482" s="4" t="str">
        <f t="shared" si="3"/>
        <v/>
      </c>
      <c r="U482" s="4" t="str">
        <f t="shared" si="4"/>
        <v/>
      </c>
    </row>
    <row r="483" ht="15.75" customHeight="1">
      <c r="A483" s="4" t="s">
        <v>1926</v>
      </c>
      <c r="B483" s="4" t="s">
        <v>13</v>
      </c>
      <c r="F483" s="4">
        <v>0.07519743</v>
      </c>
      <c r="K483" s="6" t="b">
        <f t="shared" ref="K483:M483" si="469">FALSE()</f>
        <v>0</v>
      </c>
      <c r="L483" s="6" t="b">
        <f t="shared" si="469"/>
        <v>0</v>
      </c>
      <c r="M483" s="6" t="b">
        <f t="shared" si="469"/>
        <v>0</v>
      </c>
      <c r="O483" s="4">
        <v>0.0725043005309152</v>
      </c>
      <c r="T483" s="4" t="str">
        <f t="shared" si="3"/>
        <v/>
      </c>
      <c r="U483" s="4" t="str">
        <f t="shared" si="4"/>
        <v/>
      </c>
    </row>
    <row r="484" ht="15.75" customHeight="1">
      <c r="A484" s="4" t="s">
        <v>1927</v>
      </c>
      <c r="B484" s="4" t="s">
        <v>13</v>
      </c>
      <c r="F484" s="4">
        <v>0.06733159</v>
      </c>
      <c r="K484" s="6" t="b">
        <f t="shared" ref="K484:M484" si="470">FALSE()</f>
        <v>0</v>
      </c>
      <c r="L484" s="6" t="b">
        <f t="shared" si="470"/>
        <v>0</v>
      </c>
      <c r="M484" s="6" t="b">
        <f t="shared" si="470"/>
        <v>0</v>
      </c>
      <c r="O484" s="4">
        <v>0.0651616925509256</v>
      </c>
      <c r="T484" s="4" t="str">
        <f t="shared" si="3"/>
        <v/>
      </c>
      <c r="U484" s="4" t="str">
        <f t="shared" si="4"/>
        <v/>
      </c>
    </row>
    <row r="485" ht="15.75" customHeight="1">
      <c r="A485" s="4" t="s">
        <v>1928</v>
      </c>
      <c r="B485" s="4" t="s">
        <v>13</v>
      </c>
      <c r="F485" s="4">
        <v>0.202624</v>
      </c>
      <c r="K485" s="6" t="b">
        <f t="shared" ref="K485:M485" si="471">FALSE()</f>
        <v>0</v>
      </c>
      <c r="L485" s="6" t="b">
        <f t="shared" si="471"/>
        <v>0</v>
      </c>
      <c r="M485" s="6" t="b">
        <f t="shared" si="471"/>
        <v>0</v>
      </c>
      <c r="O485" s="4">
        <v>0.18450583618455</v>
      </c>
      <c r="T485" s="4" t="str">
        <f t="shared" si="3"/>
        <v/>
      </c>
      <c r="U485" s="4" t="str">
        <f t="shared" si="4"/>
        <v/>
      </c>
    </row>
    <row r="486" ht="15.75" customHeight="1">
      <c r="A486" s="4" t="s">
        <v>1929</v>
      </c>
      <c r="B486" s="4" t="s">
        <v>13</v>
      </c>
      <c r="F486" s="4">
        <v>0.3</v>
      </c>
      <c r="K486" s="6" t="b">
        <f t="shared" ref="K486:M486" si="472">FALSE()</f>
        <v>0</v>
      </c>
      <c r="L486" s="6" t="b">
        <f t="shared" si="472"/>
        <v>0</v>
      </c>
      <c r="M486" s="6" t="b">
        <f t="shared" si="472"/>
        <v>0</v>
      </c>
      <c r="O486" s="4">
        <v>0.262364264467491</v>
      </c>
      <c r="T486" s="4" t="str">
        <f t="shared" si="3"/>
        <v/>
      </c>
      <c r="U486" s="4" t="str">
        <f t="shared" si="4"/>
        <v/>
      </c>
    </row>
    <row r="487" ht="15.75" customHeight="1">
      <c r="A487" s="4" t="s">
        <v>1930</v>
      </c>
      <c r="B487" s="4" t="s">
        <v>13</v>
      </c>
      <c r="D487" s="4">
        <v>0.018</v>
      </c>
      <c r="E487" s="4">
        <v>0.018</v>
      </c>
      <c r="F487" s="4">
        <v>0.172</v>
      </c>
      <c r="G487" s="4">
        <v>0.018</v>
      </c>
      <c r="H487" s="4">
        <v>0.018</v>
      </c>
      <c r="K487" s="6" t="b">
        <f t="shared" ref="K487:M487" si="473">FALSE()</f>
        <v>0</v>
      </c>
      <c r="L487" s="6" t="b">
        <f t="shared" si="473"/>
        <v>0</v>
      </c>
      <c r="M487" s="6" t="b">
        <f t="shared" si="473"/>
        <v>0</v>
      </c>
      <c r="O487" s="4">
        <v>0.158711691154821</v>
      </c>
      <c r="T487" s="4" t="str">
        <f t="shared" si="3"/>
        <v/>
      </c>
      <c r="U487" s="4" t="str">
        <f t="shared" si="4"/>
        <v/>
      </c>
    </row>
    <row r="488" ht="15.75" customHeight="1">
      <c r="A488" s="4" t="s">
        <v>1931</v>
      </c>
      <c r="B488" s="4" t="s">
        <v>13</v>
      </c>
      <c r="C488" s="4">
        <v>0.46</v>
      </c>
      <c r="D488" s="4">
        <v>0.03</v>
      </c>
      <c r="E488" s="4">
        <v>0.03</v>
      </c>
      <c r="F488" s="4">
        <v>0.49</v>
      </c>
      <c r="K488" s="6" t="b">
        <f t="shared" ref="K488:M488" si="474">FALSE()</f>
        <v>0</v>
      </c>
      <c r="L488" s="6" t="b">
        <f t="shared" si="474"/>
        <v>0</v>
      </c>
      <c r="M488" s="6" t="b">
        <f t="shared" si="474"/>
        <v>0</v>
      </c>
      <c r="N488" s="4">
        <v>0.378436435720245</v>
      </c>
      <c r="O488" s="4">
        <v>0.398776119957368</v>
      </c>
      <c r="T488" s="4">
        <f t="shared" si="3"/>
        <v>975</v>
      </c>
      <c r="U488" s="4" t="str">
        <f t="shared" si="4"/>
        <v/>
      </c>
    </row>
    <row r="489" ht="15.75" customHeight="1">
      <c r="A489" s="4" t="s">
        <v>1932</v>
      </c>
      <c r="B489" s="4" t="s">
        <v>13</v>
      </c>
      <c r="D489" s="4">
        <v>0.2</v>
      </c>
      <c r="E489" s="4">
        <v>0.2</v>
      </c>
      <c r="F489" s="4">
        <v>5.9</v>
      </c>
      <c r="G489" s="4">
        <v>0.2</v>
      </c>
      <c r="H489" s="4">
        <v>0.2</v>
      </c>
      <c r="K489" s="6" t="b">
        <f t="shared" ref="K489:M489" si="475">FALSE()</f>
        <v>0</v>
      </c>
      <c r="L489" s="6" t="b">
        <f t="shared" si="475"/>
        <v>0</v>
      </c>
      <c r="M489" s="6" t="b">
        <f t="shared" si="475"/>
        <v>0</v>
      </c>
      <c r="O489" s="4">
        <v>1.93152141160321</v>
      </c>
      <c r="T489" s="4" t="str">
        <f t="shared" si="3"/>
        <v/>
      </c>
      <c r="U489" s="4" t="str">
        <f t="shared" si="4"/>
        <v/>
      </c>
    </row>
    <row r="490" ht="15.75" customHeight="1">
      <c r="A490" s="4" t="s">
        <v>1933</v>
      </c>
      <c r="B490" s="4" t="s">
        <v>13</v>
      </c>
      <c r="D490" s="4">
        <v>0.4</v>
      </c>
      <c r="E490" s="4">
        <v>0.4</v>
      </c>
      <c r="F490" s="4">
        <v>2.6</v>
      </c>
      <c r="G490" s="4">
        <v>0.4</v>
      </c>
      <c r="H490" s="4">
        <v>0.4</v>
      </c>
      <c r="K490" s="6" t="b">
        <f t="shared" ref="K490:M490" si="476">FALSE()</f>
        <v>0</v>
      </c>
      <c r="L490" s="6" t="b">
        <f t="shared" si="476"/>
        <v>0</v>
      </c>
      <c r="M490" s="6" t="b">
        <f t="shared" si="476"/>
        <v>0</v>
      </c>
      <c r="O490" s="4">
        <v>1.28093384546206</v>
      </c>
      <c r="T490" s="4" t="str">
        <f t="shared" si="3"/>
        <v/>
      </c>
      <c r="U490" s="4" t="str">
        <f t="shared" si="4"/>
        <v/>
      </c>
    </row>
    <row r="491" ht="15.75" customHeight="1">
      <c r="A491" s="4" t="s">
        <v>1934</v>
      </c>
      <c r="B491" s="4" t="s">
        <v>13</v>
      </c>
      <c r="D491" s="4">
        <v>0.3</v>
      </c>
      <c r="E491" s="4">
        <v>0.3</v>
      </c>
      <c r="F491" s="4">
        <v>5.9</v>
      </c>
      <c r="G491" s="4">
        <v>0.3</v>
      </c>
      <c r="H491" s="4">
        <v>0.3</v>
      </c>
      <c r="K491" s="6" t="b">
        <f t="shared" ref="K491:M491" si="477">FALSE()</f>
        <v>0</v>
      </c>
      <c r="L491" s="6" t="b">
        <f t="shared" si="477"/>
        <v>0</v>
      </c>
      <c r="M491" s="6" t="b">
        <f t="shared" si="477"/>
        <v>0</v>
      </c>
      <c r="O491" s="4">
        <v>1.93152141160321</v>
      </c>
      <c r="T491" s="4" t="str">
        <f t="shared" si="3"/>
        <v/>
      </c>
      <c r="U491" s="4" t="str">
        <f t="shared" si="4"/>
        <v/>
      </c>
    </row>
    <row r="492" ht="15.75" customHeight="1">
      <c r="A492" s="4" t="s">
        <v>1935</v>
      </c>
      <c r="B492" s="4" t="s">
        <v>13</v>
      </c>
      <c r="D492" s="4">
        <v>0.25</v>
      </c>
      <c r="E492" s="4">
        <v>0.3</v>
      </c>
      <c r="F492" s="4">
        <v>1.52</v>
      </c>
      <c r="G492" s="4">
        <v>0.25</v>
      </c>
      <c r="H492" s="4">
        <v>0.3</v>
      </c>
      <c r="K492" s="6" t="b">
        <f t="shared" ref="K492:M492" si="478">FALSE()</f>
        <v>0</v>
      </c>
      <c r="L492" s="6" t="b">
        <f t="shared" si="478"/>
        <v>0</v>
      </c>
      <c r="M492" s="6" t="b">
        <f t="shared" si="478"/>
        <v>0</v>
      </c>
      <c r="O492" s="4">
        <v>0.924258901523332</v>
      </c>
      <c r="T492" s="4" t="str">
        <f t="shared" si="3"/>
        <v/>
      </c>
      <c r="U492" s="4" t="str">
        <f t="shared" si="4"/>
        <v/>
      </c>
    </row>
    <row r="493" ht="15.75" customHeight="1">
      <c r="A493" s="4" t="s">
        <v>1936</v>
      </c>
      <c r="B493" s="4" t="s">
        <v>13</v>
      </c>
      <c r="D493" s="4">
        <v>0.008</v>
      </c>
      <c r="E493" s="4">
        <v>0.008</v>
      </c>
      <c r="F493" s="4">
        <v>0.05</v>
      </c>
      <c r="G493" s="4">
        <v>0.008</v>
      </c>
      <c r="H493" s="4">
        <v>0.008</v>
      </c>
      <c r="K493" s="6" t="b">
        <f t="shared" ref="K493:M493" si="479">FALSE()</f>
        <v>0</v>
      </c>
      <c r="L493" s="6" t="b">
        <f t="shared" si="479"/>
        <v>0</v>
      </c>
      <c r="M493" s="6" t="b">
        <f t="shared" si="479"/>
        <v>0</v>
      </c>
      <c r="O493" s="4">
        <v>0.048790164169432</v>
      </c>
      <c r="T493" s="4" t="str">
        <f t="shared" si="3"/>
        <v/>
      </c>
      <c r="U493" s="4" t="str">
        <f t="shared" si="4"/>
        <v/>
      </c>
    </row>
    <row r="494" ht="15.75" customHeight="1">
      <c r="A494" s="4" t="s">
        <v>1937</v>
      </c>
      <c r="B494" s="4" t="s">
        <v>13</v>
      </c>
      <c r="D494" s="4">
        <v>0.0456</v>
      </c>
      <c r="E494" s="4">
        <v>0.0456</v>
      </c>
      <c r="F494" s="4">
        <v>0.3584</v>
      </c>
      <c r="G494" s="4">
        <v>0.0456</v>
      </c>
      <c r="H494" s="4">
        <v>0.0456</v>
      </c>
      <c r="K494" s="6" t="b">
        <f t="shared" ref="K494:M494" si="480">FALSE()</f>
        <v>0</v>
      </c>
      <c r="L494" s="6" t="b">
        <f t="shared" si="480"/>
        <v>0</v>
      </c>
      <c r="M494" s="6" t="b">
        <f t="shared" si="480"/>
        <v>0</v>
      </c>
      <c r="O494" s="4">
        <v>0.306307536574946</v>
      </c>
      <c r="T494" s="4" t="str">
        <f t="shared" si="3"/>
        <v/>
      </c>
      <c r="U494" s="4" t="str">
        <f t="shared" si="4"/>
        <v/>
      </c>
    </row>
    <row r="495" ht="15.75" customHeight="1">
      <c r="A495" s="4" t="s">
        <v>1938</v>
      </c>
      <c r="B495" s="4" t="s">
        <v>13</v>
      </c>
      <c r="D495" s="4">
        <v>0.15</v>
      </c>
      <c r="E495" s="4">
        <v>0.15</v>
      </c>
      <c r="F495" s="4">
        <v>5.69</v>
      </c>
      <c r="G495" s="4">
        <v>0.15</v>
      </c>
      <c r="H495" s="4">
        <v>0.15</v>
      </c>
      <c r="K495" s="6" t="b">
        <f t="shared" ref="K495:M495" si="481">FALSE()</f>
        <v>0</v>
      </c>
      <c r="L495" s="6" t="b">
        <f t="shared" si="481"/>
        <v>0</v>
      </c>
      <c r="M495" s="6" t="b">
        <f t="shared" si="481"/>
        <v>0</v>
      </c>
      <c r="O495" s="4">
        <v>1.90061387414014</v>
      </c>
      <c r="T495" s="4" t="str">
        <f t="shared" si="3"/>
        <v/>
      </c>
      <c r="U495" s="4" t="str">
        <f t="shared" si="4"/>
        <v/>
      </c>
    </row>
    <row r="496" ht="15.75" customHeight="1">
      <c r="A496" s="4" t="s">
        <v>1939</v>
      </c>
      <c r="B496" s="4" t="s">
        <v>13</v>
      </c>
      <c r="D496" s="4">
        <v>0.023</v>
      </c>
      <c r="E496" s="4">
        <v>0.023</v>
      </c>
      <c r="F496" s="4">
        <v>0.96</v>
      </c>
      <c r="G496" s="4">
        <v>0.023</v>
      </c>
      <c r="H496" s="4">
        <v>0.023</v>
      </c>
      <c r="K496" s="6" t="b">
        <f t="shared" ref="K496:M496" si="482">FALSE()</f>
        <v>0</v>
      </c>
      <c r="L496" s="6" t="b">
        <f t="shared" si="482"/>
        <v>0</v>
      </c>
      <c r="M496" s="6" t="b">
        <f t="shared" si="482"/>
        <v>0</v>
      </c>
      <c r="O496" s="4">
        <v>0.672944473242426</v>
      </c>
      <c r="T496" s="4" t="str">
        <f t="shared" si="3"/>
        <v/>
      </c>
      <c r="U496" s="4" t="str">
        <f t="shared" si="4"/>
        <v/>
      </c>
    </row>
    <row r="497" ht="15.75" customHeight="1">
      <c r="A497" s="4" t="s">
        <v>1940</v>
      </c>
      <c r="B497" s="4" t="s">
        <v>13</v>
      </c>
      <c r="D497" s="4">
        <v>0.006</v>
      </c>
      <c r="E497" s="4">
        <v>0.006</v>
      </c>
      <c r="F497" s="4">
        <v>0.098</v>
      </c>
      <c r="G497" s="4">
        <v>0.006</v>
      </c>
      <c r="H497" s="4">
        <v>0.006</v>
      </c>
      <c r="K497" s="6" t="b">
        <f t="shared" ref="K497:M497" si="483">FALSE()</f>
        <v>0</v>
      </c>
      <c r="L497" s="6" t="b">
        <f t="shared" si="483"/>
        <v>0</v>
      </c>
      <c r="M497" s="6" t="b">
        <f t="shared" si="483"/>
        <v>0</v>
      </c>
      <c r="O497" s="4">
        <v>0.0934903430873388</v>
      </c>
      <c r="T497" s="4" t="str">
        <f t="shared" si="3"/>
        <v/>
      </c>
      <c r="U497" s="4" t="str">
        <f t="shared" si="4"/>
        <v/>
      </c>
    </row>
    <row r="498" ht="15.75" customHeight="1">
      <c r="A498" s="4" t="s">
        <v>1941</v>
      </c>
      <c r="B498" s="4" t="s">
        <v>13</v>
      </c>
      <c r="D498" s="4">
        <v>0.025</v>
      </c>
      <c r="E498" s="4">
        <v>0.025</v>
      </c>
      <c r="F498" s="4">
        <v>0.62</v>
      </c>
      <c r="G498" s="4">
        <v>0.025</v>
      </c>
      <c r="H498" s="4">
        <v>0.025</v>
      </c>
      <c r="K498" s="6" t="b">
        <f t="shared" ref="K498:M498" si="484">FALSE()</f>
        <v>0</v>
      </c>
      <c r="L498" s="6" t="b">
        <f t="shared" si="484"/>
        <v>0</v>
      </c>
      <c r="M498" s="6" t="b">
        <f t="shared" si="484"/>
        <v>0</v>
      </c>
      <c r="O498" s="4">
        <v>0.482426149244293</v>
      </c>
      <c r="T498" s="4" t="str">
        <f t="shared" si="3"/>
        <v/>
      </c>
      <c r="U498" s="4" t="str">
        <f t="shared" si="4"/>
        <v/>
      </c>
    </row>
    <row r="499" ht="15.75" customHeight="1">
      <c r="A499" s="4" t="s">
        <v>1942</v>
      </c>
      <c r="B499" s="4" t="s">
        <v>13</v>
      </c>
      <c r="D499" s="4">
        <v>0.022</v>
      </c>
      <c r="E499" s="4">
        <v>0.022</v>
      </c>
      <c r="F499" s="4">
        <v>0.367</v>
      </c>
      <c r="G499" s="4">
        <v>0.022</v>
      </c>
      <c r="H499" s="4">
        <v>0.022</v>
      </c>
      <c r="K499" s="6" t="b">
        <f t="shared" ref="K499:M499" si="485">FALSE()</f>
        <v>0</v>
      </c>
      <c r="L499" s="6" t="b">
        <f t="shared" si="485"/>
        <v>0</v>
      </c>
      <c r="M499" s="6" t="b">
        <f t="shared" si="485"/>
        <v>0</v>
      </c>
      <c r="O499" s="4">
        <v>0.312618557741813</v>
      </c>
      <c r="T499" s="4" t="str">
        <f t="shared" si="3"/>
        <v/>
      </c>
      <c r="U499" s="4" t="str">
        <f t="shared" si="4"/>
        <v/>
      </c>
    </row>
    <row r="500" ht="15.75" customHeight="1">
      <c r="A500" s="4" t="s">
        <v>1943</v>
      </c>
      <c r="B500" s="4" t="s">
        <v>13</v>
      </c>
      <c r="D500" s="4">
        <v>0.06</v>
      </c>
      <c r="E500" s="4">
        <v>0.06</v>
      </c>
      <c r="F500" s="4">
        <v>1.44</v>
      </c>
      <c r="G500" s="4">
        <v>0.06</v>
      </c>
      <c r="H500" s="4">
        <v>0.06</v>
      </c>
      <c r="K500" s="6" t="b">
        <f t="shared" ref="K500:M500" si="486">FALSE()</f>
        <v>0</v>
      </c>
      <c r="L500" s="6" t="b">
        <f t="shared" si="486"/>
        <v>0</v>
      </c>
      <c r="M500" s="6" t="b">
        <f t="shared" si="486"/>
        <v>0</v>
      </c>
      <c r="O500" s="4">
        <v>0.891998039305111</v>
      </c>
      <c r="T500" s="4" t="str">
        <f t="shared" si="3"/>
        <v/>
      </c>
      <c r="U500" s="4" t="str">
        <f t="shared" si="4"/>
        <v/>
      </c>
    </row>
    <row r="501" ht="15.75" customHeight="1">
      <c r="A501" s="4" t="s">
        <v>1944</v>
      </c>
      <c r="B501" s="4" t="s">
        <v>13</v>
      </c>
      <c r="D501" s="4">
        <v>0.0072</v>
      </c>
      <c r="E501" s="4">
        <v>0.0072</v>
      </c>
      <c r="F501" s="4">
        <v>0.0352</v>
      </c>
      <c r="G501" s="4">
        <v>0.0072</v>
      </c>
      <c r="H501" s="4">
        <v>0.0072</v>
      </c>
      <c r="K501" s="6" t="b">
        <f t="shared" ref="K501:M501" si="487">FALSE()</f>
        <v>0</v>
      </c>
      <c r="L501" s="6" t="b">
        <f t="shared" si="487"/>
        <v>0</v>
      </c>
      <c r="M501" s="6" t="b">
        <f t="shared" si="487"/>
        <v>0</v>
      </c>
      <c r="O501" s="4">
        <v>0.034594644764499</v>
      </c>
      <c r="T501" s="4" t="str">
        <f t="shared" si="3"/>
        <v/>
      </c>
      <c r="U501" s="4" t="str">
        <f t="shared" si="4"/>
        <v/>
      </c>
    </row>
    <row r="502" ht="15.75" customHeight="1">
      <c r="A502" s="4" t="s">
        <v>1945</v>
      </c>
      <c r="B502" s="4" t="s">
        <v>13</v>
      </c>
      <c r="D502" s="4">
        <v>0.0104</v>
      </c>
      <c r="E502" s="4">
        <v>0.0104</v>
      </c>
      <c r="F502" s="4">
        <v>0.1954</v>
      </c>
      <c r="G502" s="4">
        <v>0.0104</v>
      </c>
      <c r="H502" s="4">
        <v>0.0104</v>
      </c>
      <c r="K502" s="6" t="b">
        <f t="shared" ref="K502:M502" si="488">FALSE()</f>
        <v>0</v>
      </c>
      <c r="L502" s="6" t="b">
        <f t="shared" si="488"/>
        <v>0</v>
      </c>
      <c r="M502" s="6" t="b">
        <f t="shared" si="488"/>
        <v>0</v>
      </c>
      <c r="O502" s="4">
        <v>0.178480857408017</v>
      </c>
      <c r="T502" s="4" t="str">
        <f t="shared" si="3"/>
        <v/>
      </c>
      <c r="U502" s="4" t="str">
        <f t="shared" si="4"/>
        <v/>
      </c>
    </row>
    <row r="503" ht="15.75" customHeight="1">
      <c r="A503" s="4" t="s">
        <v>1946</v>
      </c>
      <c r="B503" s="4" t="s">
        <v>13</v>
      </c>
      <c r="D503" s="4">
        <v>0.006</v>
      </c>
      <c r="E503" s="4">
        <v>0.006</v>
      </c>
      <c r="F503" s="4">
        <v>0.0415</v>
      </c>
      <c r="G503" s="4">
        <v>0.006</v>
      </c>
      <c r="H503" s="4">
        <v>0.006</v>
      </c>
      <c r="K503" s="6" t="b">
        <f t="shared" ref="K503:M503" si="489">FALSE()</f>
        <v>0</v>
      </c>
      <c r="L503" s="6" t="b">
        <f t="shared" si="489"/>
        <v>0</v>
      </c>
      <c r="M503" s="6" t="b">
        <f t="shared" si="489"/>
        <v>0</v>
      </c>
      <c r="O503" s="4">
        <v>0.0406619817188896</v>
      </c>
      <c r="T503" s="4" t="str">
        <f t="shared" si="3"/>
        <v/>
      </c>
      <c r="U503" s="4" t="str">
        <f t="shared" si="4"/>
        <v/>
      </c>
    </row>
    <row r="504" ht="15.75" customHeight="1">
      <c r="A504" s="4" t="s">
        <v>1947</v>
      </c>
      <c r="B504" s="4" t="s">
        <v>13</v>
      </c>
      <c r="I504" s="4">
        <v>0.116</v>
      </c>
      <c r="J504" s="4">
        <v>0.0107</v>
      </c>
      <c r="K504" s="6" t="b">
        <f t="shared" ref="K504:M504" si="490">FALSE()</f>
        <v>0</v>
      </c>
      <c r="L504" s="6" t="b">
        <f t="shared" si="490"/>
        <v>0</v>
      </c>
      <c r="M504" s="6" t="b">
        <f t="shared" si="490"/>
        <v>0</v>
      </c>
      <c r="P504" s="4">
        <v>0.109750863959119</v>
      </c>
      <c r="T504" s="4" t="str">
        <f t="shared" si="3"/>
        <v/>
      </c>
      <c r="U504" s="4">
        <f t="shared" si="4"/>
        <v>3946</v>
      </c>
    </row>
    <row r="505" ht="15.75" customHeight="1">
      <c r="A505" s="4" t="s">
        <v>1948</v>
      </c>
      <c r="B505" s="4" t="s">
        <v>13</v>
      </c>
      <c r="D505" s="4">
        <v>0.15</v>
      </c>
      <c r="E505" s="4">
        <v>0.15</v>
      </c>
      <c r="F505" s="4">
        <v>2.1</v>
      </c>
      <c r="G505" s="4">
        <v>0.15</v>
      </c>
      <c r="H505" s="4">
        <v>0.15</v>
      </c>
      <c r="K505" s="6" t="b">
        <f t="shared" ref="K505:M505" si="491">FALSE()</f>
        <v>0</v>
      </c>
      <c r="L505" s="6" t="b">
        <f t="shared" si="491"/>
        <v>0</v>
      </c>
      <c r="M505" s="6" t="b">
        <f t="shared" si="491"/>
        <v>0</v>
      </c>
      <c r="O505" s="4">
        <v>1.1314021114911</v>
      </c>
      <c r="T505" s="4" t="str">
        <f t="shared" si="3"/>
        <v/>
      </c>
      <c r="U505" s="4" t="str">
        <f t="shared" si="4"/>
        <v/>
      </c>
    </row>
    <row r="506" ht="15.75" customHeight="1">
      <c r="A506" s="4" t="s">
        <v>1949</v>
      </c>
      <c r="B506" s="4" t="s">
        <v>13</v>
      </c>
      <c r="F506" s="4">
        <v>8.3</v>
      </c>
      <c r="K506" s="6" t="b">
        <f t="shared" ref="K506:K508" si="492">FALSE()</f>
        <v>0</v>
      </c>
      <c r="L506" s="6" t="b">
        <f>TRUE()</f>
        <v>1</v>
      </c>
      <c r="M506" s="6" t="b">
        <f>FALSE()</f>
        <v>0</v>
      </c>
      <c r="O506" s="4">
        <v>2.23001440015921</v>
      </c>
      <c r="T506" s="4" t="str">
        <f t="shared" si="3"/>
        <v/>
      </c>
      <c r="U506" s="4" t="str">
        <f t="shared" si="4"/>
        <v/>
      </c>
    </row>
    <row r="507" ht="15.75" customHeight="1">
      <c r="A507" s="4" t="s">
        <v>1950</v>
      </c>
      <c r="B507" s="4" t="s">
        <v>13</v>
      </c>
      <c r="D507" s="4">
        <v>0.008</v>
      </c>
      <c r="E507" s="4">
        <v>0.007</v>
      </c>
      <c r="F507" s="4">
        <v>0.08</v>
      </c>
      <c r="G507" s="4">
        <v>0.008</v>
      </c>
      <c r="H507" s="4">
        <v>0.007</v>
      </c>
      <c r="K507" s="6" t="b">
        <f t="shared" si="492"/>
        <v>0</v>
      </c>
      <c r="L507" s="6" t="b">
        <f t="shared" ref="L507:M507" si="493">FALSE()</f>
        <v>0</v>
      </c>
      <c r="M507" s="6" t="b">
        <f t="shared" si="493"/>
        <v>0</v>
      </c>
      <c r="O507" s="4">
        <v>0.0769610411361283</v>
      </c>
      <c r="T507" s="4" t="str">
        <f t="shared" si="3"/>
        <v/>
      </c>
      <c r="U507" s="4" t="str">
        <f t="shared" si="4"/>
        <v/>
      </c>
    </row>
    <row r="508" ht="15.75" customHeight="1">
      <c r="A508" s="4" t="s">
        <v>1951</v>
      </c>
      <c r="B508" s="4" t="s">
        <v>13</v>
      </c>
      <c r="D508" s="4">
        <v>0.06</v>
      </c>
      <c r="E508" s="4">
        <v>0.06</v>
      </c>
      <c r="F508" s="4">
        <v>0.64</v>
      </c>
      <c r="G508" s="4">
        <v>0.06</v>
      </c>
      <c r="H508" s="4">
        <v>0.06</v>
      </c>
      <c r="K508" s="6" t="b">
        <f t="shared" si="492"/>
        <v>0</v>
      </c>
      <c r="L508" s="6" t="b">
        <f t="shared" ref="L508:M508" si="494">FALSE()</f>
        <v>0</v>
      </c>
      <c r="M508" s="6" t="b">
        <f t="shared" si="494"/>
        <v>0</v>
      </c>
      <c r="O508" s="4">
        <v>0.494696241836107</v>
      </c>
      <c r="T508" s="4" t="str">
        <f t="shared" si="3"/>
        <v/>
      </c>
      <c r="U508" s="4" t="str">
        <f t="shared" si="4"/>
        <v/>
      </c>
    </row>
    <row r="509" ht="15.75" customHeight="1">
      <c r="A509" s="4" t="s">
        <v>1952</v>
      </c>
      <c r="B509" s="4" t="s">
        <v>13</v>
      </c>
      <c r="C509" s="4">
        <v>10.0</v>
      </c>
      <c r="D509" s="4">
        <v>0.73</v>
      </c>
      <c r="E509" s="4">
        <v>0.78</v>
      </c>
      <c r="F509" s="4">
        <v>7.56</v>
      </c>
      <c r="K509" s="6" t="b">
        <f t="shared" ref="K509:L509" si="495">TRUE()</f>
        <v>1</v>
      </c>
      <c r="L509" s="6" t="b">
        <f t="shared" si="495"/>
        <v>1</v>
      </c>
      <c r="M509" s="6" t="b">
        <f t="shared" ref="M509:M510" si="496">FALSE()</f>
        <v>0</v>
      </c>
      <c r="N509" s="4">
        <v>2.39789527279837</v>
      </c>
      <c r="O509" s="4">
        <v>2.14710019015365</v>
      </c>
      <c r="T509" s="4">
        <f t="shared" si="3"/>
        <v>57</v>
      </c>
      <c r="U509" s="4" t="str">
        <f t="shared" si="4"/>
        <v/>
      </c>
    </row>
    <row r="510" ht="15.75" customHeight="1">
      <c r="A510" s="4" t="s">
        <v>1953</v>
      </c>
      <c r="B510" s="4" t="s">
        <v>13</v>
      </c>
      <c r="D510" s="4">
        <v>0.8</v>
      </c>
      <c r="E510" s="4">
        <v>0.8</v>
      </c>
      <c r="F510" s="4">
        <v>11.0</v>
      </c>
      <c r="G510" s="4">
        <v>0.8</v>
      </c>
      <c r="H510" s="4">
        <v>0.8</v>
      </c>
      <c r="K510" s="6" t="b">
        <f t="shared" ref="K510:K515" si="497">FALSE()</f>
        <v>0</v>
      </c>
      <c r="L510" s="6" t="b">
        <f>TRUE()</f>
        <v>1</v>
      </c>
      <c r="M510" s="6" t="b">
        <f t="shared" si="496"/>
        <v>0</v>
      </c>
      <c r="O510" s="4">
        <v>2.484906649788</v>
      </c>
      <c r="T510" s="4" t="str">
        <f t="shared" si="3"/>
        <v/>
      </c>
      <c r="U510" s="4" t="str">
        <f t="shared" si="4"/>
        <v/>
      </c>
    </row>
    <row r="511" ht="15.75" customHeight="1">
      <c r="A511" s="4" t="s">
        <v>387</v>
      </c>
      <c r="B511" s="4" t="s">
        <v>13</v>
      </c>
      <c r="C511" s="4">
        <v>0.033</v>
      </c>
      <c r="D511" s="4">
        <v>0.0098</v>
      </c>
      <c r="E511" s="4">
        <v>0.0098</v>
      </c>
      <c r="I511" s="4">
        <v>0.214</v>
      </c>
      <c r="J511" s="4">
        <v>0.018</v>
      </c>
      <c r="K511" s="6" t="b">
        <f t="shared" si="497"/>
        <v>0</v>
      </c>
      <c r="L511" s="6" t="b">
        <f t="shared" ref="L511:M511" si="498">FALSE()</f>
        <v>0</v>
      </c>
      <c r="M511" s="6" t="b">
        <f t="shared" si="498"/>
        <v>0</v>
      </c>
      <c r="N511" s="4">
        <v>0.0324671901375014</v>
      </c>
      <c r="P511" s="4">
        <v>0.193920692637307</v>
      </c>
      <c r="T511" s="4">
        <f t="shared" si="3"/>
        <v>1510</v>
      </c>
      <c r="U511" s="4">
        <f t="shared" si="4"/>
        <v>2344</v>
      </c>
    </row>
    <row r="512" ht="15.75" customHeight="1">
      <c r="A512" s="4" t="s">
        <v>388</v>
      </c>
      <c r="B512" s="4" t="s">
        <v>13</v>
      </c>
      <c r="C512" s="4">
        <v>0.038</v>
      </c>
      <c r="D512" s="4">
        <v>0.012</v>
      </c>
      <c r="E512" s="4">
        <v>0.012</v>
      </c>
      <c r="I512" s="4">
        <v>0.3908</v>
      </c>
      <c r="J512" s="4">
        <v>0.008</v>
      </c>
      <c r="K512" s="6" t="b">
        <f t="shared" si="497"/>
        <v>0</v>
      </c>
      <c r="L512" s="6" t="b">
        <f t="shared" ref="L512:M512" si="499">FALSE()</f>
        <v>0</v>
      </c>
      <c r="M512" s="6" t="b">
        <f t="shared" si="499"/>
        <v>0</v>
      </c>
      <c r="N512" s="4">
        <v>0.0372957847436968</v>
      </c>
      <c r="P512" s="4">
        <v>0.329879121151569</v>
      </c>
      <c r="T512" s="4">
        <f t="shared" si="3"/>
        <v>1465</v>
      </c>
      <c r="U512" s="4">
        <f t="shared" si="4"/>
        <v>1128</v>
      </c>
    </row>
    <row r="513" ht="15.75" customHeight="1">
      <c r="A513" s="4" t="s">
        <v>1954</v>
      </c>
      <c r="B513" s="4" t="s">
        <v>13</v>
      </c>
      <c r="D513" s="4">
        <v>0.18</v>
      </c>
      <c r="E513" s="4">
        <v>0.18</v>
      </c>
      <c r="F513" s="4">
        <v>0.93</v>
      </c>
      <c r="G513" s="4">
        <v>0.18</v>
      </c>
      <c r="H513" s="4">
        <v>0.18</v>
      </c>
      <c r="K513" s="6" t="b">
        <f t="shared" si="497"/>
        <v>0</v>
      </c>
      <c r="L513" s="6" t="b">
        <f t="shared" ref="L513:M513" si="500">FALSE()</f>
        <v>0</v>
      </c>
      <c r="M513" s="6" t="b">
        <f t="shared" si="500"/>
        <v>0</v>
      </c>
      <c r="O513" s="4">
        <v>0.657520002916794</v>
      </c>
      <c r="T513" s="4" t="str">
        <f t="shared" si="3"/>
        <v/>
      </c>
      <c r="U513" s="4" t="str">
        <f t="shared" si="4"/>
        <v/>
      </c>
    </row>
    <row r="514" ht="15.75" customHeight="1">
      <c r="A514" s="4" t="s">
        <v>1955</v>
      </c>
      <c r="B514" s="4" t="s">
        <v>13</v>
      </c>
      <c r="D514" s="4">
        <v>0.14</v>
      </c>
      <c r="E514" s="4">
        <v>0.14</v>
      </c>
      <c r="F514" s="4">
        <v>9.61</v>
      </c>
      <c r="G514" s="4">
        <v>0.14</v>
      </c>
      <c r="H514" s="4">
        <v>0.14</v>
      </c>
      <c r="K514" s="6" t="b">
        <f t="shared" si="497"/>
        <v>0</v>
      </c>
      <c r="L514" s="6" t="b">
        <f t="shared" ref="L514:L515" si="501">TRUE()</f>
        <v>1</v>
      </c>
      <c r="M514" s="6" t="b">
        <f t="shared" ref="M514:M515" si="502">FALSE()</f>
        <v>0</v>
      </c>
      <c r="O514" s="4">
        <v>2.36179695262589</v>
      </c>
      <c r="T514" s="4" t="str">
        <f t="shared" si="3"/>
        <v/>
      </c>
      <c r="U514" s="4" t="str">
        <f t="shared" si="4"/>
        <v/>
      </c>
    </row>
    <row r="515" ht="15.75" customHeight="1">
      <c r="A515" s="4" t="s">
        <v>1956</v>
      </c>
      <c r="B515" s="4" t="s">
        <v>13</v>
      </c>
      <c r="D515" s="4">
        <v>1.1</v>
      </c>
      <c r="E515" s="4">
        <v>1.1</v>
      </c>
      <c r="F515" s="4">
        <v>8.5</v>
      </c>
      <c r="G515" s="4">
        <v>1.1</v>
      </c>
      <c r="H515" s="4">
        <v>1.1</v>
      </c>
      <c r="K515" s="6" t="b">
        <f t="shared" si="497"/>
        <v>0</v>
      </c>
      <c r="L515" s="6" t="b">
        <f t="shared" si="501"/>
        <v>1</v>
      </c>
      <c r="M515" s="6" t="b">
        <f t="shared" si="502"/>
        <v>0</v>
      </c>
      <c r="O515" s="4">
        <v>2.2512917986065</v>
      </c>
      <c r="T515" s="4" t="str">
        <f t="shared" si="3"/>
        <v/>
      </c>
      <c r="U515" s="4" t="str">
        <f t="shared" si="4"/>
        <v/>
      </c>
    </row>
    <row r="516" ht="15.75" customHeight="1">
      <c r="A516" s="4" t="s">
        <v>1957</v>
      </c>
      <c r="B516" s="4" t="s">
        <v>13</v>
      </c>
      <c r="C516" s="4">
        <v>11.0</v>
      </c>
      <c r="D516" s="4">
        <v>2.0</v>
      </c>
      <c r="E516" s="4">
        <v>2.0</v>
      </c>
      <c r="K516" s="6" t="b">
        <f>TRUE()</f>
        <v>1</v>
      </c>
      <c r="L516" s="6" t="b">
        <f t="shared" ref="L516:M516" si="503">FALSE()</f>
        <v>0</v>
      </c>
      <c r="M516" s="6" t="b">
        <f t="shared" si="503"/>
        <v>0</v>
      </c>
      <c r="N516" s="4">
        <v>2.484906649788</v>
      </c>
      <c r="T516" s="4">
        <f t="shared" si="3"/>
        <v>34</v>
      </c>
      <c r="U516" s="4" t="str">
        <f t="shared" si="4"/>
        <v/>
      </c>
    </row>
    <row r="517" ht="15.75" customHeight="1">
      <c r="A517" s="4" t="s">
        <v>1958</v>
      </c>
      <c r="B517" s="4" t="s">
        <v>13</v>
      </c>
      <c r="D517" s="4">
        <v>0.036</v>
      </c>
      <c r="E517" s="4">
        <v>0.036</v>
      </c>
      <c r="F517" s="4">
        <v>0.21</v>
      </c>
      <c r="G517" s="4">
        <v>0.036</v>
      </c>
      <c r="H517" s="4">
        <v>0.036</v>
      </c>
      <c r="K517" s="6" t="b">
        <f t="shared" ref="K517:M517" si="504">FALSE()</f>
        <v>0</v>
      </c>
      <c r="L517" s="6" t="b">
        <f t="shared" si="504"/>
        <v>0</v>
      </c>
      <c r="M517" s="6" t="b">
        <f t="shared" si="504"/>
        <v>0</v>
      </c>
      <c r="O517" s="4">
        <v>0.19062035960865</v>
      </c>
      <c r="T517" s="4" t="str">
        <f t="shared" si="3"/>
        <v/>
      </c>
      <c r="U517" s="4" t="str">
        <f t="shared" si="4"/>
        <v/>
      </c>
    </row>
    <row r="518" ht="15.75" customHeight="1">
      <c r="A518" s="4" t="s">
        <v>1959</v>
      </c>
      <c r="B518" s="4" t="s">
        <v>13</v>
      </c>
      <c r="D518" s="4">
        <v>0.0098</v>
      </c>
      <c r="E518" s="4">
        <v>0.0098</v>
      </c>
      <c r="F518" s="4">
        <v>0.0626</v>
      </c>
      <c r="G518" s="4">
        <v>0.0098</v>
      </c>
      <c r="H518" s="4">
        <v>0.0098</v>
      </c>
      <c r="K518" s="6" t="b">
        <f t="shared" ref="K518:M518" si="505">FALSE()</f>
        <v>0</v>
      </c>
      <c r="L518" s="6" t="b">
        <f t="shared" si="505"/>
        <v>0</v>
      </c>
      <c r="M518" s="6" t="b">
        <f t="shared" si="505"/>
        <v>0</v>
      </c>
      <c r="O518" s="4">
        <v>0.0607187350347058</v>
      </c>
      <c r="T518" s="4" t="str">
        <f t="shared" si="3"/>
        <v/>
      </c>
      <c r="U518" s="4" t="str">
        <f t="shared" si="4"/>
        <v/>
      </c>
    </row>
    <row r="519" ht="15.75" customHeight="1">
      <c r="A519" s="4" t="s">
        <v>1960</v>
      </c>
      <c r="B519" s="4" t="s">
        <v>13</v>
      </c>
      <c r="D519" s="4">
        <v>0.04</v>
      </c>
      <c r="E519" s="4">
        <v>0.04</v>
      </c>
      <c r="F519" s="4">
        <v>0.261</v>
      </c>
      <c r="G519" s="4">
        <v>0.04</v>
      </c>
      <c r="H519" s="4">
        <v>0.04</v>
      </c>
      <c r="K519" s="6" t="b">
        <f t="shared" ref="K519:M519" si="506">FALSE()</f>
        <v>0</v>
      </c>
      <c r="L519" s="6" t="b">
        <f t="shared" si="506"/>
        <v>0</v>
      </c>
      <c r="M519" s="6" t="b">
        <f t="shared" si="506"/>
        <v>0</v>
      </c>
      <c r="O519" s="4">
        <v>0.231905056982783</v>
      </c>
      <c r="T519" s="4" t="str">
        <f t="shared" si="3"/>
        <v/>
      </c>
      <c r="U519" s="4" t="str">
        <f t="shared" si="4"/>
        <v/>
      </c>
    </row>
    <row r="520" ht="15.75" customHeight="1">
      <c r="A520" s="4" t="s">
        <v>1961</v>
      </c>
      <c r="B520" s="4" t="s">
        <v>13</v>
      </c>
      <c r="C520" s="4">
        <v>3.0</v>
      </c>
      <c r="D520" s="4">
        <v>0.5</v>
      </c>
      <c r="E520" s="4">
        <v>0.7</v>
      </c>
      <c r="K520" s="6" t="b">
        <f t="shared" ref="K520:M520" si="507">FALSE()</f>
        <v>0</v>
      </c>
      <c r="L520" s="6" t="b">
        <f t="shared" si="507"/>
        <v>0</v>
      </c>
      <c r="M520" s="6" t="b">
        <f t="shared" si="507"/>
        <v>0</v>
      </c>
      <c r="N520" s="4">
        <v>1.38629436111989</v>
      </c>
      <c r="T520" s="4">
        <f t="shared" si="3"/>
        <v>318</v>
      </c>
      <c r="U520" s="4" t="str">
        <f t="shared" si="4"/>
        <v/>
      </c>
    </row>
    <row r="521" ht="15.75" customHeight="1">
      <c r="A521" s="4" t="s">
        <v>1962</v>
      </c>
      <c r="B521" s="4" t="s">
        <v>13</v>
      </c>
      <c r="I521" s="4">
        <v>0.14149</v>
      </c>
      <c r="J521" s="4">
        <v>0.00874</v>
      </c>
      <c r="K521" s="6" t="b">
        <f t="shared" ref="K521:M521" si="508">FALSE()</f>
        <v>0</v>
      </c>
      <c r="L521" s="6" t="b">
        <f t="shared" si="508"/>
        <v>0</v>
      </c>
      <c r="M521" s="6" t="b">
        <f t="shared" si="508"/>
        <v>0</v>
      </c>
      <c r="P521" s="4">
        <v>0.132334426546362</v>
      </c>
      <c r="T521" s="4" t="str">
        <f t="shared" si="3"/>
        <v/>
      </c>
      <c r="U521" s="4">
        <f t="shared" si="4"/>
        <v>3481</v>
      </c>
    </row>
    <row r="522" ht="15.75" customHeight="1">
      <c r="A522" s="4" t="s">
        <v>1963</v>
      </c>
      <c r="B522" s="4" t="s">
        <v>13</v>
      </c>
      <c r="I522" s="4">
        <v>0.1845</v>
      </c>
      <c r="J522" s="4">
        <v>0.008</v>
      </c>
      <c r="K522" s="6" t="b">
        <f t="shared" ref="K522:M522" si="509">FALSE()</f>
        <v>0</v>
      </c>
      <c r="L522" s="6" t="b">
        <f t="shared" si="509"/>
        <v>0</v>
      </c>
      <c r="M522" s="6" t="b">
        <f t="shared" si="509"/>
        <v>0</v>
      </c>
      <c r="P522" s="4">
        <v>0.169320744616703</v>
      </c>
      <c r="T522" s="4" t="str">
        <f t="shared" si="3"/>
        <v/>
      </c>
      <c r="U522" s="4">
        <f t="shared" si="4"/>
        <v>2831</v>
      </c>
    </row>
    <row r="523" ht="15.75" customHeight="1">
      <c r="A523" s="4" t="s">
        <v>1964</v>
      </c>
      <c r="B523" s="4" t="s">
        <v>13</v>
      </c>
      <c r="I523" s="4">
        <v>0.2427</v>
      </c>
      <c r="J523" s="4">
        <v>0.0098</v>
      </c>
      <c r="K523" s="6" t="b">
        <f t="shared" ref="K523:M523" si="510">FALSE()</f>
        <v>0</v>
      </c>
      <c r="L523" s="6" t="b">
        <f t="shared" si="510"/>
        <v>0</v>
      </c>
      <c r="M523" s="6" t="b">
        <f t="shared" si="510"/>
        <v>0</v>
      </c>
      <c r="P523" s="4">
        <v>0.217286431829812</v>
      </c>
      <c r="T523" s="4" t="str">
        <f t="shared" si="3"/>
        <v/>
      </c>
      <c r="U523" s="4">
        <f t="shared" si="4"/>
        <v>1907</v>
      </c>
    </row>
    <row r="524" ht="15.75" customHeight="1">
      <c r="A524" s="4" t="s">
        <v>1965</v>
      </c>
      <c r="B524" s="4" t="s">
        <v>13</v>
      </c>
      <c r="I524" s="4">
        <v>0.2783</v>
      </c>
      <c r="J524" s="4">
        <v>0.0116</v>
      </c>
      <c r="K524" s="6" t="b">
        <f t="shared" ref="K524:M524" si="511">FALSE()</f>
        <v>0</v>
      </c>
      <c r="L524" s="6" t="b">
        <f t="shared" si="511"/>
        <v>0</v>
      </c>
      <c r="M524" s="6" t="b">
        <f t="shared" si="511"/>
        <v>0</v>
      </c>
      <c r="P524" s="4">
        <v>0.245531070191839</v>
      </c>
      <c r="T524" s="4" t="str">
        <f t="shared" si="3"/>
        <v/>
      </c>
      <c r="U524" s="4">
        <f t="shared" si="4"/>
        <v>1516</v>
      </c>
    </row>
    <row r="525" ht="15.75" customHeight="1">
      <c r="A525" s="4" t="s">
        <v>1966</v>
      </c>
      <c r="B525" s="4" t="s">
        <v>13</v>
      </c>
      <c r="I525" s="4">
        <v>0.17995</v>
      </c>
      <c r="J525" s="4">
        <v>0.00509</v>
      </c>
      <c r="K525" s="6" t="b">
        <f t="shared" ref="K525:M525" si="512">FALSE()</f>
        <v>0</v>
      </c>
      <c r="L525" s="6" t="b">
        <f t="shared" si="512"/>
        <v>0</v>
      </c>
      <c r="M525" s="6" t="b">
        <f t="shared" si="512"/>
        <v>0</v>
      </c>
      <c r="P525" s="4">
        <v>0.165472064698462</v>
      </c>
      <c r="T525" s="4" t="str">
        <f t="shared" si="3"/>
        <v/>
      </c>
      <c r="U525" s="4">
        <f t="shared" si="4"/>
        <v>2892</v>
      </c>
    </row>
    <row r="526" ht="15.75" customHeight="1">
      <c r="A526" s="4" t="s">
        <v>1967</v>
      </c>
      <c r="B526" s="4" t="s">
        <v>13</v>
      </c>
      <c r="D526" s="4">
        <v>3.4</v>
      </c>
      <c r="E526" s="4">
        <v>1.2</v>
      </c>
      <c r="F526" s="4">
        <v>3.5</v>
      </c>
      <c r="G526" s="4">
        <v>3.4</v>
      </c>
      <c r="H526" s="4">
        <v>1.2</v>
      </c>
      <c r="K526" s="6" t="b">
        <f t="shared" ref="K526:M526" si="513">FALSE()</f>
        <v>0</v>
      </c>
      <c r="L526" s="6" t="b">
        <f t="shared" si="513"/>
        <v>0</v>
      </c>
      <c r="M526" s="6" t="b">
        <f t="shared" si="513"/>
        <v>0</v>
      </c>
      <c r="O526" s="4">
        <v>1.50407739677627</v>
      </c>
      <c r="T526" s="4" t="str">
        <f t="shared" si="3"/>
        <v/>
      </c>
      <c r="U526" s="4" t="str">
        <f t="shared" si="4"/>
        <v/>
      </c>
    </row>
    <row r="527" ht="15.75" customHeight="1">
      <c r="A527" s="4" t="s">
        <v>1968</v>
      </c>
      <c r="B527" s="4" t="s">
        <v>13</v>
      </c>
      <c r="D527" s="4">
        <v>0.2</v>
      </c>
      <c r="E527" s="4">
        <v>0.2</v>
      </c>
      <c r="F527" s="4">
        <v>2.6</v>
      </c>
      <c r="G527" s="4">
        <v>0.2</v>
      </c>
      <c r="H527" s="4">
        <v>0.2</v>
      </c>
      <c r="K527" s="6" t="b">
        <f t="shared" ref="K527:M527" si="514">FALSE()</f>
        <v>0</v>
      </c>
      <c r="L527" s="6" t="b">
        <f t="shared" si="514"/>
        <v>0</v>
      </c>
      <c r="M527" s="6" t="b">
        <f t="shared" si="514"/>
        <v>0</v>
      </c>
      <c r="O527" s="4">
        <v>1.28093384546206</v>
      </c>
      <c r="T527" s="4" t="str">
        <f t="shared" si="3"/>
        <v/>
      </c>
      <c r="U527" s="4" t="str">
        <f t="shared" si="4"/>
        <v/>
      </c>
    </row>
    <row r="528" ht="15.75" customHeight="1">
      <c r="A528" s="4" t="s">
        <v>1969</v>
      </c>
      <c r="B528" s="4" t="s">
        <v>13</v>
      </c>
      <c r="D528" s="4">
        <v>0.13</v>
      </c>
      <c r="E528" s="4">
        <v>0.13</v>
      </c>
      <c r="F528" s="4">
        <v>1.36</v>
      </c>
      <c r="G528" s="4">
        <v>0.13</v>
      </c>
      <c r="H528" s="4">
        <v>0.13</v>
      </c>
      <c r="K528" s="6" t="b">
        <f t="shared" ref="K528:M528" si="515">FALSE()</f>
        <v>0</v>
      </c>
      <c r="L528" s="6" t="b">
        <f t="shared" si="515"/>
        <v>0</v>
      </c>
      <c r="M528" s="6" t="b">
        <f t="shared" si="515"/>
        <v>0</v>
      </c>
      <c r="O528" s="4">
        <v>0.858661619037519</v>
      </c>
      <c r="T528" s="4" t="str">
        <f t="shared" si="3"/>
        <v/>
      </c>
      <c r="U528" s="4" t="str">
        <f t="shared" si="4"/>
        <v/>
      </c>
    </row>
    <row r="529" ht="15.75" customHeight="1">
      <c r="A529" s="4" t="s">
        <v>1970</v>
      </c>
      <c r="B529" s="4" t="s">
        <v>13</v>
      </c>
      <c r="D529" s="4">
        <v>0.3</v>
      </c>
      <c r="E529" s="4">
        <v>0.3</v>
      </c>
      <c r="F529" s="4">
        <v>1.018</v>
      </c>
      <c r="G529" s="4">
        <v>0.3</v>
      </c>
      <c r="H529" s="4">
        <v>0.3</v>
      </c>
      <c r="K529" s="6" t="b">
        <f t="shared" ref="K529:M529" si="516">FALSE()</f>
        <v>0</v>
      </c>
      <c r="L529" s="6" t="b">
        <f t="shared" si="516"/>
        <v>0</v>
      </c>
      <c r="M529" s="6" t="b">
        <f t="shared" si="516"/>
        <v>0</v>
      </c>
      <c r="O529" s="4">
        <v>0.702106921931417</v>
      </c>
      <c r="T529" s="4" t="str">
        <f t="shared" si="3"/>
        <v/>
      </c>
      <c r="U529" s="4" t="str">
        <f t="shared" si="4"/>
        <v/>
      </c>
    </row>
    <row r="530" ht="15.75" customHeight="1">
      <c r="A530" s="4" t="s">
        <v>1971</v>
      </c>
      <c r="B530" s="4" t="s">
        <v>13</v>
      </c>
      <c r="D530" s="4">
        <v>0.09</v>
      </c>
      <c r="E530" s="4">
        <v>0.09</v>
      </c>
      <c r="F530" s="4">
        <v>0.77</v>
      </c>
      <c r="G530" s="4">
        <v>0.09</v>
      </c>
      <c r="H530" s="4">
        <v>0.09</v>
      </c>
      <c r="K530" s="6" t="b">
        <f t="shared" ref="K530:M530" si="517">FALSE()</f>
        <v>0</v>
      </c>
      <c r="L530" s="6" t="b">
        <f t="shared" si="517"/>
        <v>0</v>
      </c>
      <c r="M530" s="6" t="b">
        <f t="shared" si="517"/>
        <v>0</v>
      </c>
      <c r="O530" s="4">
        <v>0.570979546585738</v>
      </c>
      <c r="T530" s="4" t="str">
        <f t="shared" si="3"/>
        <v/>
      </c>
      <c r="U530" s="4" t="str">
        <f t="shared" si="4"/>
        <v/>
      </c>
    </row>
    <row r="531" ht="15.75" customHeight="1">
      <c r="A531" s="4" t="s">
        <v>1972</v>
      </c>
      <c r="B531" s="4" t="s">
        <v>13</v>
      </c>
      <c r="D531" s="4">
        <v>0.004</v>
      </c>
      <c r="E531" s="4">
        <v>0.004</v>
      </c>
      <c r="F531" s="4">
        <v>0.054</v>
      </c>
      <c r="G531" s="4">
        <v>0.004</v>
      </c>
      <c r="H531" s="4">
        <v>0.004</v>
      </c>
      <c r="K531" s="6" t="b">
        <f t="shared" ref="K531:M531" si="518">FALSE()</f>
        <v>0</v>
      </c>
      <c r="L531" s="6" t="b">
        <f t="shared" si="518"/>
        <v>0</v>
      </c>
      <c r="M531" s="6" t="b">
        <f t="shared" si="518"/>
        <v>0</v>
      </c>
      <c r="O531" s="4">
        <v>0.0525924501191705</v>
      </c>
      <c r="T531" s="4" t="str">
        <f t="shared" si="3"/>
        <v/>
      </c>
      <c r="U531" s="4" t="str">
        <f t="shared" si="4"/>
        <v/>
      </c>
    </row>
    <row r="532" ht="15.75" customHeight="1">
      <c r="A532" s="4" t="s">
        <v>1973</v>
      </c>
      <c r="B532" s="4" t="s">
        <v>13</v>
      </c>
      <c r="D532" s="4">
        <v>0.007</v>
      </c>
      <c r="E532" s="4">
        <v>0.007</v>
      </c>
      <c r="F532" s="4">
        <v>0.076</v>
      </c>
      <c r="G532" s="4">
        <v>0.007</v>
      </c>
      <c r="H532" s="4">
        <v>0.007</v>
      </c>
      <c r="K532" s="6" t="b">
        <f t="shared" ref="K532:M532" si="519">FALSE()</f>
        <v>0</v>
      </c>
      <c r="L532" s="6" t="b">
        <f t="shared" si="519"/>
        <v>0</v>
      </c>
      <c r="M532" s="6" t="b">
        <f t="shared" si="519"/>
        <v>0</v>
      </c>
      <c r="O532" s="4">
        <v>0.0732504617395926</v>
      </c>
      <c r="T532" s="4" t="str">
        <f t="shared" si="3"/>
        <v/>
      </c>
      <c r="U532" s="4" t="str">
        <f t="shared" si="4"/>
        <v/>
      </c>
    </row>
    <row r="533" ht="15.75" customHeight="1">
      <c r="A533" s="4" t="s">
        <v>1974</v>
      </c>
      <c r="B533" s="4" t="s">
        <v>13</v>
      </c>
      <c r="D533" s="4">
        <v>0.15</v>
      </c>
      <c r="E533" s="4">
        <v>0.15</v>
      </c>
      <c r="F533" s="4">
        <v>2.99</v>
      </c>
      <c r="G533" s="4">
        <v>0.15</v>
      </c>
      <c r="H533" s="4">
        <v>0.15</v>
      </c>
      <c r="K533" s="6" t="b">
        <f t="shared" ref="K533:M533" si="520">FALSE()</f>
        <v>0</v>
      </c>
      <c r="L533" s="6" t="b">
        <f t="shared" si="520"/>
        <v>0</v>
      </c>
      <c r="M533" s="6" t="b">
        <f t="shared" si="520"/>
        <v>0</v>
      </c>
      <c r="O533" s="4">
        <v>1.38379123090177</v>
      </c>
      <c r="T533" s="4" t="str">
        <f t="shared" si="3"/>
        <v/>
      </c>
      <c r="U533" s="4" t="str">
        <f t="shared" si="4"/>
        <v/>
      </c>
    </row>
    <row r="534" ht="15.75" customHeight="1">
      <c r="A534" s="4" t="s">
        <v>1975</v>
      </c>
      <c r="B534" s="4" t="s">
        <v>13</v>
      </c>
      <c r="D534" s="4">
        <v>0.016</v>
      </c>
      <c r="E534" s="4">
        <v>0.016</v>
      </c>
      <c r="F534" s="4">
        <v>0.28</v>
      </c>
      <c r="G534" s="4">
        <v>0.016</v>
      </c>
      <c r="H534" s="4">
        <v>0.016</v>
      </c>
      <c r="I534" s="4">
        <v>0.99</v>
      </c>
      <c r="K534" s="6" t="b">
        <f t="shared" ref="K534:L534" si="521">FALSE()</f>
        <v>0</v>
      </c>
      <c r="L534" s="6" t="b">
        <f t="shared" si="521"/>
        <v>0</v>
      </c>
      <c r="M534" s="6" t="b">
        <f>TRUE()</f>
        <v>1</v>
      </c>
      <c r="O534" s="4">
        <v>0.246860077931526</v>
      </c>
      <c r="P534" s="4">
        <v>0.688134638736401</v>
      </c>
      <c r="T534" s="4" t="str">
        <f t="shared" si="3"/>
        <v/>
      </c>
      <c r="U534" s="4">
        <f t="shared" si="4"/>
        <v>683</v>
      </c>
    </row>
    <row r="535" ht="15.75" customHeight="1">
      <c r="A535" s="4" t="s">
        <v>1976</v>
      </c>
      <c r="B535" s="4" t="s">
        <v>13</v>
      </c>
      <c r="D535" s="4">
        <v>0.15</v>
      </c>
      <c r="E535" s="4">
        <v>0.06</v>
      </c>
      <c r="F535" s="4">
        <v>0.45</v>
      </c>
      <c r="G535" s="4">
        <v>0.15</v>
      </c>
      <c r="H535" s="4">
        <v>0.06</v>
      </c>
      <c r="K535" s="6" t="b">
        <f t="shared" ref="K535:M535" si="522">FALSE()</f>
        <v>0</v>
      </c>
      <c r="L535" s="6" t="b">
        <f t="shared" si="522"/>
        <v>0</v>
      </c>
      <c r="M535" s="6" t="b">
        <f t="shared" si="522"/>
        <v>0</v>
      </c>
      <c r="O535" s="4">
        <v>0.371563556432483</v>
      </c>
      <c r="T535" s="4" t="str">
        <f t="shared" si="3"/>
        <v/>
      </c>
      <c r="U535" s="4" t="str">
        <f t="shared" si="4"/>
        <v/>
      </c>
    </row>
    <row r="536" ht="15.75" customHeight="1">
      <c r="A536" s="4" t="s">
        <v>389</v>
      </c>
      <c r="B536" s="4" t="s">
        <v>13</v>
      </c>
      <c r="C536" s="4">
        <v>0.0179</v>
      </c>
      <c r="D536" s="4">
        <v>0.00573</v>
      </c>
      <c r="E536" s="4">
        <v>0.0056</v>
      </c>
      <c r="I536" s="4">
        <v>0.19627</v>
      </c>
      <c r="J536" s="4">
        <v>0.0027</v>
      </c>
      <c r="K536" s="6" t="b">
        <f t="shared" ref="K536:M536" si="523">FALSE()</f>
        <v>0</v>
      </c>
      <c r="L536" s="6" t="b">
        <f t="shared" si="523"/>
        <v>0</v>
      </c>
      <c r="M536" s="6" t="b">
        <f t="shared" si="523"/>
        <v>0</v>
      </c>
      <c r="N536" s="4">
        <v>0.0177416814761571</v>
      </c>
      <c r="P536" s="4">
        <v>0.179208382558538</v>
      </c>
      <c r="T536" s="4">
        <f t="shared" si="3"/>
        <v>1776</v>
      </c>
      <c r="U536" s="4">
        <f t="shared" si="4"/>
        <v>2641</v>
      </c>
    </row>
    <row r="537" ht="15.75" customHeight="1">
      <c r="A537" s="4" t="s">
        <v>390</v>
      </c>
      <c r="B537" s="4" t="s">
        <v>13</v>
      </c>
      <c r="C537" s="4">
        <v>0.0198</v>
      </c>
      <c r="D537" s="4">
        <v>0.0198</v>
      </c>
      <c r="E537" s="4">
        <v>0.0</v>
      </c>
      <c r="I537" s="4">
        <v>0.2132</v>
      </c>
      <c r="J537" s="4">
        <v>0.0036</v>
      </c>
      <c r="K537" s="6" t="b">
        <f t="shared" ref="K537:M537" si="524">FALSE()</f>
        <v>0</v>
      </c>
      <c r="L537" s="6" t="b">
        <f t="shared" si="524"/>
        <v>0</v>
      </c>
      <c r="M537" s="6" t="b">
        <f t="shared" si="524"/>
        <v>0</v>
      </c>
      <c r="N537" s="4">
        <v>0.0196065296389183</v>
      </c>
      <c r="P537" s="4">
        <v>0.193261496832289</v>
      </c>
      <c r="T537" s="4">
        <f t="shared" si="3"/>
        <v>1737</v>
      </c>
      <c r="U537" s="4">
        <f t="shared" si="4"/>
        <v>2353</v>
      </c>
    </row>
    <row r="538" ht="15.75" customHeight="1">
      <c r="A538" s="4" t="s">
        <v>391</v>
      </c>
      <c r="B538" s="4" t="s">
        <v>13</v>
      </c>
      <c r="C538" s="4">
        <v>0.02681</v>
      </c>
      <c r="D538" s="4">
        <v>0.0104</v>
      </c>
      <c r="E538" s="4">
        <v>0.0104</v>
      </c>
      <c r="I538" s="4">
        <v>0.2543</v>
      </c>
      <c r="J538" s="4">
        <v>0.0036</v>
      </c>
      <c r="K538" s="6" t="b">
        <f t="shared" ref="K538:M538" si="525">FALSE()</f>
        <v>0</v>
      </c>
      <c r="L538" s="6" t="b">
        <f t="shared" si="525"/>
        <v>0</v>
      </c>
      <c r="M538" s="6" t="b">
        <f t="shared" si="525"/>
        <v>0</v>
      </c>
      <c r="N538" s="4">
        <v>0.0264569089623603</v>
      </c>
      <c r="P538" s="4">
        <v>0.226577648048492</v>
      </c>
      <c r="T538" s="4">
        <f t="shared" si="3"/>
        <v>1608</v>
      </c>
      <c r="U538" s="4">
        <f t="shared" si="4"/>
        <v>1756</v>
      </c>
    </row>
    <row r="539" ht="15.75" customHeight="1">
      <c r="A539" s="4" t="s">
        <v>392</v>
      </c>
      <c r="B539" s="4" t="s">
        <v>13</v>
      </c>
      <c r="C539" s="4">
        <v>0.0123</v>
      </c>
      <c r="D539" s="4">
        <v>0.0123</v>
      </c>
      <c r="E539" s="4">
        <v>0.0</v>
      </c>
      <c r="I539" s="4">
        <v>0.1731</v>
      </c>
      <c r="J539" s="4">
        <v>0.0036</v>
      </c>
      <c r="K539" s="6" t="b">
        <f t="shared" ref="K539:M539" si="526">FALSE()</f>
        <v>0</v>
      </c>
      <c r="L539" s="6" t="b">
        <f t="shared" si="526"/>
        <v>0</v>
      </c>
      <c r="M539" s="6" t="b">
        <f t="shared" si="526"/>
        <v>0</v>
      </c>
      <c r="N539" s="4">
        <v>0.0122249696225689</v>
      </c>
      <c r="P539" s="4">
        <v>0.159649817529538</v>
      </c>
      <c r="T539" s="4">
        <f t="shared" si="3"/>
        <v>1889</v>
      </c>
      <c r="U539" s="4">
        <f t="shared" si="4"/>
        <v>3001</v>
      </c>
    </row>
    <row r="540" ht="15.75" customHeight="1">
      <c r="A540" s="4" t="s">
        <v>393</v>
      </c>
      <c r="B540" s="4" t="s">
        <v>13</v>
      </c>
      <c r="C540" s="4">
        <v>0.01586</v>
      </c>
      <c r="D540" s="4">
        <v>0.0061</v>
      </c>
      <c r="E540" s="4">
        <v>0.006</v>
      </c>
      <c r="I540" s="4">
        <v>0.232</v>
      </c>
      <c r="J540" s="4">
        <v>0.0036</v>
      </c>
      <c r="K540" s="6" t="b">
        <f t="shared" ref="K540:M540" si="527">FALSE()</f>
        <v>0</v>
      </c>
      <c r="L540" s="6" t="b">
        <f t="shared" si="527"/>
        <v>0</v>
      </c>
      <c r="M540" s="6" t="b">
        <f t="shared" si="527"/>
        <v>0</v>
      </c>
      <c r="N540" s="4">
        <v>0.0157355443860583</v>
      </c>
      <c r="P540" s="4">
        <v>0.208638865111328</v>
      </c>
      <c r="T540" s="4">
        <f t="shared" si="3"/>
        <v>1810</v>
      </c>
      <c r="U540" s="4">
        <f t="shared" si="4"/>
        <v>2067</v>
      </c>
    </row>
    <row r="541" ht="15.75" customHeight="1">
      <c r="A541" s="4" t="s">
        <v>394</v>
      </c>
      <c r="B541" s="4" t="s">
        <v>13</v>
      </c>
      <c r="C541" s="4">
        <v>0.0264</v>
      </c>
      <c r="D541" s="4">
        <v>0.0264</v>
      </c>
      <c r="E541" s="4">
        <v>0.0</v>
      </c>
      <c r="I541" s="4">
        <v>0.23258</v>
      </c>
      <c r="J541" s="4">
        <v>0.0045</v>
      </c>
      <c r="K541" s="6" t="b">
        <f t="shared" ref="K541:M541" si="528">FALSE()</f>
        <v>0</v>
      </c>
      <c r="L541" s="6" t="b">
        <f t="shared" si="528"/>
        <v>0</v>
      </c>
      <c r="M541" s="6" t="b">
        <f t="shared" si="528"/>
        <v>0</v>
      </c>
      <c r="N541" s="4">
        <v>0.0260575343192896</v>
      </c>
      <c r="P541" s="4">
        <v>0.209109533550338</v>
      </c>
      <c r="T541" s="4">
        <f t="shared" si="3"/>
        <v>1611</v>
      </c>
      <c r="U541" s="4">
        <f t="shared" si="4"/>
        <v>2065</v>
      </c>
    </row>
    <row r="542" ht="15.75" customHeight="1">
      <c r="A542" s="4" t="s">
        <v>395</v>
      </c>
      <c r="B542" s="4" t="s">
        <v>13</v>
      </c>
      <c r="C542" s="4">
        <v>0.01432</v>
      </c>
      <c r="D542" s="4">
        <v>0.00195</v>
      </c>
      <c r="E542" s="4">
        <v>0.00195</v>
      </c>
      <c r="I542" s="4">
        <v>0.1829</v>
      </c>
      <c r="J542" s="4">
        <v>0.0107</v>
      </c>
      <c r="K542" s="6" t="b">
        <f t="shared" ref="K542:M542" si="529">FALSE()</f>
        <v>0</v>
      </c>
      <c r="L542" s="6" t="b">
        <f t="shared" si="529"/>
        <v>0</v>
      </c>
      <c r="M542" s="6" t="b">
        <f t="shared" si="529"/>
        <v>0</v>
      </c>
      <c r="N542" s="4">
        <v>0.0142184372375554</v>
      </c>
      <c r="P542" s="4">
        <v>0.167969050569554</v>
      </c>
      <c r="T542" s="4">
        <f t="shared" si="3"/>
        <v>1838</v>
      </c>
      <c r="U542" s="4">
        <f t="shared" si="4"/>
        <v>2858</v>
      </c>
    </row>
    <row r="543" ht="15.75" customHeight="1">
      <c r="A543" s="4" t="s">
        <v>1977</v>
      </c>
      <c r="B543" s="4" t="s">
        <v>13</v>
      </c>
      <c r="D543" s="4">
        <v>0.0038</v>
      </c>
      <c r="E543" s="4">
        <v>0.0038</v>
      </c>
      <c r="F543" s="4">
        <v>0.033</v>
      </c>
      <c r="G543" s="4">
        <v>0.0038</v>
      </c>
      <c r="H543" s="4">
        <v>0.0038</v>
      </c>
      <c r="K543" s="6" t="b">
        <f t="shared" ref="K543:M543" si="530">FALSE()</f>
        <v>0</v>
      </c>
      <c r="L543" s="6" t="b">
        <f t="shared" si="530"/>
        <v>0</v>
      </c>
      <c r="M543" s="6" t="b">
        <f t="shared" si="530"/>
        <v>0</v>
      </c>
      <c r="O543" s="4">
        <v>0.0324671901375014</v>
      </c>
      <c r="T543" s="4" t="str">
        <f t="shared" si="3"/>
        <v/>
      </c>
      <c r="U543" s="4" t="str">
        <f t="shared" si="4"/>
        <v/>
      </c>
    </row>
    <row r="544" ht="15.75" customHeight="1">
      <c r="A544" s="4" t="s">
        <v>1978</v>
      </c>
      <c r="B544" s="4" t="s">
        <v>13</v>
      </c>
      <c r="C544" s="4">
        <v>8.176</v>
      </c>
      <c r="D544" s="4">
        <v>3.2</v>
      </c>
      <c r="E544" s="4">
        <v>0.627</v>
      </c>
      <c r="K544" s="6" t="b">
        <f t="shared" ref="K544:K545" si="532">TRUE()</f>
        <v>1</v>
      </c>
      <c r="L544" s="6" t="b">
        <f t="shared" ref="L544:M544" si="531">FALSE()</f>
        <v>0</v>
      </c>
      <c r="M544" s="6" t="b">
        <f t="shared" si="531"/>
        <v>0</v>
      </c>
      <c r="N544" s="4">
        <v>2.21659137982707</v>
      </c>
      <c r="T544" s="4">
        <f t="shared" si="3"/>
        <v>102</v>
      </c>
      <c r="U544" s="4" t="str">
        <f t="shared" si="4"/>
        <v/>
      </c>
    </row>
    <row r="545" ht="15.75" customHeight="1">
      <c r="A545" s="4" t="s">
        <v>1979</v>
      </c>
      <c r="B545" s="4" t="s">
        <v>13</v>
      </c>
      <c r="C545" s="4">
        <v>7.965</v>
      </c>
      <c r="D545" s="4">
        <v>0.479</v>
      </c>
      <c r="E545" s="4">
        <v>1.128</v>
      </c>
      <c r="F545" s="4">
        <v>6.8</v>
      </c>
      <c r="K545" s="6" t="b">
        <f t="shared" si="532"/>
        <v>1</v>
      </c>
      <c r="L545" s="6" t="b">
        <f>TRUE()</f>
        <v>1</v>
      </c>
      <c r="M545" s="6" t="b">
        <f>FALSE()</f>
        <v>0</v>
      </c>
      <c r="N545" s="4">
        <v>2.1933281070571</v>
      </c>
      <c r="O545" s="4">
        <v>2.05412373369555</v>
      </c>
      <c r="T545" s="4">
        <f t="shared" si="3"/>
        <v>110</v>
      </c>
      <c r="U545" s="4" t="str">
        <f t="shared" si="4"/>
        <v/>
      </c>
    </row>
    <row r="546" ht="15.75" customHeight="1">
      <c r="A546" s="4" t="s">
        <v>1980</v>
      </c>
      <c r="B546" s="4" t="s">
        <v>13</v>
      </c>
      <c r="D546" s="4">
        <v>0.4</v>
      </c>
      <c r="E546" s="4">
        <v>0.4</v>
      </c>
      <c r="F546" s="4">
        <v>4.4</v>
      </c>
      <c r="G546" s="4">
        <v>0.4</v>
      </c>
      <c r="H546" s="4">
        <v>0.4</v>
      </c>
      <c r="K546" s="6" t="b">
        <f t="shared" ref="K546:M546" si="533">FALSE()</f>
        <v>0</v>
      </c>
      <c r="L546" s="6" t="b">
        <f t="shared" si="533"/>
        <v>0</v>
      </c>
      <c r="M546" s="6" t="b">
        <f t="shared" si="533"/>
        <v>0</v>
      </c>
      <c r="O546" s="4">
        <v>1.68639895357023</v>
      </c>
      <c r="T546" s="4" t="str">
        <f t="shared" si="3"/>
        <v/>
      </c>
      <c r="U546" s="4" t="str">
        <f t="shared" si="4"/>
        <v/>
      </c>
    </row>
    <row r="547" ht="15.75" customHeight="1">
      <c r="A547" s="4" t="s">
        <v>1981</v>
      </c>
      <c r="B547" s="4" t="s">
        <v>13</v>
      </c>
      <c r="D547" s="4">
        <v>0.047</v>
      </c>
      <c r="E547" s="4">
        <v>0.041</v>
      </c>
      <c r="F547" s="4">
        <v>0.434</v>
      </c>
      <c r="G547" s="4">
        <v>0.047</v>
      </c>
      <c r="H547" s="4">
        <v>0.041</v>
      </c>
      <c r="K547" s="6" t="b">
        <f t="shared" ref="K547:M547" si="534">FALSE()</f>
        <v>0</v>
      </c>
      <c r="L547" s="6" t="b">
        <f t="shared" si="534"/>
        <v>0</v>
      </c>
      <c r="M547" s="6" t="b">
        <f t="shared" si="534"/>
        <v>0</v>
      </c>
      <c r="O547" s="4">
        <v>0.360467742177429</v>
      </c>
      <c r="T547" s="4" t="str">
        <f t="shared" si="3"/>
        <v/>
      </c>
      <c r="U547" s="4" t="str">
        <f t="shared" si="4"/>
        <v/>
      </c>
    </row>
    <row r="548" ht="15.75" customHeight="1">
      <c r="A548" s="4" t="s">
        <v>1982</v>
      </c>
      <c r="B548" s="4" t="s">
        <v>13</v>
      </c>
      <c r="C548" s="4">
        <v>3.42</v>
      </c>
      <c r="D548" s="4">
        <v>0.84</v>
      </c>
      <c r="E548" s="4">
        <v>1.4</v>
      </c>
      <c r="K548" s="6" t="b">
        <f t="shared" ref="K548:M548" si="535">FALSE()</f>
        <v>0</v>
      </c>
      <c r="L548" s="6" t="b">
        <f t="shared" si="535"/>
        <v>0</v>
      </c>
      <c r="M548" s="6" t="b">
        <f t="shared" si="535"/>
        <v>0</v>
      </c>
      <c r="N548" s="4">
        <v>1.48613969608961</v>
      </c>
      <c r="T548" s="4">
        <f t="shared" si="3"/>
        <v>297</v>
      </c>
      <c r="U548" s="4" t="str">
        <f t="shared" si="4"/>
        <v/>
      </c>
    </row>
    <row r="549" ht="15.75" customHeight="1">
      <c r="A549" s="4" t="s">
        <v>1983</v>
      </c>
      <c r="B549" s="4" t="s">
        <v>13</v>
      </c>
      <c r="D549" s="4">
        <v>1.0</v>
      </c>
      <c r="E549" s="4">
        <v>1.0</v>
      </c>
      <c r="F549" s="4">
        <v>5.0</v>
      </c>
      <c r="G549" s="4">
        <v>1.0</v>
      </c>
      <c r="H549" s="4">
        <v>1.0</v>
      </c>
      <c r="K549" s="6" t="b">
        <f t="shared" ref="K549:M549" si="536">FALSE()</f>
        <v>0</v>
      </c>
      <c r="L549" s="6" t="b">
        <f t="shared" si="536"/>
        <v>0</v>
      </c>
      <c r="M549" s="6" t="b">
        <f t="shared" si="536"/>
        <v>0</v>
      </c>
      <c r="O549" s="4">
        <v>1.79175946922806</v>
      </c>
      <c r="T549" s="4" t="str">
        <f t="shared" si="3"/>
        <v/>
      </c>
      <c r="U549" s="4" t="str">
        <f t="shared" si="4"/>
        <v/>
      </c>
    </row>
    <row r="550" ht="15.75" customHeight="1">
      <c r="A550" s="4" t="s">
        <v>1984</v>
      </c>
      <c r="B550" s="4" t="s">
        <v>13</v>
      </c>
      <c r="D550" s="4">
        <v>0.2</v>
      </c>
      <c r="E550" s="4">
        <v>0.2</v>
      </c>
      <c r="F550" s="4">
        <v>3.1</v>
      </c>
      <c r="G550" s="4">
        <v>0.2</v>
      </c>
      <c r="H550" s="4">
        <v>0.2</v>
      </c>
      <c r="K550" s="6" t="b">
        <f t="shared" ref="K550:M550" si="537">FALSE()</f>
        <v>0</v>
      </c>
      <c r="L550" s="6" t="b">
        <f t="shared" si="537"/>
        <v>0</v>
      </c>
      <c r="M550" s="6" t="b">
        <f t="shared" si="537"/>
        <v>0</v>
      </c>
      <c r="O550" s="4">
        <v>1.41098697371026</v>
      </c>
      <c r="T550" s="4" t="str">
        <f t="shared" si="3"/>
        <v/>
      </c>
      <c r="U550" s="4" t="str">
        <f t="shared" si="4"/>
        <v/>
      </c>
    </row>
    <row r="551" ht="15.75" customHeight="1">
      <c r="A551" s="4" t="s">
        <v>1985</v>
      </c>
      <c r="B551" s="4" t="s">
        <v>13</v>
      </c>
      <c r="D551" s="4">
        <v>0.5</v>
      </c>
      <c r="E551" s="4">
        <v>0.5</v>
      </c>
      <c r="F551" s="4">
        <v>7.2</v>
      </c>
      <c r="G551" s="4">
        <v>0.5</v>
      </c>
      <c r="H551" s="4">
        <v>0.5</v>
      </c>
      <c r="K551" s="6" t="b">
        <f t="shared" ref="K551:K553" si="538">FALSE()</f>
        <v>0</v>
      </c>
      <c r="L551" s="6" t="b">
        <f>TRUE()</f>
        <v>1</v>
      </c>
      <c r="M551" s="6" t="b">
        <f>FALSE()</f>
        <v>0</v>
      </c>
      <c r="O551" s="4">
        <v>2.10413415427021</v>
      </c>
      <c r="T551" s="4" t="str">
        <f t="shared" si="3"/>
        <v/>
      </c>
      <c r="U551" s="4" t="str">
        <f t="shared" si="4"/>
        <v/>
      </c>
    </row>
    <row r="552" ht="15.75" customHeight="1">
      <c r="A552" s="4" t="s">
        <v>1986</v>
      </c>
      <c r="B552" s="4" t="s">
        <v>13</v>
      </c>
      <c r="D552" s="4">
        <v>0.04</v>
      </c>
      <c r="E552" s="4">
        <v>0.04</v>
      </c>
      <c r="F552" s="4">
        <v>0.36</v>
      </c>
      <c r="G552" s="4">
        <v>0.04</v>
      </c>
      <c r="H552" s="4">
        <v>0.04</v>
      </c>
      <c r="K552" s="6" t="b">
        <f t="shared" si="538"/>
        <v>0</v>
      </c>
      <c r="L552" s="6" t="b">
        <f t="shared" ref="L552:M552" si="539">FALSE()</f>
        <v>0</v>
      </c>
      <c r="M552" s="6" t="b">
        <f t="shared" si="539"/>
        <v>0</v>
      </c>
      <c r="O552" s="4">
        <v>0.307484699747961</v>
      </c>
      <c r="T552" s="4" t="str">
        <f t="shared" si="3"/>
        <v/>
      </c>
      <c r="U552" s="4" t="str">
        <f t="shared" si="4"/>
        <v/>
      </c>
    </row>
    <row r="553" ht="15.75" customHeight="1">
      <c r="A553" s="4" t="s">
        <v>1987</v>
      </c>
      <c r="B553" s="4" t="s">
        <v>13</v>
      </c>
      <c r="D553" s="4">
        <v>0.06</v>
      </c>
      <c r="E553" s="4">
        <v>0.06</v>
      </c>
      <c r="F553" s="4">
        <v>0.93</v>
      </c>
      <c r="G553" s="4">
        <v>0.06</v>
      </c>
      <c r="H553" s="4">
        <v>0.06</v>
      </c>
      <c r="K553" s="6" t="b">
        <f t="shared" si="538"/>
        <v>0</v>
      </c>
      <c r="L553" s="6" t="b">
        <f t="shared" ref="L553:M553" si="540">FALSE()</f>
        <v>0</v>
      </c>
      <c r="M553" s="6" t="b">
        <f t="shared" si="540"/>
        <v>0</v>
      </c>
      <c r="O553" s="4">
        <v>0.657520002916794</v>
      </c>
      <c r="T553" s="4" t="str">
        <f t="shared" si="3"/>
        <v/>
      </c>
      <c r="U553" s="4" t="str">
        <f t="shared" si="4"/>
        <v/>
      </c>
    </row>
    <row r="554" ht="15.75" customHeight="1">
      <c r="A554" s="4" t="s">
        <v>396</v>
      </c>
      <c r="B554" s="4" t="s">
        <v>13</v>
      </c>
      <c r="C554" s="4">
        <v>8.0</v>
      </c>
      <c r="D554" s="4">
        <v>1.0</v>
      </c>
      <c r="E554" s="4">
        <v>1.0</v>
      </c>
      <c r="I554" s="4">
        <v>1.0</v>
      </c>
      <c r="J554" s="4">
        <v>0.03</v>
      </c>
      <c r="K554" s="6" t="b">
        <f>TRUE()</f>
        <v>1</v>
      </c>
      <c r="L554" s="6" t="b">
        <f>FALSE()</f>
        <v>0</v>
      </c>
      <c r="M554" s="6" t="b">
        <f>TRUE()</f>
        <v>1</v>
      </c>
      <c r="N554" s="4">
        <v>2.19722457733622</v>
      </c>
      <c r="P554" s="4">
        <v>0.693147180559945</v>
      </c>
      <c r="T554" s="4">
        <f t="shared" si="3"/>
        <v>107</v>
      </c>
      <c r="U554" s="4">
        <f t="shared" si="4"/>
        <v>662</v>
      </c>
    </row>
    <row r="555" ht="15.75" customHeight="1">
      <c r="A555" s="4" t="s">
        <v>1988</v>
      </c>
      <c r="B555" s="4" t="s">
        <v>13</v>
      </c>
      <c r="F555" s="4">
        <v>1.24</v>
      </c>
      <c r="K555" s="6" t="b">
        <f t="shared" ref="K555:M555" si="541">FALSE()</f>
        <v>0</v>
      </c>
      <c r="L555" s="6" t="b">
        <f t="shared" si="541"/>
        <v>0</v>
      </c>
      <c r="M555" s="6" t="b">
        <f t="shared" si="541"/>
        <v>0</v>
      </c>
      <c r="O555" s="4">
        <v>0.806475865866949</v>
      </c>
      <c r="T555" s="4" t="str">
        <f t="shared" si="3"/>
        <v/>
      </c>
      <c r="U555" s="4" t="str">
        <f t="shared" si="4"/>
        <v/>
      </c>
    </row>
    <row r="556" ht="15.75" customHeight="1">
      <c r="A556" s="4" t="s">
        <v>1989</v>
      </c>
      <c r="B556" s="4" t="s">
        <v>13</v>
      </c>
      <c r="F556" s="4">
        <v>1.19</v>
      </c>
      <c r="K556" s="6" t="b">
        <f t="shared" ref="K556:M556" si="542">FALSE()</f>
        <v>0</v>
      </c>
      <c r="L556" s="6" t="b">
        <f t="shared" si="542"/>
        <v>0</v>
      </c>
      <c r="M556" s="6" t="b">
        <f t="shared" si="542"/>
        <v>0</v>
      </c>
      <c r="O556" s="4">
        <v>0.783901543828409</v>
      </c>
      <c r="T556" s="4" t="str">
        <f t="shared" si="3"/>
        <v/>
      </c>
      <c r="U556" s="4" t="str">
        <f t="shared" si="4"/>
        <v/>
      </c>
    </row>
    <row r="557" ht="15.75" customHeight="1">
      <c r="A557" s="4" t="s">
        <v>1990</v>
      </c>
      <c r="B557" s="4" t="s">
        <v>13</v>
      </c>
      <c r="D557" s="4">
        <v>0.032</v>
      </c>
      <c r="E557" s="4">
        <v>0.032</v>
      </c>
      <c r="F557" s="4">
        <v>0.357</v>
      </c>
      <c r="G557" s="4">
        <v>0.032</v>
      </c>
      <c r="H557" s="4">
        <v>0.032</v>
      </c>
      <c r="I557" s="4">
        <v>1.182</v>
      </c>
      <c r="K557" s="6" t="b">
        <f t="shared" ref="K557:L557" si="543">FALSE()</f>
        <v>0</v>
      </c>
      <c r="L557" s="6" t="b">
        <f t="shared" si="543"/>
        <v>0</v>
      </c>
      <c r="M557" s="6" t="b">
        <f>TRUE()</f>
        <v>1</v>
      </c>
      <c r="O557" s="4">
        <v>0.305276380852732</v>
      </c>
      <c r="P557" s="4">
        <v>0.780241887410879</v>
      </c>
      <c r="T557" s="4" t="str">
        <f t="shared" si="3"/>
        <v/>
      </c>
      <c r="U557" s="4">
        <f t="shared" si="4"/>
        <v>412</v>
      </c>
    </row>
    <row r="558" ht="15.75" customHeight="1">
      <c r="A558" s="4" t="s">
        <v>1991</v>
      </c>
      <c r="B558" s="4" t="s">
        <v>13</v>
      </c>
      <c r="F558" s="4">
        <v>0.84</v>
      </c>
      <c r="K558" s="6" t="b">
        <f t="shared" ref="K558:M558" si="544">FALSE()</f>
        <v>0</v>
      </c>
      <c r="L558" s="6" t="b">
        <f t="shared" si="544"/>
        <v>0</v>
      </c>
      <c r="M558" s="6" t="b">
        <f t="shared" si="544"/>
        <v>0</v>
      </c>
      <c r="O558" s="4">
        <v>0.609765571620894</v>
      </c>
      <c r="T558" s="4" t="str">
        <f t="shared" si="3"/>
        <v/>
      </c>
      <c r="U558" s="4" t="str">
        <f t="shared" si="4"/>
        <v/>
      </c>
    </row>
    <row r="559" ht="15.75" customHeight="1">
      <c r="A559" s="4" t="s">
        <v>1992</v>
      </c>
      <c r="B559" s="4" t="s">
        <v>13</v>
      </c>
      <c r="C559" s="4">
        <v>6.3</v>
      </c>
      <c r="D559" s="4">
        <v>2.97</v>
      </c>
      <c r="E559" s="4">
        <v>26.9</v>
      </c>
      <c r="F559" s="4">
        <v>1.1</v>
      </c>
      <c r="G559" s="4">
        <v>0.06</v>
      </c>
      <c r="H559" s="4">
        <v>0.06</v>
      </c>
      <c r="K559" s="6" t="b">
        <f>TRUE()</f>
        <v>1</v>
      </c>
      <c r="L559" s="6" t="b">
        <f t="shared" ref="L559:M559" si="545">FALSE()</f>
        <v>0</v>
      </c>
      <c r="M559" s="6" t="b">
        <f t="shared" si="545"/>
        <v>0</v>
      </c>
      <c r="N559" s="4">
        <v>1.98787434815435</v>
      </c>
      <c r="O559" s="4">
        <v>0.741937344729377</v>
      </c>
      <c r="T559" s="4">
        <f t="shared" si="3"/>
        <v>153</v>
      </c>
      <c r="U559" s="4" t="str">
        <f t="shared" si="4"/>
        <v/>
      </c>
    </row>
    <row r="560" ht="15.75" customHeight="1">
      <c r="A560" s="4" t="s">
        <v>1993</v>
      </c>
      <c r="B560" s="4" t="s">
        <v>13</v>
      </c>
      <c r="C560" s="4">
        <v>1.9</v>
      </c>
      <c r="D560" s="4">
        <v>0.4</v>
      </c>
      <c r="E560" s="4">
        <v>0.5</v>
      </c>
      <c r="F560" s="4">
        <v>0.61</v>
      </c>
      <c r="G560" s="4">
        <v>0.0053</v>
      </c>
      <c r="H560" s="4">
        <v>0.0056</v>
      </c>
      <c r="K560" s="6" t="b">
        <f t="shared" ref="K560:M560" si="546">FALSE()</f>
        <v>0</v>
      </c>
      <c r="L560" s="6" t="b">
        <f t="shared" si="546"/>
        <v>0</v>
      </c>
      <c r="M560" s="6" t="b">
        <f t="shared" si="546"/>
        <v>0</v>
      </c>
      <c r="N560" s="4">
        <v>1.06471073699243</v>
      </c>
      <c r="O560" s="4">
        <v>0.476234178996372</v>
      </c>
      <c r="T560" s="4">
        <f t="shared" si="3"/>
        <v>452</v>
      </c>
      <c r="U560" s="4" t="str">
        <f t="shared" si="4"/>
        <v/>
      </c>
    </row>
    <row r="561" ht="15.75" customHeight="1">
      <c r="A561" s="4" t="s">
        <v>1994</v>
      </c>
      <c r="B561" s="4" t="s">
        <v>13</v>
      </c>
      <c r="C561" s="4">
        <v>7.899</v>
      </c>
      <c r="D561" s="4">
        <v>1.703</v>
      </c>
      <c r="E561" s="4">
        <v>3.245</v>
      </c>
      <c r="K561" s="6" t="b">
        <f t="shared" ref="K561:K562" si="548">TRUE()</f>
        <v>1</v>
      </c>
      <c r="L561" s="6" t="b">
        <f t="shared" ref="L561:M561" si="547">FALSE()</f>
        <v>0</v>
      </c>
      <c r="M561" s="6" t="b">
        <f t="shared" si="547"/>
        <v>0</v>
      </c>
      <c r="N561" s="4">
        <v>2.18593891087473</v>
      </c>
      <c r="T561" s="4">
        <f t="shared" si="3"/>
        <v>113</v>
      </c>
      <c r="U561" s="4" t="str">
        <f t="shared" si="4"/>
        <v/>
      </c>
    </row>
    <row r="562" ht="15.75" customHeight="1">
      <c r="A562" s="4" t="s">
        <v>1995</v>
      </c>
      <c r="B562" s="4" t="s">
        <v>13</v>
      </c>
      <c r="C562" s="4">
        <v>4.88</v>
      </c>
      <c r="D562" s="4">
        <v>0.333</v>
      </c>
      <c r="E562" s="4">
        <v>1.986</v>
      </c>
      <c r="F562" s="4">
        <v>4.83</v>
      </c>
      <c r="G562" s="4">
        <v>0.52</v>
      </c>
      <c r="H562" s="4">
        <v>0.52</v>
      </c>
      <c r="K562" s="6" t="b">
        <f t="shared" si="548"/>
        <v>1</v>
      </c>
      <c r="L562" s="6" t="b">
        <f t="shared" ref="L562:M562" si="549">FALSE()</f>
        <v>0</v>
      </c>
      <c r="M562" s="6" t="b">
        <f t="shared" si="549"/>
        <v>0</v>
      </c>
      <c r="N562" s="4">
        <v>1.77155676191054</v>
      </c>
      <c r="O562" s="4">
        <v>1.7630170003624</v>
      </c>
      <c r="T562" s="4">
        <f t="shared" si="3"/>
        <v>217</v>
      </c>
      <c r="U562" s="4" t="str">
        <f t="shared" si="4"/>
        <v/>
      </c>
    </row>
    <row r="563" ht="15.75" customHeight="1">
      <c r="A563" s="4" t="s">
        <v>1996</v>
      </c>
      <c r="B563" s="4" t="s">
        <v>13</v>
      </c>
      <c r="D563" s="4">
        <v>0.057</v>
      </c>
      <c r="E563" s="4">
        <v>0.057</v>
      </c>
      <c r="F563" s="4">
        <v>0.408</v>
      </c>
      <c r="G563" s="4">
        <v>0.057</v>
      </c>
      <c r="H563" s="4">
        <v>0.057</v>
      </c>
      <c r="K563" s="6" t="b">
        <f t="shared" ref="K563:M563" si="550">FALSE()</f>
        <v>0</v>
      </c>
      <c r="L563" s="6" t="b">
        <f t="shared" si="550"/>
        <v>0</v>
      </c>
      <c r="M563" s="6" t="b">
        <f t="shared" si="550"/>
        <v>0</v>
      </c>
      <c r="O563" s="4">
        <v>0.342170257735851</v>
      </c>
      <c r="T563" s="4" t="str">
        <f t="shared" si="3"/>
        <v/>
      </c>
      <c r="U563" s="4" t="str">
        <f t="shared" si="4"/>
        <v/>
      </c>
    </row>
    <row r="564" ht="15.75" customHeight="1">
      <c r="A564" s="4" t="s">
        <v>1997</v>
      </c>
      <c r="B564" s="4" t="s">
        <v>13</v>
      </c>
      <c r="C564" s="4">
        <v>12.8</v>
      </c>
      <c r="D564" s="4">
        <v>0.3</v>
      </c>
      <c r="E564" s="4">
        <v>0.6</v>
      </c>
      <c r="K564" s="6" t="b">
        <f>TRUE()</f>
        <v>1</v>
      </c>
      <c r="L564" s="6" t="b">
        <f t="shared" ref="L564:M564" si="551">FALSE()</f>
        <v>0</v>
      </c>
      <c r="M564" s="6" t="b">
        <f t="shared" si="551"/>
        <v>0</v>
      </c>
      <c r="N564" s="4">
        <v>2.62466859216316</v>
      </c>
      <c r="T564" s="4">
        <f t="shared" si="3"/>
        <v>4</v>
      </c>
      <c r="U564" s="4" t="str">
        <f t="shared" si="4"/>
        <v/>
      </c>
    </row>
    <row r="565" ht="15.75" customHeight="1">
      <c r="A565" s="4" t="s">
        <v>1998</v>
      </c>
      <c r="B565" s="4" t="s">
        <v>13</v>
      </c>
      <c r="D565" s="4">
        <v>0.022</v>
      </c>
      <c r="E565" s="4">
        <v>0.02</v>
      </c>
      <c r="F565" s="4">
        <v>0.097</v>
      </c>
      <c r="G565" s="4">
        <v>0.022</v>
      </c>
      <c r="H565" s="4">
        <v>0.02</v>
      </c>
      <c r="K565" s="6" t="b">
        <f t="shared" ref="K565:M565" si="552">FALSE()</f>
        <v>0</v>
      </c>
      <c r="L565" s="6" t="b">
        <f t="shared" si="552"/>
        <v>0</v>
      </c>
      <c r="M565" s="6" t="b">
        <f t="shared" si="552"/>
        <v>0</v>
      </c>
      <c r="O565" s="4">
        <v>0.0925791812930932</v>
      </c>
      <c r="T565" s="4" t="str">
        <f t="shared" si="3"/>
        <v/>
      </c>
      <c r="U565" s="4" t="str">
        <f t="shared" si="4"/>
        <v/>
      </c>
    </row>
    <row r="566" ht="15.75" customHeight="1">
      <c r="A566" s="4" t="s">
        <v>1999</v>
      </c>
      <c r="B566" s="4" t="s">
        <v>13</v>
      </c>
      <c r="C566" s="4">
        <v>10.319</v>
      </c>
      <c r="D566" s="4">
        <v>1.209</v>
      </c>
      <c r="E566" s="4">
        <v>1.473</v>
      </c>
      <c r="K566" s="6" t="b">
        <f>TRUE()</f>
        <v>1</v>
      </c>
      <c r="L566" s="6" t="b">
        <f t="shared" ref="L566:M566" si="553">FALSE()</f>
        <v>0</v>
      </c>
      <c r="M566" s="6" t="b">
        <f t="shared" si="553"/>
        <v>0</v>
      </c>
      <c r="N566" s="4">
        <v>2.42648272965028</v>
      </c>
      <c r="T566" s="4">
        <f t="shared" si="3"/>
        <v>48</v>
      </c>
      <c r="U566" s="4" t="str">
        <f t="shared" si="4"/>
        <v/>
      </c>
    </row>
    <row r="567" ht="15.75" customHeight="1">
      <c r="A567" s="4" t="s">
        <v>397</v>
      </c>
      <c r="B567" s="4" t="s">
        <v>13</v>
      </c>
      <c r="C567" s="4">
        <v>0.7</v>
      </c>
      <c r="I567" s="4">
        <v>0.49</v>
      </c>
      <c r="K567" s="6" t="b">
        <f t="shared" ref="K567:M567" si="554">FALSE()</f>
        <v>0</v>
      </c>
      <c r="L567" s="6" t="b">
        <f t="shared" si="554"/>
        <v>0</v>
      </c>
      <c r="M567" s="6" t="b">
        <f t="shared" si="554"/>
        <v>0</v>
      </c>
      <c r="N567" s="4">
        <v>0.53062825106217</v>
      </c>
      <c r="P567" s="4">
        <v>0.398776119957368</v>
      </c>
      <c r="T567" s="4">
        <f t="shared" si="3"/>
        <v>818</v>
      </c>
      <c r="U567" s="4">
        <f t="shared" si="4"/>
        <v>1021</v>
      </c>
    </row>
    <row r="568" ht="15.75" customHeight="1">
      <c r="A568" s="4" t="s">
        <v>2000</v>
      </c>
      <c r="B568" s="4" t="s">
        <v>13</v>
      </c>
      <c r="C568" s="4">
        <v>8.5</v>
      </c>
      <c r="D568" s="4">
        <v>0.4</v>
      </c>
      <c r="E568" s="4">
        <v>0.6</v>
      </c>
      <c r="F568" s="4">
        <v>8.29</v>
      </c>
      <c r="G568" s="4">
        <v>0.58</v>
      </c>
      <c r="H568" s="4">
        <v>0.75</v>
      </c>
      <c r="K568" s="6" t="b">
        <f t="shared" ref="K568:L568" si="555">TRUE()</f>
        <v>1</v>
      </c>
      <c r="L568" s="6" t="b">
        <f t="shared" si="555"/>
        <v>1</v>
      </c>
      <c r="M568" s="6" t="b">
        <f>FALSE()</f>
        <v>0</v>
      </c>
      <c r="N568" s="4">
        <v>2.2512917986065</v>
      </c>
      <c r="O568" s="4">
        <v>2.22893855282575</v>
      </c>
      <c r="T568" s="4">
        <f t="shared" si="3"/>
        <v>90</v>
      </c>
      <c r="U568" s="4" t="str">
        <f t="shared" si="4"/>
        <v/>
      </c>
    </row>
    <row r="569" ht="15.75" customHeight="1">
      <c r="A569" s="4" t="s">
        <v>2001</v>
      </c>
      <c r="B569" s="4" t="s">
        <v>13</v>
      </c>
      <c r="D569" s="4">
        <v>0.2</v>
      </c>
      <c r="E569" s="4">
        <v>0.2</v>
      </c>
      <c r="F569" s="4">
        <v>2.1</v>
      </c>
      <c r="G569" s="4">
        <v>0.2</v>
      </c>
      <c r="H569" s="4">
        <v>0.2</v>
      </c>
      <c r="K569" s="6" t="b">
        <f t="shared" ref="K569:M569" si="556">FALSE()</f>
        <v>0</v>
      </c>
      <c r="L569" s="6" t="b">
        <f t="shared" si="556"/>
        <v>0</v>
      </c>
      <c r="M569" s="6" t="b">
        <f t="shared" si="556"/>
        <v>0</v>
      </c>
      <c r="O569" s="4">
        <v>1.1314021114911</v>
      </c>
      <c r="T569" s="4" t="str">
        <f t="shared" si="3"/>
        <v/>
      </c>
      <c r="U569" s="4" t="str">
        <f t="shared" si="4"/>
        <v/>
      </c>
    </row>
    <row r="570" ht="15.75" customHeight="1">
      <c r="A570" s="4" t="s">
        <v>2002</v>
      </c>
      <c r="B570" s="4" t="s">
        <v>13</v>
      </c>
      <c r="D570" s="4">
        <v>0.1</v>
      </c>
      <c r="E570" s="4">
        <v>0.1</v>
      </c>
      <c r="F570" s="4">
        <v>1.27</v>
      </c>
      <c r="G570" s="4">
        <v>0.1</v>
      </c>
      <c r="H570" s="4">
        <v>0.1</v>
      </c>
      <c r="K570" s="6" t="b">
        <f t="shared" ref="K570:M570" si="557">FALSE()</f>
        <v>0</v>
      </c>
      <c r="L570" s="6" t="b">
        <f t="shared" si="557"/>
        <v>0</v>
      </c>
      <c r="M570" s="6" t="b">
        <f t="shared" si="557"/>
        <v>0</v>
      </c>
      <c r="O570" s="4">
        <v>0.819779831493311</v>
      </c>
      <c r="T570" s="4" t="str">
        <f t="shared" si="3"/>
        <v/>
      </c>
      <c r="U570" s="4" t="str">
        <f t="shared" si="4"/>
        <v/>
      </c>
    </row>
    <row r="571" ht="15.75" customHeight="1">
      <c r="A571" s="4" t="s">
        <v>2003</v>
      </c>
      <c r="B571" s="4" t="s">
        <v>13</v>
      </c>
      <c r="F571" s="4">
        <v>2.06</v>
      </c>
      <c r="K571" s="6" t="b">
        <f t="shared" ref="K571:M571" si="558">FALSE()</f>
        <v>0</v>
      </c>
      <c r="L571" s="6" t="b">
        <f t="shared" si="558"/>
        <v>0</v>
      </c>
      <c r="M571" s="6" t="b">
        <f t="shared" si="558"/>
        <v>0</v>
      </c>
      <c r="O571" s="4">
        <v>1.11841491596429</v>
      </c>
      <c r="T571" s="4" t="str">
        <f t="shared" si="3"/>
        <v/>
      </c>
      <c r="U571" s="4" t="str">
        <f t="shared" si="4"/>
        <v/>
      </c>
    </row>
    <row r="572" ht="15.75" customHeight="1">
      <c r="A572" s="4" t="s">
        <v>2004</v>
      </c>
      <c r="B572" s="4" t="s">
        <v>13</v>
      </c>
      <c r="D572" s="4">
        <v>1.0</v>
      </c>
      <c r="E572" s="4">
        <v>1.0</v>
      </c>
      <c r="F572" s="4">
        <v>6.5</v>
      </c>
      <c r="G572" s="4">
        <v>1.0</v>
      </c>
      <c r="H572" s="4">
        <v>1.0</v>
      </c>
      <c r="K572" s="6" t="b">
        <f t="shared" ref="K572:K574" si="559">FALSE()</f>
        <v>0</v>
      </c>
      <c r="L572" s="6" t="b">
        <f>TRUE()</f>
        <v>1</v>
      </c>
      <c r="M572" s="6" t="b">
        <f>FALSE()</f>
        <v>0</v>
      </c>
      <c r="O572" s="4">
        <v>2.01490302054227</v>
      </c>
      <c r="T572" s="4" t="str">
        <f t="shared" si="3"/>
        <v/>
      </c>
      <c r="U572" s="4" t="str">
        <f t="shared" si="4"/>
        <v/>
      </c>
    </row>
    <row r="573" ht="15.75" customHeight="1">
      <c r="A573" s="4" t="s">
        <v>2005</v>
      </c>
      <c r="B573" s="4" t="s">
        <v>13</v>
      </c>
      <c r="D573" s="4">
        <v>0.014</v>
      </c>
      <c r="E573" s="4">
        <v>0.014</v>
      </c>
      <c r="F573" s="4">
        <v>0.174</v>
      </c>
      <c r="G573" s="4">
        <v>0.014</v>
      </c>
      <c r="H573" s="4">
        <v>0.014</v>
      </c>
      <c r="K573" s="6" t="b">
        <f t="shared" si="559"/>
        <v>0</v>
      </c>
      <c r="L573" s="6" t="b">
        <f t="shared" ref="L573:M573" si="560">FALSE()</f>
        <v>0</v>
      </c>
      <c r="M573" s="6" t="b">
        <f t="shared" si="560"/>
        <v>0</v>
      </c>
      <c r="O573" s="4">
        <v>0.160416721405905</v>
      </c>
      <c r="T573" s="4" t="str">
        <f t="shared" si="3"/>
        <v/>
      </c>
      <c r="U573" s="4" t="str">
        <f t="shared" si="4"/>
        <v/>
      </c>
    </row>
    <row r="574" ht="15.75" customHeight="1">
      <c r="A574" s="4" t="s">
        <v>398</v>
      </c>
      <c r="B574" s="4" t="s">
        <v>13</v>
      </c>
      <c r="C574" s="4">
        <v>2.17</v>
      </c>
      <c r="D574" s="4">
        <v>0.08</v>
      </c>
      <c r="E574" s="4">
        <v>0.08</v>
      </c>
      <c r="I574" s="4">
        <v>1.14</v>
      </c>
      <c r="J574" s="4">
        <v>0.03</v>
      </c>
      <c r="K574" s="6" t="b">
        <f t="shared" si="559"/>
        <v>0</v>
      </c>
      <c r="L574" s="6" t="b">
        <f t="shared" ref="L574:L575" si="561">FALSE()</f>
        <v>0</v>
      </c>
      <c r="M574" s="6" t="b">
        <f>TRUE()</f>
        <v>1</v>
      </c>
      <c r="N574" s="4">
        <v>1.15373158788919</v>
      </c>
      <c r="P574" s="4">
        <v>0.76080582903376</v>
      </c>
      <c r="T574" s="4">
        <f t="shared" si="3"/>
        <v>419</v>
      </c>
      <c r="U574" s="4">
        <f t="shared" si="4"/>
        <v>457</v>
      </c>
    </row>
    <row r="575" ht="15.75" customHeight="1">
      <c r="A575" s="4" t="s">
        <v>2006</v>
      </c>
      <c r="B575" s="4" t="s">
        <v>13</v>
      </c>
      <c r="C575" s="4">
        <v>11.9</v>
      </c>
      <c r="D575" s="4">
        <v>0.6</v>
      </c>
      <c r="E575" s="4">
        <v>0.7</v>
      </c>
      <c r="K575" s="6" t="b">
        <f>TRUE()</f>
        <v>1</v>
      </c>
      <c r="L575" s="6" t="b">
        <f t="shared" si="561"/>
        <v>0</v>
      </c>
      <c r="M575" s="6" t="b">
        <f>FALSE()</f>
        <v>0</v>
      </c>
      <c r="N575" s="4">
        <v>2.55722731136763</v>
      </c>
      <c r="T575" s="4">
        <f t="shared" si="3"/>
        <v>21</v>
      </c>
      <c r="U575" s="4" t="str">
        <f t="shared" si="4"/>
        <v/>
      </c>
    </row>
    <row r="576" ht="15.75" customHeight="1">
      <c r="A576" s="4" t="s">
        <v>2007</v>
      </c>
      <c r="B576" s="4" t="s">
        <v>13</v>
      </c>
      <c r="D576" s="4">
        <v>1.2</v>
      </c>
      <c r="E576" s="4">
        <v>1.2</v>
      </c>
      <c r="F576" s="4">
        <v>3.1</v>
      </c>
      <c r="G576" s="4">
        <v>1.2</v>
      </c>
      <c r="H576" s="4">
        <v>1.2</v>
      </c>
      <c r="K576" s="6" t="b">
        <f t="shared" ref="K576:M576" si="562">FALSE()</f>
        <v>0</v>
      </c>
      <c r="L576" s="6" t="b">
        <f t="shared" si="562"/>
        <v>0</v>
      </c>
      <c r="M576" s="6" t="b">
        <f t="shared" si="562"/>
        <v>0</v>
      </c>
      <c r="O576" s="4">
        <v>1.41098697371026</v>
      </c>
      <c r="T576" s="4" t="str">
        <f t="shared" si="3"/>
        <v/>
      </c>
      <c r="U576" s="4" t="str">
        <f t="shared" si="4"/>
        <v/>
      </c>
    </row>
    <row r="577" ht="15.75" customHeight="1">
      <c r="A577" s="4" t="s">
        <v>2008</v>
      </c>
      <c r="B577" s="4" t="s">
        <v>13</v>
      </c>
      <c r="D577" s="4">
        <v>0.056</v>
      </c>
      <c r="E577" s="4">
        <v>0.056</v>
      </c>
      <c r="F577" s="4">
        <v>0.622</v>
      </c>
      <c r="G577" s="4">
        <v>0.056</v>
      </c>
      <c r="H577" s="4">
        <v>0.056</v>
      </c>
      <c r="K577" s="6" t="b">
        <f t="shared" ref="K577:M577" si="563">FALSE()</f>
        <v>0</v>
      </c>
      <c r="L577" s="6" t="b">
        <f t="shared" si="563"/>
        <v>0</v>
      </c>
      <c r="M577" s="6" t="b">
        <f t="shared" si="563"/>
        <v>0</v>
      </c>
      <c r="O577" s="4">
        <v>0.483659955693221</v>
      </c>
      <c r="T577" s="4" t="str">
        <f t="shared" si="3"/>
        <v/>
      </c>
      <c r="U577" s="4" t="str">
        <f t="shared" si="4"/>
        <v/>
      </c>
    </row>
    <row r="578" ht="15.75" customHeight="1">
      <c r="A578" s="4" t="s">
        <v>2009</v>
      </c>
      <c r="B578" s="4" t="s">
        <v>13</v>
      </c>
      <c r="D578" s="4">
        <v>0.01</v>
      </c>
      <c r="E578" s="4">
        <v>0.01</v>
      </c>
      <c r="F578" s="4">
        <v>0.079</v>
      </c>
      <c r="G578" s="4">
        <v>0.01</v>
      </c>
      <c r="H578" s="4">
        <v>0.01</v>
      </c>
      <c r="K578" s="6" t="b">
        <f t="shared" ref="K578:M578" si="564">FALSE()</f>
        <v>0</v>
      </c>
      <c r="L578" s="6" t="b">
        <f t="shared" si="564"/>
        <v>0</v>
      </c>
      <c r="M578" s="6" t="b">
        <f t="shared" si="564"/>
        <v>0</v>
      </c>
      <c r="O578" s="4">
        <v>0.0760346862759976</v>
      </c>
      <c r="T578" s="4" t="str">
        <f t="shared" si="3"/>
        <v/>
      </c>
      <c r="U578" s="4" t="str">
        <f t="shared" si="4"/>
        <v/>
      </c>
    </row>
    <row r="579" ht="15.75" customHeight="1">
      <c r="A579" s="4" t="s">
        <v>2010</v>
      </c>
      <c r="B579" s="4" t="s">
        <v>13</v>
      </c>
      <c r="F579" s="4">
        <v>4.5</v>
      </c>
      <c r="K579" s="6" t="b">
        <f t="shared" ref="K579:M579" si="565">FALSE()</f>
        <v>0</v>
      </c>
      <c r="L579" s="6" t="b">
        <f t="shared" si="565"/>
        <v>0</v>
      </c>
      <c r="M579" s="6" t="b">
        <f t="shared" si="565"/>
        <v>0</v>
      </c>
      <c r="O579" s="4">
        <v>1.70474809223843</v>
      </c>
      <c r="T579" s="4" t="str">
        <f t="shared" si="3"/>
        <v/>
      </c>
      <c r="U579" s="4" t="str">
        <f t="shared" si="4"/>
        <v/>
      </c>
    </row>
    <row r="580" ht="15.75" customHeight="1">
      <c r="A580" s="4" t="s">
        <v>2011</v>
      </c>
      <c r="B580" s="4" t="s">
        <v>13</v>
      </c>
      <c r="F580" s="4">
        <v>1.22</v>
      </c>
      <c r="K580" s="6" t="b">
        <f t="shared" ref="K580:M580" si="566">FALSE()</f>
        <v>0</v>
      </c>
      <c r="L580" s="6" t="b">
        <f t="shared" si="566"/>
        <v>0</v>
      </c>
      <c r="M580" s="6" t="b">
        <f t="shared" si="566"/>
        <v>0</v>
      </c>
      <c r="O580" s="4">
        <v>0.797507195884188</v>
      </c>
      <c r="T580" s="4" t="str">
        <f t="shared" si="3"/>
        <v/>
      </c>
      <c r="U580" s="4" t="str">
        <f t="shared" si="4"/>
        <v/>
      </c>
    </row>
    <row r="581" ht="15.75" customHeight="1">
      <c r="A581" s="4" t="s">
        <v>2012</v>
      </c>
      <c r="B581" s="4" t="s">
        <v>13</v>
      </c>
      <c r="D581" s="4">
        <v>0.065</v>
      </c>
      <c r="E581" s="4">
        <v>0.045</v>
      </c>
      <c r="F581" s="4">
        <v>0.23</v>
      </c>
      <c r="G581" s="4">
        <v>0.065</v>
      </c>
      <c r="H581" s="4">
        <v>0.045</v>
      </c>
      <c r="K581" s="6" t="b">
        <f t="shared" ref="K581:M581" si="567">FALSE()</f>
        <v>0</v>
      </c>
      <c r="L581" s="6" t="b">
        <f t="shared" si="567"/>
        <v>0</v>
      </c>
      <c r="M581" s="6" t="b">
        <f t="shared" si="567"/>
        <v>0</v>
      </c>
      <c r="O581" s="4">
        <v>0.207014169384326</v>
      </c>
      <c r="T581" s="4" t="str">
        <f t="shared" si="3"/>
        <v/>
      </c>
      <c r="U581" s="4" t="str">
        <f t="shared" si="4"/>
        <v/>
      </c>
    </row>
    <row r="582" ht="15.75" customHeight="1">
      <c r="A582" s="4" t="s">
        <v>2013</v>
      </c>
      <c r="B582" s="4" t="s">
        <v>13</v>
      </c>
      <c r="D582" s="4">
        <v>0.06</v>
      </c>
      <c r="E582" s="4">
        <v>0.06</v>
      </c>
      <c r="F582" s="4">
        <v>0.75</v>
      </c>
      <c r="G582" s="4">
        <v>0.06</v>
      </c>
      <c r="H582" s="4">
        <v>0.06</v>
      </c>
      <c r="K582" s="6" t="b">
        <f t="shared" ref="K582:M582" si="568">FALSE()</f>
        <v>0</v>
      </c>
      <c r="L582" s="6" t="b">
        <f t="shared" si="568"/>
        <v>0</v>
      </c>
      <c r="M582" s="6" t="b">
        <f t="shared" si="568"/>
        <v>0</v>
      </c>
      <c r="O582" s="4">
        <v>0.559615787935423</v>
      </c>
      <c r="T582" s="4" t="str">
        <f t="shared" si="3"/>
        <v/>
      </c>
      <c r="U582" s="4" t="str">
        <f t="shared" si="4"/>
        <v/>
      </c>
    </row>
    <row r="583" ht="15.75" customHeight="1">
      <c r="A583" s="4" t="s">
        <v>2014</v>
      </c>
      <c r="B583" s="4" t="s">
        <v>13</v>
      </c>
      <c r="D583" s="4">
        <v>0.14</v>
      </c>
      <c r="E583" s="4">
        <v>0.14</v>
      </c>
      <c r="F583" s="4">
        <v>2.98</v>
      </c>
      <c r="G583" s="4">
        <v>0.14</v>
      </c>
      <c r="H583" s="4">
        <v>0.14</v>
      </c>
      <c r="K583" s="6" t="b">
        <f t="shared" ref="K583:M583" si="569">FALSE()</f>
        <v>0</v>
      </c>
      <c r="L583" s="6" t="b">
        <f t="shared" si="569"/>
        <v>0</v>
      </c>
      <c r="M583" s="6" t="b">
        <f t="shared" si="569"/>
        <v>0</v>
      </c>
      <c r="O583" s="4">
        <v>1.38128181929635</v>
      </c>
      <c r="T583" s="4" t="str">
        <f t="shared" si="3"/>
        <v/>
      </c>
      <c r="U583" s="4" t="str">
        <f t="shared" si="4"/>
        <v/>
      </c>
    </row>
    <row r="584" ht="15.75" customHeight="1">
      <c r="A584" s="4" t="s">
        <v>2015</v>
      </c>
      <c r="B584" s="4" t="s">
        <v>13</v>
      </c>
      <c r="C584" s="4">
        <v>10.904</v>
      </c>
      <c r="D584" s="4">
        <v>1.253</v>
      </c>
      <c r="E584" s="4">
        <v>1.876</v>
      </c>
      <c r="K584" s="6" t="b">
        <f>TRUE()</f>
        <v>1</v>
      </c>
      <c r="L584" s="6" t="b">
        <f t="shared" ref="L584:M584" si="570">FALSE()</f>
        <v>0</v>
      </c>
      <c r="M584" s="6" t="b">
        <f t="shared" si="570"/>
        <v>0</v>
      </c>
      <c r="N584" s="4">
        <v>2.47687447809074</v>
      </c>
      <c r="T584" s="4">
        <f t="shared" si="3"/>
        <v>39</v>
      </c>
      <c r="U584" s="4" t="str">
        <f t="shared" si="4"/>
        <v/>
      </c>
    </row>
    <row r="585" ht="15.75" customHeight="1">
      <c r="A585" s="4" t="s">
        <v>2016</v>
      </c>
      <c r="B585" s="4" t="s">
        <v>13</v>
      </c>
      <c r="D585" s="4">
        <v>0.96</v>
      </c>
      <c r="E585" s="4">
        <v>0.96</v>
      </c>
      <c r="F585" s="4">
        <v>22.16</v>
      </c>
      <c r="G585" s="4">
        <v>0.96</v>
      </c>
      <c r="H585" s="4">
        <v>0.96</v>
      </c>
      <c r="I585" s="4">
        <v>1.08</v>
      </c>
      <c r="K585" s="6" t="b">
        <f t="shared" ref="K585:K596" si="572">FALSE()</f>
        <v>0</v>
      </c>
      <c r="L585" s="6" t="b">
        <f t="shared" ref="L585:M585" si="571">TRUE()</f>
        <v>1</v>
      </c>
      <c r="M585" s="6" t="b">
        <f t="shared" si="571"/>
        <v>1</v>
      </c>
      <c r="O585" s="4">
        <v>3.1424266527048</v>
      </c>
      <c r="P585" s="4">
        <v>0.732367893713227</v>
      </c>
      <c r="T585" s="4" t="str">
        <f t="shared" si="3"/>
        <v/>
      </c>
      <c r="U585" s="4">
        <f t="shared" si="4"/>
        <v>551</v>
      </c>
    </row>
    <row r="586" ht="15.75" customHeight="1">
      <c r="A586" s="4" t="s">
        <v>2017</v>
      </c>
      <c r="B586" s="4" t="s">
        <v>13</v>
      </c>
      <c r="D586" s="4">
        <v>0.004</v>
      </c>
      <c r="E586" s="4">
        <v>0.004</v>
      </c>
      <c r="F586" s="4">
        <v>0.042</v>
      </c>
      <c r="G586" s="4">
        <v>0.004</v>
      </c>
      <c r="H586" s="4">
        <v>0.004</v>
      </c>
      <c r="K586" s="6" t="b">
        <f t="shared" si="572"/>
        <v>0</v>
      </c>
      <c r="L586" s="6" t="b">
        <f t="shared" ref="L586:M586" si="573">FALSE()</f>
        <v>0</v>
      </c>
      <c r="M586" s="6" t="b">
        <f t="shared" si="573"/>
        <v>0</v>
      </c>
      <c r="O586" s="4">
        <v>0.0411419433311751</v>
      </c>
      <c r="T586" s="4" t="str">
        <f t="shared" si="3"/>
        <v/>
      </c>
      <c r="U586" s="4" t="str">
        <f t="shared" si="4"/>
        <v/>
      </c>
    </row>
    <row r="587" ht="15.75" customHeight="1">
      <c r="A587" s="4" t="s">
        <v>2018</v>
      </c>
      <c r="B587" s="4" t="s">
        <v>13</v>
      </c>
      <c r="F587" s="4">
        <v>3.0</v>
      </c>
      <c r="K587" s="6" t="b">
        <f t="shared" si="572"/>
        <v>0</v>
      </c>
      <c r="L587" s="6" t="b">
        <f t="shared" ref="L587:M587" si="574">FALSE()</f>
        <v>0</v>
      </c>
      <c r="M587" s="6" t="b">
        <f t="shared" si="574"/>
        <v>0</v>
      </c>
      <c r="O587" s="4">
        <v>1.38629436111989</v>
      </c>
      <c r="T587" s="4" t="str">
        <f t="shared" si="3"/>
        <v/>
      </c>
      <c r="U587" s="4" t="str">
        <f t="shared" si="4"/>
        <v/>
      </c>
    </row>
    <row r="588" ht="15.75" customHeight="1">
      <c r="A588" s="4" t="s">
        <v>2019</v>
      </c>
      <c r="B588" s="4" t="s">
        <v>13</v>
      </c>
      <c r="F588" s="4">
        <v>0.058</v>
      </c>
      <c r="K588" s="6" t="b">
        <f t="shared" si="572"/>
        <v>0</v>
      </c>
      <c r="L588" s="6" t="b">
        <f t="shared" ref="L588:M588" si="575">FALSE()</f>
        <v>0</v>
      </c>
      <c r="M588" s="6" t="b">
        <f t="shared" si="575"/>
        <v>0</v>
      </c>
      <c r="O588" s="4">
        <v>0.0563803334361076</v>
      </c>
      <c r="T588" s="4" t="str">
        <f t="shared" si="3"/>
        <v/>
      </c>
      <c r="U588" s="4" t="str">
        <f t="shared" si="4"/>
        <v/>
      </c>
    </row>
    <row r="589" ht="15.75" customHeight="1">
      <c r="A589" s="4" t="s">
        <v>2020</v>
      </c>
      <c r="B589" s="4" t="s">
        <v>13</v>
      </c>
      <c r="F589" s="4">
        <v>7.2</v>
      </c>
      <c r="K589" s="6" t="b">
        <f t="shared" si="572"/>
        <v>0</v>
      </c>
      <c r="L589" s="6" t="b">
        <f>TRUE()</f>
        <v>1</v>
      </c>
      <c r="M589" s="6" t="b">
        <f>FALSE()</f>
        <v>0</v>
      </c>
      <c r="O589" s="4">
        <v>2.10413415427021</v>
      </c>
      <c r="T589" s="4" t="str">
        <f t="shared" si="3"/>
        <v/>
      </c>
      <c r="U589" s="4" t="str">
        <f t="shared" si="4"/>
        <v/>
      </c>
    </row>
    <row r="590" ht="15.75" customHeight="1">
      <c r="A590" s="4" t="s">
        <v>2021</v>
      </c>
      <c r="B590" s="4" t="s">
        <v>13</v>
      </c>
      <c r="D590" s="4">
        <v>0.4</v>
      </c>
      <c r="E590" s="4">
        <v>0.4</v>
      </c>
      <c r="F590" s="4">
        <v>2.9</v>
      </c>
      <c r="G590" s="4">
        <v>0.4</v>
      </c>
      <c r="H590" s="4">
        <v>0.4</v>
      </c>
      <c r="K590" s="6" t="b">
        <f t="shared" si="572"/>
        <v>0</v>
      </c>
      <c r="L590" s="6" t="b">
        <f t="shared" ref="L590:M590" si="576">FALSE()</f>
        <v>0</v>
      </c>
      <c r="M590" s="6" t="b">
        <f t="shared" si="576"/>
        <v>0</v>
      </c>
      <c r="O590" s="4">
        <v>1.3609765531356</v>
      </c>
      <c r="T590" s="4" t="str">
        <f t="shared" si="3"/>
        <v/>
      </c>
      <c r="U590" s="4" t="str">
        <f t="shared" si="4"/>
        <v/>
      </c>
    </row>
    <row r="591" ht="15.75" customHeight="1">
      <c r="A591" s="4" t="s">
        <v>2022</v>
      </c>
      <c r="B591" s="4" t="s">
        <v>13</v>
      </c>
      <c r="D591" s="4">
        <v>0.0182</v>
      </c>
      <c r="E591" s="4">
        <v>0.0182</v>
      </c>
      <c r="F591" s="4">
        <v>0.224</v>
      </c>
      <c r="G591" s="4">
        <v>0.0182</v>
      </c>
      <c r="H591" s="4">
        <v>0.0182</v>
      </c>
      <c r="K591" s="6" t="b">
        <f t="shared" si="572"/>
        <v>0</v>
      </c>
      <c r="L591" s="6" t="b">
        <f t="shared" ref="L591:M591" si="577">FALSE()</f>
        <v>0</v>
      </c>
      <c r="M591" s="6" t="b">
        <f t="shared" si="577"/>
        <v>0</v>
      </c>
      <c r="O591" s="4">
        <v>0.202124184090134</v>
      </c>
      <c r="T591" s="4" t="str">
        <f t="shared" si="3"/>
        <v/>
      </c>
      <c r="U591" s="4" t="str">
        <f t="shared" si="4"/>
        <v/>
      </c>
    </row>
    <row r="592" ht="15.75" customHeight="1">
      <c r="A592" s="4" t="s">
        <v>2023</v>
      </c>
      <c r="B592" s="4" t="s">
        <v>13</v>
      </c>
      <c r="D592" s="4">
        <v>0.04</v>
      </c>
      <c r="E592" s="4">
        <v>0.04</v>
      </c>
      <c r="F592" s="4">
        <v>0.38</v>
      </c>
      <c r="G592" s="4">
        <v>0.04</v>
      </c>
      <c r="H592" s="4">
        <v>0.04</v>
      </c>
      <c r="K592" s="6" t="b">
        <f t="shared" si="572"/>
        <v>0</v>
      </c>
      <c r="L592" s="6" t="b">
        <f t="shared" ref="L592:M592" si="578">FALSE()</f>
        <v>0</v>
      </c>
      <c r="M592" s="6" t="b">
        <f t="shared" si="578"/>
        <v>0</v>
      </c>
      <c r="O592" s="4">
        <v>0.322083499169113</v>
      </c>
      <c r="T592" s="4" t="str">
        <f t="shared" si="3"/>
        <v/>
      </c>
      <c r="U592" s="4" t="str">
        <f t="shared" si="4"/>
        <v/>
      </c>
    </row>
    <row r="593" ht="15.75" customHeight="1">
      <c r="A593" s="4" t="s">
        <v>2024</v>
      </c>
      <c r="B593" s="4" t="s">
        <v>13</v>
      </c>
      <c r="F593" s="4">
        <v>2.3</v>
      </c>
      <c r="K593" s="6" t="b">
        <f t="shared" si="572"/>
        <v>0</v>
      </c>
      <c r="L593" s="6" t="b">
        <f t="shared" ref="L593:M593" si="579">FALSE()</f>
        <v>0</v>
      </c>
      <c r="M593" s="6" t="b">
        <f t="shared" si="579"/>
        <v>0</v>
      </c>
      <c r="O593" s="4">
        <v>1.19392246847244</v>
      </c>
      <c r="T593" s="4" t="str">
        <f t="shared" si="3"/>
        <v/>
      </c>
      <c r="U593" s="4" t="str">
        <f t="shared" si="4"/>
        <v/>
      </c>
    </row>
    <row r="594" ht="15.75" customHeight="1">
      <c r="A594" s="4" t="s">
        <v>2025</v>
      </c>
      <c r="B594" s="4" t="s">
        <v>13</v>
      </c>
      <c r="F594" s="4">
        <v>1.57</v>
      </c>
      <c r="K594" s="6" t="b">
        <f t="shared" si="572"/>
        <v>0</v>
      </c>
      <c r="L594" s="6" t="b">
        <f t="shared" ref="L594:M594" si="580">FALSE()</f>
        <v>0</v>
      </c>
      <c r="M594" s="6" t="b">
        <f t="shared" si="580"/>
        <v>0</v>
      </c>
      <c r="O594" s="4">
        <v>0.943905898907128</v>
      </c>
      <c r="T594" s="4" t="str">
        <f t="shared" si="3"/>
        <v/>
      </c>
      <c r="U594" s="4" t="str">
        <f t="shared" si="4"/>
        <v/>
      </c>
    </row>
    <row r="595" ht="15.75" customHeight="1">
      <c r="A595" s="4" t="s">
        <v>2026</v>
      </c>
      <c r="B595" s="4" t="s">
        <v>13</v>
      </c>
      <c r="D595" s="4">
        <v>0.025</v>
      </c>
      <c r="E595" s="4">
        <v>0.016</v>
      </c>
      <c r="F595" s="4">
        <v>0.086</v>
      </c>
      <c r="G595" s="4">
        <v>0.025</v>
      </c>
      <c r="H595" s="4">
        <v>0.016</v>
      </c>
      <c r="K595" s="6" t="b">
        <f t="shared" si="572"/>
        <v>0</v>
      </c>
      <c r="L595" s="6" t="b">
        <f t="shared" ref="L595:M595" si="581">FALSE()</f>
        <v>0</v>
      </c>
      <c r="M595" s="6" t="b">
        <f t="shared" si="581"/>
        <v>0</v>
      </c>
      <c r="O595" s="4">
        <v>0.0825012215117436</v>
      </c>
      <c r="T595" s="4" t="str">
        <f t="shared" si="3"/>
        <v/>
      </c>
      <c r="U595" s="4" t="str">
        <f t="shared" si="4"/>
        <v/>
      </c>
    </row>
    <row r="596" ht="15.75" customHeight="1">
      <c r="A596" s="4" t="s">
        <v>2027</v>
      </c>
      <c r="B596" s="4" t="s">
        <v>13</v>
      </c>
      <c r="D596" s="4">
        <v>0.022</v>
      </c>
      <c r="E596" s="4">
        <v>0.022</v>
      </c>
      <c r="F596" s="4">
        <v>2.18</v>
      </c>
      <c r="G596" s="4">
        <v>0.022</v>
      </c>
      <c r="H596" s="4">
        <v>0.022</v>
      </c>
      <c r="K596" s="6" t="b">
        <f t="shared" si="572"/>
        <v>0</v>
      </c>
      <c r="L596" s="6" t="b">
        <f t="shared" ref="L596:M596" si="582">FALSE()</f>
        <v>0</v>
      </c>
      <c r="M596" s="6" t="b">
        <f t="shared" si="582"/>
        <v>0</v>
      </c>
      <c r="O596" s="4">
        <v>1.15688119679209</v>
      </c>
      <c r="T596" s="4" t="str">
        <f t="shared" si="3"/>
        <v/>
      </c>
      <c r="U596" s="4" t="str">
        <f t="shared" si="4"/>
        <v/>
      </c>
    </row>
    <row r="597" ht="15.75" customHeight="1">
      <c r="A597" s="4" t="s">
        <v>2028</v>
      </c>
      <c r="B597" s="4" t="s">
        <v>13</v>
      </c>
      <c r="C597" s="4">
        <v>3.79</v>
      </c>
      <c r="D597" s="4">
        <v>0.43</v>
      </c>
      <c r="E597" s="4">
        <v>0.92</v>
      </c>
      <c r="F597" s="4">
        <v>3.21</v>
      </c>
      <c r="G597" s="4">
        <v>0.3</v>
      </c>
      <c r="H597" s="4">
        <v>0.3</v>
      </c>
      <c r="K597" s="6" t="b">
        <f>TRUE()</f>
        <v>1</v>
      </c>
      <c r="L597" s="6" t="b">
        <f t="shared" ref="L597:M597" si="583">FALSE()</f>
        <v>0</v>
      </c>
      <c r="M597" s="6" t="b">
        <f t="shared" si="583"/>
        <v>0</v>
      </c>
      <c r="N597" s="4">
        <v>1.56653041142282</v>
      </c>
      <c r="O597" s="4">
        <v>1.43746264769429</v>
      </c>
      <c r="T597" s="4">
        <f t="shared" si="3"/>
        <v>270</v>
      </c>
      <c r="U597" s="4" t="str">
        <f t="shared" si="4"/>
        <v/>
      </c>
    </row>
    <row r="598" ht="15.75" customHeight="1">
      <c r="A598" s="4" t="s">
        <v>2029</v>
      </c>
      <c r="B598" s="4" t="s">
        <v>13</v>
      </c>
      <c r="D598" s="4">
        <v>0.07</v>
      </c>
      <c r="E598" s="4">
        <v>0.07</v>
      </c>
      <c r="F598" s="4">
        <v>0.89</v>
      </c>
      <c r="G598" s="4">
        <v>0.07</v>
      </c>
      <c r="H598" s="4">
        <v>0.07</v>
      </c>
      <c r="K598" s="6" t="b">
        <f t="shared" ref="K598:M598" si="584">FALSE()</f>
        <v>0</v>
      </c>
      <c r="L598" s="6" t="b">
        <f t="shared" si="584"/>
        <v>0</v>
      </c>
      <c r="M598" s="6" t="b">
        <f t="shared" si="584"/>
        <v>0</v>
      </c>
      <c r="O598" s="4">
        <v>0.636576829071551</v>
      </c>
      <c r="T598" s="4" t="str">
        <f t="shared" si="3"/>
        <v/>
      </c>
      <c r="U598" s="4" t="str">
        <f t="shared" si="4"/>
        <v/>
      </c>
    </row>
    <row r="599" ht="15.75" customHeight="1">
      <c r="A599" s="4" t="s">
        <v>2030</v>
      </c>
      <c r="B599" s="4" t="s">
        <v>13</v>
      </c>
      <c r="C599" s="4">
        <v>12.8</v>
      </c>
      <c r="K599" s="6" t="b">
        <f>TRUE()</f>
        <v>1</v>
      </c>
      <c r="L599" s="6" t="b">
        <f t="shared" ref="L599:M599" si="585">FALSE()</f>
        <v>0</v>
      </c>
      <c r="M599" s="6" t="b">
        <f t="shared" si="585"/>
        <v>0</v>
      </c>
      <c r="N599" s="4">
        <v>2.62466859216316</v>
      </c>
      <c r="T599" s="4">
        <f t="shared" si="3"/>
        <v>5</v>
      </c>
      <c r="U599" s="4" t="str">
        <f t="shared" si="4"/>
        <v/>
      </c>
    </row>
    <row r="600" ht="15.75" customHeight="1">
      <c r="A600" s="4" t="s">
        <v>2031</v>
      </c>
      <c r="B600" s="4" t="s">
        <v>13</v>
      </c>
      <c r="D600" s="4">
        <v>0.6</v>
      </c>
      <c r="E600" s="4">
        <v>0.6</v>
      </c>
      <c r="F600" s="4">
        <v>1.6</v>
      </c>
      <c r="G600" s="4">
        <v>0.6</v>
      </c>
      <c r="H600" s="4">
        <v>0.6</v>
      </c>
      <c r="K600" s="6" t="b">
        <f t="shared" ref="K600:M600" si="586">FALSE()</f>
        <v>0</v>
      </c>
      <c r="L600" s="6" t="b">
        <f t="shared" si="586"/>
        <v>0</v>
      </c>
      <c r="M600" s="6" t="b">
        <f t="shared" si="586"/>
        <v>0</v>
      </c>
      <c r="O600" s="4">
        <v>0.955511445027436</v>
      </c>
      <c r="T600" s="4" t="str">
        <f t="shared" si="3"/>
        <v/>
      </c>
      <c r="U600" s="4" t="str">
        <f t="shared" si="4"/>
        <v/>
      </c>
    </row>
    <row r="601" ht="15.75" customHeight="1">
      <c r="A601" s="4" t="s">
        <v>2032</v>
      </c>
      <c r="B601" s="4" t="s">
        <v>13</v>
      </c>
      <c r="C601" s="4">
        <v>1.1</v>
      </c>
      <c r="D601" s="4">
        <v>0.1</v>
      </c>
      <c r="E601" s="4">
        <v>1.0</v>
      </c>
      <c r="F601" s="4">
        <v>1.02</v>
      </c>
      <c r="K601" s="6" t="b">
        <f t="shared" ref="K601:M601" si="587">FALSE()</f>
        <v>0</v>
      </c>
      <c r="L601" s="6" t="b">
        <f t="shared" si="587"/>
        <v>0</v>
      </c>
      <c r="M601" s="6" t="b">
        <f t="shared" si="587"/>
        <v>0</v>
      </c>
      <c r="N601" s="4">
        <v>0.741937344729377</v>
      </c>
      <c r="O601" s="4">
        <v>0.703097511413113</v>
      </c>
      <c r="T601" s="4">
        <f t="shared" si="3"/>
        <v>625</v>
      </c>
      <c r="U601" s="4" t="str">
        <f t="shared" si="4"/>
        <v/>
      </c>
    </row>
    <row r="602" ht="15.75" customHeight="1">
      <c r="A602" s="4" t="s">
        <v>2033</v>
      </c>
      <c r="B602" s="4" t="s">
        <v>13</v>
      </c>
      <c r="D602" s="4">
        <v>0.2</v>
      </c>
      <c r="E602" s="4">
        <v>0.2</v>
      </c>
      <c r="F602" s="4">
        <v>2.2</v>
      </c>
      <c r="G602" s="4">
        <v>0.2</v>
      </c>
      <c r="H602" s="4">
        <v>0.2</v>
      </c>
      <c r="K602" s="6" t="b">
        <f t="shared" ref="K602:M602" si="588">FALSE()</f>
        <v>0</v>
      </c>
      <c r="L602" s="6" t="b">
        <f t="shared" si="588"/>
        <v>0</v>
      </c>
      <c r="M602" s="6" t="b">
        <f t="shared" si="588"/>
        <v>0</v>
      </c>
      <c r="O602" s="4">
        <v>1.16315080980568</v>
      </c>
      <c r="T602" s="4" t="str">
        <f t="shared" si="3"/>
        <v/>
      </c>
      <c r="U602" s="4" t="str">
        <f t="shared" si="4"/>
        <v/>
      </c>
    </row>
    <row r="603" ht="15.75" customHeight="1">
      <c r="A603" s="4" t="s">
        <v>2034</v>
      </c>
      <c r="B603" s="4" t="s">
        <v>13</v>
      </c>
      <c r="D603" s="4">
        <v>0.16</v>
      </c>
      <c r="E603" s="4">
        <v>0.16</v>
      </c>
      <c r="F603" s="4">
        <v>3.31</v>
      </c>
      <c r="G603" s="4">
        <v>0.16</v>
      </c>
      <c r="H603" s="4">
        <v>0.16</v>
      </c>
      <c r="I603" s="4">
        <v>1.167</v>
      </c>
      <c r="K603" s="6" t="b">
        <f t="shared" ref="K603:L603" si="589">FALSE()</f>
        <v>0</v>
      </c>
      <c r="L603" s="6" t="b">
        <f t="shared" si="589"/>
        <v>0</v>
      </c>
      <c r="M603" s="6" t="b">
        <f>TRUE()</f>
        <v>1</v>
      </c>
      <c r="O603" s="4">
        <v>1.46093790411566</v>
      </c>
      <c r="P603" s="4">
        <v>0.773343722554222</v>
      </c>
      <c r="T603" s="4" t="str">
        <f t="shared" si="3"/>
        <v/>
      </c>
      <c r="U603" s="4">
        <f t="shared" si="4"/>
        <v>431</v>
      </c>
    </row>
    <row r="604" ht="15.75" customHeight="1">
      <c r="A604" s="4" t="s">
        <v>2035</v>
      </c>
      <c r="B604" s="4" t="s">
        <v>13</v>
      </c>
      <c r="C604" s="4">
        <v>6.7</v>
      </c>
      <c r="D604" s="4">
        <v>2.1</v>
      </c>
      <c r="E604" s="4">
        <v>2.1</v>
      </c>
      <c r="F604" s="4">
        <v>5.61</v>
      </c>
      <c r="K604" s="6" t="b">
        <f>TRUE()</f>
        <v>1</v>
      </c>
      <c r="L604" s="6" t="b">
        <f t="shared" ref="L604:M604" si="590">FALSE()</f>
        <v>0</v>
      </c>
      <c r="M604" s="6" t="b">
        <f t="shared" si="590"/>
        <v>0</v>
      </c>
      <c r="N604" s="4">
        <v>2.04122032885964</v>
      </c>
      <c r="O604" s="4">
        <v>1.8885836538636</v>
      </c>
      <c r="T604" s="4">
        <f t="shared" si="3"/>
        <v>141</v>
      </c>
      <c r="U604" s="4" t="str">
        <f t="shared" si="4"/>
        <v/>
      </c>
    </row>
    <row r="605" ht="15.75" customHeight="1">
      <c r="A605" s="4" t="s">
        <v>2036</v>
      </c>
      <c r="B605" s="4" t="s">
        <v>13</v>
      </c>
      <c r="D605" s="4">
        <v>0.09</v>
      </c>
      <c r="E605" s="4">
        <v>0.09</v>
      </c>
      <c r="F605" s="4">
        <v>1.49</v>
      </c>
      <c r="G605" s="4">
        <v>0.09</v>
      </c>
      <c r="H605" s="4">
        <v>0.09</v>
      </c>
      <c r="K605" s="6" t="b">
        <f t="shared" ref="K605:M605" si="591">FALSE()</f>
        <v>0</v>
      </c>
      <c r="L605" s="6" t="b">
        <f t="shared" si="591"/>
        <v>0</v>
      </c>
      <c r="M605" s="6" t="b">
        <f t="shared" si="591"/>
        <v>0</v>
      </c>
      <c r="O605" s="4">
        <v>0.912282710476616</v>
      </c>
      <c r="T605" s="4" t="str">
        <f t="shared" si="3"/>
        <v/>
      </c>
      <c r="U605" s="4" t="str">
        <f t="shared" si="4"/>
        <v/>
      </c>
    </row>
    <row r="606" ht="15.75" customHeight="1">
      <c r="A606" s="4" t="s">
        <v>2037</v>
      </c>
      <c r="B606" s="4" t="s">
        <v>13</v>
      </c>
      <c r="D606" s="4">
        <v>0.04</v>
      </c>
      <c r="E606" s="4">
        <v>0.04</v>
      </c>
      <c r="F606" s="4">
        <v>1.43</v>
      </c>
      <c r="G606" s="4">
        <v>0.04</v>
      </c>
      <c r="H606" s="4">
        <v>0.04</v>
      </c>
      <c r="K606" s="6" t="b">
        <f t="shared" ref="K606:M606" si="592">FALSE()</f>
        <v>0</v>
      </c>
      <c r="L606" s="6" t="b">
        <f t="shared" si="592"/>
        <v>0</v>
      </c>
      <c r="M606" s="6" t="b">
        <f t="shared" si="592"/>
        <v>0</v>
      </c>
      <c r="O606" s="4">
        <v>0.887891257352457</v>
      </c>
      <c r="T606" s="4" t="str">
        <f t="shared" si="3"/>
        <v/>
      </c>
      <c r="U606" s="4" t="str">
        <f t="shared" si="4"/>
        <v/>
      </c>
    </row>
    <row r="607" ht="15.75" customHeight="1">
      <c r="A607" s="4" t="s">
        <v>2038</v>
      </c>
      <c r="B607" s="4" t="s">
        <v>13</v>
      </c>
      <c r="D607" s="4">
        <v>0.14</v>
      </c>
      <c r="E607" s="4">
        <v>0.14</v>
      </c>
      <c r="F607" s="4">
        <v>0.48</v>
      </c>
      <c r="G607" s="4">
        <v>0.14</v>
      </c>
      <c r="H607" s="4">
        <v>0.14</v>
      </c>
      <c r="K607" s="6" t="b">
        <f t="shared" ref="K607:M607" si="593">FALSE()</f>
        <v>0</v>
      </c>
      <c r="L607" s="6" t="b">
        <f t="shared" si="593"/>
        <v>0</v>
      </c>
      <c r="M607" s="6" t="b">
        <f t="shared" si="593"/>
        <v>0</v>
      </c>
      <c r="O607" s="4">
        <v>0.392042087776024</v>
      </c>
      <c r="T607" s="4" t="str">
        <f t="shared" si="3"/>
        <v/>
      </c>
      <c r="U607" s="4" t="str">
        <f t="shared" si="4"/>
        <v/>
      </c>
    </row>
    <row r="608" ht="15.75" customHeight="1">
      <c r="A608" s="4" t="s">
        <v>2039</v>
      </c>
      <c r="B608" s="4" t="s">
        <v>13</v>
      </c>
      <c r="D608" s="4">
        <v>0.05</v>
      </c>
      <c r="E608" s="4">
        <v>0.05</v>
      </c>
      <c r="F608" s="4">
        <v>2.5</v>
      </c>
      <c r="G608" s="4">
        <v>0.05</v>
      </c>
      <c r="H608" s="4">
        <v>0.05</v>
      </c>
      <c r="K608" s="6" t="b">
        <f t="shared" ref="K608:M608" si="594">FALSE()</f>
        <v>0</v>
      </c>
      <c r="L608" s="6" t="b">
        <f t="shared" si="594"/>
        <v>0</v>
      </c>
      <c r="M608" s="6" t="b">
        <f t="shared" si="594"/>
        <v>0</v>
      </c>
      <c r="O608" s="4">
        <v>1.25276296849537</v>
      </c>
      <c r="T608" s="4" t="str">
        <f t="shared" si="3"/>
        <v/>
      </c>
      <c r="U608" s="4" t="str">
        <f t="shared" si="4"/>
        <v/>
      </c>
    </row>
    <row r="609" ht="15.75" customHeight="1">
      <c r="A609" s="4" t="s">
        <v>2040</v>
      </c>
      <c r="B609" s="4" t="s">
        <v>13</v>
      </c>
      <c r="D609" s="4">
        <v>0.0021</v>
      </c>
      <c r="E609" s="4">
        <v>0.0021</v>
      </c>
      <c r="F609" s="4">
        <v>0.0351</v>
      </c>
      <c r="G609" s="4">
        <v>0.0021</v>
      </c>
      <c r="H609" s="4">
        <v>0.0021</v>
      </c>
      <c r="K609" s="6" t="b">
        <f t="shared" ref="K609:M609" si="595">FALSE()</f>
        <v>0</v>
      </c>
      <c r="L609" s="6" t="b">
        <f t="shared" si="595"/>
        <v>0</v>
      </c>
      <c r="M609" s="6" t="b">
        <f t="shared" si="595"/>
        <v>0</v>
      </c>
      <c r="O609" s="4">
        <v>0.0344980404075674</v>
      </c>
      <c r="T609" s="4" t="str">
        <f t="shared" si="3"/>
        <v/>
      </c>
      <c r="U609" s="4" t="str">
        <f t="shared" si="4"/>
        <v/>
      </c>
    </row>
    <row r="610" ht="15.75" customHeight="1">
      <c r="A610" s="4" t="s">
        <v>2041</v>
      </c>
      <c r="B610" s="4" t="s">
        <v>13</v>
      </c>
      <c r="D610" s="4">
        <v>0.071</v>
      </c>
      <c r="E610" s="4">
        <v>0.071</v>
      </c>
      <c r="F610" s="4">
        <v>0.1507</v>
      </c>
      <c r="G610" s="4">
        <v>0.071</v>
      </c>
      <c r="H610" s="4">
        <v>0.071</v>
      </c>
      <c r="K610" s="6" t="b">
        <f t="shared" ref="K610:M610" si="596">FALSE()</f>
        <v>0</v>
      </c>
      <c r="L610" s="6" t="b">
        <f t="shared" si="596"/>
        <v>0</v>
      </c>
      <c r="M610" s="6" t="b">
        <f t="shared" si="596"/>
        <v>0</v>
      </c>
      <c r="O610" s="4">
        <v>0.140370452847276</v>
      </c>
      <c r="T610" s="4" t="str">
        <f t="shared" si="3"/>
        <v/>
      </c>
      <c r="U610" s="4" t="str">
        <f t="shared" si="4"/>
        <v/>
      </c>
    </row>
    <row r="611" ht="15.75" customHeight="1">
      <c r="A611" s="4" t="s">
        <v>2042</v>
      </c>
      <c r="B611" s="4" t="s">
        <v>13</v>
      </c>
      <c r="D611" s="4">
        <v>0.003</v>
      </c>
      <c r="E611" s="4">
        <v>0.003</v>
      </c>
      <c r="F611" s="4">
        <v>0.0292</v>
      </c>
      <c r="G611" s="4">
        <v>0.003</v>
      </c>
      <c r="H611" s="4">
        <v>0.003</v>
      </c>
      <c r="K611" s="6" t="b">
        <f t="shared" ref="K611:M611" si="597">FALSE()</f>
        <v>0</v>
      </c>
      <c r="L611" s="6" t="b">
        <f t="shared" si="597"/>
        <v>0</v>
      </c>
      <c r="M611" s="6" t="b">
        <f t="shared" si="597"/>
        <v>0</v>
      </c>
      <c r="O611" s="4">
        <v>0.028781801425452</v>
      </c>
      <c r="T611" s="4" t="str">
        <f t="shared" si="3"/>
        <v/>
      </c>
      <c r="U611" s="4" t="str">
        <f t="shared" si="4"/>
        <v/>
      </c>
    </row>
    <row r="612" ht="15.75" customHeight="1">
      <c r="A612" s="4" t="s">
        <v>2043</v>
      </c>
      <c r="B612" s="4" t="s">
        <v>13</v>
      </c>
      <c r="D612" s="4">
        <v>0.0048</v>
      </c>
      <c r="E612" s="4">
        <v>0.0048</v>
      </c>
      <c r="F612" s="4">
        <v>0.0382</v>
      </c>
      <c r="G612" s="4">
        <v>0.0048</v>
      </c>
      <c r="H612" s="4">
        <v>0.0048</v>
      </c>
      <c r="K612" s="6" t="b">
        <f t="shared" ref="K612:M612" si="598">FALSE()</f>
        <v>0</v>
      </c>
      <c r="L612" s="6" t="b">
        <f t="shared" si="598"/>
        <v>0</v>
      </c>
      <c r="M612" s="6" t="b">
        <f t="shared" si="598"/>
        <v>0</v>
      </c>
      <c r="O612" s="4">
        <v>0.0374884444109916</v>
      </c>
      <c r="T612" s="4" t="str">
        <f t="shared" si="3"/>
        <v/>
      </c>
      <c r="U612" s="4" t="str">
        <f t="shared" si="4"/>
        <v/>
      </c>
    </row>
    <row r="613" ht="15.75" customHeight="1">
      <c r="A613" s="4" t="s">
        <v>2044</v>
      </c>
      <c r="B613" s="4" t="s">
        <v>13</v>
      </c>
      <c r="D613" s="4">
        <v>0.0091</v>
      </c>
      <c r="E613" s="4">
        <v>0.0091</v>
      </c>
      <c r="F613" s="4">
        <v>0.141</v>
      </c>
      <c r="G613" s="4">
        <v>0.0091</v>
      </c>
      <c r="H613" s="4">
        <v>0.0091</v>
      </c>
      <c r="K613" s="6" t="b">
        <f t="shared" ref="K613:M613" si="599">FALSE()</f>
        <v>0</v>
      </c>
      <c r="L613" s="6" t="b">
        <f t="shared" si="599"/>
        <v>0</v>
      </c>
      <c r="M613" s="6" t="b">
        <f t="shared" si="599"/>
        <v>0</v>
      </c>
      <c r="O613" s="4">
        <v>0.131905070879939</v>
      </c>
      <c r="T613" s="4" t="str">
        <f t="shared" si="3"/>
        <v/>
      </c>
      <c r="U613" s="4" t="str">
        <f t="shared" si="4"/>
        <v/>
      </c>
    </row>
    <row r="614" ht="15.75" customHeight="1">
      <c r="A614" s="4" t="s">
        <v>2045</v>
      </c>
      <c r="B614" s="4" t="s">
        <v>13</v>
      </c>
      <c r="D614" s="4">
        <v>0.0011</v>
      </c>
      <c r="E614" s="4">
        <v>0.0011</v>
      </c>
      <c r="F614" s="4">
        <v>0.00736</v>
      </c>
      <c r="G614" s="4">
        <v>0.0011</v>
      </c>
      <c r="H614" s="4">
        <v>0.0011</v>
      </c>
      <c r="K614" s="6" t="b">
        <f t="shared" ref="K614:M614" si="600">FALSE()</f>
        <v>0</v>
      </c>
      <c r="L614" s="6" t="b">
        <f t="shared" si="600"/>
        <v>0</v>
      </c>
      <c r="M614" s="6" t="b">
        <f t="shared" si="600"/>
        <v>0</v>
      </c>
      <c r="O614" s="4">
        <v>0.0073330473667919</v>
      </c>
      <c r="T614" s="4" t="str">
        <f t="shared" si="3"/>
        <v/>
      </c>
      <c r="U614" s="4" t="str">
        <f t="shared" si="4"/>
        <v/>
      </c>
    </row>
    <row r="615" ht="15.75" customHeight="1">
      <c r="A615" s="4" t="s">
        <v>2046</v>
      </c>
      <c r="B615" s="4" t="s">
        <v>13</v>
      </c>
      <c r="D615" s="4">
        <v>0.0023</v>
      </c>
      <c r="E615" s="4">
        <v>0.00233</v>
      </c>
      <c r="F615" s="4">
        <v>0.01737</v>
      </c>
      <c r="G615" s="4">
        <v>0.0023</v>
      </c>
      <c r="H615" s="4">
        <v>0.00233</v>
      </c>
      <c r="K615" s="6" t="b">
        <f t="shared" ref="K615:M615" si="601">FALSE()</f>
        <v>0</v>
      </c>
      <c r="L615" s="6" t="b">
        <f t="shared" si="601"/>
        <v>0</v>
      </c>
      <c r="M615" s="6" t="b">
        <f t="shared" si="601"/>
        <v>0</v>
      </c>
      <c r="O615" s="4">
        <v>0.0172208660443174</v>
      </c>
      <c r="T615" s="4" t="str">
        <f t="shared" si="3"/>
        <v/>
      </c>
      <c r="U615" s="4" t="str">
        <f t="shared" si="4"/>
        <v/>
      </c>
    </row>
    <row r="616" ht="15.75" customHeight="1">
      <c r="A616" s="4" t="s">
        <v>2047</v>
      </c>
      <c r="B616" s="4" t="s">
        <v>13</v>
      </c>
      <c r="C616" s="4">
        <v>2.3</v>
      </c>
      <c r="D616" s="4">
        <v>0.3</v>
      </c>
      <c r="E616" s="4">
        <v>0.8</v>
      </c>
      <c r="K616" s="6" t="b">
        <f t="shared" ref="K616:M616" si="602">FALSE()</f>
        <v>0</v>
      </c>
      <c r="L616" s="6" t="b">
        <f t="shared" si="602"/>
        <v>0</v>
      </c>
      <c r="M616" s="6" t="b">
        <f t="shared" si="602"/>
        <v>0</v>
      </c>
      <c r="N616" s="4">
        <v>1.19392246847244</v>
      </c>
      <c r="T616" s="4">
        <f t="shared" si="3"/>
        <v>398</v>
      </c>
      <c r="U616" s="4" t="str">
        <f t="shared" si="4"/>
        <v/>
      </c>
    </row>
    <row r="617" ht="15.75" customHeight="1">
      <c r="A617" s="4" t="s">
        <v>2048</v>
      </c>
      <c r="B617" s="4" t="s">
        <v>13</v>
      </c>
      <c r="C617" s="4">
        <v>5.489</v>
      </c>
      <c r="D617" s="4">
        <v>0.098</v>
      </c>
      <c r="E617" s="4">
        <v>1.443</v>
      </c>
      <c r="K617" s="6" t="b">
        <f>TRUE()</f>
        <v>1</v>
      </c>
      <c r="L617" s="6" t="b">
        <f t="shared" ref="L617:M617" si="603">FALSE()</f>
        <v>0</v>
      </c>
      <c r="M617" s="6" t="b">
        <f t="shared" si="603"/>
        <v>0</v>
      </c>
      <c r="N617" s="4">
        <v>1.87010843563903</v>
      </c>
      <c r="T617" s="4">
        <f t="shared" si="3"/>
        <v>191</v>
      </c>
      <c r="U617" s="4" t="str">
        <f t="shared" si="4"/>
        <v/>
      </c>
    </row>
    <row r="618" ht="15.75" customHeight="1">
      <c r="A618" s="4" t="s">
        <v>2049</v>
      </c>
      <c r="B618" s="4" t="s">
        <v>13</v>
      </c>
      <c r="D618" s="4">
        <v>0.1</v>
      </c>
      <c r="E618" s="4">
        <v>0.1</v>
      </c>
      <c r="F618" s="4">
        <v>2.0</v>
      </c>
      <c r="G618" s="4">
        <v>0.1</v>
      </c>
      <c r="H618" s="4">
        <v>0.1</v>
      </c>
      <c r="K618" s="6" t="b">
        <f t="shared" ref="K618:M618" si="604">FALSE()</f>
        <v>0</v>
      </c>
      <c r="L618" s="6" t="b">
        <f t="shared" si="604"/>
        <v>0</v>
      </c>
      <c r="M618" s="6" t="b">
        <f t="shared" si="604"/>
        <v>0</v>
      </c>
      <c r="O618" s="4">
        <v>1.09861228866811</v>
      </c>
      <c r="T618" s="4" t="str">
        <f t="shared" si="3"/>
        <v/>
      </c>
      <c r="U618" s="4" t="str">
        <f t="shared" si="4"/>
        <v/>
      </c>
    </row>
    <row r="619" ht="15.75" customHeight="1">
      <c r="A619" s="4" t="s">
        <v>2050</v>
      </c>
      <c r="B619" s="4" t="s">
        <v>13</v>
      </c>
      <c r="D619" s="4">
        <v>0.078</v>
      </c>
      <c r="E619" s="4">
        <v>0.078</v>
      </c>
      <c r="F619" s="4">
        <v>0.84</v>
      </c>
      <c r="G619" s="4">
        <v>0.078</v>
      </c>
      <c r="H619" s="4">
        <v>0.078</v>
      </c>
      <c r="K619" s="6" t="b">
        <f t="shared" ref="K619:M619" si="605">FALSE()</f>
        <v>0</v>
      </c>
      <c r="L619" s="6" t="b">
        <f t="shared" si="605"/>
        <v>0</v>
      </c>
      <c r="M619" s="6" t="b">
        <f t="shared" si="605"/>
        <v>0</v>
      </c>
      <c r="O619" s="4">
        <v>0.609765571620894</v>
      </c>
      <c r="T619" s="4" t="str">
        <f t="shared" si="3"/>
        <v/>
      </c>
      <c r="U619" s="4" t="str">
        <f t="shared" si="4"/>
        <v/>
      </c>
    </row>
    <row r="620" ht="15.75" customHeight="1">
      <c r="A620" s="4" t="s">
        <v>2051</v>
      </c>
      <c r="B620" s="4" t="s">
        <v>13</v>
      </c>
      <c r="D620" s="4">
        <v>0.021</v>
      </c>
      <c r="E620" s="4">
        <v>0.025</v>
      </c>
      <c r="F620" s="4">
        <v>0.16</v>
      </c>
      <c r="G620" s="4">
        <v>0.021</v>
      </c>
      <c r="H620" s="4">
        <v>0.025</v>
      </c>
      <c r="K620" s="6" t="b">
        <f t="shared" ref="K620:M620" si="606">FALSE()</f>
        <v>0</v>
      </c>
      <c r="L620" s="6" t="b">
        <f t="shared" si="606"/>
        <v>0</v>
      </c>
      <c r="M620" s="6" t="b">
        <f t="shared" si="606"/>
        <v>0</v>
      </c>
      <c r="O620" s="4">
        <v>0.148420005118273</v>
      </c>
      <c r="T620" s="4" t="str">
        <f t="shared" si="3"/>
        <v/>
      </c>
      <c r="U620" s="4" t="str">
        <f t="shared" si="4"/>
        <v/>
      </c>
    </row>
    <row r="621" ht="15.75" customHeight="1">
      <c r="A621" s="4" t="s">
        <v>2052</v>
      </c>
      <c r="B621" s="4" t="s">
        <v>13</v>
      </c>
      <c r="D621" s="4">
        <v>0.029</v>
      </c>
      <c r="E621" s="4">
        <v>0.029</v>
      </c>
      <c r="F621" s="4">
        <v>0.223</v>
      </c>
      <c r="G621" s="4">
        <v>0.029</v>
      </c>
      <c r="H621" s="4">
        <v>0.029</v>
      </c>
      <c r="K621" s="6" t="b">
        <f t="shared" ref="K621:M621" si="607">FALSE()</f>
        <v>0</v>
      </c>
      <c r="L621" s="6" t="b">
        <f t="shared" si="607"/>
        <v>0</v>
      </c>
      <c r="M621" s="6" t="b">
        <f t="shared" si="607"/>
        <v>0</v>
      </c>
      <c r="O621" s="4">
        <v>0.201306856705035</v>
      </c>
      <c r="T621" s="4" t="str">
        <f t="shared" si="3"/>
        <v/>
      </c>
      <c r="U621" s="4" t="str">
        <f t="shared" si="4"/>
        <v/>
      </c>
    </row>
    <row r="622" ht="15.75" customHeight="1">
      <c r="A622" s="4" t="s">
        <v>399</v>
      </c>
      <c r="B622" s="4" t="s">
        <v>13</v>
      </c>
      <c r="C622" s="4">
        <v>0.01271</v>
      </c>
      <c r="D622" s="4">
        <v>0.00173</v>
      </c>
      <c r="E622" s="4">
        <v>0.00173</v>
      </c>
      <c r="I622" s="4">
        <v>0.1169</v>
      </c>
      <c r="J622" s="4">
        <v>0.0054</v>
      </c>
      <c r="K622" s="6" t="b">
        <f t="shared" ref="K622:M622" si="608">FALSE()</f>
        <v>0</v>
      </c>
      <c r="L622" s="6" t="b">
        <f t="shared" si="608"/>
        <v>0</v>
      </c>
      <c r="M622" s="6" t="b">
        <f t="shared" si="608"/>
        <v>0</v>
      </c>
      <c r="N622" s="4">
        <v>0.0126299059000218</v>
      </c>
      <c r="P622" s="4">
        <v>0.110556990564644</v>
      </c>
      <c r="T622" s="4">
        <f t="shared" si="3"/>
        <v>1879</v>
      </c>
      <c r="U622" s="4">
        <f t="shared" si="4"/>
        <v>3940</v>
      </c>
    </row>
    <row r="623" ht="15.75" customHeight="1">
      <c r="A623" s="4" t="s">
        <v>2053</v>
      </c>
      <c r="B623" s="4" t="s">
        <v>13</v>
      </c>
      <c r="D623" s="4">
        <v>0.11</v>
      </c>
      <c r="E623" s="4">
        <v>0.11</v>
      </c>
      <c r="F623" s="4">
        <v>7.66</v>
      </c>
      <c r="G623" s="4">
        <v>0.11</v>
      </c>
      <c r="H623" s="4">
        <v>0.11</v>
      </c>
      <c r="K623" s="6" t="b">
        <f t="shared" ref="K623:K630" si="609">FALSE()</f>
        <v>0</v>
      </c>
      <c r="L623" s="6" t="b">
        <f>TRUE()</f>
        <v>1</v>
      </c>
      <c r="M623" s="6" t="b">
        <f>FALSE()</f>
        <v>0</v>
      </c>
      <c r="O623" s="4">
        <v>2.15871472257434</v>
      </c>
      <c r="T623" s="4" t="str">
        <f t="shared" si="3"/>
        <v/>
      </c>
      <c r="U623" s="4" t="str">
        <f t="shared" si="4"/>
        <v/>
      </c>
    </row>
    <row r="624" ht="15.75" customHeight="1">
      <c r="A624" s="4" t="s">
        <v>2054</v>
      </c>
      <c r="B624" s="4" t="s">
        <v>13</v>
      </c>
      <c r="D624" s="4">
        <v>0.0025</v>
      </c>
      <c r="E624" s="4">
        <v>0.0025</v>
      </c>
      <c r="F624" s="4">
        <v>0.03599</v>
      </c>
      <c r="G624" s="4">
        <v>0.0025</v>
      </c>
      <c r="H624" s="4">
        <v>0.0025</v>
      </c>
      <c r="K624" s="6" t="b">
        <f t="shared" si="609"/>
        <v>0</v>
      </c>
      <c r="L624" s="6" t="b">
        <f t="shared" ref="L624:M624" si="610">FALSE()</f>
        <v>0</v>
      </c>
      <c r="M624" s="6" t="b">
        <f t="shared" si="610"/>
        <v>0</v>
      </c>
      <c r="O624" s="4">
        <v>0.035357491281053</v>
      </c>
      <c r="T624" s="4" t="str">
        <f t="shared" si="3"/>
        <v/>
      </c>
      <c r="U624" s="4" t="str">
        <f t="shared" si="4"/>
        <v/>
      </c>
    </row>
    <row r="625" ht="15.75" customHeight="1">
      <c r="A625" s="4" t="s">
        <v>2055</v>
      </c>
      <c r="B625" s="4" t="s">
        <v>13</v>
      </c>
      <c r="D625" s="4">
        <v>0.0038</v>
      </c>
      <c r="E625" s="4">
        <v>0.0038</v>
      </c>
      <c r="F625" s="4">
        <v>0.0315</v>
      </c>
      <c r="G625" s="4">
        <v>0.0038</v>
      </c>
      <c r="H625" s="4">
        <v>0.0038</v>
      </c>
      <c r="K625" s="6" t="b">
        <f t="shared" si="609"/>
        <v>0</v>
      </c>
      <c r="L625" s="6" t="b">
        <f t="shared" ref="L625:M625" si="611">FALSE()</f>
        <v>0</v>
      </c>
      <c r="M625" s="6" t="b">
        <f t="shared" si="611"/>
        <v>0</v>
      </c>
      <c r="O625" s="4">
        <v>0.0310140535291694</v>
      </c>
      <c r="T625" s="4" t="str">
        <f t="shared" si="3"/>
        <v/>
      </c>
      <c r="U625" s="4" t="str">
        <f t="shared" si="4"/>
        <v/>
      </c>
    </row>
    <row r="626" ht="15.75" customHeight="1">
      <c r="A626" s="4" t="s">
        <v>2056</v>
      </c>
      <c r="B626" s="4" t="s">
        <v>13</v>
      </c>
      <c r="D626" s="4">
        <v>0.035</v>
      </c>
      <c r="E626" s="4">
        <v>0.035</v>
      </c>
      <c r="F626" s="4">
        <v>0.865</v>
      </c>
      <c r="G626" s="4">
        <v>0.035</v>
      </c>
      <c r="H626" s="4">
        <v>0.035</v>
      </c>
      <c r="K626" s="6" t="b">
        <f t="shared" si="609"/>
        <v>0</v>
      </c>
      <c r="L626" s="6" t="b">
        <f t="shared" ref="L626:M626" si="612">FALSE()</f>
        <v>0</v>
      </c>
      <c r="M626" s="6" t="b">
        <f t="shared" si="612"/>
        <v>0</v>
      </c>
      <c r="O626" s="4">
        <v>0.623261053095779</v>
      </c>
      <c r="T626" s="4" t="str">
        <f t="shared" si="3"/>
        <v/>
      </c>
      <c r="U626" s="4" t="str">
        <f t="shared" si="4"/>
        <v/>
      </c>
    </row>
    <row r="627" ht="15.75" customHeight="1">
      <c r="A627" s="4" t="s">
        <v>2057</v>
      </c>
      <c r="B627" s="4" t="s">
        <v>13</v>
      </c>
      <c r="D627" s="4">
        <v>0.25</v>
      </c>
      <c r="E627" s="4">
        <v>0.25</v>
      </c>
      <c r="F627" s="4">
        <v>5.13</v>
      </c>
      <c r="G627" s="4">
        <v>0.25</v>
      </c>
      <c r="H627" s="4">
        <v>0.25</v>
      </c>
      <c r="K627" s="6" t="b">
        <f t="shared" si="609"/>
        <v>0</v>
      </c>
      <c r="L627" s="6" t="b">
        <f t="shared" ref="L627:M627" si="613">FALSE()</f>
        <v>0</v>
      </c>
      <c r="M627" s="6" t="b">
        <f t="shared" si="613"/>
        <v>0</v>
      </c>
      <c r="O627" s="4">
        <v>1.81319474994812</v>
      </c>
      <c r="T627" s="4" t="str">
        <f t="shared" si="3"/>
        <v/>
      </c>
      <c r="U627" s="4" t="str">
        <f t="shared" si="4"/>
        <v/>
      </c>
    </row>
    <row r="628" ht="15.75" customHeight="1">
      <c r="A628" s="4" t="s">
        <v>2058</v>
      </c>
      <c r="B628" s="4" t="s">
        <v>13</v>
      </c>
      <c r="D628" s="4">
        <v>0.15</v>
      </c>
      <c r="E628" s="4">
        <v>0.15</v>
      </c>
      <c r="F628" s="4">
        <v>1.88</v>
      </c>
      <c r="G628" s="4">
        <v>0.15</v>
      </c>
      <c r="H628" s="4">
        <v>0.15</v>
      </c>
      <c r="K628" s="6" t="b">
        <f t="shared" si="609"/>
        <v>0</v>
      </c>
      <c r="L628" s="6" t="b">
        <f t="shared" ref="L628:M628" si="614">FALSE()</f>
        <v>0</v>
      </c>
      <c r="M628" s="6" t="b">
        <f t="shared" si="614"/>
        <v>0</v>
      </c>
      <c r="O628" s="4">
        <v>1.05779029414785</v>
      </c>
      <c r="T628" s="4" t="str">
        <f t="shared" si="3"/>
        <v/>
      </c>
      <c r="U628" s="4" t="str">
        <f t="shared" si="4"/>
        <v/>
      </c>
    </row>
    <row r="629" ht="15.75" customHeight="1">
      <c r="A629" s="4" t="s">
        <v>2059</v>
      </c>
      <c r="B629" s="4" t="s">
        <v>13</v>
      </c>
      <c r="D629" s="4">
        <v>2.15</v>
      </c>
      <c r="E629" s="4">
        <v>2.15</v>
      </c>
      <c r="F629" s="4">
        <v>9.76</v>
      </c>
      <c r="G629" s="4">
        <v>2.15</v>
      </c>
      <c r="H629" s="4">
        <v>2.15</v>
      </c>
      <c r="K629" s="6" t="b">
        <f t="shared" si="609"/>
        <v>0</v>
      </c>
      <c r="L629" s="6" t="b">
        <f>TRUE()</f>
        <v>1</v>
      </c>
      <c r="M629" s="6" t="b">
        <f>FALSE()</f>
        <v>0</v>
      </c>
      <c r="O629" s="4">
        <v>2.37583555473364</v>
      </c>
      <c r="T629" s="4" t="str">
        <f t="shared" si="3"/>
        <v/>
      </c>
      <c r="U629" s="4" t="str">
        <f t="shared" si="4"/>
        <v/>
      </c>
    </row>
    <row r="630" ht="15.75" customHeight="1">
      <c r="A630" s="4" t="s">
        <v>400</v>
      </c>
      <c r="B630" s="4" t="s">
        <v>13</v>
      </c>
      <c r="C630" s="4">
        <v>0.415</v>
      </c>
      <c r="D630" s="4">
        <v>0.02</v>
      </c>
      <c r="E630" s="4">
        <v>0.02</v>
      </c>
      <c r="I630" s="4">
        <v>1.026</v>
      </c>
      <c r="J630" s="4">
        <v>0.027</v>
      </c>
      <c r="K630" s="6" t="b">
        <f t="shared" si="609"/>
        <v>0</v>
      </c>
      <c r="L630" s="6" t="b">
        <f t="shared" ref="L630:L631" si="615">FALSE()</f>
        <v>0</v>
      </c>
      <c r="M630" s="6" t="b">
        <f>TRUE()</f>
        <v>1</v>
      </c>
      <c r="N630" s="4">
        <v>0.347129531095201</v>
      </c>
      <c r="P630" s="4">
        <v>0.706063405826492</v>
      </c>
      <c r="T630" s="4">
        <f t="shared" si="3"/>
        <v>1005</v>
      </c>
      <c r="U630" s="4">
        <f t="shared" si="4"/>
        <v>634</v>
      </c>
    </row>
    <row r="631" ht="15.75" customHeight="1">
      <c r="A631" s="4" t="s">
        <v>2060</v>
      </c>
      <c r="B631" s="4" t="s">
        <v>13</v>
      </c>
      <c r="C631" s="4">
        <v>5.4</v>
      </c>
      <c r="D631" s="4">
        <v>3.0</v>
      </c>
      <c r="E631" s="4">
        <v>3.0</v>
      </c>
      <c r="K631" s="6" t="b">
        <f>TRUE()</f>
        <v>1</v>
      </c>
      <c r="L631" s="6" t="b">
        <f t="shared" si="615"/>
        <v>0</v>
      </c>
      <c r="M631" s="6" t="b">
        <f>FALSE()</f>
        <v>0</v>
      </c>
      <c r="N631" s="4">
        <v>1.85629799036563</v>
      </c>
      <c r="T631" s="4">
        <f t="shared" si="3"/>
        <v>195</v>
      </c>
      <c r="U631" s="4" t="str">
        <f t="shared" si="4"/>
        <v/>
      </c>
    </row>
    <row r="632" ht="15.75" customHeight="1">
      <c r="A632" s="4" t="s">
        <v>2061</v>
      </c>
      <c r="B632" s="4" t="s">
        <v>13</v>
      </c>
      <c r="D632" s="4">
        <v>0.009</v>
      </c>
      <c r="E632" s="4">
        <v>0.003</v>
      </c>
      <c r="F632" s="4">
        <v>0.05</v>
      </c>
      <c r="G632" s="4">
        <v>0.009</v>
      </c>
      <c r="H632" s="4">
        <v>0.003</v>
      </c>
      <c r="K632" s="6" t="b">
        <f t="shared" ref="K632:M632" si="616">FALSE()</f>
        <v>0</v>
      </c>
      <c r="L632" s="6" t="b">
        <f t="shared" si="616"/>
        <v>0</v>
      </c>
      <c r="M632" s="6" t="b">
        <f t="shared" si="616"/>
        <v>0</v>
      </c>
      <c r="O632" s="4">
        <v>0.048790164169432</v>
      </c>
      <c r="T632" s="4" t="str">
        <f t="shared" si="3"/>
        <v/>
      </c>
      <c r="U632" s="4" t="str">
        <f t="shared" si="4"/>
        <v/>
      </c>
    </row>
    <row r="633" ht="15.75" customHeight="1">
      <c r="A633" s="4" t="s">
        <v>2062</v>
      </c>
      <c r="B633" s="4" t="s">
        <v>13</v>
      </c>
      <c r="D633" s="4">
        <v>5.0</v>
      </c>
      <c r="E633" s="4">
        <v>1.34</v>
      </c>
      <c r="F633" s="4">
        <v>6.284</v>
      </c>
      <c r="G633" s="4">
        <v>5.0</v>
      </c>
      <c r="H633" s="4">
        <v>1.34</v>
      </c>
      <c r="K633" s="6" t="b">
        <f t="shared" ref="K633:K637" si="617">FALSE()</f>
        <v>0</v>
      </c>
      <c r="L633" s="6" t="b">
        <f>TRUE()</f>
        <v>1</v>
      </c>
      <c r="M633" s="6" t="b">
        <f>FALSE()</f>
        <v>0</v>
      </c>
      <c r="O633" s="4">
        <v>1.98568016186536</v>
      </c>
      <c r="T633" s="4" t="str">
        <f t="shared" si="3"/>
        <v/>
      </c>
      <c r="U633" s="4" t="str">
        <f t="shared" si="4"/>
        <v/>
      </c>
    </row>
    <row r="634" ht="15.75" customHeight="1">
      <c r="A634" s="4" t="s">
        <v>2063</v>
      </c>
      <c r="B634" s="4" t="s">
        <v>13</v>
      </c>
      <c r="D634" s="4">
        <v>0.03</v>
      </c>
      <c r="E634" s="4">
        <v>0.03</v>
      </c>
      <c r="F634" s="4">
        <v>0.451</v>
      </c>
      <c r="G634" s="4">
        <v>0.03</v>
      </c>
      <c r="H634" s="4">
        <v>0.03</v>
      </c>
      <c r="K634" s="6" t="b">
        <f t="shared" si="617"/>
        <v>0</v>
      </c>
      <c r="L634" s="6" t="b">
        <f t="shared" ref="L634:M634" si="618">FALSE()</f>
        <v>0</v>
      </c>
      <c r="M634" s="6" t="b">
        <f t="shared" si="618"/>
        <v>0</v>
      </c>
      <c r="O634" s="4">
        <v>0.372252973902051</v>
      </c>
      <c r="T634" s="4" t="str">
        <f t="shared" si="3"/>
        <v/>
      </c>
      <c r="U634" s="4" t="str">
        <f t="shared" si="4"/>
        <v/>
      </c>
    </row>
    <row r="635" ht="15.75" customHeight="1">
      <c r="A635" s="4" t="s">
        <v>2064</v>
      </c>
      <c r="B635" s="4" t="s">
        <v>13</v>
      </c>
      <c r="D635" s="4">
        <v>0.08</v>
      </c>
      <c r="E635" s="4">
        <v>0.08</v>
      </c>
      <c r="F635" s="4">
        <v>1.33</v>
      </c>
      <c r="G635" s="4">
        <v>0.08</v>
      </c>
      <c r="H635" s="4">
        <v>0.08</v>
      </c>
      <c r="K635" s="6" t="b">
        <f t="shared" si="617"/>
        <v>0</v>
      </c>
      <c r="L635" s="6" t="b">
        <f t="shared" ref="L635:M635" si="619">FALSE()</f>
        <v>0</v>
      </c>
      <c r="M635" s="6" t="b">
        <f t="shared" si="619"/>
        <v>0</v>
      </c>
      <c r="O635" s="4">
        <v>0.845868267577609</v>
      </c>
      <c r="T635" s="4" t="str">
        <f t="shared" si="3"/>
        <v/>
      </c>
      <c r="U635" s="4" t="str">
        <f t="shared" si="4"/>
        <v/>
      </c>
    </row>
    <row r="636" ht="15.75" customHeight="1">
      <c r="A636" s="4" t="s">
        <v>2065</v>
      </c>
      <c r="B636" s="4" t="s">
        <v>13</v>
      </c>
      <c r="D636" s="4">
        <v>0.08</v>
      </c>
      <c r="E636" s="4">
        <v>0.08</v>
      </c>
      <c r="F636" s="4">
        <v>1.18</v>
      </c>
      <c r="G636" s="4">
        <v>0.08</v>
      </c>
      <c r="H636" s="4">
        <v>0.08</v>
      </c>
      <c r="K636" s="6" t="b">
        <f t="shared" si="617"/>
        <v>0</v>
      </c>
      <c r="L636" s="6" t="b">
        <f t="shared" ref="L636:M636" si="620">FALSE()</f>
        <v>0</v>
      </c>
      <c r="M636" s="6" t="b">
        <f t="shared" si="620"/>
        <v>0</v>
      </c>
      <c r="O636" s="4">
        <v>0.779324876800998</v>
      </c>
      <c r="T636" s="4" t="str">
        <f t="shared" si="3"/>
        <v/>
      </c>
      <c r="U636" s="4" t="str">
        <f t="shared" si="4"/>
        <v/>
      </c>
    </row>
    <row r="637" ht="15.75" customHeight="1">
      <c r="A637" s="4" t="s">
        <v>2066</v>
      </c>
      <c r="B637" s="4" t="s">
        <v>13</v>
      </c>
      <c r="D637" s="4">
        <v>0.1</v>
      </c>
      <c r="E637" s="4">
        <v>0.1</v>
      </c>
      <c r="F637" s="4">
        <v>0.66</v>
      </c>
      <c r="G637" s="4">
        <v>0.1</v>
      </c>
      <c r="H637" s="4">
        <v>0.1</v>
      </c>
      <c r="K637" s="6" t="b">
        <f t="shared" si="617"/>
        <v>0</v>
      </c>
      <c r="L637" s="6" t="b">
        <f t="shared" ref="L637:M637" si="621">FALSE()</f>
        <v>0</v>
      </c>
      <c r="M637" s="6" t="b">
        <f t="shared" si="621"/>
        <v>0</v>
      </c>
      <c r="O637" s="4">
        <v>0.506817602368452</v>
      </c>
      <c r="T637" s="4" t="str">
        <f t="shared" si="3"/>
        <v/>
      </c>
      <c r="U637" s="4" t="str">
        <f t="shared" si="4"/>
        <v/>
      </c>
    </row>
    <row r="638" ht="15.75" customHeight="1">
      <c r="A638" s="4" t="s">
        <v>2067</v>
      </c>
      <c r="B638" s="4" t="s">
        <v>13</v>
      </c>
      <c r="C638" s="4">
        <v>4.51</v>
      </c>
      <c r="D638" s="4">
        <v>0.61</v>
      </c>
      <c r="E638" s="4">
        <v>0.91</v>
      </c>
      <c r="F638" s="4">
        <v>5.1</v>
      </c>
      <c r="G638" s="4">
        <v>1.5</v>
      </c>
      <c r="H638" s="4">
        <v>2.6</v>
      </c>
      <c r="K638" s="6" t="b">
        <f>TRUE()</f>
        <v>1</v>
      </c>
      <c r="L638" s="6" t="b">
        <f t="shared" ref="L638:M638" si="622">FALSE()</f>
        <v>0</v>
      </c>
      <c r="M638" s="6" t="b">
        <f t="shared" si="622"/>
        <v>0</v>
      </c>
      <c r="N638" s="4">
        <v>1.70656462316482</v>
      </c>
      <c r="O638" s="4">
        <v>1.80828877117927</v>
      </c>
      <c r="T638" s="4">
        <f t="shared" si="3"/>
        <v>228</v>
      </c>
      <c r="U638" s="4" t="str">
        <f t="shared" si="4"/>
        <v/>
      </c>
    </row>
    <row r="639" ht="15.75" customHeight="1">
      <c r="A639" s="4" t="s">
        <v>2068</v>
      </c>
      <c r="B639" s="4" t="s">
        <v>13</v>
      </c>
      <c r="D639" s="4">
        <v>0.2</v>
      </c>
      <c r="E639" s="4">
        <v>0.2</v>
      </c>
      <c r="F639" s="4">
        <v>1.9</v>
      </c>
      <c r="G639" s="4">
        <v>0.2</v>
      </c>
      <c r="H639" s="4">
        <v>0.2</v>
      </c>
      <c r="K639" s="6" t="b">
        <f t="shared" ref="K639:M639" si="623">FALSE()</f>
        <v>0</v>
      </c>
      <c r="L639" s="6" t="b">
        <f t="shared" si="623"/>
        <v>0</v>
      </c>
      <c r="M639" s="6" t="b">
        <f t="shared" si="623"/>
        <v>0</v>
      </c>
      <c r="O639" s="4">
        <v>1.06471073699243</v>
      </c>
      <c r="T639" s="4" t="str">
        <f t="shared" si="3"/>
        <v/>
      </c>
      <c r="U639" s="4" t="str">
        <f t="shared" si="4"/>
        <v/>
      </c>
    </row>
    <row r="640" ht="15.75" customHeight="1">
      <c r="A640" s="4" t="s">
        <v>2069</v>
      </c>
      <c r="B640" s="4" t="s">
        <v>13</v>
      </c>
      <c r="F640" s="4">
        <v>1.62</v>
      </c>
      <c r="K640" s="6" t="b">
        <f t="shared" ref="K640:M640" si="624">FALSE()</f>
        <v>0</v>
      </c>
      <c r="L640" s="6" t="b">
        <f t="shared" si="624"/>
        <v>0</v>
      </c>
      <c r="M640" s="6" t="b">
        <f t="shared" si="624"/>
        <v>0</v>
      </c>
      <c r="O640" s="4">
        <v>0.963174317773006</v>
      </c>
      <c r="T640" s="4" t="str">
        <f t="shared" si="3"/>
        <v/>
      </c>
      <c r="U640" s="4" t="str">
        <f t="shared" si="4"/>
        <v/>
      </c>
    </row>
    <row r="641" ht="15.75" customHeight="1">
      <c r="A641" s="4" t="s">
        <v>2070</v>
      </c>
      <c r="B641" s="4" t="s">
        <v>13</v>
      </c>
      <c r="C641" s="4">
        <v>5.0</v>
      </c>
      <c r="K641" s="6" t="b">
        <f>TRUE()</f>
        <v>1</v>
      </c>
      <c r="L641" s="6" t="b">
        <f t="shared" ref="L641:M641" si="625">FALSE()</f>
        <v>0</v>
      </c>
      <c r="M641" s="6" t="b">
        <f t="shared" si="625"/>
        <v>0</v>
      </c>
      <c r="N641" s="4">
        <v>1.79175946922806</v>
      </c>
      <c r="T641" s="4">
        <f t="shared" si="3"/>
        <v>210</v>
      </c>
      <c r="U641" s="4" t="str">
        <f t="shared" si="4"/>
        <v/>
      </c>
    </row>
    <row r="642" ht="15.75" customHeight="1">
      <c r="A642" s="4" t="s">
        <v>2071</v>
      </c>
      <c r="B642" s="4" t="s">
        <v>13</v>
      </c>
      <c r="D642" s="4">
        <v>0.15</v>
      </c>
      <c r="E642" s="4">
        <v>0.15</v>
      </c>
      <c r="F642" s="4">
        <v>1.25</v>
      </c>
      <c r="G642" s="4">
        <v>0.15</v>
      </c>
      <c r="H642" s="4">
        <v>0.15</v>
      </c>
      <c r="K642" s="6" t="b">
        <f t="shared" ref="K642:M642" si="626">FALSE()</f>
        <v>0</v>
      </c>
      <c r="L642" s="6" t="b">
        <f t="shared" si="626"/>
        <v>0</v>
      </c>
      <c r="M642" s="6" t="b">
        <f t="shared" si="626"/>
        <v>0</v>
      </c>
      <c r="O642" s="4">
        <v>0.810930216216329</v>
      </c>
      <c r="T642" s="4" t="str">
        <f t="shared" si="3"/>
        <v/>
      </c>
      <c r="U642" s="4" t="str">
        <f t="shared" si="4"/>
        <v/>
      </c>
    </row>
    <row r="643" ht="15.75" customHeight="1">
      <c r="A643" s="4" t="s">
        <v>2072</v>
      </c>
      <c r="B643" s="4" t="s">
        <v>13</v>
      </c>
      <c r="D643" s="4">
        <v>0.7</v>
      </c>
      <c r="E643" s="4">
        <v>0.7</v>
      </c>
      <c r="F643" s="4">
        <v>5.3</v>
      </c>
      <c r="G643" s="4">
        <v>0.7</v>
      </c>
      <c r="H643" s="4">
        <v>0.7</v>
      </c>
      <c r="K643" s="6" t="b">
        <f t="shared" ref="K643:M643" si="627">FALSE()</f>
        <v>0</v>
      </c>
      <c r="L643" s="6" t="b">
        <f t="shared" si="627"/>
        <v>0</v>
      </c>
      <c r="M643" s="6" t="b">
        <f t="shared" si="627"/>
        <v>0</v>
      </c>
      <c r="O643" s="4">
        <v>1.84054963339749</v>
      </c>
      <c r="T643" s="4" t="str">
        <f t="shared" si="3"/>
        <v/>
      </c>
      <c r="U643" s="4" t="str">
        <f t="shared" si="4"/>
        <v/>
      </c>
    </row>
    <row r="644" ht="15.75" customHeight="1">
      <c r="A644" s="4" t="s">
        <v>2073</v>
      </c>
      <c r="B644" s="4" t="s">
        <v>13</v>
      </c>
      <c r="C644" s="4">
        <v>0.26</v>
      </c>
      <c r="D644" s="4">
        <v>0.036</v>
      </c>
      <c r="E644" s="4">
        <v>0.032</v>
      </c>
      <c r="K644" s="6" t="b">
        <f t="shared" ref="K644:M644" si="628">FALSE()</f>
        <v>0</v>
      </c>
      <c r="L644" s="6" t="b">
        <f t="shared" si="628"/>
        <v>0</v>
      </c>
      <c r="M644" s="6" t="b">
        <f t="shared" si="628"/>
        <v>0</v>
      </c>
      <c r="N644" s="4">
        <v>0.231111720963387</v>
      </c>
      <c r="T644" s="4">
        <f t="shared" si="3"/>
        <v>1099</v>
      </c>
      <c r="U644" s="4" t="str">
        <f t="shared" si="4"/>
        <v/>
      </c>
    </row>
    <row r="645" ht="15.75" customHeight="1">
      <c r="A645" s="4" t="s">
        <v>2074</v>
      </c>
      <c r="B645" s="4" t="s">
        <v>13</v>
      </c>
      <c r="D645" s="4">
        <v>0.06</v>
      </c>
      <c r="E645" s="4">
        <v>0.06</v>
      </c>
      <c r="F645" s="4">
        <v>1.21</v>
      </c>
      <c r="G645" s="4">
        <v>0.06</v>
      </c>
      <c r="H645" s="4">
        <v>0.06</v>
      </c>
      <c r="K645" s="6" t="b">
        <f t="shared" ref="K645:M645" si="629">FALSE()</f>
        <v>0</v>
      </c>
      <c r="L645" s="6" t="b">
        <f t="shared" si="629"/>
        <v>0</v>
      </c>
      <c r="M645" s="6" t="b">
        <f t="shared" si="629"/>
        <v>0</v>
      </c>
      <c r="O645" s="4">
        <v>0.792992515529661</v>
      </c>
      <c r="T645" s="4" t="str">
        <f t="shared" si="3"/>
        <v/>
      </c>
      <c r="U645" s="4" t="str">
        <f t="shared" si="4"/>
        <v/>
      </c>
    </row>
    <row r="646" ht="15.75" customHeight="1">
      <c r="A646" s="4" t="s">
        <v>2075</v>
      </c>
      <c r="B646" s="4" t="s">
        <v>13</v>
      </c>
      <c r="D646" s="4">
        <v>1.44</v>
      </c>
      <c r="E646" s="4">
        <v>1.44</v>
      </c>
      <c r="F646" s="4">
        <v>3.12</v>
      </c>
      <c r="G646" s="4">
        <v>1.44</v>
      </c>
      <c r="H646" s="4">
        <v>1.44</v>
      </c>
      <c r="K646" s="6" t="b">
        <f t="shared" ref="K646:M646" si="630">FALSE()</f>
        <v>0</v>
      </c>
      <c r="L646" s="6" t="b">
        <f t="shared" si="630"/>
        <v>0</v>
      </c>
      <c r="M646" s="6" t="b">
        <f t="shared" si="630"/>
        <v>0</v>
      </c>
      <c r="O646" s="4">
        <v>1.41585316336144</v>
      </c>
      <c r="T646" s="4" t="str">
        <f t="shared" si="3"/>
        <v/>
      </c>
      <c r="U646" s="4" t="str">
        <f t="shared" si="4"/>
        <v/>
      </c>
    </row>
    <row r="647" ht="15.75" customHeight="1">
      <c r="A647" s="4" t="s">
        <v>2076</v>
      </c>
      <c r="B647" s="4" t="s">
        <v>13</v>
      </c>
      <c r="D647" s="4">
        <v>0.016</v>
      </c>
      <c r="E647" s="4">
        <v>0.021</v>
      </c>
      <c r="F647" s="4">
        <v>0.064</v>
      </c>
      <c r="G647" s="4">
        <v>0.016</v>
      </c>
      <c r="H647" s="4">
        <v>0.021</v>
      </c>
      <c r="K647" s="6" t="b">
        <f t="shared" ref="K647:M647" si="631">FALSE()</f>
        <v>0</v>
      </c>
      <c r="L647" s="6" t="b">
        <f t="shared" si="631"/>
        <v>0</v>
      </c>
      <c r="M647" s="6" t="b">
        <f t="shared" si="631"/>
        <v>0</v>
      </c>
      <c r="O647" s="4">
        <v>0.0620353909194526</v>
      </c>
      <c r="T647" s="4" t="str">
        <f t="shared" si="3"/>
        <v/>
      </c>
      <c r="U647" s="4" t="str">
        <f t="shared" si="4"/>
        <v/>
      </c>
    </row>
    <row r="648" ht="15.75" customHeight="1">
      <c r="A648" s="4" t="s">
        <v>2077</v>
      </c>
      <c r="B648" s="4" t="s">
        <v>13</v>
      </c>
      <c r="D648" s="4">
        <v>0.1</v>
      </c>
      <c r="E648" s="4">
        <v>0.1</v>
      </c>
      <c r="F648" s="4">
        <v>5.76</v>
      </c>
      <c r="G648" s="4">
        <v>0.1</v>
      </c>
      <c r="H648" s="4">
        <v>0.1</v>
      </c>
      <c r="K648" s="6" t="b">
        <f t="shared" ref="K648:M648" si="632">FALSE()</f>
        <v>0</v>
      </c>
      <c r="L648" s="6" t="b">
        <f t="shared" si="632"/>
        <v>0</v>
      </c>
      <c r="M648" s="6" t="b">
        <f t="shared" si="632"/>
        <v>0</v>
      </c>
      <c r="O648" s="4">
        <v>1.91102289005487</v>
      </c>
      <c r="T648" s="4" t="str">
        <f t="shared" si="3"/>
        <v/>
      </c>
      <c r="U648" s="4" t="str">
        <f t="shared" si="4"/>
        <v/>
      </c>
    </row>
    <row r="649" ht="15.75" customHeight="1">
      <c r="A649" s="4" t="s">
        <v>2078</v>
      </c>
      <c r="B649" s="4" t="s">
        <v>13</v>
      </c>
      <c r="F649" s="4">
        <v>2.9</v>
      </c>
      <c r="K649" s="6" t="b">
        <f t="shared" ref="K649:M649" si="633">FALSE()</f>
        <v>0</v>
      </c>
      <c r="L649" s="6" t="b">
        <f t="shared" si="633"/>
        <v>0</v>
      </c>
      <c r="M649" s="6" t="b">
        <f t="shared" si="633"/>
        <v>0</v>
      </c>
      <c r="O649" s="4">
        <v>1.3609765531356</v>
      </c>
      <c r="T649" s="4" t="str">
        <f t="shared" si="3"/>
        <v/>
      </c>
      <c r="U649" s="4" t="str">
        <f t="shared" si="4"/>
        <v/>
      </c>
    </row>
    <row r="650" ht="15.75" customHeight="1">
      <c r="A650" s="4" t="s">
        <v>2079</v>
      </c>
      <c r="B650" s="4" t="s">
        <v>13</v>
      </c>
      <c r="C650" s="4">
        <v>2.072</v>
      </c>
      <c r="D650" s="4">
        <v>0.048</v>
      </c>
      <c r="E650" s="4">
        <v>1.634</v>
      </c>
      <c r="F650" s="4">
        <v>2.28</v>
      </c>
      <c r="G650" s="4">
        <v>0.6</v>
      </c>
      <c r="H650" s="4">
        <v>0.6</v>
      </c>
      <c r="K650" s="6" t="b">
        <f t="shared" ref="K650:M650" si="634">FALSE()</f>
        <v>0</v>
      </c>
      <c r="L650" s="6" t="b">
        <f t="shared" si="634"/>
        <v>0</v>
      </c>
      <c r="M650" s="6" t="b">
        <f t="shared" si="634"/>
        <v>0</v>
      </c>
      <c r="N650" s="4">
        <v>1.12232881528543</v>
      </c>
      <c r="O650" s="4">
        <v>1.18784342239605</v>
      </c>
      <c r="T650" s="4">
        <f t="shared" si="3"/>
        <v>430</v>
      </c>
      <c r="U650" s="4" t="str">
        <f t="shared" si="4"/>
        <v/>
      </c>
    </row>
    <row r="651" ht="15.75" customHeight="1">
      <c r="A651" s="4" t="s">
        <v>2080</v>
      </c>
      <c r="B651" s="4" t="s">
        <v>13</v>
      </c>
      <c r="D651" s="4">
        <v>0.0019</v>
      </c>
      <c r="E651" s="4">
        <v>0.0019</v>
      </c>
      <c r="F651" s="4">
        <v>0.0203</v>
      </c>
      <c r="G651" s="4">
        <v>0.0019</v>
      </c>
      <c r="H651" s="4">
        <v>0.0019</v>
      </c>
      <c r="K651" s="6" t="b">
        <f t="shared" ref="K651:M651" si="635">FALSE()</f>
        <v>0</v>
      </c>
      <c r="L651" s="6" t="b">
        <f t="shared" si="635"/>
        <v>0</v>
      </c>
      <c r="M651" s="6" t="b">
        <f t="shared" si="635"/>
        <v>0</v>
      </c>
      <c r="O651" s="4">
        <v>0.0200967016991224</v>
      </c>
      <c r="T651" s="4" t="str">
        <f t="shared" si="3"/>
        <v/>
      </c>
      <c r="U651" s="4" t="str">
        <f t="shared" si="4"/>
        <v/>
      </c>
    </row>
    <row r="652" ht="15.75" customHeight="1">
      <c r="A652" s="4" t="s">
        <v>2081</v>
      </c>
      <c r="B652" s="4" t="s">
        <v>13</v>
      </c>
      <c r="D652" s="4">
        <v>0.0023</v>
      </c>
      <c r="E652" s="4">
        <v>0.0023</v>
      </c>
      <c r="F652" s="4">
        <v>0.0176</v>
      </c>
      <c r="G652" s="4">
        <v>0.0023</v>
      </c>
      <c r="H652" s="4">
        <v>0.0023</v>
      </c>
      <c r="K652" s="6" t="b">
        <f t="shared" ref="K652:M652" si="636">FALSE()</f>
        <v>0</v>
      </c>
      <c r="L652" s="6" t="b">
        <f t="shared" si="636"/>
        <v>0</v>
      </c>
      <c r="M652" s="6" t="b">
        <f t="shared" si="636"/>
        <v>0</v>
      </c>
      <c r="O652" s="4">
        <v>0.0174469136037206</v>
      </c>
      <c r="T652" s="4" t="str">
        <f t="shared" si="3"/>
        <v/>
      </c>
      <c r="U652" s="4" t="str">
        <f t="shared" si="4"/>
        <v/>
      </c>
    </row>
    <row r="653" ht="15.75" customHeight="1">
      <c r="A653" s="4" t="s">
        <v>2082</v>
      </c>
      <c r="B653" s="4" t="s">
        <v>13</v>
      </c>
      <c r="D653" s="4">
        <v>0.07</v>
      </c>
      <c r="E653" s="4">
        <v>0.07</v>
      </c>
      <c r="F653" s="4">
        <v>2.12</v>
      </c>
      <c r="G653" s="4">
        <v>0.07</v>
      </c>
      <c r="H653" s="4">
        <v>0.07</v>
      </c>
      <c r="K653" s="6" t="b">
        <f t="shared" ref="K653:M653" si="637">FALSE()</f>
        <v>0</v>
      </c>
      <c r="L653" s="6" t="b">
        <f t="shared" si="637"/>
        <v>0</v>
      </c>
      <c r="M653" s="6" t="b">
        <f t="shared" si="637"/>
        <v>0</v>
      </c>
      <c r="O653" s="4">
        <v>1.13783300182139</v>
      </c>
      <c r="T653" s="4" t="str">
        <f t="shared" si="3"/>
        <v/>
      </c>
      <c r="U653" s="4" t="str">
        <f t="shared" si="4"/>
        <v/>
      </c>
    </row>
    <row r="654" ht="15.75" customHeight="1">
      <c r="A654" s="4" t="s">
        <v>2083</v>
      </c>
      <c r="B654" s="4" t="s">
        <v>13</v>
      </c>
      <c r="D654" s="4">
        <v>0.32</v>
      </c>
      <c r="E654" s="4">
        <v>0.32</v>
      </c>
      <c r="F654" s="4">
        <v>6.56</v>
      </c>
      <c r="G654" s="4">
        <v>0.32</v>
      </c>
      <c r="H654" s="4">
        <v>0.32</v>
      </c>
      <c r="K654" s="6" t="b">
        <f t="shared" ref="K654:K664" si="638">FALSE()</f>
        <v>0</v>
      </c>
      <c r="L654" s="6" t="b">
        <f>TRUE()</f>
        <v>1</v>
      </c>
      <c r="M654" s="6" t="b">
        <f>FALSE()</f>
        <v>0</v>
      </c>
      <c r="O654" s="4">
        <v>2.02287119019144</v>
      </c>
      <c r="T654" s="4" t="str">
        <f t="shared" si="3"/>
        <v/>
      </c>
      <c r="U654" s="4" t="str">
        <f t="shared" si="4"/>
        <v/>
      </c>
    </row>
    <row r="655" ht="15.75" customHeight="1">
      <c r="A655" s="4" t="s">
        <v>2084</v>
      </c>
      <c r="B655" s="4" t="s">
        <v>13</v>
      </c>
      <c r="D655" s="4">
        <v>0.0035</v>
      </c>
      <c r="E655" s="4">
        <v>0.0035</v>
      </c>
      <c r="F655" s="4">
        <v>0.068</v>
      </c>
      <c r="G655" s="4">
        <v>0.0035</v>
      </c>
      <c r="H655" s="4">
        <v>0.0035</v>
      </c>
      <c r="K655" s="6" t="b">
        <f t="shared" si="638"/>
        <v>0</v>
      </c>
      <c r="L655" s="6" t="b">
        <f t="shared" ref="L655:M655" si="639">FALSE()</f>
        <v>0</v>
      </c>
      <c r="M655" s="6" t="b">
        <f t="shared" si="639"/>
        <v>0</v>
      </c>
      <c r="O655" s="4">
        <v>0.0657877405380031</v>
      </c>
      <c r="T655" s="4" t="str">
        <f t="shared" si="3"/>
        <v/>
      </c>
      <c r="U655" s="4" t="str">
        <f t="shared" si="4"/>
        <v/>
      </c>
    </row>
    <row r="656" ht="15.75" customHeight="1">
      <c r="A656" s="4" t="s">
        <v>2085</v>
      </c>
      <c r="B656" s="4" t="s">
        <v>13</v>
      </c>
      <c r="F656" s="4">
        <v>1.21</v>
      </c>
      <c r="K656" s="6" t="b">
        <f t="shared" si="638"/>
        <v>0</v>
      </c>
      <c r="L656" s="6" t="b">
        <f t="shared" ref="L656:M656" si="640">FALSE()</f>
        <v>0</v>
      </c>
      <c r="M656" s="6" t="b">
        <f t="shared" si="640"/>
        <v>0</v>
      </c>
      <c r="O656" s="4">
        <v>0.792992515529661</v>
      </c>
      <c r="T656" s="4" t="str">
        <f t="shared" si="3"/>
        <v/>
      </c>
      <c r="U656" s="4" t="str">
        <f t="shared" si="4"/>
        <v/>
      </c>
    </row>
    <row r="657" ht="15.75" customHeight="1">
      <c r="A657" s="4" t="s">
        <v>2086</v>
      </c>
      <c r="B657" s="4" t="s">
        <v>13</v>
      </c>
      <c r="D657" s="4">
        <v>0.34</v>
      </c>
      <c r="E657" s="4">
        <v>0.34</v>
      </c>
      <c r="F657" s="4">
        <v>5.14</v>
      </c>
      <c r="G657" s="4">
        <v>0.34</v>
      </c>
      <c r="H657" s="4">
        <v>0.34</v>
      </c>
      <c r="K657" s="6" t="b">
        <f t="shared" si="638"/>
        <v>0</v>
      </c>
      <c r="L657" s="6" t="b">
        <f t="shared" ref="L657:M657" si="641">FALSE()</f>
        <v>0</v>
      </c>
      <c r="M657" s="6" t="b">
        <f t="shared" si="641"/>
        <v>0</v>
      </c>
      <c r="O657" s="4">
        <v>1.81482474215905</v>
      </c>
      <c r="T657" s="4" t="str">
        <f t="shared" si="3"/>
        <v/>
      </c>
      <c r="U657" s="4" t="str">
        <f t="shared" si="4"/>
        <v/>
      </c>
    </row>
    <row r="658" ht="15.75" customHeight="1">
      <c r="A658" s="4" t="s">
        <v>2087</v>
      </c>
      <c r="B658" s="4" t="s">
        <v>13</v>
      </c>
      <c r="D658" s="4">
        <v>0.18</v>
      </c>
      <c r="E658" s="4">
        <v>0.18</v>
      </c>
      <c r="F658" s="4">
        <v>2.3</v>
      </c>
      <c r="G658" s="4">
        <v>0.18</v>
      </c>
      <c r="H658" s="4">
        <v>0.18</v>
      </c>
      <c r="K658" s="6" t="b">
        <f t="shared" si="638"/>
        <v>0</v>
      </c>
      <c r="L658" s="6" t="b">
        <f t="shared" ref="L658:M658" si="642">FALSE()</f>
        <v>0</v>
      </c>
      <c r="M658" s="6" t="b">
        <f t="shared" si="642"/>
        <v>0</v>
      </c>
      <c r="O658" s="4">
        <v>1.19392246847244</v>
      </c>
      <c r="T658" s="4" t="str">
        <f t="shared" si="3"/>
        <v/>
      </c>
      <c r="U658" s="4" t="str">
        <f t="shared" si="4"/>
        <v/>
      </c>
    </row>
    <row r="659" ht="15.75" customHeight="1">
      <c r="A659" s="4" t="s">
        <v>2088</v>
      </c>
      <c r="B659" s="4" t="s">
        <v>13</v>
      </c>
      <c r="D659" s="4">
        <v>0.069</v>
      </c>
      <c r="E659" s="4">
        <v>0.069</v>
      </c>
      <c r="F659" s="4">
        <v>1.121</v>
      </c>
      <c r="G659" s="4">
        <v>0.069</v>
      </c>
      <c r="H659" s="4">
        <v>0.069</v>
      </c>
      <c r="I659" s="4">
        <v>1.25</v>
      </c>
      <c r="K659" s="6" t="b">
        <f t="shared" si="638"/>
        <v>0</v>
      </c>
      <c r="L659" s="6" t="b">
        <f t="shared" ref="L659:L665" si="643">FALSE()</f>
        <v>0</v>
      </c>
      <c r="M659" s="6" t="b">
        <f>TRUE()</f>
        <v>1</v>
      </c>
      <c r="O659" s="4">
        <v>0.751887675582545</v>
      </c>
      <c r="P659" s="4">
        <v>0.810930216216329</v>
      </c>
      <c r="T659" s="4" t="str">
        <f t="shared" si="3"/>
        <v/>
      </c>
      <c r="U659" s="4">
        <f t="shared" si="4"/>
        <v>317</v>
      </c>
    </row>
    <row r="660" ht="15.75" customHeight="1">
      <c r="A660" s="4" t="s">
        <v>2089</v>
      </c>
      <c r="B660" s="4" t="s">
        <v>13</v>
      </c>
      <c r="D660" s="4">
        <v>0.05</v>
      </c>
      <c r="E660" s="4">
        <v>0.06</v>
      </c>
      <c r="F660" s="4">
        <v>0.85</v>
      </c>
      <c r="G660" s="4">
        <v>0.05</v>
      </c>
      <c r="H660" s="4">
        <v>0.06</v>
      </c>
      <c r="K660" s="6" t="b">
        <f t="shared" si="638"/>
        <v>0</v>
      </c>
      <c r="L660" s="6" t="b">
        <f t="shared" si="643"/>
        <v>0</v>
      </c>
      <c r="M660" s="6" t="b">
        <f t="shared" ref="M660:M663" si="644">FALSE()</f>
        <v>0</v>
      </c>
      <c r="O660" s="4">
        <v>0.615185639090234</v>
      </c>
      <c r="T660" s="4" t="str">
        <f t="shared" si="3"/>
        <v/>
      </c>
      <c r="U660" s="4" t="str">
        <f t="shared" si="4"/>
        <v/>
      </c>
    </row>
    <row r="661" ht="15.75" customHeight="1">
      <c r="A661" s="4" t="s">
        <v>2090</v>
      </c>
      <c r="B661" s="4" t="s">
        <v>13</v>
      </c>
      <c r="D661" s="4">
        <v>0.82</v>
      </c>
      <c r="E661" s="4">
        <v>0.82</v>
      </c>
      <c r="F661" s="4">
        <v>5.16</v>
      </c>
      <c r="G661" s="4">
        <v>0.82</v>
      </c>
      <c r="H661" s="4">
        <v>0.82</v>
      </c>
      <c r="K661" s="6" t="b">
        <f t="shared" si="638"/>
        <v>0</v>
      </c>
      <c r="L661" s="6" t="b">
        <f t="shared" si="643"/>
        <v>0</v>
      </c>
      <c r="M661" s="6" t="b">
        <f t="shared" si="644"/>
        <v>0</v>
      </c>
      <c r="O661" s="4">
        <v>1.81807677754543</v>
      </c>
      <c r="T661" s="4" t="str">
        <f t="shared" si="3"/>
        <v/>
      </c>
      <c r="U661" s="4" t="str">
        <f t="shared" si="4"/>
        <v/>
      </c>
    </row>
    <row r="662" ht="15.75" customHeight="1">
      <c r="A662" s="4" t="s">
        <v>2091</v>
      </c>
      <c r="B662" s="4" t="s">
        <v>13</v>
      </c>
      <c r="D662" s="4">
        <v>0.25</v>
      </c>
      <c r="E662" s="4">
        <v>0.25</v>
      </c>
      <c r="F662" s="4">
        <v>1.23</v>
      </c>
      <c r="G662" s="4">
        <v>0.25</v>
      </c>
      <c r="H662" s="4">
        <v>0.25</v>
      </c>
      <c r="K662" s="6" t="b">
        <f t="shared" si="638"/>
        <v>0</v>
      </c>
      <c r="L662" s="6" t="b">
        <f t="shared" si="643"/>
        <v>0</v>
      </c>
      <c r="M662" s="6" t="b">
        <f t="shared" si="644"/>
        <v>0</v>
      </c>
      <c r="O662" s="4">
        <v>0.802001585472027</v>
      </c>
      <c r="T662" s="4" t="str">
        <f t="shared" si="3"/>
        <v/>
      </c>
      <c r="U662" s="4" t="str">
        <f t="shared" si="4"/>
        <v/>
      </c>
    </row>
    <row r="663" ht="15.75" customHeight="1">
      <c r="A663" s="4" t="s">
        <v>401</v>
      </c>
      <c r="B663" s="4" t="s">
        <v>13</v>
      </c>
      <c r="C663" s="4">
        <v>0.28</v>
      </c>
      <c r="D663" s="4">
        <v>0.03</v>
      </c>
      <c r="E663" s="4">
        <v>0.03</v>
      </c>
      <c r="I663" s="4">
        <v>0.74</v>
      </c>
      <c r="J663" s="4">
        <v>0.02</v>
      </c>
      <c r="K663" s="6" t="b">
        <f t="shared" si="638"/>
        <v>0</v>
      </c>
      <c r="L663" s="6" t="b">
        <f t="shared" si="643"/>
        <v>0</v>
      </c>
      <c r="M663" s="6" t="b">
        <f t="shared" si="644"/>
        <v>0</v>
      </c>
      <c r="N663" s="4">
        <v>0.246860077931526</v>
      </c>
      <c r="P663" s="4">
        <v>0.553885113226438</v>
      </c>
      <c r="T663" s="4">
        <f t="shared" si="3"/>
        <v>1081</v>
      </c>
      <c r="U663" s="4">
        <f t="shared" si="4"/>
        <v>877</v>
      </c>
    </row>
    <row r="664" ht="15.75" customHeight="1">
      <c r="A664" s="4" t="s">
        <v>2092</v>
      </c>
      <c r="B664" s="4" t="s">
        <v>13</v>
      </c>
      <c r="F664" s="4">
        <v>1.33</v>
      </c>
      <c r="I664" s="4">
        <v>1.05</v>
      </c>
      <c r="K664" s="6" t="b">
        <f t="shared" si="638"/>
        <v>0</v>
      </c>
      <c r="L664" s="6" t="b">
        <f t="shared" si="643"/>
        <v>0</v>
      </c>
      <c r="M664" s="6" t="b">
        <f>TRUE()</f>
        <v>1</v>
      </c>
      <c r="O664" s="4">
        <v>0.845868267577609</v>
      </c>
      <c r="P664" s="4">
        <v>0.717839793150317</v>
      </c>
      <c r="T664" s="4" t="str">
        <f t="shared" si="3"/>
        <v/>
      </c>
      <c r="U664" s="4">
        <f t="shared" si="4"/>
        <v>603</v>
      </c>
    </row>
    <row r="665" ht="15.75" customHeight="1">
      <c r="A665" s="4" t="s">
        <v>2093</v>
      </c>
      <c r="B665" s="4" t="s">
        <v>13</v>
      </c>
      <c r="C665" s="4">
        <v>12.597</v>
      </c>
      <c r="D665" s="4">
        <v>2.782</v>
      </c>
      <c r="E665" s="4">
        <v>2.694</v>
      </c>
      <c r="K665" s="6" t="b">
        <f>TRUE()</f>
        <v>1</v>
      </c>
      <c r="L665" s="6" t="b">
        <f t="shared" si="643"/>
        <v>0</v>
      </c>
      <c r="M665" s="6" t="b">
        <f>FALSE()</f>
        <v>0</v>
      </c>
      <c r="N665" s="4">
        <v>2.60984918017355</v>
      </c>
      <c r="T665" s="4">
        <f t="shared" si="3"/>
        <v>8</v>
      </c>
      <c r="U665" s="4" t="str">
        <f t="shared" si="4"/>
        <v/>
      </c>
    </row>
    <row r="666" ht="15.75" customHeight="1">
      <c r="A666" s="4" t="s">
        <v>2094</v>
      </c>
      <c r="B666" s="4" t="s">
        <v>13</v>
      </c>
      <c r="D666" s="4">
        <v>0.4</v>
      </c>
      <c r="E666" s="4">
        <v>0.4</v>
      </c>
      <c r="F666" s="4">
        <v>2.4</v>
      </c>
      <c r="G666" s="4">
        <v>0.4</v>
      </c>
      <c r="H666" s="4">
        <v>0.4</v>
      </c>
      <c r="K666" s="6" t="b">
        <f t="shared" ref="K666:M666" si="645">FALSE()</f>
        <v>0</v>
      </c>
      <c r="L666" s="6" t="b">
        <f t="shared" si="645"/>
        <v>0</v>
      </c>
      <c r="M666" s="6" t="b">
        <f t="shared" si="645"/>
        <v>0</v>
      </c>
      <c r="O666" s="4">
        <v>1.22377543162212</v>
      </c>
      <c r="T666" s="4" t="str">
        <f t="shared" si="3"/>
        <v/>
      </c>
      <c r="U666" s="4" t="str">
        <f t="shared" si="4"/>
        <v/>
      </c>
    </row>
    <row r="667" ht="15.75" customHeight="1">
      <c r="A667" s="4" t="s">
        <v>2095</v>
      </c>
      <c r="B667" s="4" t="s">
        <v>13</v>
      </c>
      <c r="D667" s="4">
        <v>0.16</v>
      </c>
      <c r="E667" s="4">
        <v>0.16</v>
      </c>
      <c r="F667" s="4">
        <v>2.75</v>
      </c>
      <c r="G667" s="4">
        <v>0.16</v>
      </c>
      <c r="H667" s="4">
        <v>0.16</v>
      </c>
      <c r="I667" s="4">
        <v>1.183</v>
      </c>
      <c r="K667" s="6" t="b">
        <f t="shared" ref="K667:L667" si="646">FALSE()</f>
        <v>0</v>
      </c>
      <c r="L667" s="6" t="b">
        <f t="shared" si="646"/>
        <v>0</v>
      </c>
      <c r="M667" s="6" t="b">
        <f>TRUE()</f>
        <v>1</v>
      </c>
      <c r="O667" s="4">
        <v>1.32175583998232</v>
      </c>
      <c r="P667" s="4">
        <v>0.780700077567807</v>
      </c>
      <c r="T667" s="4" t="str">
        <f t="shared" si="3"/>
        <v/>
      </c>
      <c r="U667" s="4">
        <f t="shared" si="4"/>
        <v>409</v>
      </c>
    </row>
    <row r="668" ht="15.75" customHeight="1">
      <c r="A668" s="4" t="s">
        <v>2096</v>
      </c>
      <c r="B668" s="4" t="s">
        <v>13</v>
      </c>
      <c r="D668" s="4">
        <v>0.0197</v>
      </c>
      <c r="E668" s="4">
        <v>0.0197</v>
      </c>
      <c r="F668" s="4">
        <v>0.168</v>
      </c>
      <c r="G668" s="4">
        <v>0.0197</v>
      </c>
      <c r="H668" s="4">
        <v>0.0197</v>
      </c>
      <c r="K668" s="6" t="b">
        <f t="shared" ref="K668:M668" si="647">FALSE()</f>
        <v>0</v>
      </c>
      <c r="L668" s="6" t="b">
        <f t="shared" si="647"/>
        <v>0</v>
      </c>
      <c r="M668" s="6" t="b">
        <f t="shared" si="647"/>
        <v>0</v>
      </c>
      <c r="O668" s="4">
        <v>0.155292884406035</v>
      </c>
      <c r="T668" s="4" t="str">
        <f t="shared" si="3"/>
        <v/>
      </c>
      <c r="U668" s="4" t="str">
        <f t="shared" si="4"/>
        <v/>
      </c>
    </row>
    <row r="669" ht="15.75" customHeight="1">
      <c r="A669" s="4" t="s">
        <v>2097</v>
      </c>
      <c r="B669" s="4" t="s">
        <v>13</v>
      </c>
      <c r="C669" s="4">
        <v>2.43</v>
      </c>
      <c r="D669" s="4">
        <v>0.38</v>
      </c>
      <c r="E669" s="4">
        <v>0.48</v>
      </c>
      <c r="F669" s="4">
        <v>2.71</v>
      </c>
      <c r="G669" s="4">
        <v>0.66</v>
      </c>
      <c r="H669" s="4">
        <v>1.14</v>
      </c>
      <c r="K669" s="6" t="b">
        <f t="shared" ref="K669:M669" si="648">FALSE()</f>
        <v>0</v>
      </c>
      <c r="L669" s="6" t="b">
        <f t="shared" si="648"/>
        <v>0</v>
      </c>
      <c r="M669" s="6" t="b">
        <f t="shared" si="648"/>
        <v>0</v>
      </c>
      <c r="N669" s="4">
        <v>1.23256026117785</v>
      </c>
      <c r="O669" s="4">
        <v>1.31103187661934</v>
      </c>
      <c r="T669" s="4">
        <f t="shared" si="3"/>
        <v>380</v>
      </c>
      <c r="U669" s="4" t="str">
        <f t="shared" si="4"/>
        <v/>
      </c>
    </row>
    <row r="670" ht="15.75" customHeight="1">
      <c r="A670" s="4" t="s">
        <v>2098</v>
      </c>
      <c r="B670" s="4" t="s">
        <v>13</v>
      </c>
      <c r="C670" s="4">
        <v>0.121</v>
      </c>
      <c r="D670" s="4">
        <v>0.025</v>
      </c>
      <c r="E670" s="4">
        <v>0.019</v>
      </c>
      <c r="K670" s="6" t="b">
        <f t="shared" ref="K670:M670" si="649">FALSE()</f>
        <v>0</v>
      </c>
      <c r="L670" s="6" t="b">
        <f t="shared" si="649"/>
        <v>0</v>
      </c>
      <c r="M670" s="6" t="b">
        <f t="shared" si="649"/>
        <v>0</v>
      </c>
      <c r="N670" s="4">
        <v>0.114221144090023</v>
      </c>
      <c r="T670" s="4">
        <f t="shared" si="3"/>
        <v>1226</v>
      </c>
      <c r="U670" s="4" t="str">
        <f t="shared" si="4"/>
        <v/>
      </c>
    </row>
    <row r="671" ht="15.75" customHeight="1">
      <c r="A671" s="4" t="s">
        <v>2099</v>
      </c>
      <c r="B671" s="4" t="s">
        <v>13</v>
      </c>
      <c r="C671" s="4">
        <v>5.148</v>
      </c>
      <c r="D671" s="4">
        <v>1.058</v>
      </c>
      <c r="E671" s="4">
        <v>1.18</v>
      </c>
      <c r="K671" s="6" t="b">
        <f>TRUE()</f>
        <v>1</v>
      </c>
      <c r="L671" s="6" t="b">
        <f t="shared" ref="L671:M671" si="650">FALSE()</f>
        <v>0</v>
      </c>
      <c r="M671" s="6" t="b">
        <f t="shared" si="650"/>
        <v>0</v>
      </c>
      <c r="N671" s="4">
        <v>1.81612682567635</v>
      </c>
      <c r="T671" s="4">
        <f t="shared" si="3"/>
        <v>205</v>
      </c>
      <c r="U671" s="4" t="str">
        <f t="shared" si="4"/>
        <v/>
      </c>
    </row>
    <row r="672" ht="15.75" customHeight="1">
      <c r="A672" s="4" t="s">
        <v>2100</v>
      </c>
      <c r="B672" s="4" t="s">
        <v>13</v>
      </c>
      <c r="D672" s="4">
        <v>2.0</v>
      </c>
      <c r="E672" s="4">
        <v>2.0</v>
      </c>
      <c r="F672" s="4">
        <v>3.0</v>
      </c>
      <c r="G672" s="4">
        <v>2.0</v>
      </c>
      <c r="H672" s="4">
        <v>2.0</v>
      </c>
      <c r="K672" s="6" t="b">
        <f t="shared" ref="K672:M672" si="651">FALSE()</f>
        <v>0</v>
      </c>
      <c r="L672" s="6" t="b">
        <f t="shared" si="651"/>
        <v>0</v>
      </c>
      <c r="M672" s="6" t="b">
        <f t="shared" si="651"/>
        <v>0</v>
      </c>
      <c r="O672" s="4">
        <v>1.38629436111989</v>
      </c>
      <c r="T672" s="4" t="str">
        <f t="shared" si="3"/>
        <v/>
      </c>
      <c r="U672" s="4" t="str">
        <f t="shared" si="4"/>
        <v/>
      </c>
    </row>
    <row r="673" ht="15.75" customHeight="1">
      <c r="A673" s="4" t="s">
        <v>2101</v>
      </c>
      <c r="B673" s="4" t="s">
        <v>13</v>
      </c>
      <c r="D673" s="4">
        <v>0.1</v>
      </c>
      <c r="E673" s="4">
        <v>0.1</v>
      </c>
      <c r="F673" s="4">
        <v>1.5</v>
      </c>
      <c r="G673" s="4">
        <v>0.1</v>
      </c>
      <c r="H673" s="4">
        <v>0.1</v>
      </c>
      <c r="K673" s="6" t="b">
        <f t="shared" ref="K673:M673" si="652">FALSE()</f>
        <v>0</v>
      </c>
      <c r="L673" s="6" t="b">
        <f t="shared" si="652"/>
        <v>0</v>
      </c>
      <c r="M673" s="6" t="b">
        <f t="shared" si="652"/>
        <v>0</v>
      </c>
      <c r="O673" s="4">
        <v>0.916290731874155</v>
      </c>
      <c r="T673" s="4" t="str">
        <f t="shared" si="3"/>
        <v/>
      </c>
      <c r="U673" s="4" t="str">
        <f t="shared" si="4"/>
        <v/>
      </c>
    </row>
    <row r="674" ht="15.75" customHeight="1">
      <c r="A674" s="4" t="s">
        <v>403</v>
      </c>
      <c r="B674" s="4" t="s">
        <v>13</v>
      </c>
      <c r="C674" s="4">
        <v>0.0309</v>
      </c>
      <c r="D674" s="4">
        <v>5.0E-4</v>
      </c>
      <c r="E674" s="4">
        <v>5.3E-4</v>
      </c>
      <c r="I674" s="4">
        <v>0.2721</v>
      </c>
      <c r="J674" s="4">
        <v>0.0098</v>
      </c>
      <c r="K674" s="6" t="b">
        <f t="shared" ref="K674:M674" si="653">FALSE()</f>
        <v>0</v>
      </c>
      <c r="L674" s="6" t="b">
        <f t="shared" si="653"/>
        <v>0</v>
      </c>
      <c r="M674" s="6" t="b">
        <f t="shared" si="653"/>
        <v>0</v>
      </c>
      <c r="N674" s="4">
        <v>0.0304322071202019</v>
      </c>
      <c r="P674" s="4">
        <v>0.240669078180028</v>
      </c>
      <c r="T674" s="4">
        <f t="shared" si="3"/>
        <v>1540</v>
      </c>
      <c r="U674" s="4">
        <f t="shared" si="4"/>
        <v>1567</v>
      </c>
    </row>
    <row r="675" ht="15.75" customHeight="1">
      <c r="A675" s="4" t="s">
        <v>404</v>
      </c>
      <c r="B675" s="4" t="s">
        <v>13</v>
      </c>
      <c r="C675" s="4">
        <v>0.03043</v>
      </c>
      <c r="D675" s="4">
        <v>0.006</v>
      </c>
      <c r="E675" s="4">
        <v>0.006</v>
      </c>
      <c r="I675" s="4">
        <v>0.5299</v>
      </c>
      <c r="J675" s="4">
        <v>0.0143</v>
      </c>
      <c r="K675" s="6" t="b">
        <f t="shared" ref="K675:M675" si="654">FALSE()</f>
        <v>0</v>
      </c>
      <c r="L675" s="6" t="b">
        <f t="shared" si="654"/>
        <v>0</v>
      </c>
      <c r="M675" s="6" t="b">
        <f t="shared" si="654"/>
        <v>0</v>
      </c>
      <c r="N675" s="4">
        <v>0.0299761908509537</v>
      </c>
      <c r="P675" s="4">
        <v>0.425202373791196</v>
      </c>
      <c r="T675" s="4">
        <f t="shared" si="3"/>
        <v>1546</v>
      </c>
      <c r="U675" s="4">
        <f t="shared" si="4"/>
        <v>992</v>
      </c>
    </row>
    <row r="676" ht="15.75" customHeight="1">
      <c r="A676" s="4" t="s">
        <v>2102</v>
      </c>
      <c r="B676" s="4" t="s">
        <v>13</v>
      </c>
      <c r="D676" s="4">
        <v>0.007</v>
      </c>
      <c r="E676" s="4">
        <v>0.006</v>
      </c>
      <c r="F676" s="4">
        <v>0.064</v>
      </c>
      <c r="G676" s="4">
        <v>0.007</v>
      </c>
      <c r="H676" s="4">
        <v>0.006</v>
      </c>
      <c r="K676" s="6" t="b">
        <f t="shared" ref="K676:M676" si="655">FALSE()</f>
        <v>0</v>
      </c>
      <c r="L676" s="6" t="b">
        <f t="shared" si="655"/>
        <v>0</v>
      </c>
      <c r="M676" s="6" t="b">
        <f t="shared" si="655"/>
        <v>0</v>
      </c>
      <c r="O676" s="4">
        <v>0.0620353909194526</v>
      </c>
      <c r="T676" s="4" t="str">
        <f t="shared" si="3"/>
        <v/>
      </c>
      <c r="U676" s="4" t="str">
        <f t="shared" si="4"/>
        <v/>
      </c>
    </row>
    <row r="677" ht="15.75" customHeight="1">
      <c r="A677" s="4" t="s">
        <v>2103</v>
      </c>
      <c r="B677" s="4" t="s">
        <v>13</v>
      </c>
      <c r="D677" s="4">
        <v>0.006</v>
      </c>
      <c r="E677" s="4">
        <v>0.005</v>
      </c>
      <c r="F677" s="4">
        <v>0.055</v>
      </c>
      <c r="G677" s="4">
        <v>0.006</v>
      </c>
      <c r="H677" s="4">
        <v>0.005</v>
      </c>
      <c r="K677" s="6" t="b">
        <f t="shared" ref="K677:M677" si="656">FALSE()</f>
        <v>0</v>
      </c>
      <c r="L677" s="6" t="b">
        <f t="shared" si="656"/>
        <v>0</v>
      </c>
      <c r="M677" s="6" t="b">
        <f t="shared" si="656"/>
        <v>0</v>
      </c>
      <c r="O677" s="4">
        <v>0.0535407669280298</v>
      </c>
      <c r="T677" s="4" t="str">
        <f t="shared" si="3"/>
        <v/>
      </c>
      <c r="U677" s="4" t="str">
        <f t="shared" si="4"/>
        <v/>
      </c>
    </row>
    <row r="678" ht="15.75" customHeight="1">
      <c r="A678" s="4" t="s">
        <v>2104</v>
      </c>
      <c r="B678" s="4" t="s">
        <v>13</v>
      </c>
      <c r="D678" s="4">
        <v>0.05</v>
      </c>
      <c r="E678" s="4">
        <v>0.05</v>
      </c>
      <c r="F678" s="4">
        <v>2.73</v>
      </c>
      <c r="G678" s="4">
        <v>0.05</v>
      </c>
      <c r="H678" s="4">
        <v>0.05</v>
      </c>
      <c r="K678" s="6" t="b">
        <f t="shared" ref="K678:M678" si="657">FALSE()</f>
        <v>0</v>
      </c>
      <c r="L678" s="6" t="b">
        <f t="shared" si="657"/>
        <v>0</v>
      </c>
      <c r="M678" s="6" t="b">
        <f t="shared" si="657"/>
        <v>0</v>
      </c>
      <c r="O678" s="4">
        <v>1.31640823365572</v>
      </c>
      <c r="T678" s="4" t="str">
        <f t="shared" si="3"/>
        <v/>
      </c>
      <c r="U678" s="4" t="str">
        <f t="shared" si="4"/>
        <v/>
      </c>
    </row>
    <row r="679" ht="15.75" customHeight="1">
      <c r="A679" s="4" t="s">
        <v>2105</v>
      </c>
      <c r="B679" s="4" t="s">
        <v>13</v>
      </c>
      <c r="D679" s="4">
        <v>0.0025</v>
      </c>
      <c r="E679" s="4">
        <v>0.0025</v>
      </c>
      <c r="F679" s="4">
        <v>0.0208</v>
      </c>
      <c r="G679" s="4">
        <v>0.0025</v>
      </c>
      <c r="H679" s="4">
        <v>0.0025</v>
      </c>
      <c r="K679" s="6" t="b">
        <f t="shared" ref="K679:M679" si="658">FALSE()</f>
        <v>0</v>
      </c>
      <c r="L679" s="6" t="b">
        <f t="shared" si="658"/>
        <v>0</v>
      </c>
      <c r="M679" s="6" t="b">
        <f t="shared" si="658"/>
        <v>0</v>
      </c>
      <c r="O679" s="4">
        <v>0.0205866336083883</v>
      </c>
      <c r="T679" s="4" t="str">
        <f t="shared" si="3"/>
        <v/>
      </c>
      <c r="U679" s="4" t="str">
        <f t="shared" si="4"/>
        <v/>
      </c>
    </row>
    <row r="680" ht="15.75" customHeight="1">
      <c r="A680" s="4" t="s">
        <v>2106</v>
      </c>
      <c r="B680" s="4" t="s">
        <v>13</v>
      </c>
      <c r="C680" s="4">
        <v>1.186</v>
      </c>
      <c r="D680" s="4">
        <v>0.059</v>
      </c>
      <c r="E680" s="4">
        <v>0.095</v>
      </c>
      <c r="F680" s="4">
        <v>1.0</v>
      </c>
      <c r="G680" s="4">
        <v>0.3</v>
      </c>
      <c r="H680" s="4">
        <v>0.3</v>
      </c>
      <c r="K680" s="6" t="b">
        <f t="shared" ref="K680:M680" si="659">FALSE()</f>
        <v>0</v>
      </c>
      <c r="L680" s="6" t="b">
        <f t="shared" si="659"/>
        <v>0</v>
      </c>
      <c r="M680" s="6" t="b">
        <f t="shared" si="659"/>
        <v>0</v>
      </c>
      <c r="N680" s="4">
        <v>0.782073389754347</v>
      </c>
      <c r="O680" s="4">
        <v>0.693147180559945</v>
      </c>
      <c r="T680" s="4">
        <f t="shared" si="3"/>
        <v>593</v>
      </c>
      <c r="U680" s="4" t="str">
        <f t="shared" si="4"/>
        <v/>
      </c>
    </row>
    <row r="681" ht="15.75" customHeight="1">
      <c r="A681" s="4" t="s">
        <v>2107</v>
      </c>
      <c r="B681" s="4" t="s">
        <v>13</v>
      </c>
      <c r="C681" s="4">
        <v>9.1</v>
      </c>
      <c r="D681" s="4">
        <v>1.9</v>
      </c>
      <c r="E681" s="4">
        <v>2.8</v>
      </c>
      <c r="K681" s="6" t="b">
        <f>TRUE()</f>
        <v>1</v>
      </c>
      <c r="L681" s="6" t="b">
        <f t="shared" ref="L681:M681" si="660">FALSE()</f>
        <v>0</v>
      </c>
      <c r="M681" s="6" t="b">
        <f t="shared" si="660"/>
        <v>0</v>
      </c>
      <c r="N681" s="4">
        <v>2.31253542384721</v>
      </c>
      <c r="T681" s="4">
        <f t="shared" si="3"/>
        <v>73</v>
      </c>
      <c r="U681" s="4" t="str">
        <f t="shared" si="4"/>
        <v/>
      </c>
    </row>
    <row r="682" ht="15.75" customHeight="1">
      <c r="A682" s="4" t="s">
        <v>2108</v>
      </c>
      <c r="B682" s="4" t="s">
        <v>13</v>
      </c>
      <c r="D682" s="4">
        <v>0.17</v>
      </c>
      <c r="E682" s="4">
        <v>0.17</v>
      </c>
      <c r="F682" s="4">
        <v>5.02</v>
      </c>
      <c r="G682" s="4">
        <v>0.17</v>
      </c>
      <c r="H682" s="4">
        <v>0.17</v>
      </c>
      <c r="K682" s="6" t="b">
        <f t="shared" ref="K682:M682" si="661">FALSE()</f>
        <v>0</v>
      </c>
      <c r="L682" s="6" t="b">
        <f t="shared" si="661"/>
        <v>0</v>
      </c>
      <c r="M682" s="6" t="b">
        <f t="shared" si="661"/>
        <v>0</v>
      </c>
      <c r="O682" s="4">
        <v>1.79508725932073</v>
      </c>
      <c r="T682" s="4" t="str">
        <f t="shared" si="3"/>
        <v/>
      </c>
      <c r="U682" s="4" t="str">
        <f t="shared" si="4"/>
        <v/>
      </c>
    </row>
    <row r="683" ht="15.75" customHeight="1">
      <c r="A683" s="4" t="s">
        <v>2109</v>
      </c>
      <c r="B683" s="4" t="s">
        <v>13</v>
      </c>
      <c r="D683" s="4">
        <v>0.05</v>
      </c>
      <c r="E683" s="4">
        <v>0.05</v>
      </c>
      <c r="F683" s="4">
        <v>2.24</v>
      </c>
      <c r="G683" s="4">
        <v>0.05</v>
      </c>
      <c r="H683" s="4">
        <v>0.05</v>
      </c>
      <c r="K683" s="6" t="b">
        <f t="shared" ref="K683:M683" si="662">FALSE()</f>
        <v>0</v>
      </c>
      <c r="L683" s="6" t="b">
        <f t="shared" si="662"/>
        <v>0</v>
      </c>
      <c r="M683" s="6" t="b">
        <f t="shared" si="662"/>
        <v>0</v>
      </c>
      <c r="O683" s="4">
        <v>1.17557332980424</v>
      </c>
      <c r="T683" s="4" t="str">
        <f t="shared" si="3"/>
        <v/>
      </c>
      <c r="U683" s="4" t="str">
        <f t="shared" si="4"/>
        <v/>
      </c>
    </row>
    <row r="684" ht="15.75" customHeight="1">
      <c r="A684" s="4" t="s">
        <v>2110</v>
      </c>
      <c r="B684" s="4" t="s">
        <v>13</v>
      </c>
      <c r="D684" s="4">
        <v>0.16</v>
      </c>
      <c r="E684" s="4">
        <v>0.16</v>
      </c>
      <c r="F684" s="4">
        <v>2.58</v>
      </c>
      <c r="G684" s="4">
        <v>0.16</v>
      </c>
      <c r="H684" s="4">
        <v>0.16</v>
      </c>
      <c r="K684" s="6" t="b">
        <f t="shared" ref="K684:M684" si="663">FALSE()</f>
        <v>0</v>
      </c>
      <c r="L684" s="6" t="b">
        <f t="shared" si="663"/>
        <v>0</v>
      </c>
      <c r="M684" s="6" t="b">
        <f t="shared" si="663"/>
        <v>0</v>
      </c>
      <c r="O684" s="4">
        <v>1.27536280041261</v>
      </c>
      <c r="T684" s="4" t="str">
        <f t="shared" si="3"/>
        <v/>
      </c>
      <c r="U684" s="4" t="str">
        <f t="shared" si="4"/>
        <v/>
      </c>
    </row>
    <row r="685" ht="15.75" customHeight="1">
      <c r="A685" s="4" t="s">
        <v>2111</v>
      </c>
      <c r="B685" s="4" t="s">
        <v>13</v>
      </c>
      <c r="D685" s="4">
        <v>0.06</v>
      </c>
      <c r="E685" s="4">
        <v>0.06</v>
      </c>
      <c r="F685" s="4">
        <v>0.75</v>
      </c>
      <c r="G685" s="4">
        <v>0.06</v>
      </c>
      <c r="H685" s="4">
        <v>0.06</v>
      </c>
      <c r="K685" s="6" t="b">
        <f t="shared" ref="K685:M685" si="664">FALSE()</f>
        <v>0</v>
      </c>
      <c r="L685" s="6" t="b">
        <f t="shared" si="664"/>
        <v>0</v>
      </c>
      <c r="M685" s="6" t="b">
        <f t="shared" si="664"/>
        <v>0</v>
      </c>
      <c r="O685" s="4">
        <v>0.559615787935423</v>
      </c>
      <c r="T685" s="4" t="str">
        <f t="shared" si="3"/>
        <v/>
      </c>
      <c r="U685" s="4" t="str">
        <f t="shared" si="4"/>
        <v/>
      </c>
    </row>
    <row r="686" ht="15.75" customHeight="1">
      <c r="A686" s="4" t="s">
        <v>2112</v>
      </c>
      <c r="B686" s="4" t="s">
        <v>13</v>
      </c>
      <c r="D686" s="4">
        <v>0.05</v>
      </c>
      <c r="E686" s="4">
        <v>0.05</v>
      </c>
      <c r="F686" s="4">
        <v>0.85</v>
      </c>
      <c r="G686" s="4">
        <v>0.05</v>
      </c>
      <c r="H686" s="4">
        <v>0.05</v>
      </c>
      <c r="K686" s="6" t="b">
        <f t="shared" ref="K686:M686" si="665">FALSE()</f>
        <v>0</v>
      </c>
      <c r="L686" s="6" t="b">
        <f t="shared" si="665"/>
        <v>0</v>
      </c>
      <c r="M686" s="6" t="b">
        <f t="shared" si="665"/>
        <v>0</v>
      </c>
      <c r="O686" s="4">
        <v>0.615185639090234</v>
      </c>
      <c r="T686" s="4" t="str">
        <f t="shared" si="3"/>
        <v/>
      </c>
      <c r="U686" s="4" t="str">
        <f t="shared" si="4"/>
        <v/>
      </c>
    </row>
    <row r="687" ht="15.75" customHeight="1">
      <c r="A687" s="4" t="s">
        <v>2113</v>
      </c>
      <c r="B687" s="4" t="s">
        <v>13</v>
      </c>
      <c r="D687" s="4">
        <v>0.07</v>
      </c>
      <c r="E687" s="4">
        <v>0.07</v>
      </c>
      <c r="F687" s="4">
        <v>0.82</v>
      </c>
      <c r="G687" s="4">
        <v>0.07</v>
      </c>
      <c r="H687" s="4">
        <v>0.07</v>
      </c>
      <c r="K687" s="6" t="b">
        <f t="shared" ref="K687:M687" si="666">FALSE()</f>
        <v>0</v>
      </c>
      <c r="L687" s="6" t="b">
        <f t="shared" si="666"/>
        <v>0</v>
      </c>
      <c r="M687" s="6" t="b">
        <f t="shared" si="666"/>
        <v>0</v>
      </c>
      <c r="O687" s="4">
        <v>0.598836501088704</v>
      </c>
      <c r="T687" s="4" t="str">
        <f t="shared" si="3"/>
        <v/>
      </c>
      <c r="U687" s="4" t="str">
        <f t="shared" si="4"/>
        <v/>
      </c>
    </row>
    <row r="688" ht="15.75" customHeight="1">
      <c r="A688" s="4" t="s">
        <v>2114</v>
      </c>
      <c r="B688" s="4" t="s">
        <v>13</v>
      </c>
      <c r="C688" s="4">
        <v>3.8</v>
      </c>
      <c r="D688" s="4">
        <v>1.2</v>
      </c>
      <c r="E688" s="4">
        <v>1.2</v>
      </c>
      <c r="K688" s="6" t="b">
        <f>TRUE()</f>
        <v>1</v>
      </c>
      <c r="L688" s="6" t="b">
        <f t="shared" ref="L688:M688" si="667">FALSE()</f>
        <v>0</v>
      </c>
      <c r="M688" s="6" t="b">
        <f t="shared" si="667"/>
        <v>0</v>
      </c>
      <c r="N688" s="4">
        <v>1.56861591791385</v>
      </c>
      <c r="T688" s="4">
        <f t="shared" si="3"/>
        <v>267</v>
      </c>
      <c r="U688" s="4" t="str">
        <f t="shared" si="4"/>
        <v/>
      </c>
    </row>
    <row r="689" ht="15.75" customHeight="1">
      <c r="A689" s="4" t="s">
        <v>2115</v>
      </c>
      <c r="B689" s="4" t="s">
        <v>13</v>
      </c>
      <c r="D689" s="4">
        <v>0.004</v>
      </c>
      <c r="E689" s="4">
        <v>0.003</v>
      </c>
      <c r="F689" s="4">
        <v>0.024</v>
      </c>
      <c r="G689" s="4">
        <v>0.004</v>
      </c>
      <c r="H689" s="4">
        <v>0.003</v>
      </c>
      <c r="K689" s="6" t="b">
        <f t="shared" ref="K689:M689" si="668">FALSE()</f>
        <v>0</v>
      </c>
      <c r="L689" s="6" t="b">
        <f t="shared" si="668"/>
        <v>0</v>
      </c>
      <c r="M689" s="6" t="b">
        <f t="shared" si="668"/>
        <v>0</v>
      </c>
      <c r="O689" s="4">
        <v>0.023716526617316</v>
      </c>
      <c r="T689" s="4" t="str">
        <f t="shared" si="3"/>
        <v/>
      </c>
      <c r="U689" s="4" t="str">
        <f t="shared" si="4"/>
        <v/>
      </c>
    </row>
    <row r="690" ht="15.75" customHeight="1">
      <c r="A690" s="4" t="s">
        <v>2116</v>
      </c>
      <c r="B690" s="4" t="s">
        <v>13</v>
      </c>
      <c r="C690" s="4">
        <v>5.909</v>
      </c>
      <c r="D690" s="4">
        <v>0.766</v>
      </c>
      <c r="E690" s="4">
        <v>0.653</v>
      </c>
      <c r="K690" s="6" t="b">
        <f>TRUE()</f>
        <v>1</v>
      </c>
      <c r="L690" s="6" t="b">
        <f t="shared" ref="L690:M690" si="669">FALSE()</f>
        <v>0</v>
      </c>
      <c r="M690" s="6" t="b">
        <f t="shared" si="669"/>
        <v>0</v>
      </c>
      <c r="N690" s="4">
        <v>1.93282490950666</v>
      </c>
      <c r="T690" s="4">
        <f t="shared" si="3"/>
        <v>173</v>
      </c>
      <c r="U690" s="4" t="str">
        <f t="shared" si="4"/>
        <v/>
      </c>
    </row>
    <row r="691" ht="15.75" customHeight="1">
      <c r="A691" s="4" t="s">
        <v>2117</v>
      </c>
      <c r="B691" s="4" t="s">
        <v>13</v>
      </c>
      <c r="D691" s="4">
        <v>0.004</v>
      </c>
      <c r="E691" s="4">
        <v>0.011</v>
      </c>
      <c r="F691" s="4">
        <v>0.05</v>
      </c>
      <c r="G691" s="4">
        <v>0.004</v>
      </c>
      <c r="H691" s="4">
        <v>0.011</v>
      </c>
      <c r="K691" s="6" t="b">
        <f t="shared" ref="K691:M691" si="670">FALSE()</f>
        <v>0</v>
      </c>
      <c r="L691" s="6" t="b">
        <f t="shared" si="670"/>
        <v>0</v>
      </c>
      <c r="M691" s="6" t="b">
        <f t="shared" si="670"/>
        <v>0</v>
      </c>
      <c r="O691" s="4">
        <v>0.048790164169432</v>
      </c>
      <c r="T691" s="4" t="str">
        <f t="shared" si="3"/>
        <v/>
      </c>
      <c r="U691" s="4" t="str">
        <f t="shared" si="4"/>
        <v/>
      </c>
    </row>
    <row r="692" ht="15.75" customHeight="1">
      <c r="A692" s="4" t="s">
        <v>2118</v>
      </c>
      <c r="B692" s="4" t="s">
        <v>13</v>
      </c>
      <c r="C692" s="4">
        <v>5.228</v>
      </c>
      <c r="D692" s="4">
        <v>1.287</v>
      </c>
      <c r="E692" s="4">
        <v>1.938</v>
      </c>
      <c r="K692" s="6" t="b">
        <f>TRUE()</f>
        <v>1</v>
      </c>
      <c r="L692" s="6" t="b">
        <f t="shared" ref="L692:M692" si="671">FALSE()</f>
        <v>0</v>
      </c>
      <c r="M692" s="6" t="b">
        <f t="shared" si="671"/>
        <v>0</v>
      </c>
      <c r="N692" s="4">
        <v>1.82905525397175</v>
      </c>
      <c r="T692" s="4">
        <f t="shared" si="3"/>
        <v>200</v>
      </c>
      <c r="U692" s="4" t="str">
        <f t="shared" si="4"/>
        <v/>
      </c>
    </row>
    <row r="693" ht="15.75" customHeight="1">
      <c r="A693" s="4" t="s">
        <v>2119</v>
      </c>
      <c r="B693" s="4" t="s">
        <v>13</v>
      </c>
      <c r="D693" s="4">
        <v>0.66</v>
      </c>
      <c r="E693" s="4">
        <v>0.66</v>
      </c>
      <c r="F693" s="4">
        <v>9.71</v>
      </c>
      <c r="G693" s="4">
        <v>0.66</v>
      </c>
      <c r="H693" s="4">
        <v>0.66</v>
      </c>
      <c r="K693" s="6" t="b">
        <f>FALSE()</f>
        <v>0</v>
      </c>
      <c r="L693" s="6" t="b">
        <f>TRUE()</f>
        <v>1</v>
      </c>
      <c r="M693" s="6" t="b">
        <f t="shared" ref="M693:M694" si="673">FALSE()</f>
        <v>0</v>
      </c>
      <c r="O693" s="4">
        <v>2.37117788445966</v>
      </c>
      <c r="T693" s="4" t="str">
        <f t="shared" si="3"/>
        <v/>
      </c>
      <c r="U693" s="4" t="str">
        <f t="shared" si="4"/>
        <v/>
      </c>
    </row>
    <row r="694" ht="15.75" customHeight="1">
      <c r="A694" s="4" t="s">
        <v>2120</v>
      </c>
      <c r="B694" s="4" t="s">
        <v>13</v>
      </c>
      <c r="C694" s="4">
        <v>9.75</v>
      </c>
      <c r="D694" s="4">
        <v>0.605</v>
      </c>
      <c r="E694" s="4">
        <v>1.319</v>
      </c>
      <c r="F694" s="4">
        <v>8.6</v>
      </c>
      <c r="G694" s="4">
        <v>0.55</v>
      </c>
      <c r="H694" s="4">
        <v>0.55</v>
      </c>
      <c r="K694" s="6" t="b">
        <f t="shared" ref="K694:L694" si="672">TRUE()</f>
        <v>1</v>
      </c>
      <c r="L694" s="6" t="b">
        <f t="shared" si="672"/>
        <v>1</v>
      </c>
      <c r="M694" s="6" t="b">
        <f t="shared" si="673"/>
        <v>0</v>
      </c>
      <c r="N694" s="4">
        <v>2.37490575457367</v>
      </c>
      <c r="O694" s="4">
        <v>2.26176309847379</v>
      </c>
      <c r="T694" s="4">
        <f t="shared" si="3"/>
        <v>63</v>
      </c>
      <c r="U694" s="4" t="str">
        <f t="shared" si="4"/>
        <v/>
      </c>
    </row>
    <row r="695" ht="15.75" customHeight="1">
      <c r="A695" s="4" t="s">
        <v>2121</v>
      </c>
      <c r="B695" s="4" t="s">
        <v>13</v>
      </c>
      <c r="D695" s="4">
        <v>0.04</v>
      </c>
      <c r="E695" s="4">
        <v>0.05</v>
      </c>
      <c r="F695" s="4">
        <v>0.74</v>
      </c>
      <c r="G695" s="4">
        <v>0.04</v>
      </c>
      <c r="H695" s="4">
        <v>0.05</v>
      </c>
      <c r="K695" s="6" t="b">
        <f t="shared" ref="K695:M695" si="674">FALSE()</f>
        <v>0</v>
      </c>
      <c r="L695" s="6" t="b">
        <f t="shared" si="674"/>
        <v>0</v>
      </c>
      <c r="M695" s="6" t="b">
        <f t="shared" si="674"/>
        <v>0</v>
      </c>
      <c r="O695" s="4">
        <v>0.553885113226438</v>
      </c>
      <c r="T695" s="4" t="str">
        <f t="shared" si="3"/>
        <v/>
      </c>
      <c r="U695" s="4" t="str">
        <f t="shared" si="4"/>
        <v/>
      </c>
    </row>
    <row r="696" ht="15.75" customHeight="1">
      <c r="A696" s="4" t="s">
        <v>2122</v>
      </c>
      <c r="B696" s="4" t="s">
        <v>13</v>
      </c>
      <c r="D696" s="4">
        <v>0.0018</v>
      </c>
      <c r="E696" s="4">
        <v>0.0018</v>
      </c>
      <c r="F696" s="4">
        <v>0.0131</v>
      </c>
      <c r="G696" s="4">
        <v>0.0018</v>
      </c>
      <c r="H696" s="4">
        <v>0.0018</v>
      </c>
      <c r="K696" s="6" t="b">
        <f t="shared" ref="K696:M696" si="675">FALSE()</f>
        <v>0</v>
      </c>
      <c r="L696" s="6" t="b">
        <f t="shared" si="675"/>
        <v>0</v>
      </c>
      <c r="M696" s="6" t="b">
        <f t="shared" si="675"/>
        <v>0</v>
      </c>
      <c r="O696" s="4">
        <v>0.0130149370774946</v>
      </c>
      <c r="T696" s="4" t="str">
        <f t="shared" si="3"/>
        <v/>
      </c>
      <c r="U696" s="4" t="str">
        <f t="shared" si="4"/>
        <v/>
      </c>
    </row>
    <row r="697" ht="15.75" customHeight="1">
      <c r="A697" s="4" t="s">
        <v>2123</v>
      </c>
      <c r="B697" s="4" t="s">
        <v>13</v>
      </c>
      <c r="D697" s="4">
        <v>0.008</v>
      </c>
      <c r="E697" s="4">
        <v>0.007</v>
      </c>
      <c r="F697" s="4">
        <v>0.099</v>
      </c>
      <c r="G697" s="4">
        <v>0.008</v>
      </c>
      <c r="H697" s="4">
        <v>0.007</v>
      </c>
      <c r="K697" s="6" t="b">
        <f t="shared" ref="K697:M697" si="676">FALSE()</f>
        <v>0</v>
      </c>
      <c r="L697" s="6" t="b">
        <f t="shared" si="676"/>
        <v>0</v>
      </c>
      <c r="M697" s="6" t="b">
        <f t="shared" si="676"/>
        <v>0</v>
      </c>
      <c r="O697" s="4">
        <v>0.0944006754214843</v>
      </c>
      <c r="T697" s="4" t="str">
        <f t="shared" si="3"/>
        <v/>
      </c>
      <c r="U697" s="4" t="str">
        <f t="shared" si="4"/>
        <v/>
      </c>
    </row>
    <row r="698" ht="15.75" customHeight="1">
      <c r="A698" s="4" t="s">
        <v>2124</v>
      </c>
      <c r="B698" s="4" t="s">
        <v>13</v>
      </c>
      <c r="C698" s="4">
        <v>10.45</v>
      </c>
      <c r="D698" s="4">
        <v>0.05</v>
      </c>
      <c r="E698" s="4">
        <v>0.05</v>
      </c>
      <c r="K698" s="6" t="b">
        <f>TRUE()</f>
        <v>1</v>
      </c>
      <c r="L698" s="6" t="b">
        <f t="shared" ref="L698:M698" si="677">FALSE()</f>
        <v>0</v>
      </c>
      <c r="M698" s="6" t="b">
        <f t="shared" si="677"/>
        <v>0</v>
      </c>
      <c r="N698" s="4">
        <v>2.43798973000025</v>
      </c>
      <c r="T698" s="4">
        <f t="shared" si="3"/>
        <v>43</v>
      </c>
      <c r="U698" s="4" t="str">
        <f t="shared" si="4"/>
        <v/>
      </c>
    </row>
    <row r="699" ht="15.75" customHeight="1">
      <c r="A699" s="4" t="s">
        <v>2125</v>
      </c>
      <c r="B699" s="4" t="s">
        <v>13</v>
      </c>
      <c r="F699" s="4">
        <v>0.12</v>
      </c>
      <c r="K699" s="6" t="b">
        <f t="shared" ref="K699:M699" si="678">FALSE()</f>
        <v>0</v>
      </c>
      <c r="L699" s="6" t="b">
        <f t="shared" si="678"/>
        <v>0</v>
      </c>
      <c r="M699" s="6" t="b">
        <f t="shared" si="678"/>
        <v>0</v>
      </c>
      <c r="O699" s="4">
        <v>0.113328685307003</v>
      </c>
      <c r="T699" s="4" t="str">
        <f t="shared" si="3"/>
        <v/>
      </c>
      <c r="U699" s="4" t="str">
        <f t="shared" si="4"/>
        <v/>
      </c>
    </row>
    <row r="700" ht="15.75" customHeight="1">
      <c r="A700" s="4" t="s">
        <v>2126</v>
      </c>
      <c r="B700" s="4" t="s">
        <v>13</v>
      </c>
      <c r="D700" s="4">
        <v>0.2</v>
      </c>
      <c r="E700" s="4">
        <v>0.2</v>
      </c>
      <c r="F700" s="4">
        <v>1.8</v>
      </c>
      <c r="G700" s="4">
        <v>0.2</v>
      </c>
      <c r="H700" s="4">
        <v>0.2</v>
      </c>
      <c r="K700" s="6" t="b">
        <f t="shared" ref="K700:M700" si="679">FALSE()</f>
        <v>0</v>
      </c>
      <c r="L700" s="6" t="b">
        <f t="shared" si="679"/>
        <v>0</v>
      </c>
      <c r="M700" s="6" t="b">
        <f t="shared" si="679"/>
        <v>0</v>
      </c>
      <c r="O700" s="4">
        <v>1.02961941718116</v>
      </c>
      <c r="T700" s="4" t="str">
        <f t="shared" si="3"/>
        <v/>
      </c>
      <c r="U700" s="4" t="str">
        <f t="shared" si="4"/>
        <v/>
      </c>
    </row>
    <row r="701" ht="15.75" customHeight="1">
      <c r="A701" s="4" t="s">
        <v>2127</v>
      </c>
      <c r="B701" s="4" t="s">
        <v>13</v>
      </c>
      <c r="D701" s="4">
        <v>0.00142</v>
      </c>
      <c r="E701" s="4">
        <v>0.00123</v>
      </c>
      <c r="F701" s="4">
        <v>0.00698</v>
      </c>
      <c r="G701" s="4">
        <v>0.00142</v>
      </c>
      <c r="H701" s="4">
        <v>0.00123</v>
      </c>
      <c r="I701" s="4">
        <v>0.107</v>
      </c>
      <c r="J701" s="4">
        <v>0.116</v>
      </c>
      <c r="K701" s="6" t="b">
        <f t="shared" ref="K701:M701" si="680">FALSE()</f>
        <v>0</v>
      </c>
      <c r="L701" s="6" t="b">
        <f t="shared" si="680"/>
        <v>0</v>
      </c>
      <c r="M701" s="6" t="b">
        <f t="shared" si="680"/>
        <v>0</v>
      </c>
      <c r="O701" s="4">
        <v>0.0069557525660058</v>
      </c>
      <c r="P701" s="4">
        <v>0.1016536537265</v>
      </c>
      <c r="T701" s="4" t="str">
        <f t="shared" si="3"/>
        <v/>
      </c>
      <c r="U701" s="4">
        <f t="shared" si="4"/>
        <v>4091</v>
      </c>
    </row>
    <row r="702" ht="15.75" customHeight="1">
      <c r="A702" s="4" t="s">
        <v>2128</v>
      </c>
      <c r="B702" s="4" t="s">
        <v>13</v>
      </c>
      <c r="D702" s="4">
        <v>0.00186</v>
      </c>
      <c r="E702" s="4">
        <v>0.0019</v>
      </c>
      <c r="F702" s="4">
        <v>0.01762</v>
      </c>
      <c r="G702" s="4">
        <v>0.00186</v>
      </c>
      <c r="H702" s="4">
        <v>0.0019</v>
      </c>
      <c r="K702" s="6" t="b">
        <f t="shared" ref="K702:M702" si="681">FALSE()</f>
        <v>0</v>
      </c>
      <c r="L702" s="6" t="b">
        <f t="shared" si="681"/>
        <v>0</v>
      </c>
      <c r="M702" s="6" t="b">
        <f t="shared" si="681"/>
        <v>0</v>
      </c>
      <c r="O702" s="4">
        <v>0.0174665674986319</v>
      </c>
      <c r="T702" s="4" t="str">
        <f t="shared" si="3"/>
        <v/>
      </c>
      <c r="U702" s="4" t="str">
        <f t="shared" si="4"/>
        <v/>
      </c>
    </row>
    <row r="703" ht="15.75" customHeight="1">
      <c r="A703" s="4" t="s">
        <v>2129</v>
      </c>
      <c r="B703" s="4" t="s">
        <v>13</v>
      </c>
      <c r="D703" s="4">
        <v>0.00223</v>
      </c>
      <c r="E703" s="4">
        <v>0.00233</v>
      </c>
      <c r="F703" s="4">
        <v>0.01702</v>
      </c>
      <c r="G703" s="4">
        <v>0.00223</v>
      </c>
      <c r="H703" s="4">
        <v>0.00233</v>
      </c>
      <c r="K703" s="6" t="b">
        <f t="shared" ref="K703:M703" si="682">FALSE()</f>
        <v>0</v>
      </c>
      <c r="L703" s="6" t="b">
        <f t="shared" si="682"/>
        <v>0</v>
      </c>
      <c r="M703" s="6" t="b">
        <f t="shared" si="682"/>
        <v>0</v>
      </c>
      <c r="O703" s="4">
        <v>0.0168767825564383</v>
      </c>
      <c r="T703" s="4" t="str">
        <f t="shared" si="3"/>
        <v/>
      </c>
      <c r="U703" s="4" t="str">
        <f t="shared" si="4"/>
        <v/>
      </c>
    </row>
    <row r="704" ht="15.75" customHeight="1">
      <c r="A704" s="4" t="s">
        <v>2130</v>
      </c>
      <c r="B704" s="4" t="s">
        <v>13</v>
      </c>
      <c r="D704" s="4">
        <v>0.00324</v>
      </c>
      <c r="E704" s="4">
        <v>0.00296</v>
      </c>
      <c r="F704" s="4">
        <v>0.01913</v>
      </c>
      <c r="G704" s="4">
        <v>0.00324</v>
      </c>
      <c r="H704" s="4">
        <v>0.00296</v>
      </c>
      <c r="K704" s="6" t="b">
        <f t="shared" ref="K704:M704" si="683">FALSE()</f>
        <v>0</v>
      </c>
      <c r="L704" s="6" t="b">
        <f t="shared" si="683"/>
        <v>0</v>
      </c>
      <c r="M704" s="6" t="b">
        <f t="shared" si="683"/>
        <v>0</v>
      </c>
      <c r="O704" s="4">
        <v>0.0189493221584107</v>
      </c>
      <c r="T704" s="4" t="str">
        <f t="shared" si="3"/>
        <v/>
      </c>
      <c r="U704" s="4" t="str">
        <f t="shared" si="4"/>
        <v/>
      </c>
    </row>
    <row r="705" ht="15.75" customHeight="1">
      <c r="A705" s="4" t="s">
        <v>2131</v>
      </c>
      <c r="B705" s="4" t="s">
        <v>13</v>
      </c>
      <c r="D705" s="4">
        <v>0.00431</v>
      </c>
      <c r="E705" s="4">
        <v>0.00412</v>
      </c>
      <c r="F705" s="4">
        <v>0.01932</v>
      </c>
      <c r="G705" s="4">
        <v>0.00431</v>
      </c>
      <c r="H705" s="4">
        <v>0.00412</v>
      </c>
      <c r="K705" s="6" t="b">
        <f t="shared" ref="K705:M705" si="684">FALSE()</f>
        <v>0</v>
      </c>
      <c r="L705" s="6" t="b">
        <f t="shared" si="684"/>
        <v>0</v>
      </c>
      <c r="M705" s="6" t="b">
        <f t="shared" si="684"/>
        <v>0</v>
      </c>
      <c r="O705" s="4">
        <v>0.0191357383084759</v>
      </c>
      <c r="T705" s="4" t="str">
        <f t="shared" si="3"/>
        <v/>
      </c>
      <c r="U705" s="4" t="str">
        <f t="shared" si="4"/>
        <v/>
      </c>
    </row>
    <row r="706" ht="15.75" customHeight="1">
      <c r="A706" s="4" t="s">
        <v>2132</v>
      </c>
      <c r="B706" s="4" t="s">
        <v>13</v>
      </c>
      <c r="I706" s="4">
        <v>0.1998</v>
      </c>
      <c r="J706" s="4">
        <v>0.0071</v>
      </c>
      <c r="K706" s="6" t="b">
        <f t="shared" ref="K706:M706" si="685">FALSE()</f>
        <v>0</v>
      </c>
      <c r="L706" s="6" t="b">
        <f t="shared" si="685"/>
        <v>0</v>
      </c>
      <c r="M706" s="6" t="b">
        <f t="shared" si="685"/>
        <v>0</v>
      </c>
      <c r="P706" s="4">
        <v>0.182154876236856</v>
      </c>
      <c r="T706" s="4" t="str">
        <f t="shared" si="3"/>
        <v/>
      </c>
      <c r="U706" s="4">
        <f t="shared" si="4"/>
        <v>2592</v>
      </c>
    </row>
    <row r="707" ht="15.75" customHeight="1">
      <c r="A707" s="4" t="s">
        <v>2133</v>
      </c>
      <c r="B707" s="4" t="s">
        <v>13</v>
      </c>
      <c r="I707" s="4">
        <v>0.2614</v>
      </c>
      <c r="J707" s="4">
        <v>0.0054</v>
      </c>
      <c r="K707" s="6" t="b">
        <f t="shared" ref="K707:M707" si="686">FALSE()</f>
        <v>0</v>
      </c>
      <c r="L707" s="6" t="b">
        <f t="shared" si="686"/>
        <v>0</v>
      </c>
      <c r="M707" s="6" t="b">
        <f t="shared" si="686"/>
        <v>0</v>
      </c>
      <c r="P707" s="4">
        <v>0.232222215247414</v>
      </c>
      <c r="T707" s="4" t="str">
        <f t="shared" si="3"/>
        <v/>
      </c>
      <c r="U707" s="4">
        <f t="shared" si="4"/>
        <v>1665</v>
      </c>
    </row>
    <row r="708" ht="15.75" customHeight="1">
      <c r="A708" s="4" t="s">
        <v>2134</v>
      </c>
      <c r="B708" s="4" t="s">
        <v>13</v>
      </c>
      <c r="D708" s="4">
        <v>0.05</v>
      </c>
      <c r="E708" s="4">
        <v>0.05</v>
      </c>
      <c r="F708" s="4">
        <v>1.13</v>
      </c>
      <c r="G708" s="4">
        <v>0.05</v>
      </c>
      <c r="H708" s="4">
        <v>0.05</v>
      </c>
      <c r="K708" s="6" t="b">
        <f t="shared" ref="K708:M708" si="687">FALSE()</f>
        <v>0</v>
      </c>
      <c r="L708" s="6" t="b">
        <f t="shared" si="687"/>
        <v>0</v>
      </c>
      <c r="M708" s="6" t="b">
        <f t="shared" si="687"/>
        <v>0</v>
      </c>
      <c r="O708" s="4">
        <v>0.756121979721334</v>
      </c>
      <c r="T708" s="4" t="str">
        <f t="shared" si="3"/>
        <v/>
      </c>
      <c r="U708" s="4" t="str">
        <f t="shared" si="4"/>
        <v/>
      </c>
    </row>
    <row r="709" ht="15.75" customHeight="1">
      <c r="A709" s="4" t="s">
        <v>2135</v>
      </c>
      <c r="B709" s="4" t="s">
        <v>13</v>
      </c>
      <c r="D709" s="4">
        <v>0.13</v>
      </c>
      <c r="E709" s="4">
        <v>0.13</v>
      </c>
      <c r="F709" s="4">
        <v>1.9</v>
      </c>
      <c r="G709" s="4">
        <v>0.13</v>
      </c>
      <c r="H709" s="4">
        <v>0.13</v>
      </c>
      <c r="K709" s="6" t="b">
        <f t="shared" ref="K709:M709" si="688">FALSE()</f>
        <v>0</v>
      </c>
      <c r="L709" s="6" t="b">
        <f t="shared" si="688"/>
        <v>0</v>
      </c>
      <c r="M709" s="6" t="b">
        <f t="shared" si="688"/>
        <v>0</v>
      </c>
      <c r="O709" s="4">
        <v>1.06471073699243</v>
      </c>
      <c r="T709" s="4" t="str">
        <f t="shared" si="3"/>
        <v/>
      </c>
      <c r="U709" s="4" t="str">
        <f t="shared" si="4"/>
        <v/>
      </c>
    </row>
    <row r="710" ht="15.75" customHeight="1">
      <c r="A710" s="4" t="s">
        <v>2136</v>
      </c>
      <c r="B710" s="4" t="s">
        <v>13</v>
      </c>
      <c r="D710" s="4">
        <v>0.0591</v>
      </c>
      <c r="E710" s="4">
        <v>0.0591</v>
      </c>
      <c r="F710" s="4">
        <v>2.218</v>
      </c>
      <c r="G710" s="4">
        <v>0.0591</v>
      </c>
      <c r="H710" s="4">
        <v>0.0591</v>
      </c>
      <c r="I710" s="4">
        <v>1.202</v>
      </c>
      <c r="K710" s="6" t="b">
        <f t="shared" ref="K710:L710" si="689">FALSE()</f>
        <v>0</v>
      </c>
      <c r="L710" s="6" t="b">
        <f t="shared" si="689"/>
        <v>0</v>
      </c>
      <c r="M710" s="6" t="b">
        <f t="shared" ref="M710:M711" si="691">TRUE()</f>
        <v>1</v>
      </c>
      <c r="O710" s="4">
        <v>1.16876004857019</v>
      </c>
      <c r="P710" s="4">
        <v>0.789366038300488</v>
      </c>
      <c r="T710" s="4" t="str">
        <f t="shared" si="3"/>
        <v/>
      </c>
      <c r="U710" s="4">
        <f t="shared" si="4"/>
        <v>377</v>
      </c>
    </row>
    <row r="711" ht="15.75" customHeight="1">
      <c r="A711" s="4" t="s">
        <v>2137</v>
      </c>
      <c r="B711" s="4" t="s">
        <v>13</v>
      </c>
      <c r="D711" s="4">
        <v>0.044</v>
      </c>
      <c r="E711" s="4">
        <v>0.044</v>
      </c>
      <c r="F711" s="4">
        <v>0.768</v>
      </c>
      <c r="G711" s="4">
        <v>0.044</v>
      </c>
      <c r="H711" s="4">
        <v>0.044</v>
      </c>
      <c r="I711" s="4">
        <v>1.269</v>
      </c>
      <c r="K711" s="6" t="b">
        <f t="shared" ref="K711:L711" si="690">FALSE()</f>
        <v>0</v>
      </c>
      <c r="L711" s="6" t="b">
        <f t="shared" si="690"/>
        <v>0</v>
      </c>
      <c r="M711" s="6" t="b">
        <f t="shared" si="691"/>
        <v>1</v>
      </c>
      <c r="O711" s="4">
        <v>0.569848964215452</v>
      </c>
      <c r="P711" s="4">
        <v>0.819339205797705</v>
      </c>
      <c r="T711" s="4" t="str">
        <f t="shared" si="3"/>
        <v/>
      </c>
      <c r="U711" s="4">
        <f t="shared" si="4"/>
        <v>299</v>
      </c>
    </row>
    <row r="712" ht="15.75" customHeight="1">
      <c r="A712" s="4" t="s">
        <v>2138</v>
      </c>
      <c r="B712" s="4" t="s">
        <v>13</v>
      </c>
      <c r="D712" s="4">
        <v>0.04</v>
      </c>
      <c r="E712" s="4">
        <v>0.06</v>
      </c>
      <c r="F712" s="4">
        <v>0.96</v>
      </c>
      <c r="G712" s="4">
        <v>0.04</v>
      </c>
      <c r="H712" s="4">
        <v>0.06</v>
      </c>
      <c r="K712" s="6" t="b">
        <f t="shared" ref="K712:M712" si="692">FALSE()</f>
        <v>0</v>
      </c>
      <c r="L712" s="6" t="b">
        <f t="shared" si="692"/>
        <v>0</v>
      </c>
      <c r="M712" s="6" t="b">
        <f t="shared" si="692"/>
        <v>0</v>
      </c>
      <c r="O712" s="4">
        <v>0.672944473242426</v>
      </c>
      <c r="T712" s="4" t="str">
        <f t="shared" si="3"/>
        <v/>
      </c>
      <c r="U712" s="4" t="str">
        <f t="shared" si="4"/>
        <v/>
      </c>
    </row>
    <row r="713" ht="15.75" customHeight="1">
      <c r="A713" s="4" t="s">
        <v>2139</v>
      </c>
      <c r="B713" s="4" t="s">
        <v>13</v>
      </c>
      <c r="D713" s="4">
        <v>0.11</v>
      </c>
      <c r="E713" s="4">
        <v>0.13</v>
      </c>
      <c r="F713" s="4">
        <v>3.48</v>
      </c>
      <c r="G713" s="4">
        <v>0.11</v>
      </c>
      <c r="H713" s="4">
        <v>0.13</v>
      </c>
      <c r="K713" s="6" t="b">
        <f t="shared" ref="K713:M713" si="693">FALSE()</f>
        <v>0</v>
      </c>
      <c r="L713" s="6" t="b">
        <f t="shared" si="693"/>
        <v>0</v>
      </c>
      <c r="M713" s="6" t="b">
        <f t="shared" si="693"/>
        <v>0</v>
      </c>
      <c r="O713" s="4">
        <v>1.49962304642689</v>
      </c>
      <c r="T713" s="4" t="str">
        <f t="shared" si="3"/>
        <v/>
      </c>
      <c r="U713" s="4" t="str">
        <f t="shared" si="4"/>
        <v/>
      </c>
    </row>
    <row r="714" ht="15.75" customHeight="1">
      <c r="A714" s="4" t="s">
        <v>2140</v>
      </c>
      <c r="B714" s="4" t="s">
        <v>13</v>
      </c>
      <c r="D714" s="4">
        <v>0.16</v>
      </c>
      <c r="E714" s="4">
        <v>0.02</v>
      </c>
      <c r="F714" s="4">
        <v>0.57</v>
      </c>
      <c r="G714" s="4">
        <v>0.16</v>
      </c>
      <c r="H714" s="4">
        <v>0.02</v>
      </c>
      <c r="K714" s="6" t="b">
        <f t="shared" ref="K714:M714" si="694">FALSE()</f>
        <v>0</v>
      </c>
      <c r="L714" s="6" t="b">
        <f t="shared" si="694"/>
        <v>0</v>
      </c>
      <c r="M714" s="6" t="b">
        <f t="shared" si="694"/>
        <v>0</v>
      </c>
      <c r="O714" s="4">
        <v>0.451075619360217</v>
      </c>
      <c r="T714" s="4" t="str">
        <f t="shared" si="3"/>
        <v/>
      </c>
      <c r="U714" s="4" t="str">
        <f t="shared" si="4"/>
        <v/>
      </c>
    </row>
    <row r="715" ht="15.75" customHeight="1">
      <c r="A715" s="4" t="s">
        <v>2141</v>
      </c>
      <c r="B715" s="4" t="s">
        <v>13</v>
      </c>
      <c r="D715" s="4">
        <v>0.37</v>
      </c>
      <c r="E715" s="4">
        <v>0.37</v>
      </c>
      <c r="F715" s="4">
        <v>4.77</v>
      </c>
      <c r="G715" s="4">
        <v>0.37</v>
      </c>
      <c r="H715" s="4">
        <v>0.37</v>
      </c>
      <c r="K715" s="6" t="b">
        <f t="shared" ref="K715:M715" si="695">FALSE()</f>
        <v>0</v>
      </c>
      <c r="L715" s="6" t="b">
        <f t="shared" si="695"/>
        <v>0</v>
      </c>
      <c r="M715" s="6" t="b">
        <f t="shared" si="695"/>
        <v>0</v>
      </c>
      <c r="O715" s="4">
        <v>1.75267208052001</v>
      </c>
      <c r="T715" s="4" t="str">
        <f t="shared" si="3"/>
        <v/>
      </c>
      <c r="U715" s="4" t="str">
        <f t="shared" si="4"/>
        <v/>
      </c>
    </row>
    <row r="716" ht="15.75" customHeight="1">
      <c r="A716" s="4" t="s">
        <v>2142</v>
      </c>
      <c r="B716" s="4" t="s">
        <v>13</v>
      </c>
      <c r="D716" s="4">
        <v>0.0098</v>
      </c>
      <c r="E716" s="4">
        <v>0.0098</v>
      </c>
      <c r="F716" s="4">
        <v>0.7836</v>
      </c>
      <c r="G716" s="4">
        <v>0.0098</v>
      </c>
      <c r="H716" s="4">
        <v>0.0098</v>
      </c>
      <c r="I716" s="4">
        <v>1.269</v>
      </c>
      <c r="K716" s="6" t="b">
        <f t="shared" ref="K716:L716" si="696">FALSE()</f>
        <v>0</v>
      </c>
      <c r="L716" s="6" t="b">
        <f t="shared" si="696"/>
        <v>0</v>
      </c>
      <c r="M716" s="6" t="b">
        <f t="shared" ref="M716:M717" si="698">TRUE()</f>
        <v>1</v>
      </c>
      <c r="O716" s="4">
        <v>0.578633793771185</v>
      </c>
      <c r="P716" s="4">
        <v>0.819339205797705</v>
      </c>
      <c r="T716" s="4" t="str">
        <f t="shared" si="3"/>
        <v/>
      </c>
      <c r="U716" s="4">
        <f t="shared" si="4"/>
        <v>300</v>
      </c>
    </row>
    <row r="717" ht="15.75" customHeight="1">
      <c r="A717" s="4" t="s">
        <v>2143</v>
      </c>
      <c r="B717" s="4" t="s">
        <v>13</v>
      </c>
      <c r="D717" s="4">
        <v>0.037</v>
      </c>
      <c r="E717" s="4">
        <v>0.037</v>
      </c>
      <c r="F717" s="4">
        <v>2.201</v>
      </c>
      <c r="G717" s="4">
        <v>0.037</v>
      </c>
      <c r="H717" s="4">
        <v>0.037</v>
      </c>
      <c r="I717" s="4">
        <v>1.202</v>
      </c>
      <c r="K717" s="6" t="b">
        <f t="shared" ref="K717:L717" si="697">FALSE()</f>
        <v>0</v>
      </c>
      <c r="L717" s="6" t="b">
        <f t="shared" si="697"/>
        <v>0</v>
      </c>
      <c r="M717" s="6" t="b">
        <f t="shared" si="698"/>
        <v>1</v>
      </c>
      <c r="O717" s="4">
        <v>1.16346326098773</v>
      </c>
      <c r="P717" s="4">
        <v>0.789366038300488</v>
      </c>
      <c r="T717" s="4" t="str">
        <f t="shared" si="3"/>
        <v/>
      </c>
      <c r="U717" s="4">
        <f t="shared" si="4"/>
        <v>378</v>
      </c>
    </row>
    <row r="718" ht="15.75" customHeight="1">
      <c r="A718" s="4" t="s">
        <v>2144</v>
      </c>
      <c r="B718" s="4" t="s">
        <v>13</v>
      </c>
      <c r="D718" s="4">
        <v>1.3</v>
      </c>
      <c r="E718" s="4">
        <v>1.3</v>
      </c>
      <c r="F718" s="4">
        <v>5.7</v>
      </c>
      <c r="G718" s="4">
        <v>1.3</v>
      </c>
      <c r="H718" s="4">
        <v>1.3</v>
      </c>
      <c r="K718" s="6" t="b">
        <f t="shared" ref="K718:M718" si="699">FALSE()</f>
        <v>0</v>
      </c>
      <c r="L718" s="6" t="b">
        <f t="shared" si="699"/>
        <v>0</v>
      </c>
      <c r="M718" s="6" t="b">
        <f t="shared" si="699"/>
        <v>0</v>
      </c>
      <c r="O718" s="4">
        <v>1.90210752639692</v>
      </c>
      <c r="T718" s="4" t="str">
        <f t="shared" si="3"/>
        <v/>
      </c>
      <c r="U718" s="4" t="str">
        <f t="shared" si="4"/>
        <v/>
      </c>
    </row>
    <row r="719" ht="15.75" customHeight="1">
      <c r="A719" s="4" t="s">
        <v>2145</v>
      </c>
      <c r="B719" s="4" t="s">
        <v>13</v>
      </c>
      <c r="D719" s="4">
        <v>0.02</v>
      </c>
      <c r="E719" s="4">
        <v>0.03</v>
      </c>
      <c r="F719" s="4">
        <v>0.47</v>
      </c>
      <c r="G719" s="4">
        <v>0.02</v>
      </c>
      <c r="H719" s="4">
        <v>0.03</v>
      </c>
      <c r="K719" s="6" t="b">
        <f t="shared" ref="K719:M719" si="700">FALSE()</f>
        <v>0</v>
      </c>
      <c r="L719" s="6" t="b">
        <f t="shared" si="700"/>
        <v>0</v>
      </c>
      <c r="M719" s="6" t="b">
        <f t="shared" si="700"/>
        <v>0</v>
      </c>
      <c r="O719" s="4">
        <v>0.385262400790645</v>
      </c>
      <c r="T719" s="4" t="str">
        <f t="shared" si="3"/>
        <v/>
      </c>
      <c r="U719" s="4" t="str">
        <f t="shared" si="4"/>
        <v/>
      </c>
    </row>
    <row r="720" ht="15.75" customHeight="1">
      <c r="A720" s="4" t="s">
        <v>2146</v>
      </c>
      <c r="B720" s="4" t="s">
        <v>13</v>
      </c>
      <c r="D720" s="4">
        <v>0.00856</v>
      </c>
      <c r="E720" s="4">
        <v>0.00856</v>
      </c>
      <c r="F720" s="4">
        <v>0.0516</v>
      </c>
      <c r="G720" s="4">
        <v>0.00856</v>
      </c>
      <c r="H720" s="4">
        <v>0.00856</v>
      </c>
      <c r="K720" s="6" t="b">
        <f t="shared" ref="K720:M720" si="701">FALSE()</f>
        <v>0</v>
      </c>
      <c r="L720" s="6" t="b">
        <f t="shared" si="701"/>
        <v>0</v>
      </c>
      <c r="M720" s="6" t="b">
        <f t="shared" si="701"/>
        <v>0</v>
      </c>
      <c r="O720" s="4">
        <v>0.050312813873589</v>
      </c>
      <c r="T720" s="4" t="str">
        <f t="shared" si="3"/>
        <v/>
      </c>
      <c r="U720" s="4" t="str">
        <f t="shared" si="4"/>
        <v/>
      </c>
    </row>
    <row r="721" ht="15.75" customHeight="1">
      <c r="A721" s="4" t="s">
        <v>2147</v>
      </c>
      <c r="B721" s="4" t="s">
        <v>13</v>
      </c>
      <c r="D721" s="4">
        <v>0.038</v>
      </c>
      <c r="E721" s="4">
        <v>0.031</v>
      </c>
      <c r="F721" s="4">
        <v>0.365</v>
      </c>
      <c r="G721" s="4">
        <v>0.038</v>
      </c>
      <c r="H721" s="4">
        <v>0.031</v>
      </c>
      <c r="K721" s="6" t="b">
        <f t="shared" ref="K721:M721" si="702">FALSE()</f>
        <v>0</v>
      </c>
      <c r="L721" s="6" t="b">
        <f t="shared" si="702"/>
        <v>0</v>
      </c>
      <c r="M721" s="6" t="b">
        <f t="shared" si="702"/>
        <v>0</v>
      </c>
      <c r="O721" s="4">
        <v>0.311154428636923</v>
      </c>
      <c r="T721" s="4" t="str">
        <f t="shared" si="3"/>
        <v/>
      </c>
      <c r="U721" s="4" t="str">
        <f t="shared" si="4"/>
        <v/>
      </c>
    </row>
    <row r="722" ht="15.75" customHeight="1">
      <c r="A722" s="4" t="s">
        <v>2148</v>
      </c>
      <c r="B722" s="4" t="s">
        <v>13</v>
      </c>
      <c r="D722" s="4">
        <v>0.006</v>
      </c>
      <c r="E722" s="4">
        <v>0.009</v>
      </c>
      <c r="F722" s="4">
        <v>0.041</v>
      </c>
      <c r="G722" s="4">
        <v>0.006</v>
      </c>
      <c r="H722" s="4">
        <v>0.009</v>
      </c>
      <c r="K722" s="6" t="b">
        <f t="shared" ref="K722:M722" si="703">FALSE()</f>
        <v>0</v>
      </c>
      <c r="L722" s="6" t="b">
        <f t="shared" si="703"/>
        <v>0</v>
      </c>
      <c r="M722" s="6" t="b">
        <f t="shared" si="703"/>
        <v>0</v>
      </c>
      <c r="O722" s="4">
        <v>0.0401817896328318</v>
      </c>
      <c r="T722" s="4" t="str">
        <f t="shared" si="3"/>
        <v/>
      </c>
      <c r="U722" s="4" t="str">
        <f t="shared" si="4"/>
        <v/>
      </c>
    </row>
    <row r="723" ht="15.75" customHeight="1">
      <c r="A723" s="4" t="s">
        <v>2149</v>
      </c>
      <c r="B723" s="4" t="s">
        <v>13</v>
      </c>
      <c r="D723" s="4">
        <v>0.0031</v>
      </c>
      <c r="E723" s="4">
        <v>0.0031</v>
      </c>
      <c r="F723" s="4">
        <v>0.0331</v>
      </c>
      <c r="G723" s="4">
        <v>0.0031</v>
      </c>
      <c r="H723" s="4">
        <v>0.0031</v>
      </c>
      <c r="K723" s="6" t="b">
        <f t="shared" ref="K723:M723" si="704">FALSE()</f>
        <v>0</v>
      </c>
      <c r="L723" s="6" t="b">
        <f t="shared" si="704"/>
        <v>0</v>
      </c>
      <c r="M723" s="6" t="b">
        <f t="shared" si="704"/>
        <v>0</v>
      </c>
      <c r="O723" s="4">
        <v>0.0325639908732626</v>
      </c>
      <c r="T723" s="4" t="str">
        <f t="shared" si="3"/>
        <v/>
      </c>
      <c r="U723" s="4" t="str">
        <f t="shared" si="4"/>
        <v/>
      </c>
    </row>
    <row r="724" ht="15.75" customHeight="1">
      <c r="A724" s="4" t="s">
        <v>2150</v>
      </c>
      <c r="B724" s="4" t="s">
        <v>13</v>
      </c>
      <c r="D724" s="4">
        <v>0.00311</v>
      </c>
      <c r="E724" s="4">
        <v>0.00311</v>
      </c>
      <c r="F724" s="4">
        <v>0.0331</v>
      </c>
      <c r="G724" s="4">
        <v>0.00311</v>
      </c>
      <c r="H724" s="4">
        <v>0.00311</v>
      </c>
      <c r="K724" s="6" t="b">
        <f t="shared" ref="K724:M724" si="705">FALSE()</f>
        <v>0</v>
      </c>
      <c r="L724" s="6" t="b">
        <f t="shared" si="705"/>
        <v>0</v>
      </c>
      <c r="M724" s="6" t="b">
        <f t="shared" si="705"/>
        <v>0</v>
      </c>
      <c r="O724" s="4">
        <v>0.0325639908732626</v>
      </c>
      <c r="T724" s="4" t="str">
        <f t="shared" si="3"/>
        <v/>
      </c>
      <c r="U724" s="4" t="str">
        <f t="shared" si="4"/>
        <v/>
      </c>
    </row>
    <row r="725" ht="15.75" customHeight="1">
      <c r="A725" s="4" t="s">
        <v>2151</v>
      </c>
      <c r="B725" s="4" t="s">
        <v>13</v>
      </c>
      <c r="D725" s="4">
        <v>0.23</v>
      </c>
      <c r="E725" s="4">
        <v>0.23</v>
      </c>
      <c r="F725" s="4">
        <v>2.89</v>
      </c>
      <c r="G725" s="4">
        <v>0.23</v>
      </c>
      <c r="H725" s="4">
        <v>0.23</v>
      </c>
      <c r="K725" s="6" t="b">
        <f t="shared" ref="K725:M725" si="706">FALSE()</f>
        <v>0</v>
      </c>
      <c r="L725" s="6" t="b">
        <f t="shared" si="706"/>
        <v>0</v>
      </c>
      <c r="M725" s="6" t="b">
        <f t="shared" si="706"/>
        <v>0</v>
      </c>
      <c r="O725" s="4">
        <v>1.35840915763036</v>
      </c>
      <c r="T725" s="4" t="str">
        <f t="shared" si="3"/>
        <v/>
      </c>
      <c r="U725" s="4" t="str">
        <f t="shared" si="4"/>
        <v/>
      </c>
    </row>
    <row r="726" ht="15.75" customHeight="1">
      <c r="A726" s="4" t="s">
        <v>2152</v>
      </c>
      <c r="B726" s="4" t="s">
        <v>13</v>
      </c>
      <c r="D726" s="4">
        <v>0.22</v>
      </c>
      <c r="E726" s="4">
        <v>0.31</v>
      </c>
      <c r="F726" s="4">
        <v>6.43</v>
      </c>
      <c r="G726" s="4">
        <v>0.22</v>
      </c>
      <c r="H726" s="4">
        <v>0.31</v>
      </c>
      <c r="K726" s="6" t="b">
        <f t="shared" ref="K726:K733" si="707">FALSE()</f>
        <v>0</v>
      </c>
      <c r="L726" s="6" t="b">
        <f>TRUE()</f>
        <v>1</v>
      </c>
      <c r="M726" s="6" t="b">
        <f>FALSE()</f>
        <v>0</v>
      </c>
      <c r="O726" s="4">
        <v>2.00552585872967</v>
      </c>
      <c r="T726" s="4" t="str">
        <f t="shared" si="3"/>
        <v/>
      </c>
      <c r="U726" s="4" t="str">
        <f t="shared" si="4"/>
        <v/>
      </c>
    </row>
    <row r="727" ht="15.75" customHeight="1">
      <c r="A727" s="4" t="s">
        <v>2153</v>
      </c>
      <c r="B727" s="4" t="s">
        <v>13</v>
      </c>
      <c r="D727" s="4">
        <v>0.11</v>
      </c>
      <c r="E727" s="4">
        <v>0.11</v>
      </c>
      <c r="F727" s="4">
        <v>3.53</v>
      </c>
      <c r="G727" s="4">
        <v>0.11</v>
      </c>
      <c r="H727" s="4">
        <v>0.11</v>
      </c>
      <c r="K727" s="6" t="b">
        <f t="shared" si="707"/>
        <v>0</v>
      </c>
      <c r="L727" s="6" t="b">
        <f t="shared" ref="L727:M727" si="708">FALSE()</f>
        <v>0</v>
      </c>
      <c r="M727" s="6" t="b">
        <f t="shared" si="708"/>
        <v>0</v>
      </c>
      <c r="O727" s="4">
        <v>1.51072193949494</v>
      </c>
      <c r="T727" s="4" t="str">
        <f t="shared" si="3"/>
        <v/>
      </c>
      <c r="U727" s="4" t="str">
        <f t="shared" si="4"/>
        <v/>
      </c>
    </row>
    <row r="728" ht="15.75" customHeight="1">
      <c r="A728" s="4" t="s">
        <v>2154</v>
      </c>
      <c r="B728" s="4" t="s">
        <v>13</v>
      </c>
      <c r="F728" s="4">
        <v>1.6</v>
      </c>
      <c r="K728" s="6" t="b">
        <f t="shared" si="707"/>
        <v>0</v>
      </c>
      <c r="L728" s="6" t="b">
        <f t="shared" ref="L728:M728" si="709">FALSE()</f>
        <v>0</v>
      </c>
      <c r="M728" s="6" t="b">
        <f t="shared" si="709"/>
        <v>0</v>
      </c>
      <c r="O728" s="4">
        <v>0.955511445027436</v>
      </c>
      <c r="T728" s="4" t="str">
        <f t="shared" si="3"/>
        <v/>
      </c>
      <c r="U728" s="4" t="str">
        <f t="shared" si="4"/>
        <v/>
      </c>
    </row>
    <row r="729" ht="15.75" customHeight="1">
      <c r="A729" s="4" t="s">
        <v>2155</v>
      </c>
      <c r="B729" s="4" t="s">
        <v>13</v>
      </c>
      <c r="C729" s="4">
        <v>2.85</v>
      </c>
      <c r="D729" s="4">
        <v>1.0</v>
      </c>
      <c r="E729" s="4">
        <v>1.0</v>
      </c>
      <c r="K729" s="6" t="b">
        <f t="shared" si="707"/>
        <v>0</v>
      </c>
      <c r="L729" s="6" t="b">
        <f t="shared" ref="L729:M729" si="710">FALSE()</f>
        <v>0</v>
      </c>
      <c r="M729" s="6" t="b">
        <f t="shared" si="710"/>
        <v>0</v>
      </c>
      <c r="N729" s="4">
        <v>1.34807314829969</v>
      </c>
      <c r="T729" s="4">
        <f t="shared" si="3"/>
        <v>333</v>
      </c>
      <c r="U729" s="4" t="str">
        <f t="shared" si="4"/>
        <v/>
      </c>
    </row>
    <row r="730" ht="15.75" customHeight="1">
      <c r="A730" s="4" t="s">
        <v>2156</v>
      </c>
      <c r="B730" s="4" t="s">
        <v>13</v>
      </c>
      <c r="D730" s="4">
        <v>0.12</v>
      </c>
      <c r="E730" s="4">
        <v>0.12</v>
      </c>
      <c r="F730" s="4">
        <v>0.85</v>
      </c>
      <c r="G730" s="4">
        <v>0.12</v>
      </c>
      <c r="H730" s="4">
        <v>0.12</v>
      </c>
      <c r="K730" s="6" t="b">
        <f t="shared" si="707"/>
        <v>0</v>
      </c>
      <c r="L730" s="6" t="b">
        <f t="shared" ref="L730:M730" si="711">FALSE()</f>
        <v>0</v>
      </c>
      <c r="M730" s="6" t="b">
        <f t="shared" si="711"/>
        <v>0</v>
      </c>
      <c r="O730" s="4">
        <v>0.615185639090234</v>
      </c>
      <c r="T730" s="4" t="str">
        <f t="shared" si="3"/>
        <v/>
      </c>
      <c r="U730" s="4" t="str">
        <f t="shared" si="4"/>
        <v/>
      </c>
    </row>
    <row r="731" ht="15.75" customHeight="1">
      <c r="A731" s="4" t="s">
        <v>2157</v>
      </c>
      <c r="B731" s="4" t="s">
        <v>13</v>
      </c>
      <c r="D731" s="4">
        <v>0.0038</v>
      </c>
      <c r="E731" s="4">
        <v>0.0038</v>
      </c>
      <c r="F731" s="4">
        <v>0.0299</v>
      </c>
      <c r="G731" s="4">
        <v>0.0038</v>
      </c>
      <c r="H731" s="4">
        <v>0.0038</v>
      </c>
      <c r="K731" s="6" t="b">
        <f t="shared" si="707"/>
        <v>0</v>
      </c>
      <c r="L731" s="6" t="b">
        <f t="shared" ref="L731:M731" si="712">FALSE()</f>
        <v>0</v>
      </c>
      <c r="M731" s="6" t="b">
        <f t="shared" si="712"/>
        <v>0</v>
      </c>
      <c r="O731" s="4">
        <v>0.029461710149619</v>
      </c>
      <c r="T731" s="4" t="str">
        <f t="shared" si="3"/>
        <v/>
      </c>
      <c r="U731" s="4" t="str">
        <f t="shared" si="4"/>
        <v/>
      </c>
    </row>
    <row r="732" ht="15.75" customHeight="1">
      <c r="A732" s="4" t="s">
        <v>2158</v>
      </c>
      <c r="B732" s="4" t="s">
        <v>13</v>
      </c>
      <c r="D732" s="4">
        <v>0.0975</v>
      </c>
      <c r="E732" s="4">
        <v>0.0975</v>
      </c>
      <c r="F732" s="4">
        <v>7.659</v>
      </c>
      <c r="G732" s="4">
        <v>0.0975</v>
      </c>
      <c r="H732" s="4">
        <v>0.0975</v>
      </c>
      <c r="K732" s="6" t="b">
        <f t="shared" si="707"/>
        <v>0</v>
      </c>
      <c r="L732" s="6" t="b">
        <f>TRUE()</f>
        <v>1</v>
      </c>
      <c r="M732" s="6" t="b">
        <f>FALSE()</f>
        <v>0</v>
      </c>
      <c r="O732" s="4">
        <v>2.15859924246566</v>
      </c>
      <c r="T732" s="4" t="str">
        <f t="shared" si="3"/>
        <v/>
      </c>
      <c r="U732" s="4" t="str">
        <f t="shared" si="4"/>
        <v/>
      </c>
    </row>
    <row r="733" ht="15.75" customHeight="1">
      <c r="A733" s="4" t="s">
        <v>2159</v>
      </c>
      <c r="B733" s="4" t="s">
        <v>13</v>
      </c>
      <c r="F733" s="4">
        <v>0.23</v>
      </c>
      <c r="K733" s="6" t="b">
        <f t="shared" si="707"/>
        <v>0</v>
      </c>
      <c r="L733" s="6" t="b">
        <f t="shared" ref="L733:M733" si="713">FALSE()</f>
        <v>0</v>
      </c>
      <c r="M733" s="6" t="b">
        <f t="shared" si="713"/>
        <v>0</v>
      </c>
      <c r="O733" s="4">
        <v>0.207014169384326</v>
      </c>
      <c r="T733" s="4" t="str">
        <f t="shared" si="3"/>
        <v/>
      </c>
      <c r="U733" s="4" t="str">
        <f t="shared" si="4"/>
        <v/>
      </c>
    </row>
    <row r="734" ht="15.75" customHeight="1">
      <c r="A734" s="4" t="s">
        <v>2160</v>
      </c>
      <c r="B734" s="4" t="s">
        <v>13</v>
      </c>
      <c r="C734" s="4">
        <v>6.78</v>
      </c>
      <c r="D734" s="4">
        <v>1.096</v>
      </c>
      <c r="E734" s="4">
        <v>1.114</v>
      </c>
      <c r="K734" s="6" t="b">
        <f t="shared" ref="K734:K735" si="715">TRUE()</f>
        <v>1</v>
      </c>
      <c r="L734" s="6" t="b">
        <f t="shared" ref="L734:M734" si="714">FALSE()</f>
        <v>0</v>
      </c>
      <c r="M734" s="6" t="b">
        <f t="shared" si="714"/>
        <v>0</v>
      </c>
      <c r="N734" s="4">
        <v>2.0515563381903</v>
      </c>
      <c r="T734" s="4">
        <f t="shared" si="3"/>
        <v>139</v>
      </c>
      <c r="U734" s="4" t="str">
        <f t="shared" si="4"/>
        <v/>
      </c>
    </row>
    <row r="735" ht="15.75" customHeight="1">
      <c r="A735" s="4" t="s">
        <v>2161</v>
      </c>
      <c r="B735" s="4" t="s">
        <v>13</v>
      </c>
      <c r="C735" s="4">
        <v>9.065</v>
      </c>
      <c r="D735" s="4">
        <v>1.41</v>
      </c>
      <c r="E735" s="4">
        <v>1.31</v>
      </c>
      <c r="K735" s="6" t="b">
        <f t="shared" si="715"/>
        <v>1</v>
      </c>
      <c r="L735" s="6" t="b">
        <f t="shared" ref="L735:M735" si="716">FALSE()</f>
        <v>0</v>
      </c>
      <c r="M735" s="6" t="b">
        <f t="shared" si="716"/>
        <v>0</v>
      </c>
      <c r="N735" s="4">
        <v>2.30906405909176</v>
      </c>
      <c r="T735" s="4">
        <f t="shared" si="3"/>
        <v>77</v>
      </c>
      <c r="U735" s="4" t="str">
        <f t="shared" si="4"/>
        <v/>
      </c>
    </row>
    <row r="736" ht="15.75" customHeight="1">
      <c r="A736" s="4" t="s">
        <v>2162</v>
      </c>
      <c r="B736" s="4" t="s">
        <v>13</v>
      </c>
      <c r="D736" s="4">
        <v>0.9</v>
      </c>
      <c r="E736" s="4">
        <v>0.9</v>
      </c>
      <c r="F736" s="4">
        <v>6.1</v>
      </c>
      <c r="G736" s="4">
        <v>0.9</v>
      </c>
      <c r="H736" s="4">
        <v>0.9</v>
      </c>
      <c r="K736" s="6" t="b">
        <f t="shared" ref="K736:K746" si="717">FALSE()</f>
        <v>0</v>
      </c>
      <c r="L736" s="6" t="b">
        <f>TRUE()</f>
        <v>1</v>
      </c>
      <c r="M736" s="6" t="b">
        <f>FALSE()</f>
        <v>0</v>
      </c>
      <c r="O736" s="4">
        <v>1.96009478404727</v>
      </c>
      <c r="T736" s="4" t="str">
        <f t="shared" si="3"/>
        <v/>
      </c>
      <c r="U736" s="4" t="str">
        <f t="shared" si="4"/>
        <v/>
      </c>
    </row>
    <row r="737" ht="15.75" customHeight="1">
      <c r="A737" s="4" t="s">
        <v>2163</v>
      </c>
      <c r="B737" s="4" t="s">
        <v>13</v>
      </c>
      <c r="C737" s="4">
        <v>3.0</v>
      </c>
      <c r="D737" s="4">
        <v>2.0</v>
      </c>
      <c r="E737" s="4">
        <v>2.0</v>
      </c>
      <c r="K737" s="6" t="b">
        <f t="shared" si="717"/>
        <v>0</v>
      </c>
      <c r="L737" s="6" t="b">
        <f t="shared" ref="L737:M737" si="718">FALSE()</f>
        <v>0</v>
      </c>
      <c r="M737" s="6" t="b">
        <f t="shared" si="718"/>
        <v>0</v>
      </c>
      <c r="N737" s="4">
        <v>1.38629436111989</v>
      </c>
      <c r="T737" s="4">
        <f t="shared" si="3"/>
        <v>319</v>
      </c>
      <c r="U737" s="4" t="str">
        <f t="shared" si="4"/>
        <v/>
      </c>
    </row>
    <row r="738" ht="15.75" customHeight="1">
      <c r="A738" s="4" t="s">
        <v>2164</v>
      </c>
      <c r="B738" s="4" t="s">
        <v>13</v>
      </c>
      <c r="F738" s="4">
        <v>2.88</v>
      </c>
      <c r="K738" s="6" t="b">
        <f t="shared" si="717"/>
        <v>0</v>
      </c>
      <c r="L738" s="6" t="b">
        <f t="shared" ref="L738:M738" si="719">FALSE()</f>
        <v>0</v>
      </c>
      <c r="M738" s="6" t="b">
        <f t="shared" si="719"/>
        <v>0</v>
      </c>
      <c r="O738" s="4">
        <v>1.35583515363518</v>
      </c>
      <c r="T738" s="4" t="str">
        <f t="shared" si="3"/>
        <v/>
      </c>
      <c r="U738" s="4" t="str">
        <f t="shared" si="4"/>
        <v/>
      </c>
    </row>
    <row r="739" ht="15.75" customHeight="1">
      <c r="A739" s="4" t="s">
        <v>2165</v>
      </c>
      <c r="B739" s="4" t="s">
        <v>13</v>
      </c>
      <c r="F739" s="4">
        <v>4.04</v>
      </c>
      <c r="K739" s="6" t="b">
        <f t="shared" si="717"/>
        <v>0</v>
      </c>
      <c r="L739" s="6" t="b">
        <f t="shared" ref="L739:M739" si="720">FALSE()</f>
        <v>0</v>
      </c>
      <c r="M739" s="6" t="b">
        <f t="shared" si="720"/>
        <v>0</v>
      </c>
      <c r="O739" s="4">
        <v>1.61740608208328</v>
      </c>
      <c r="T739" s="4" t="str">
        <f t="shared" si="3"/>
        <v/>
      </c>
      <c r="U739" s="4" t="str">
        <f t="shared" si="4"/>
        <v/>
      </c>
    </row>
    <row r="740" ht="15.75" customHeight="1">
      <c r="A740" s="4" t="s">
        <v>2166</v>
      </c>
      <c r="B740" s="4" t="s">
        <v>13</v>
      </c>
      <c r="F740" s="4">
        <v>0.67</v>
      </c>
      <c r="K740" s="6" t="b">
        <f t="shared" si="717"/>
        <v>0</v>
      </c>
      <c r="L740" s="6" t="b">
        <f t="shared" ref="L740:M740" si="721">FALSE()</f>
        <v>0</v>
      </c>
      <c r="M740" s="6" t="b">
        <f t="shared" si="721"/>
        <v>0</v>
      </c>
      <c r="O740" s="4">
        <v>0.512823626428664</v>
      </c>
      <c r="T740" s="4" t="str">
        <f t="shared" si="3"/>
        <v/>
      </c>
      <c r="U740" s="4" t="str">
        <f t="shared" si="4"/>
        <v/>
      </c>
    </row>
    <row r="741" ht="15.75" customHeight="1">
      <c r="A741" s="4" t="s">
        <v>2167</v>
      </c>
      <c r="B741" s="4" t="s">
        <v>13</v>
      </c>
      <c r="D741" s="4">
        <v>0.3</v>
      </c>
      <c r="E741" s="4">
        <v>0.3</v>
      </c>
      <c r="F741" s="4">
        <v>4.6</v>
      </c>
      <c r="G741" s="4">
        <v>0.3</v>
      </c>
      <c r="H741" s="4">
        <v>0.3</v>
      </c>
      <c r="K741" s="6" t="b">
        <f t="shared" si="717"/>
        <v>0</v>
      </c>
      <c r="L741" s="6" t="b">
        <f t="shared" ref="L741:M741" si="722">FALSE()</f>
        <v>0</v>
      </c>
      <c r="M741" s="6" t="b">
        <f t="shared" si="722"/>
        <v>0</v>
      </c>
      <c r="O741" s="4">
        <v>1.7227665977411</v>
      </c>
      <c r="T741" s="4" t="str">
        <f t="shared" si="3"/>
        <v/>
      </c>
      <c r="U741" s="4" t="str">
        <f t="shared" si="4"/>
        <v/>
      </c>
    </row>
    <row r="742" ht="15.75" customHeight="1">
      <c r="A742" s="4" t="s">
        <v>2168</v>
      </c>
      <c r="B742" s="4" t="s">
        <v>13</v>
      </c>
      <c r="F742" s="4">
        <v>1.98</v>
      </c>
      <c r="K742" s="6" t="b">
        <f t="shared" si="717"/>
        <v>0</v>
      </c>
      <c r="L742" s="6" t="b">
        <f t="shared" ref="L742:M742" si="723">FALSE()</f>
        <v>0</v>
      </c>
      <c r="M742" s="6" t="b">
        <f t="shared" si="723"/>
        <v>0</v>
      </c>
      <c r="O742" s="4">
        <v>1.09192330051731</v>
      </c>
      <c r="T742" s="4" t="str">
        <f t="shared" si="3"/>
        <v/>
      </c>
      <c r="U742" s="4" t="str">
        <f t="shared" si="4"/>
        <v/>
      </c>
    </row>
    <row r="743" ht="15.75" customHeight="1">
      <c r="A743" s="4" t="s">
        <v>2169</v>
      </c>
      <c r="B743" s="4" t="s">
        <v>13</v>
      </c>
      <c r="D743" s="4">
        <v>0.15</v>
      </c>
      <c r="E743" s="4">
        <v>0.15</v>
      </c>
      <c r="F743" s="4">
        <v>2.6</v>
      </c>
      <c r="G743" s="4">
        <v>0.15</v>
      </c>
      <c r="H743" s="4">
        <v>0.15</v>
      </c>
      <c r="K743" s="6" t="b">
        <f t="shared" si="717"/>
        <v>0</v>
      </c>
      <c r="L743" s="6" t="b">
        <f t="shared" ref="L743:M743" si="724">FALSE()</f>
        <v>0</v>
      </c>
      <c r="M743" s="6" t="b">
        <f t="shared" si="724"/>
        <v>0</v>
      </c>
      <c r="O743" s="4">
        <v>1.28093384546206</v>
      </c>
      <c r="T743" s="4" t="str">
        <f t="shared" si="3"/>
        <v/>
      </c>
      <c r="U743" s="4" t="str">
        <f t="shared" si="4"/>
        <v/>
      </c>
    </row>
    <row r="744" ht="15.75" customHeight="1">
      <c r="A744" s="4" t="s">
        <v>405</v>
      </c>
      <c r="B744" s="4" t="s">
        <v>13</v>
      </c>
      <c r="C744" s="4">
        <v>3.195</v>
      </c>
      <c r="D744" s="4">
        <v>0.034</v>
      </c>
      <c r="E744" s="4">
        <v>0.034</v>
      </c>
      <c r="F744" s="4">
        <v>3.191</v>
      </c>
      <c r="G744" s="4">
        <v>0.033</v>
      </c>
      <c r="H744" s="4">
        <v>0.033</v>
      </c>
      <c r="I744" s="4">
        <v>1.095</v>
      </c>
      <c r="J744" s="4">
        <v>0.02</v>
      </c>
      <c r="K744" s="6" t="b">
        <f t="shared" si="717"/>
        <v>0</v>
      </c>
      <c r="L744" s="6" t="b">
        <f t="shared" ref="L744:L746" si="725">FALSE()</f>
        <v>0</v>
      </c>
      <c r="M744" s="6" t="b">
        <f>TRUE()</f>
        <v>1</v>
      </c>
      <c r="N744" s="4">
        <v>1.43389333991917</v>
      </c>
      <c r="O744" s="4">
        <v>1.43293936894293</v>
      </c>
      <c r="P744" s="4">
        <v>0.739553553374101</v>
      </c>
      <c r="Q744" s="4">
        <v>1.33438247474101</v>
      </c>
      <c r="R744" s="4">
        <v>1.37202265892279</v>
      </c>
      <c r="S744" s="4">
        <v>0.504659973852613</v>
      </c>
      <c r="T744" s="4">
        <f t="shared" si="3"/>
        <v>310</v>
      </c>
      <c r="U744" s="4">
        <f t="shared" si="4"/>
        <v>526</v>
      </c>
    </row>
    <row r="745" ht="15.75" customHeight="1">
      <c r="A745" s="4" t="s">
        <v>2170</v>
      </c>
      <c r="B745" s="4" t="s">
        <v>13</v>
      </c>
      <c r="D745" s="4">
        <v>0.3</v>
      </c>
      <c r="E745" s="4">
        <v>0.3</v>
      </c>
      <c r="F745" s="4">
        <v>2.7</v>
      </c>
      <c r="G745" s="4">
        <v>0.3</v>
      </c>
      <c r="H745" s="4">
        <v>0.3</v>
      </c>
      <c r="K745" s="6" t="b">
        <f t="shared" si="717"/>
        <v>0</v>
      </c>
      <c r="L745" s="6" t="b">
        <f t="shared" si="725"/>
        <v>0</v>
      </c>
      <c r="M745" s="6" t="b">
        <f t="shared" ref="M745:M747" si="726">FALSE()</f>
        <v>0</v>
      </c>
      <c r="O745" s="4">
        <v>1.30833281965018</v>
      </c>
      <c r="T745" s="4" t="str">
        <f t="shared" si="3"/>
        <v/>
      </c>
      <c r="U745" s="4" t="str">
        <f t="shared" si="4"/>
        <v/>
      </c>
    </row>
    <row r="746" ht="15.75" customHeight="1">
      <c r="A746" s="4" t="s">
        <v>2171</v>
      </c>
      <c r="B746" s="4" t="s">
        <v>13</v>
      </c>
      <c r="D746" s="4">
        <v>0.5</v>
      </c>
      <c r="E746" s="4">
        <v>0.5</v>
      </c>
      <c r="F746" s="4">
        <v>4.2</v>
      </c>
      <c r="G746" s="4">
        <v>0.5</v>
      </c>
      <c r="H746" s="4">
        <v>0.5</v>
      </c>
      <c r="K746" s="6" t="b">
        <f t="shared" si="717"/>
        <v>0</v>
      </c>
      <c r="L746" s="6" t="b">
        <f t="shared" si="725"/>
        <v>0</v>
      </c>
      <c r="M746" s="6" t="b">
        <f t="shared" si="726"/>
        <v>0</v>
      </c>
      <c r="O746" s="4">
        <v>1.64865862558738</v>
      </c>
      <c r="T746" s="4" t="str">
        <f t="shared" si="3"/>
        <v/>
      </c>
      <c r="U746" s="4" t="str">
        <f t="shared" si="4"/>
        <v/>
      </c>
    </row>
    <row r="747" ht="15.75" customHeight="1">
      <c r="A747" s="4" t="s">
        <v>2172</v>
      </c>
      <c r="B747" s="4" t="s">
        <v>13</v>
      </c>
      <c r="C747" s="4">
        <v>10.2</v>
      </c>
      <c r="D747" s="4">
        <v>0.4</v>
      </c>
      <c r="E747" s="4">
        <v>0.4</v>
      </c>
      <c r="F747" s="4">
        <v>7.8</v>
      </c>
      <c r="G747" s="4">
        <v>3.5</v>
      </c>
      <c r="H747" s="4">
        <v>3.5</v>
      </c>
      <c r="K747" s="6" t="b">
        <f t="shared" ref="K747:L747" si="727">TRUE()</f>
        <v>1</v>
      </c>
      <c r="L747" s="6" t="b">
        <f t="shared" si="727"/>
        <v>1</v>
      </c>
      <c r="M747" s="6" t="b">
        <f t="shared" si="726"/>
        <v>0</v>
      </c>
      <c r="N747" s="4">
        <v>2.41591377830105</v>
      </c>
      <c r="O747" s="4">
        <v>2.17475172148416</v>
      </c>
      <c r="T747" s="4">
        <f t="shared" si="3"/>
        <v>53</v>
      </c>
      <c r="U747" s="4" t="str">
        <f t="shared" si="4"/>
        <v/>
      </c>
    </row>
    <row r="748" ht="15.75" customHeight="1">
      <c r="A748" s="4" t="s">
        <v>2173</v>
      </c>
      <c r="B748" s="4" t="s">
        <v>13</v>
      </c>
      <c r="D748" s="4">
        <v>1.0</v>
      </c>
      <c r="E748" s="4">
        <v>1.0</v>
      </c>
      <c r="F748" s="4">
        <v>4.6</v>
      </c>
      <c r="G748" s="4">
        <v>1.0</v>
      </c>
      <c r="H748" s="4">
        <v>1.0</v>
      </c>
      <c r="K748" s="6" t="b">
        <f t="shared" ref="K748:M748" si="728">FALSE()</f>
        <v>0</v>
      </c>
      <c r="L748" s="6" t="b">
        <f t="shared" si="728"/>
        <v>0</v>
      </c>
      <c r="M748" s="6" t="b">
        <f t="shared" si="728"/>
        <v>0</v>
      </c>
      <c r="O748" s="4">
        <v>1.7227665977411</v>
      </c>
      <c r="T748" s="4" t="str">
        <f t="shared" si="3"/>
        <v/>
      </c>
      <c r="U748" s="4" t="str">
        <f t="shared" si="4"/>
        <v/>
      </c>
    </row>
    <row r="749" ht="15.75" customHeight="1">
      <c r="A749" s="4" t="s">
        <v>2174</v>
      </c>
      <c r="B749" s="4" t="s">
        <v>13</v>
      </c>
      <c r="F749" s="4">
        <v>0.61</v>
      </c>
      <c r="K749" s="6" t="b">
        <f t="shared" ref="K749:M749" si="729">FALSE()</f>
        <v>0</v>
      </c>
      <c r="L749" s="6" t="b">
        <f t="shared" si="729"/>
        <v>0</v>
      </c>
      <c r="M749" s="6" t="b">
        <f t="shared" si="729"/>
        <v>0</v>
      </c>
      <c r="O749" s="4">
        <v>0.476234178996372</v>
      </c>
      <c r="T749" s="4" t="str">
        <f t="shared" si="3"/>
        <v/>
      </c>
      <c r="U749" s="4" t="str">
        <f t="shared" si="4"/>
        <v/>
      </c>
    </row>
    <row r="750" ht="15.75" customHeight="1">
      <c r="A750" s="4" t="s">
        <v>2175</v>
      </c>
      <c r="B750" s="4" t="s">
        <v>13</v>
      </c>
      <c r="D750" s="4">
        <v>0.0035</v>
      </c>
      <c r="E750" s="4">
        <v>0.0035</v>
      </c>
      <c r="F750" s="4">
        <v>0.0283</v>
      </c>
      <c r="G750" s="4">
        <v>0.0035</v>
      </c>
      <c r="H750" s="4">
        <v>0.0035</v>
      </c>
      <c r="K750" s="6" t="b">
        <f t="shared" ref="K750:M750" si="730">FALSE()</f>
        <v>0</v>
      </c>
      <c r="L750" s="6" t="b">
        <f t="shared" si="730"/>
        <v>0</v>
      </c>
      <c r="M750" s="6" t="b">
        <f t="shared" si="730"/>
        <v>0</v>
      </c>
      <c r="O750" s="4">
        <v>0.0279069532530078</v>
      </c>
      <c r="T750" s="4" t="str">
        <f t="shared" si="3"/>
        <v/>
      </c>
      <c r="U750" s="4" t="str">
        <f t="shared" si="4"/>
        <v/>
      </c>
    </row>
    <row r="751" ht="15.75" customHeight="1">
      <c r="A751" s="4" t="s">
        <v>2176</v>
      </c>
      <c r="B751" s="4" t="s">
        <v>13</v>
      </c>
      <c r="C751" s="4">
        <v>1.5</v>
      </c>
      <c r="D751" s="4">
        <v>0.3</v>
      </c>
      <c r="E751" s="4">
        <v>0.3</v>
      </c>
      <c r="K751" s="6" t="b">
        <f t="shared" ref="K751:M751" si="731">FALSE()</f>
        <v>0</v>
      </c>
      <c r="L751" s="6" t="b">
        <f t="shared" si="731"/>
        <v>0</v>
      </c>
      <c r="M751" s="6" t="b">
        <f t="shared" si="731"/>
        <v>0</v>
      </c>
      <c r="N751" s="4">
        <v>0.916290731874155</v>
      </c>
      <c r="T751" s="4">
        <f t="shared" si="3"/>
        <v>510</v>
      </c>
      <c r="U751" s="4" t="str">
        <f t="shared" si="4"/>
        <v/>
      </c>
    </row>
    <row r="752" ht="15.75" customHeight="1">
      <c r="A752" s="4" t="s">
        <v>2177</v>
      </c>
      <c r="B752" s="4" t="s">
        <v>13</v>
      </c>
      <c r="D752" s="4">
        <v>0.06</v>
      </c>
      <c r="E752" s="4">
        <v>0.07</v>
      </c>
      <c r="F752" s="4">
        <v>0.87</v>
      </c>
      <c r="G752" s="4">
        <v>0.06</v>
      </c>
      <c r="H752" s="4">
        <v>0.07</v>
      </c>
      <c r="K752" s="6" t="b">
        <f t="shared" ref="K752:M752" si="732">FALSE()</f>
        <v>0</v>
      </c>
      <c r="L752" s="6" t="b">
        <f t="shared" si="732"/>
        <v>0</v>
      </c>
      <c r="M752" s="6" t="b">
        <f t="shared" si="732"/>
        <v>0</v>
      </c>
      <c r="O752" s="4">
        <v>0.625938430866495</v>
      </c>
      <c r="T752" s="4" t="str">
        <f t="shared" si="3"/>
        <v/>
      </c>
      <c r="U752" s="4" t="str">
        <f t="shared" si="4"/>
        <v/>
      </c>
    </row>
    <row r="753" ht="15.75" customHeight="1">
      <c r="A753" s="4" t="s">
        <v>2178</v>
      </c>
      <c r="B753" s="4" t="s">
        <v>13</v>
      </c>
      <c r="D753" s="4">
        <v>0.0021</v>
      </c>
      <c r="E753" s="4">
        <v>0.0021</v>
      </c>
      <c r="F753" s="4">
        <v>0.0181</v>
      </c>
      <c r="G753" s="4">
        <v>0.0021</v>
      </c>
      <c r="H753" s="4">
        <v>0.0021</v>
      </c>
      <c r="K753" s="6" t="b">
        <f t="shared" ref="K753:M753" si="733">FALSE()</f>
        <v>0</v>
      </c>
      <c r="L753" s="6" t="b">
        <f t="shared" si="733"/>
        <v>0</v>
      </c>
      <c r="M753" s="6" t="b">
        <f t="shared" si="733"/>
        <v>0</v>
      </c>
      <c r="O753" s="4">
        <v>0.0179381451310129</v>
      </c>
      <c r="T753" s="4" t="str">
        <f t="shared" si="3"/>
        <v/>
      </c>
      <c r="U753" s="4" t="str">
        <f t="shared" si="4"/>
        <v/>
      </c>
    </row>
    <row r="754" ht="15.75" customHeight="1">
      <c r="A754" s="4" t="s">
        <v>2179</v>
      </c>
      <c r="B754" s="4" t="s">
        <v>13</v>
      </c>
      <c r="D754" s="4">
        <v>0.0031</v>
      </c>
      <c r="E754" s="4">
        <v>0.0031</v>
      </c>
      <c r="F754" s="4">
        <v>0.0289</v>
      </c>
      <c r="G754" s="4">
        <v>0.0031</v>
      </c>
      <c r="H754" s="4">
        <v>0.0031</v>
      </c>
      <c r="K754" s="6" t="b">
        <f t="shared" ref="K754:M754" si="734">FALSE()</f>
        <v>0</v>
      </c>
      <c r="L754" s="6" t="b">
        <f t="shared" si="734"/>
        <v>0</v>
      </c>
      <c r="M754" s="6" t="b">
        <f t="shared" si="734"/>
        <v>0</v>
      </c>
      <c r="O754" s="4">
        <v>0.0284902703996274</v>
      </c>
      <c r="T754" s="4" t="str">
        <f t="shared" si="3"/>
        <v/>
      </c>
      <c r="U754" s="4" t="str">
        <f t="shared" si="4"/>
        <v/>
      </c>
    </row>
    <row r="755" ht="15.75" customHeight="1">
      <c r="A755" s="4" t="s">
        <v>2180</v>
      </c>
      <c r="B755" s="4" t="s">
        <v>13</v>
      </c>
      <c r="D755" s="4">
        <v>0.03</v>
      </c>
      <c r="E755" s="4">
        <v>0.03</v>
      </c>
      <c r="F755" s="4">
        <v>1.49</v>
      </c>
      <c r="G755" s="4">
        <v>0.03</v>
      </c>
      <c r="H755" s="4">
        <v>0.03</v>
      </c>
      <c r="K755" s="6" t="b">
        <f t="shared" ref="K755:M755" si="735">FALSE()</f>
        <v>0</v>
      </c>
      <c r="L755" s="6" t="b">
        <f t="shared" si="735"/>
        <v>0</v>
      </c>
      <c r="M755" s="6" t="b">
        <f t="shared" si="735"/>
        <v>0</v>
      </c>
      <c r="O755" s="4">
        <v>0.912282710476616</v>
      </c>
      <c r="T755" s="4" t="str">
        <f t="shared" si="3"/>
        <v/>
      </c>
      <c r="U755" s="4" t="str">
        <f t="shared" si="4"/>
        <v/>
      </c>
    </row>
    <row r="756" ht="15.75" customHeight="1">
      <c r="A756" s="4" t="s">
        <v>2181</v>
      </c>
      <c r="B756" s="4" t="s">
        <v>13</v>
      </c>
      <c r="D756" s="4">
        <v>0.03</v>
      </c>
      <c r="E756" s="4">
        <v>0.03</v>
      </c>
      <c r="F756" s="4">
        <v>0.15</v>
      </c>
      <c r="G756" s="4">
        <v>0.03</v>
      </c>
      <c r="H756" s="4">
        <v>0.03</v>
      </c>
      <c r="K756" s="6" t="b">
        <f t="shared" ref="K756:M756" si="736">FALSE()</f>
        <v>0</v>
      </c>
      <c r="L756" s="6" t="b">
        <f t="shared" si="736"/>
        <v>0</v>
      </c>
      <c r="M756" s="6" t="b">
        <f t="shared" si="736"/>
        <v>0</v>
      </c>
      <c r="O756" s="4">
        <v>0.139761942375159</v>
      </c>
      <c r="T756" s="4" t="str">
        <f t="shared" si="3"/>
        <v/>
      </c>
      <c r="U756" s="4" t="str">
        <f t="shared" si="4"/>
        <v/>
      </c>
    </row>
    <row r="757" ht="15.75" customHeight="1">
      <c r="A757" s="4" t="s">
        <v>2182</v>
      </c>
      <c r="B757" s="4" t="s">
        <v>13</v>
      </c>
      <c r="D757" s="4">
        <v>0.059</v>
      </c>
      <c r="E757" s="4">
        <v>0.059</v>
      </c>
      <c r="F757" s="4">
        <v>6.292</v>
      </c>
      <c r="G757" s="4">
        <v>0.059</v>
      </c>
      <c r="H757" s="4">
        <v>0.059</v>
      </c>
      <c r="K757" s="6" t="b">
        <f t="shared" ref="K757:K762" si="737">FALSE()</f>
        <v>0</v>
      </c>
      <c r="L757" s="6" t="b">
        <f>TRUE()</f>
        <v>1</v>
      </c>
      <c r="M757" s="6" t="b">
        <f>FALSE()</f>
        <v>0</v>
      </c>
      <c r="O757" s="4">
        <v>1.98677785681642</v>
      </c>
      <c r="T757" s="4" t="str">
        <f t="shared" si="3"/>
        <v/>
      </c>
      <c r="U757" s="4" t="str">
        <f t="shared" si="4"/>
        <v/>
      </c>
    </row>
    <row r="758" ht="15.75" customHeight="1">
      <c r="A758" s="4" t="s">
        <v>2183</v>
      </c>
      <c r="B758" s="4" t="s">
        <v>13</v>
      </c>
      <c r="D758" s="4">
        <v>0.012</v>
      </c>
      <c r="E758" s="4">
        <v>0.012</v>
      </c>
      <c r="F758" s="4">
        <v>0.076</v>
      </c>
      <c r="G758" s="4">
        <v>0.012</v>
      </c>
      <c r="H758" s="4">
        <v>0.012</v>
      </c>
      <c r="K758" s="6" t="b">
        <f t="shared" si="737"/>
        <v>0</v>
      </c>
      <c r="L758" s="6" t="b">
        <f t="shared" ref="L758:M758" si="738">FALSE()</f>
        <v>0</v>
      </c>
      <c r="M758" s="6" t="b">
        <f t="shared" si="738"/>
        <v>0</v>
      </c>
      <c r="O758" s="4">
        <v>0.0732504617395926</v>
      </c>
      <c r="T758" s="4" t="str">
        <f t="shared" si="3"/>
        <v/>
      </c>
      <c r="U758" s="4" t="str">
        <f t="shared" si="4"/>
        <v/>
      </c>
    </row>
    <row r="759" ht="15.75" customHeight="1">
      <c r="A759" s="4" t="s">
        <v>2184</v>
      </c>
      <c r="B759" s="4" t="s">
        <v>13</v>
      </c>
      <c r="F759" s="4">
        <v>0.92</v>
      </c>
      <c r="I759" s="4">
        <v>1.05</v>
      </c>
      <c r="K759" s="6" t="b">
        <f t="shared" si="737"/>
        <v>0</v>
      </c>
      <c r="L759" s="6" t="b">
        <f t="shared" ref="L759:L762" si="739">FALSE()</f>
        <v>0</v>
      </c>
      <c r="M759" s="6" t="b">
        <f t="shared" ref="M759:M762" si="740">TRUE()</f>
        <v>1</v>
      </c>
      <c r="O759" s="4">
        <v>0.65232518603969</v>
      </c>
      <c r="P759" s="4">
        <v>0.717839793150317</v>
      </c>
      <c r="T759" s="4" t="str">
        <f t="shared" si="3"/>
        <v/>
      </c>
      <c r="U759" s="4">
        <f t="shared" si="4"/>
        <v>604</v>
      </c>
    </row>
    <row r="760" ht="15.75" customHeight="1">
      <c r="A760" s="4" t="s">
        <v>2185</v>
      </c>
      <c r="B760" s="4" t="s">
        <v>13</v>
      </c>
      <c r="D760" s="4">
        <v>0.063</v>
      </c>
      <c r="E760" s="4">
        <v>0.063</v>
      </c>
      <c r="F760" s="4">
        <v>2.194</v>
      </c>
      <c r="G760" s="4">
        <v>0.063</v>
      </c>
      <c r="H760" s="4">
        <v>0.063</v>
      </c>
      <c r="I760" s="4">
        <v>1.203</v>
      </c>
      <c r="K760" s="6" t="b">
        <f t="shared" si="737"/>
        <v>0</v>
      </c>
      <c r="L760" s="6" t="b">
        <f t="shared" si="739"/>
        <v>0</v>
      </c>
      <c r="M760" s="6" t="b">
        <f t="shared" si="740"/>
        <v>1</v>
      </c>
      <c r="O760" s="4">
        <v>1.16127404979282</v>
      </c>
      <c r="P760" s="4">
        <v>0.789820067820206</v>
      </c>
      <c r="T760" s="4" t="str">
        <f t="shared" si="3"/>
        <v/>
      </c>
      <c r="U760" s="4">
        <f t="shared" si="4"/>
        <v>376</v>
      </c>
    </row>
    <row r="761" ht="15.75" customHeight="1">
      <c r="A761" s="4" t="s">
        <v>2186</v>
      </c>
      <c r="B761" s="4" t="s">
        <v>13</v>
      </c>
      <c r="D761" s="4">
        <v>0.23</v>
      </c>
      <c r="E761" s="4">
        <v>0.23</v>
      </c>
      <c r="F761" s="4">
        <v>3.18</v>
      </c>
      <c r="G761" s="4">
        <v>0.23</v>
      </c>
      <c r="H761" s="4">
        <v>0.23</v>
      </c>
      <c r="I761" s="4">
        <v>1.17</v>
      </c>
      <c r="K761" s="6" t="b">
        <f t="shared" si="737"/>
        <v>0</v>
      </c>
      <c r="L761" s="6" t="b">
        <f t="shared" si="739"/>
        <v>0</v>
      </c>
      <c r="M761" s="6" t="b">
        <f t="shared" si="740"/>
        <v>1</v>
      </c>
      <c r="O761" s="4">
        <v>1.43031124653667</v>
      </c>
      <c r="P761" s="4">
        <v>0.774727167552368</v>
      </c>
      <c r="T761" s="4" t="str">
        <f t="shared" si="3"/>
        <v/>
      </c>
      <c r="U761" s="4">
        <f t="shared" si="4"/>
        <v>425</v>
      </c>
    </row>
    <row r="762" ht="15.75" customHeight="1">
      <c r="A762" s="4" t="s">
        <v>2187</v>
      </c>
      <c r="B762" s="4" t="s">
        <v>13</v>
      </c>
      <c r="D762" s="4">
        <v>0.41</v>
      </c>
      <c r="E762" s="4">
        <v>0.41</v>
      </c>
      <c r="F762" s="4">
        <v>1.685</v>
      </c>
      <c r="G762" s="4">
        <v>0.41</v>
      </c>
      <c r="H762" s="4">
        <v>0.41</v>
      </c>
      <c r="I762" s="4">
        <v>1.221</v>
      </c>
      <c r="K762" s="6" t="b">
        <f t="shared" si="737"/>
        <v>0</v>
      </c>
      <c r="L762" s="6" t="b">
        <f t="shared" si="739"/>
        <v>0</v>
      </c>
      <c r="M762" s="6" t="b">
        <f t="shared" si="740"/>
        <v>1</v>
      </c>
      <c r="O762" s="4">
        <v>0.987680727960828</v>
      </c>
      <c r="P762" s="4">
        <v>0.79795754491229</v>
      </c>
      <c r="T762" s="4" t="str">
        <f t="shared" si="3"/>
        <v/>
      </c>
      <c r="U762" s="4">
        <f t="shared" si="4"/>
        <v>349</v>
      </c>
    </row>
    <row r="763" ht="15.75" customHeight="1">
      <c r="A763" s="4" t="s">
        <v>2188</v>
      </c>
      <c r="B763" s="4" t="s">
        <v>13</v>
      </c>
      <c r="C763" s="4">
        <v>9.379</v>
      </c>
      <c r="D763" s="4">
        <v>0.993</v>
      </c>
      <c r="E763" s="4">
        <v>1.01</v>
      </c>
      <c r="F763" s="4">
        <v>8.37</v>
      </c>
      <c r="G763" s="4">
        <v>0.36</v>
      </c>
      <c r="H763" s="4">
        <v>0.36</v>
      </c>
      <c r="K763" s="6" t="b">
        <f t="shared" ref="K763:L763" si="741">TRUE()</f>
        <v>1</v>
      </c>
      <c r="L763" s="6" t="b">
        <f t="shared" si="741"/>
        <v>1</v>
      </c>
      <c r="M763" s="6" t="b">
        <f>FALSE()</f>
        <v>0</v>
      </c>
      <c r="N763" s="4">
        <v>2.33978453398315</v>
      </c>
      <c r="O763" s="4">
        <v>2.23751309625033</v>
      </c>
      <c r="T763" s="4">
        <f t="shared" si="3"/>
        <v>69</v>
      </c>
      <c r="U763" s="4" t="str">
        <f t="shared" si="4"/>
        <v/>
      </c>
    </row>
    <row r="764" ht="15.75" customHeight="1">
      <c r="A764" s="4" t="s">
        <v>2189</v>
      </c>
      <c r="B764" s="4" t="s">
        <v>13</v>
      </c>
      <c r="D764" s="4">
        <v>0.19</v>
      </c>
      <c r="E764" s="4">
        <v>0.19</v>
      </c>
      <c r="F764" s="4">
        <v>2.54</v>
      </c>
      <c r="G764" s="4">
        <v>0.19</v>
      </c>
      <c r="H764" s="4">
        <v>0.19</v>
      </c>
      <c r="I764" s="4">
        <v>1.19</v>
      </c>
      <c r="K764" s="6" t="b">
        <f t="shared" ref="K764:L764" si="742">FALSE()</f>
        <v>0</v>
      </c>
      <c r="L764" s="6" t="b">
        <f t="shared" si="742"/>
        <v>0</v>
      </c>
      <c r="M764" s="6" t="b">
        <f>TRUE()</f>
        <v>1</v>
      </c>
      <c r="O764" s="4">
        <v>1.26412672714568</v>
      </c>
      <c r="P764" s="4">
        <v>0.783901543828409</v>
      </c>
      <c r="T764" s="4" t="str">
        <f t="shared" si="3"/>
        <v/>
      </c>
      <c r="U764" s="4">
        <f t="shared" si="4"/>
        <v>399</v>
      </c>
    </row>
    <row r="765" ht="15.75" customHeight="1">
      <c r="A765" s="4" t="s">
        <v>2190</v>
      </c>
      <c r="B765" s="4" t="s">
        <v>13</v>
      </c>
      <c r="D765" s="4">
        <v>3.0E-4</v>
      </c>
      <c r="E765" s="4">
        <v>3.0E-4</v>
      </c>
      <c r="F765" s="4">
        <v>0.0223</v>
      </c>
      <c r="G765" s="4">
        <v>3.0E-4</v>
      </c>
      <c r="H765" s="4">
        <v>3.0E-4</v>
      </c>
      <c r="K765" s="6" t="b">
        <f t="shared" ref="K765:M765" si="743">FALSE()</f>
        <v>0</v>
      </c>
      <c r="L765" s="6" t="b">
        <f t="shared" si="743"/>
        <v>0</v>
      </c>
      <c r="M765" s="6" t="b">
        <f t="shared" si="743"/>
        <v>0</v>
      </c>
      <c r="O765" s="4">
        <v>0.0220549907808313</v>
      </c>
      <c r="T765" s="4" t="str">
        <f t="shared" si="3"/>
        <v/>
      </c>
      <c r="U765" s="4" t="str">
        <f t="shared" si="4"/>
        <v/>
      </c>
    </row>
    <row r="766" ht="15.75" customHeight="1">
      <c r="A766" s="4" t="s">
        <v>2191</v>
      </c>
      <c r="B766" s="4" t="s">
        <v>13</v>
      </c>
      <c r="D766" s="4">
        <v>0.003</v>
      </c>
      <c r="E766" s="4">
        <v>0.003</v>
      </c>
      <c r="F766" s="4">
        <v>0.674</v>
      </c>
      <c r="G766" s="4">
        <v>0.003</v>
      </c>
      <c r="H766" s="4">
        <v>0.003</v>
      </c>
      <c r="K766" s="6" t="b">
        <f t="shared" ref="K766:M766" si="744">FALSE()</f>
        <v>0</v>
      </c>
      <c r="L766" s="6" t="b">
        <f t="shared" si="744"/>
        <v>0</v>
      </c>
      <c r="M766" s="6" t="b">
        <f t="shared" si="744"/>
        <v>0</v>
      </c>
      <c r="O766" s="4">
        <v>0.515215972067284</v>
      </c>
      <c r="T766" s="4" t="str">
        <f t="shared" si="3"/>
        <v/>
      </c>
      <c r="U766" s="4" t="str">
        <f t="shared" si="4"/>
        <v/>
      </c>
    </row>
    <row r="767" ht="15.75" customHeight="1">
      <c r="A767" s="4" t="s">
        <v>2192</v>
      </c>
      <c r="B767" s="4" t="s">
        <v>13</v>
      </c>
      <c r="D767" s="4">
        <v>0.004</v>
      </c>
      <c r="E767" s="4">
        <v>0.004</v>
      </c>
      <c r="F767" s="4">
        <v>0.612</v>
      </c>
      <c r="G767" s="4">
        <v>0.004</v>
      </c>
      <c r="H767" s="4">
        <v>0.004</v>
      </c>
      <c r="K767" s="6" t="b">
        <f t="shared" ref="K767:M767" si="745">FALSE()</f>
        <v>0</v>
      </c>
      <c r="L767" s="6" t="b">
        <f t="shared" si="745"/>
        <v>0</v>
      </c>
      <c r="M767" s="6" t="b">
        <f t="shared" si="745"/>
        <v>0</v>
      </c>
      <c r="O767" s="4">
        <v>0.477475644084437</v>
      </c>
      <c r="T767" s="4" t="str">
        <f t="shared" si="3"/>
        <v/>
      </c>
      <c r="U767" s="4" t="str">
        <f t="shared" si="4"/>
        <v/>
      </c>
    </row>
    <row r="768" ht="15.75" customHeight="1">
      <c r="A768" s="4" t="s">
        <v>2193</v>
      </c>
      <c r="B768" s="4" t="s">
        <v>13</v>
      </c>
      <c r="D768" s="4">
        <v>0.007</v>
      </c>
      <c r="E768" s="4">
        <v>0.005</v>
      </c>
      <c r="F768" s="4">
        <v>0.034</v>
      </c>
      <c r="G768" s="4">
        <v>0.007</v>
      </c>
      <c r="H768" s="4">
        <v>0.005</v>
      </c>
      <c r="K768" s="6" t="b">
        <f t="shared" ref="K768:M768" si="746">FALSE()</f>
        <v>0</v>
      </c>
      <c r="L768" s="6" t="b">
        <f t="shared" si="746"/>
        <v>0</v>
      </c>
      <c r="M768" s="6" t="b">
        <f t="shared" si="746"/>
        <v>0</v>
      </c>
      <c r="O768" s="4">
        <v>0.0334347760862373</v>
      </c>
      <c r="T768" s="4" t="str">
        <f t="shared" si="3"/>
        <v/>
      </c>
      <c r="U768" s="4" t="str">
        <f t="shared" si="4"/>
        <v/>
      </c>
    </row>
    <row r="769" ht="15.75" customHeight="1">
      <c r="A769" s="4" t="s">
        <v>2194</v>
      </c>
      <c r="B769" s="4" t="s">
        <v>13</v>
      </c>
      <c r="C769" s="4">
        <v>9.998</v>
      </c>
      <c r="D769" s="4">
        <v>1.871</v>
      </c>
      <c r="E769" s="4">
        <v>1.961</v>
      </c>
      <c r="K769" s="6" t="b">
        <f t="shared" ref="K769:K770" si="748">TRUE()</f>
        <v>1</v>
      </c>
      <c r="L769" s="6" t="b">
        <f t="shared" ref="L769:M769" si="747">FALSE()</f>
        <v>0</v>
      </c>
      <c r="M769" s="6" t="b">
        <f t="shared" si="747"/>
        <v>0</v>
      </c>
      <c r="N769" s="4">
        <v>2.39771343808562</v>
      </c>
      <c r="T769" s="4">
        <f t="shared" si="3"/>
        <v>60</v>
      </c>
      <c r="U769" s="4" t="str">
        <f t="shared" si="4"/>
        <v/>
      </c>
    </row>
    <row r="770" ht="15.75" customHeight="1">
      <c r="A770" s="4" t="s">
        <v>2195</v>
      </c>
      <c r="B770" s="4" t="s">
        <v>13</v>
      </c>
      <c r="C770" s="4">
        <v>12.12</v>
      </c>
      <c r="D770" s="4">
        <v>5.88</v>
      </c>
      <c r="F770" s="4">
        <v>0.37</v>
      </c>
      <c r="K770" s="6" t="b">
        <f t="shared" si="748"/>
        <v>1</v>
      </c>
      <c r="L770" s="6" t="b">
        <f t="shared" ref="L770:M770" si="749">FALSE()</f>
        <v>0</v>
      </c>
      <c r="M770" s="6" t="b">
        <f t="shared" si="749"/>
        <v>0</v>
      </c>
      <c r="N770" s="4">
        <v>2.57413778351594</v>
      </c>
      <c r="O770" s="4">
        <v>0.314810739840034</v>
      </c>
      <c r="T770" s="4">
        <f t="shared" si="3"/>
        <v>13</v>
      </c>
      <c r="U770" s="4" t="str">
        <f t="shared" si="4"/>
        <v/>
      </c>
    </row>
    <row r="771" ht="15.75" customHeight="1">
      <c r="A771" s="4" t="s">
        <v>2196</v>
      </c>
      <c r="B771" s="4" t="s">
        <v>13</v>
      </c>
      <c r="D771" s="4">
        <v>0.3</v>
      </c>
      <c r="E771" s="4">
        <v>0.3</v>
      </c>
      <c r="F771" s="4">
        <v>3.67</v>
      </c>
      <c r="G771" s="4">
        <v>0.3</v>
      </c>
      <c r="H771" s="4">
        <v>0.3</v>
      </c>
      <c r="K771" s="6" t="b">
        <f t="shared" ref="K771:M771" si="750">FALSE()</f>
        <v>0</v>
      </c>
      <c r="L771" s="6" t="b">
        <f t="shared" si="750"/>
        <v>0</v>
      </c>
      <c r="M771" s="6" t="b">
        <f t="shared" si="750"/>
        <v>0</v>
      </c>
      <c r="O771" s="4">
        <v>1.54115907168081</v>
      </c>
      <c r="T771" s="4" t="str">
        <f t="shared" si="3"/>
        <v/>
      </c>
      <c r="U771" s="4" t="str">
        <f t="shared" si="4"/>
        <v/>
      </c>
    </row>
    <row r="772" ht="15.75" customHeight="1">
      <c r="A772" s="4" t="s">
        <v>2197</v>
      </c>
      <c r="B772" s="4" t="s">
        <v>13</v>
      </c>
      <c r="D772" s="4">
        <v>0.59</v>
      </c>
      <c r="E772" s="4">
        <v>0.59</v>
      </c>
      <c r="F772" s="4">
        <v>3.82</v>
      </c>
      <c r="G772" s="4">
        <v>0.59</v>
      </c>
      <c r="H772" s="4">
        <v>0.59</v>
      </c>
      <c r="K772" s="6" t="b">
        <f t="shared" ref="K772:M772" si="751">FALSE()</f>
        <v>0</v>
      </c>
      <c r="L772" s="6" t="b">
        <f t="shared" si="751"/>
        <v>0</v>
      </c>
      <c r="M772" s="6" t="b">
        <f t="shared" si="751"/>
        <v>0</v>
      </c>
      <c r="O772" s="4">
        <v>1.57277392806251</v>
      </c>
      <c r="T772" s="4" t="str">
        <f t="shared" si="3"/>
        <v/>
      </c>
      <c r="U772" s="4" t="str">
        <f t="shared" si="4"/>
        <v/>
      </c>
    </row>
    <row r="773" ht="15.75" customHeight="1">
      <c r="A773" s="4" t="s">
        <v>406</v>
      </c>
      <c r="B773" s="4" t="s">
        <v>13</v>
      </c>
      <c r="C773" s="4">
        <v>0.0302</v>
      </c>
      <c r="D773" s="4">
        <v>0.132</v>
      </c>
      <c r="E773" s="4">
        <v>0.0142</v>
      </c>
      <c r="I773" s="4">
        <v>0.3149</v>
      </c>
      <c r="J773" s="4">
        <v>0.0098</v>
      </c>
      <c r="K773" s="6" t="b">
        <f t="shared" ref="K773:M773" si="752">FALSE()</f>
        <v>0</v>
      </c>
      <c r="L773" s="6" t="b">
        <f t="shared" si="752"/>
        <v>0</v>
      </c>
      <c r="M773" s="6" t="b">
        <f t="shared" si="752"/>
        <v>0</v>
      </c>
      <c r="N773" s="4">
        <v>0.0297529581493477</v>
      </c>
      <c r="P773" s="4">
        <v>0.273760617110736</v>
      </c>
      <c r="T773" s="4">
        <f t="shared" si="3"/>
        <v>1549</v>
      </c>
      <c r="U773" s="4">
        <f t="shared" si="4"/>
        <v>1322</v>
      </c>
    </row>
    <row r="774" ht="15.75" customHeight="1">
      <c r="A774" s="4" t="s">
        <v>2198</v>
      </c>
      <c r="B774" s="4" t="s">
        <v>13</v>
      </c>
      <c r="D774" s="4">
        <v>0.07</v>
      </c>
      <c r="E774" s="4">
        <v>0.07</v>
      </c>
      <c r="F774" s="4">
        <v>0.3</v>
      </c>
      <c r="G774" s="4">
        <v>0.07</v>
      </c>
      <c r="H774" s="4">
        <v>0.07</v>
      </c>
      <c r="K774" s="6" t="b">
        <f t="shared" ref="K774:M774" si="753">FALSE()</f>
        <v>0</v>
      </c>
      <c r="L774" s="6" t="b">
        <f t="shared" si="753"/>
        <v>0</v>
      </c>
      <c r="M774" s="6" t="b">
        <f t="shared" si="753"/>
        <v>0</v>
      </c>
      <c r="O774" s="4">
        <v>0.262364264467491</v>
      </c>
      <c r="T774" s="4" t="str">
        <f t="shared" si="3"/>
        <v/>
      </c>
      <c r="U774" s="4" t="str">
        <f t="shared" si="4"/>
        <v/>
      </c>
    </row>
    <row r="775" ht="15.75" customHeight="1">
      <c r="A775" s="4" t="s">
        <v>2199</v>
      </c>
      <c r="B775" s="4" t="s">
        <v>13</v>
      </c>
      <c r="D775" s="4">
        <v>0.1</v>
      </c>
      <c r="E775" s="4">
        <v>0.1</v>
      </c>
      <c r="F775" s="4">
        <v>0.28</v>
      </c>
      <c r="G775" s="4">
        <v>0.1</v>
      </c>
      <c r="H775" s="4">
        <v>0.1</v>
      </c>
      <c r="K775" s="6" t="b">
        <f t="shared" ref="K775:M775" si="754">FALSE()</f>
        <v>0</v>
      </c>
      <c r="L775" s="6" t="b">
        <f t="shared" si="754"/>
        <v>0</v>
      </c>
      <c r="M775" s="6" t="b">
        <f t="shared" si="754"/>
        <v>0</v>
      </c>
      <c r="O775" s="4">
        <v>0.246860077931526</v>
      </c>
      <c r="T775" s="4" t="str">
        <f t="shared" si="3"/>
        <v/>
      </c>
      <c r="U775" s="4" t="str">
        <f t="shared" si="4"/>
        <v/>
      </c>
    </row>
    <row r="776" ht="15.75" customHeight="1">
      <c r="A776" s="4" t="s">
        <v>2200</v>
      </c>
      <c r="B776" s="4" t="s">
        <v>13</v>
      </c>
      <c r="D776" s="4">
        <v>0.08</v>
      </c>
      <c r="E776" s="4">
        <v>0.08</v>
      </c>
      <c r="F776" s="4">
        <v>0.46</v>
      </c>
      <c r="G776" s="4">
        <v>0.08</v>
      </c>
      <c r="H776" s="4">
        <v>0.08</v>
      </c>
      <c r="K776" s="6" t="b">
        <f t="shared" ref="K776:M776" si="755">FALSE()</f>
        <v>0</v>
      </c>
      <c r="L776" s="6" t="b">
        <f t="shared" si="755"/>
        <v>0</v>
      </c>
      <c r="M776" s="6" t="b">
        <f t="shared" si="755"/>
        <v>0</v>
      </c>
      <c r="O776" s="4">
        <v>0.378436435720245</v>
      </c>
      <c r="T776" s="4" t="str">
        <f t="shared" si="3"/>
        <v/>
      </c>
      <c r="U776" s="4" t="str">
        <f t="shared" si="4"/>
        <v/>
      </c>
    </row>
    <row r="777" ht="15.75" customHeight="1">
      <c r="A777" s="4" t="s">
        <v>2201</v>
      </c>
      <c r="B777" s="4" t="s">
        <v>13</v>
      </c>
      <c r="F777" s="4">
        <v>0.94</v>
      </c>
      <c r="K777" s="6" t="b">
        <f t="shared" ref="K777:M777" si="756">FALSE()</f>
        <v>0</v>
      </c>
      <c r="L777" s="6" t="b">
        <f t="shared" si="756"/>
        <v>0</v>
      </c>
      <c r="M777" s="6" t="b">
        <f t="shared" si="756"/>
        <v>0</v>
      </c>
      <c r="O777" s="4">
        <v>0.662687973075237</v>
      </c>
      <c r="T777" s="4" t="str">
        <f t="shared" si="3"/>
        <v/>
      </c>
      <c r="U777" s="4" t="str">
        <f t="shared" si="4"/>
        <v/>
      </c>
    </row>
    <row r="778" ht="15.75" customHeight="1">
      <c r="A778" s="4" t="s">
        <v>2202</v>
      </c>
      <c r="B778" s="4" t="s">
        <v>13</v>
      </c>
      <c r="C778" s="4">
        <v>1.3</v>
      </c>
      <c r="D778" s="4">
        <v>0.1</v>
      </c>
      <c r="E778" s="4">
        <v>0.3</v>
      </c>
      <c r="K778" s="6" t="b">
        <f t="shared" ref="K778:M778" si="757">FALSE()</f>
        <v>0</v>
      </c>
      <c r="L778" s="6" t="b">
        <f t="shared" si="757"/>
        <v>0</v>
      </c>
      <c r="M778" s="6" t="b">
        <f t="shared" si="757"/>
        <v>0</v>
      </c>
      <c r="N778" s="4">
        <v>0.832909122935104</v>
      </c>
      <c r="T778" s="4">
        <f t="shared" si="3"/>
        <v>559</v>
      </c>
      <c r="U778" s="4" t="str">
        <f t="shared" si="4"/>
        <v/>
      </c>
    </row>
    <row r="779" ht="15.75" customHeight="1">
      <c r="A779" s="4" t="s">
        <v>2203</v>
      </c>
      <c r="B779" s="4" t="s">
        <v>13</v>
      </c>
      <c r="F779" s="4">
        <v>0.75</v>
      </c>
      <c r="K779" s="6" t="b">
        <f t="shared" ref="K779:M779" si="758">FALSE()</f>
        <v>0</v>
      </c>
      <c r="L779" s="6" t="b">
        <f t="shared" si="758"/>
        <v>0</v>
      </c>
      <c r="M779" s="6" t="b">
        <f t="shared" si="758"/>
        <v>0</v>
      </c>
      <c r="O779" s="4">
        <v>0.559615787935423</v>
      </c>
      <c r="T779" s="4" t="str">
        <f t="shared" si="3"/>
        <v/>
      </c>
      <c r="U779" s="4" t="str">
        <f t="shared" si="4"/>
        <v/>
      </c>
    </row>
    <row r="780" ht="15.75" customHeight="1">
      <c r="A780" s="4" t="s">
        <v>2204</v>
      </c>
      <c r="B780" s="4" t="s">
        <v>13</v>
      </c>
      <c r="C780" s="4">
        <v>1.4</v>
      </c>
      <c r="D780" s="4">
        <v>0.3</v>
      </c>
      <c r="E780" s="4">
        <v>0.5</v>
      </c>
      <c r="F780" s="4">
        <v>0.52</v>
      </c>
      <c r="G780" s="4">
        <v>0.04</v>
      </c>
      <c r="H780" s="4">
        <v>0.04</v>
      </c>
      <c r="K780" s="6" t="b">
        <f t="shared" ref="K780:M780" si="759">FALSE()</f>
        <v>0</v>
      </c>
      <c r="L780" s="6" t="b">
        <f t="shared" si="759"/>
        <v>0</v>
      </c>
      <c r="M780" s="6" t="b">
        <f t="shared" si="759"/>
        <v>0</v>
      </c>
      <c r="N780" s="4">
        <v>0.8754687373539</v>
      </c>
      <c r="O780" s="4">
        <v>0.418710334858185</v>
      </c>
      <c r="T780" s="4">
        <f t="shared" si="3"/>
        <v>537</v>
      </c>
      <c r="U780" s="4" t="str">
        <f t="shared" si="4"/>
        <v/>
      </c>
    </row>
    <row r="781" ht="15.75" customHeight="1">
      <c r="A781" s="4" t="s">
        <v>2205</v>
      </c>
      <c r="B781" s="4" t="s">
        <v>13</v>
      </c>
      <c r="D781" s="4">
        <v>0.25</v>
      </c>
      <c r="E781" s="4">
        <v>0.25</v>
      </c>
      <c r="F781" s="4">
        <v>1.99</v>
      </c>
      <c r="G781" s="4">
        <v>0.25</v>
      </c>
      <c r="H781" s="4">
        <v>0.25</v>
      </c>
      <c r="K781" s="6" t="b">
        <f t="shared" ref="K781:M781" si="760">FALSE()</f>
        <v>0</v>
      </c>
      <c r="L781" s="6" t="b">
        <f t="shared" si="760"/>
        <v>0</v>
      </c>
      <c r="M781" s="6" t="b">
        <f t="shared" si="760"/>
        <v>0</v>
      </c>
      <c r="O781" s="4">
        <v>1.0952733874026</v>
      </c>
      <c r="T781" s="4" t="str">
        <f t="shared" si="3"/>
        <v/>
      </c>
      <c r="U781" s="4" t="str">
        <f t="shared" si="4"/>
        <v/>
      </c>
    </row>
    <row r="782" ht="15.75" customHeight="1">
      <c r="A782" s="4" t="s">
        <v>2206</v>
      </c>
      <c r="B782" s="4" t="s">
        <v>13</v>
      </c>
      <c r="D782" s="4">
        <v>1.2</v>
      </c>
      <c r="E782" s="4">
        <v>1.2</v>
      </c>
      <c r="F782" s="4">
        <v>3.4</v>
      </c>
      <c r="G782" s="4">
        <v>1.2</v>
      </c>
      <c r="H782" s="4">
        <v>1.2</v>
      </c>
      <c r="I782" s="4">
        <v>1.166</v>
      </c>
      <c r="K782" s="6" t="b">
        <f t="shared" ref="K782:L782" si="761">FALSE()</f>
        <v>0</v>
      </c>
      <c r="L782" s="6" t="b">
        <f t="shared" si="761"/>
        <v>0</v>
      </c>
      <c r="M782" s="6" t="b">
        <f>TRUE()</f>
        <v>1</v>
      </c>
      <c r="O782" s="4">
        <v>1.48160454092422</v>
      </c>
      <c r="P782" s="4">
        <v>0.772882148578799</v>
      </c>
      <c r="T782" s="4" t="str">
        <f t="shared" si="3"/>
        <v/>
      </c>
      <c r="U782" s="4">
        <f t="shared" si="4"/>
        <v>434</v>
      </c>
    </row>
    <row r="783" ht="15.75" customHeight="1">
      <c r="A783" s="4" t="s">
        <v>2207</v>
      </c>
      <c r="B783" s="4" t="s">
        <v>13</v>
      </c>
      <c r="F783" s="4">
        <v>1.26</v>
      </c>
      <c r="K783" s="6" t="b">
        <f t="shared" ref="K783:M783" si="762">FALSE()</f>
        <v>0</v>
      </c>
      <c r="L783" s="6" t="b">
        <f t="shared" si="762"/>
        <v>0</v>
      </c>
      <c r="M783" s="6" t="b">
        <f t="shared" si="762"/>
        <v>0</v>
      </c>
      <c r="O783" s="4">
        <v>0.815364813284195</v>
      </c>
      <c r="T783" s="4" t="str">
        <f t="shared" si="3"/>
        <v/>
      </c>
      <c r="U783" s="4" t="str">
        <f t="shared" si="4"/>
        <v/>
      </c>
    </row>
    <row r="784" ht="15.75" customHeight="1">
      <c r="A784" s="4" t="s">
        <v>2208</v>
      </c>
      <c r="B784" s="4" t="s">
        <v>13</v>
      </c>
      <c r="D784" s="4">
        <v>0.0019</v>
      </c>
      <c r="E784" s="4">
        <v>0.0019</v>
      </c>
      <c r="F784" s="4">
        <v>0.0267</v>
      </c>
      <c r="G784" s="4">
        <v>0.0019</v>
      </c>
      <c r="H784" s="4">
        <v>0.0019</v>
      </c>
      <c r="K784" s="6" t="b">
        <f t="shared" ref="K784:M784" si="763">FALSE()</f>
        <v>0</v>
      </c>
      <c r="L784" s="6" t="b">
        <f t="shared" si="763"/>
        <v>0</v>
      </c>
      <c r="M784" s="6" t="b">
        <f t="shared" si="763"/>
        <v>0</v>
      </c>
      <c r="O784" s="4">
        <v>0.026349775322782</v>
      </c>
      <c r="T784" s="4" t="str">
        <f t="shared" si="3"/>
        <v/>
      </c>
      <c r="U784" s="4" t="str">
        <f t="shared" si="4"/>
        <v/>
      </c>
    </row>
    <row r="785" ht="15.75" customHeight="1">
      <c r="A785" s="4" t="s">
        <v>2209</v>
      </c>
      <c r="B785" s="4" t="s">
        <v>13</v>
      </c>
      <c r="D785" s="4">
        <v>0.0028</v>
      </c>
      <c r="E785" s="4">
        <v>0.0028</v>
      </c>
      <c r="F785" s="4">
        <v>0.022</v>
      </c>
      <c r="G785" s="4">
        <v>0.0028</v>
      </c>
      <c r="H785" s="4">
        <v>0.0028</v>
      </c>
      <c r="K785" s="6" t="b">
        <f t="shared" ref="K785:M785" si="764">FALSE()</f>
        <v>0</v>
      </c>
      <c r="L785" s="6" t="b">
        <f t="shared" si="764"/>
        <v>0</v>
      </c>
      <c r="M785" s="6" t="b">
        <f t="shared" si="764"/>
        <v>0</v>
      </c>
      <c r="O785" s="4">
        <v>0.0217614917815126</v>
      </c>
      <c r="T785" s="4" t="str">
        <f t="shared" si="3"/>
        <v/>
      </c>
      <c r="U785" s="4" t="str">
        <f t="shared" si="4"/>
        <v/>
      </c>
    </row>
    <row r="786" ht="15.75" customHeight="1">
      <c r="A786" s="4" t="s">
        <v>407</v>
      </c>
      <c r="B786" s="4" t="s">
        <v>13</v>
      </c>
      <c r="C786" s="4">
        <v>1.138</v>
      </c>
      <c r="D786" s="4">
        <v>0.025</v>
      </c>
      <c r="E786" s="4">
        <v>0.025</v>
      </c>
      <c r="F786" s="4">
        <v>1.15</v>
      </c>
      <c r="I786" s="4">
        <v>1.138</v>
      </c>
      <c r="J786" s="4">
        <v>0.077</v>
      </c>
      <c r="K786" s="6" t="b">
        <f t="shared" ref="K786:L786" si="765">FALSE()</f>
        <v>0</v>
      </c>
      <c r="L786" s="6" t="b">
        <f t="shared" si="765"/>
        <v>0</v>
      </c>
      <c r="M786" s="6" t="b">
        <f>TRUE()</f>
        <v>1</v>
      </c>
      <c r="N786" s="4">
        <v>0.759870812602853</v>
      </c>
      <c r="O786" s="4">
        <v>0.765467842139571</v>
      </c>
      <c r="P786" s="4">
        <v>0.759870812602853</v>
      </c>
      <c r="Q786" s="4">
        <v>0.0709356017405926</v>
      </c>
      <c r="R786" s="4">
        <v>0.0771366152931388</v>
      </c>
      <c r="S786" s="4">
        <v>0.585113785759389</v>
      </c>
      <c r="T786" s="4">
        <f t="shared" si="3"/>
        <v>613</v>
      </c>
      <c r="U786" s="4">
        <f t="shared" si="4"/>
        <v>462</v>
      </c>
    </row>
    <row r="787" ht="15.75" customHeight="1">
      <c r="A787" s="4" t="s">
        <v>2210</v>
      </c>
      <c r="B787" s="4" t="s">
        <v>13</v>
      </c>
      <c r="D787" s="4">
        <v>0.00522</v>
      </c>
      <c r="E787" s="4">
        <v>0.00522</v>
      </c>
      <c r="F787" s="4">
        <v>0.05179</v>
      </c>
      <c r="G787" s="4">
        <v>0.00522</v>
      </c>
      <c r="H787" s="4">
        <v>0.00522</v>
      </c>
      <c r="K787" s="6" t="b">
        <f t="shared" ref="K787:M787" si="766">FALSE()</f>
        <v>0</v>
      </c>
      <c r="L787" s="6" t="b">
        <f t="shared" si="766"/>
        <v>0</v>
      </c>
      <c r="M787" s="6" t="b">
        <f t="shared" si="766"/>
        <v>0</v>
      </c>
      <c r="O787" s="4">
        <v>0.0504934746169764</v>
      </c>
      <c r="T787" s="4" t="str">
        <f t="shared" si="3"/>
        <v/>
      </c>
      <c r="U787" s="4" t="str">
        <f t="shared" si="4"/>
        <v/>
      </c>
    </row>
    <row r="788" ht="15.75" customHeight="1">
      <c r="A788" s="4" t="s">
        <v>2211</v>
      </c>
      <c r="B788" s="4" t="s">
        <v>13</v>
      </c>
      <c r="C788" s="4">
        <v>6.0</v>
      </c>
      <c r="D788" s="4">
        <v>1.0</v>
      </c>
      <c r="E788" s="4">
        <v>1.2</v>
      </c>
      <c r="F788" s="4">
        <v>5.0</v>
      </c>
      <c r="G788" s="4">
        <v>1.0</v>
      </c>
      <c r="H788" s="4">
        <v>1.0</v>
      </c>
      <c r="K788" s="6" t="b">
        <f>TRUE()</f>
        <v>1</v>
      </c>
      <c r="L788" s="6" t="b">
        <f t="shared" ref="L788:M788" si="767">FALSE()</f>
        <v>0</v>
      </c>
      <c r="M788" s="6" t="b">
        <f t="shared" si="767"/>
        <v>0</v>
      </c>
      <c r="N788" s="4">
        <v>1.94591014905531</v>
      </c>
      <c r="O788" s="4">
        <v>1.79175946922806</v>
      </c>
      <c r="T788" s="4">
        <f t="shared" si="3"/>
        <v>163</v>
      </c>
      <c r="U788" s="4" t="str">
        <f t="shared" si="4"/>
        <v/>
      </c>
    </row>
    <row r="789" ht="15.75" customHeight="1">
      <c r="A789" s="4" t="s">
        <v>408</v>
      </c>
      <c r="B789" s="4" t="s">
        <v>13</v>
      </c>
      <c r="C789" s="4">
        <v>0.0242</v>
      </c>
      <c r="D789" s="4">
        <v>0.003</v>
      </c>
      <c r="E789" s="4">
        <v>0.003</v>
      </c>
      <c r="I789" s="4">
        <v>0.27541</v>
      </c>
      <c r="J789" s="4">
        <v>0.00473</v>
      </c>
      <c r="K789" s="6" t="b">
        <f t="shared" ref="K789:M789" si="768">FALSE()</f>
        <v>0</v>
      </c>
      <c r="L789" s="6" t="b">
        <f t="shared" si="768"/>
        <v>0</v>
      </c>
      <c r="M789" s="6" t="b">
        <f t="shared" si="768"/>
        <v>0</v>
      </c>
      <c r="N789" s="4">
        <v>0.0239118200463128</v>
      </c>
      <c r="P789" s="4">
        <v>0.243267695545731</v>
      </c>
      <c r="T789" s="4">
        <f t="shared" si="3"/>
        <v>1649</v>
      </c>
      <c r="U789" s="4">
        <f t="shared" si="4"/>
        <v>1541</v>
      </c>
    </row>
    <row r="790" ht="15.75" customHeight="1">
      <c r="A790" s="4" t="s">
        <v>2212</v>
      </c>
      <c r="B790" s="4" t="s">
        <v>13</v>
      </c>
      <c r="D790" s="4">
        <v>0.0211</v>
      </c>
      <c r="E790" s="4">
        <v>0.0211</v>
      </c>
      <c r="F790" s="4">
        <v>0.714</v>
      </c>
      <c r="G790" s="4">
        <v>0.0211</v>
      </c>
      <c r="H790" s="4">
        <v>0.0211</v>
      </c>
      <c r="K790" s="6" t="b">
        <f t="shared" ref="K790:M790" si="769">FALSE()</f>
        <v>0</v>
      </c>
      <c r="L790" s="6" t="b">
        <f t="shared" si="769"/>
        <v>0</v>
      </c>
      <c r="M790" s="6" t="b">
        <f t="shared" si="769"/>
        <v>0</v>
      </c>
      <c r="O790" s="4">
        <v>0.538829820175588</v>
      </c>
      <c r="T790" s="4" t="str">
        <f t="shared" si="3"/>
        <v/>
      </c>
      <c r="U790" s="4" t="str">
        <f t="shared" si="4"/>
        <v/>
      </c>
    </row>
    <row r="791" ht="15.75" customHeight="1">
      <c r="A791" s="4" t="s">
        <v>2213</v>
      </c>
      <c r="B791" s="4" t="s">
        <v>13</v>
      </c>
      <c r="D791" s="4">
        <v>0.06</v>
      </c>
      <c r="E791" s="4">
        <v>0.06</v>
      </c>
      <c r="F791" s="4">
        <v>1.9</v>
      </c>
      <c r="G791" s="4">
        <v>0.06</v>
      </c>
      <c r="H791" s="4">
        <v>0.06</v>
      </c>
      <c r="K791" s="6" t="b">
        <f t="shared" ref="K791:M791" si="770">FALSE()</f>
        <v>0</v>
      </c>
      <c r="L791" s="6" t="b">
        <f t="shared" si="770"/>
        <v>0</v>
      </c>
      <c r="M791" s="6" t="b">
        <f t="shared" si="770"/>
        <v>0</v>
      </c>
      <c r="O791" s="4">
        <v>1.06471073699243</v>
      </c>
      <c r="T791" s="4" t="str">
        <f t="shared" si="3"/>
        <v/>
      </c>
      <c r="U791" s="4" t="str">
        <f t="shared" si="4"/>
        <v/>
      </c>
    </row>
    <row r="792" ht="15.75" customHeight="1">
      <c r="A792" s="4" t="s">
        <v>2214</v>
      </c>
      <c r="B792" s="4" t="s">
        <v>13</v>
      </c>
      <c r="F792" s="4">
        <v>3.1</v>
      </c>
      <c r="K792" s="6" t="b">
        <f t="shared" ref="K792:M792" si="771">FALSE()</f>
        <v>0</v>
      </c>
      <c r="L792" s="6" t="b">
        <f t="shared" si="771"/>
        <v>0</v>
      </c>
      <c r="M792" s="6" t="b">
        <f t="shared" si="771"/>
        <v>0</v>
      </c>
      <c r="O792" s="4">
        <v>1.41098697371026</v>
      </c>
      <c r="T792" s="4" t="str">
        <f t="shared" si="3"/>
        <v/>
      </c>
      <c r="U792" s="4" t="str">
        <f t="shared" si="4"/>
        <v/>
      </c>
    </row>
    <row r="793" ht="15.75" customHeight="1">
      <c r="A793" s="4" t="s">
        <v>2215</v>
      </c>
      <c r="B793" s="4" t="s">
        <v>13</v>
      </c>
      <c r="D793" s="4">
        <v>0.63</v>
      </c>
      <c r="E793" s="4">
        <v>0.63</v>
      </c>
      <c r="F793" s="4">
        <v>8.52</v>
      </c>
      <c r="G793" s="4">
        <v>0.63</v>
      </c>
      <c r="H793" s="4">
        <v>0.63</v>
      </c>
      <c r="K793" s="6" t="b">
        <f t="shared" ref="K793:K801" si="772">FALSE()</f>
        <v>0</v>
      </c>
      <c r="L793" s="6" t="b">
        <f>TRUE()</f>
        <v>1</v>
      </c>
      <c r="M793" s="6" t="b">
        <f>FALSE()</f>
        <v>0</v>
      </c>
      <c r="O793" s="4">
        <v>2.25339484880327</v>
      </c>
      <c r="T793" s="4" t="str">
        <f t="shared" si="3"/>
        <v/>
      </c>
      <c r="U793" s="4" t="str">
        <f t="shared" si="4"/>
        <v/>
      </c>
    </row>
    <row r="794" ht="15.75" customHeight="1">
      <c r="A794" s="4" t="s">
        <v>410</v>
      </c>
      <c r="B794" s="4" t="s">
        <v>13</v>
      </c>
      <c r="C794" s="4">
        <v>0.031</v>
      </c>
      <c r="D794" s="4">
        <v>0.0022</v>
      </c>
      <c r="E794" s="4">
        <v>0.0022</v>
      </c>
      <c r="I794" s="4">
        <v>0.303</v>
      </c>
      <c r="J794" s="4">
        <v>0.071</v>
      </c>
      <c r="K794" s="6" t="b">
        <f t="shared" si="772"/>
        <v>0</v>
      </c>
      <c r="L794" s="6" t="b">
        <f t="shared" ref="L794:M794" si="773">FALSE()</f>
        <v>0</v>
      </c>
      <c r="M794" s="6" t="b">
        <f t="shared" si="773"/>
        <v>0</v>
      </c>
      <c r="N794" s="4">
        <v>0.0305292050348228</v>
      </c>
      <c r="P794" s="4">
        <v>0.264669298142708</v>
      </c>
      <c r="T794" s="4">
        <f t="shared" si="3"/>
        <v>1534</v>
      </c>
      <c r="U794" s="4">
        <f t="shared" si="4"/>
        <v>1357</v>
      </c>
    </row>
    <row r="795" ht="15.75" customHeight="1">
      <c r="A795" s="4" t="s">
        <v>411</v>
      </c>
      <c r="B795" s="4" t="s">
        <v>13</v>
      </c>
      <c r="C795" s="4">
        <v>0.0227</v>
      </c>
      <c r="D795" s="4">
        <v>0.0044</v>
      </c>
      <c r="E795" s="4">
        <v>0.0044</v>
      </c>
      <c r="I795" s="4">
        <v>0.2748</v>
      </c>
      <c r="J795" s="4">
        <v>0.062</v>
      </c>
      <c r="K795" s="6" t="b">
        <f t="shared" si="772"/>
        <v>0</v>
      </c>
      <c r="L795" s="6" t="b">
        <f t="shared" ref="L795:M795" si="774">FALSE()</f>
        <v>0</v>
      </c>
      <c r="M795" s="6" t="b">
        <f t="shared" si="774"/>
        <v>0</v>
      </c>
      <c r="N795" s="4">
        <v>0.02244618882983</v>
      </c>
      <c r="P795" s="4">
        <v>0.242789303561044</v>
      </c>
      <c r="T795" s="4">
        <f t="shared" si="3"/>
        <v>1674</v>
      </c>
      <c r="U795" s="4">
        <f t="shared" si="4"/>
        <v>1546</v>
      </c>
    </row>
    <row r="796" ht="15.75" customHeight="1">
      <c r="A796" s="4" t="s">
        <v>412</v>
      </c>
      <c r="B796" s="4" t="s">
        <v>13</v>
      </c>
      <c r="C796" s="4">
        <v>0.0182</v>
      </c>
      <c r="D796" s="4">
        <v>0.0182</v>
      </c>
      <c r="E796" s="4">
        <v>0.0</v>
      </c>
      <c r="I796" s="4">
        <v>0.2712</v>
      </c>
      <c r="J796" s="4">
        <v>0.0062</v>
      </c>
      <c r="K796" s="6" t="b">
        <f t="shared" si="772"/>
        <v>0</v>
      </c>
      <c r="L796" s="6" t="b">
        <f t="shared" ref="L796:M796" si="775">FALSE()</f>
        <v>0</v>
      </c>
      <c r="M796" s="6" t="b">
        <f t="shared" si="775"/>
        <v>0</v>
      </c>
      <c r="N796" s="4">
        <v>0.0180363624860985</v>
      </c>
      <c r="P796" s="4">
        <v>0.239961336240369</v>
      </c>
      <c r="T796" s="4">
        <f t="shared" si="3"/>
        <v>1768</v>
      </c>
      <c r="U796" s="4">
        <f t="shared" si="4"/>
        <v>1575</v>
      </c>
    </row>
    <row r="797" ht="15.75" customHeight="1">
      <c r="A797" s="4" t="s">
        <v>2216</v>
      </c>
      <c r="B797" s="4" t="s">
        <v>13</v>
      </c>
      <c r="D797" s="4">
        <v>0.009</v>
      </c>
      <c r="E797" s="4">
        <v>0.009</v>
      </c>
      <c r="F797" s="4">
        <v>0.34</v>
      </c>
      <c r="G797" s="4">
        <v>0.009</v>
      </c>
      <c r="H797" s="4">
        <v>0.009</v>
      </c>
      <c r="K797" s="6" t="b">
        <f t="shared" si="772"/>
        <v>0</v>
      </c>
      <c r="L797" s="6" t="b">
        <f t="shared" ref="L797:M797" si="776">FALSE()</f>
        <v>0</v>
      </c>
      <c r="M797" s="6" t="b">
        <f t="shared" si="776"/>
        <v>0</v>
      </c>
      <c r="O797" s="4">
        <v>0.29266961396282</v>
      </c>
      <c r="T797" s="4" t="str">
        <f t="shared" si="3"/>
        <v/>
      </c>
      <c r="U797" s="4" t="str">
        <f t="shared" si="4"/>
        <v/>
      </c>
    </row>
    <row r="798" ht="15.75" customHeight="1">
      <c r="A798" s="4" t="s">
        <v>2217</v>
      </c>
      <c r="B798" s="4" t="s">
        <v>13</v>
      </c>
      <c r="D798" s="4">
        <v>4.5</v>
      </c>
      <c r="E798" s="4">
        <v>4.5</v>
      </c>
      <c r="F798" s="4">
        <v>6.5</v>
      </c>
      <c r="G798" s="4">
        <v>4.5</v>
      </c>
      <c r="H798" s="4">
        <v>4.5</v>
      </c>
      <c r="K798" s="6" t="b">
        <f t="shared" si="772"/>
        <v>0</v>
      </c>
      <c r="L798" s="6" t="b">
        <f>TRUE()</f>
        <v>1</v>
      </c>
      <c r="M798" s="6" t="b">
        <f>FALSE()</f>
        <v>0</v>
      </c>
      <c r="O798" s="4">
        <v>2.01490302054227</v>
      </c>
      <c r="T798" s="4" t="str">
        <f t="shared" si="3"/>
        <v/>
      </c>
      <c r="U798" s="4" t="str">
        <f t="shared" si="4"/>
        <v/>
      </c>
    </row>
    <row r="799" ht="15.75" customHeight="1">
      <c r="A799" s="4" t="s">
        <v>2218</v>
      </c>
      <c r="B799" s="4" t="s">
        <v>13</v>
      </c>
      <c r="D799" s="4">
        <v>0.006</v>
      </c>
      <c r="E799" s="4">
        <v>0.006</v>
      </c>
      <c r="F799" s="4">
        <v>0.0488</v>
      </c>
      <c r="G799" s="4">
        <v>0.006</v>
      </c>
      <c r="H799" s="4">
        <v>0.006</v>
      </c>
      <c r="K799" s="6" t="b">
        <f t="shared" si="772"/>
        <v>0</v>
      </c>
      <c r="L799" s="6" t="b">
        <f t="shared" ref="L799:M799" si="777">FALSE()</f>
        <v>0</v>
      </c>
      <c r="M799" s="6" t="b">
        <f t="shared" si="777"/>
        <v>0</v>
      </c>
      <c r="O799" s="4">
        <v>0.047646653467353</v>
      </c>
      <c r="T799" s="4" t="str">
        <f t="shared" si="3"/>
        <v/>
      </c>
      <c r="U799" s="4" t="str">
        <f t="shared" si="4"/>
        <v/>
      </c>
    </row>
    <row r="800" ht="15.75" customHeight="1">
      <c r="A800" s="4" t="s">
        <v>2219</v>
      </c>
      <c r="B800" s="4" t="s">
        <v>13</v>
      </c>
      <c r="D800" s="4">
        <v>0.015</v>
      </c>
      <c r="E800" s="4">
        <v>0.015</v>
      </c>
      <c r="F800" s="4">
        <v>0.733</v>
      </c>
      <c r="G800" s="4">
        <v>0.015</v>
      </c>
      <c r="H800" s="4">
        <v>0.015</v>
      </c>
      <c r="K800" s="6" t="b">
        <f t="shared" si="772"/>
        <v>0</v>
      </c>
      <c r="L800" s="6" t="b">
        <f t="shared" ref="L800:M800" si="778">FALSE()</f>
        <v>0</v>
      </c>
      <c r="M800" s="6" t="b">
        <f t="shared" si="778"/>
        <v>0</v>
      </c>
      <c r="O800" s="4">
        <v>0.549854010733469</v>
      </c>
      <c r="T800" s="4" t="str">
        <f t="shared" si="3"/>
        <v/>
      </c>
      <c r="U800" s="4" t="str">
        <f t="shared" si="4"/>
        <v/>
      </c>
    </row>
    <row r="801" ht="15.75" customHeight="1">
      <c r="A801" s="4" t="s">
        <v>2220</v>
      </c>
      <c r="B801" s="4" t="s">
        <v>13</v>
      </c>
      <c r="D801" s="4">
        <v>0.093</v>
      </c>
      <c r="E801" s="4">
        <v>0.093</v>
      </c>
      <c r="F801" s="4">
        <v>2.096</v>
      </c>
      <c r="G801" s="4">
        <v>0.093</v>
      </c>
      <c r="H801" s="4">
        <v>0.093</v>
      </c>
      <c r="I801" s="4">
        <v>1.206</v>
      </c>
      <c r="K801" s="6" t="b">
        <f t="shared" si="772"/>
        <v>0</v>
      </c>
      <c r="L801" s="6" t="b">
        <f t="shared" ref="L801:L802" si="779">FALSE()</f>
        <v>0</v>
      </c>
      <c r="M801" s="6" t="b">
        <f>TRUE()</f>
        <v>1</v>
      </c>
      <c r="O801" s="4">
        <v>1.13011095572748</v>
      </c>
      <c r="P801" s="4">
        <v>0.791180920831311</v>
      </c>
      <c r="T801" s="4" t="str">
        <f t="shared" si="3"/>
        <v/>
      </c>
      <c r="U801" s="4">
        <f t="shared" si="4"/>
        <v>373</v>
      </c>
    </row>
    <row r="802" ht="15.75" customHeight="1">
      <c r="A802" s="4" t="s">
        <v>2221</v>
      </c>
      <c r="B802" s="4" t="s">
        <v>13</v>
      </c>
      <c r="C802" s="4">
        <v>11.207</v>
      </c>
      <c r="D802" s="4">
        <v>1.329</v>
      </c>
      <c r="E802" s="4">
        <v>1.764</v>
      </c>
      <c r="K802" s="6" t="b">
        <f>TRUE()</f>
        <v>1</v>
      </c>
      <c r="L802" s="6" t="b">
        <f t="shared" si="779"/>
        <v>0</v>
      </c>
      <c r="M802" s="6" t="b">
        <f>FALSE()</f>
        <v>0</v>
      </c>
      <c r="N802" s="4">
        <v>2.50200955768766</v>
      </c>
      <c r="T802" s="4">
        <f t="shared" si="3"/>
        <v>28</v>
      </c>
      <c r="U802" s="4" t="str">
        <f t="shared" si="4"/>
        <v/>
      </c>
    </row>
    <row r="803" ht="15.75" customHeight="1">
      <c r="A803" s="4" t="s">
        <v>2222</v>
      </c>
      <c r="B803" s="4" t="s">
        <v>13</v>
      </c>
      <c r="D803" s="4">
        <v>0.3</v>
      </c>
      <c r="E803" s="4">
        <v>0.3</v>
      </c>
      <c r="F803" s="4">
        <v>3.7</v>
      </c>
      <c r="G803" s="4">
        <v>0.3</v>
      </c>
      <c r="H803" s="4">
        <v>0.3</v>
      </c>
      <c r="K803" s="6" t="b">
        <f t="shared" ref="K803:M803" si="780">FALSE()</f>
        <v>0</v>
      </c>
      <c r="L803" s="6" t="b">
        <f t="shared" si="780"/>
        <v>0</v>
      </c>
      <c r="M803" s="6" t="b">
        <f t="shared" si="780"/>
        <v>0</v>
      </c>
      <c r="O803" s="4">
        <v>1.54756250871601</v>
      </c>
      <c r="T803" s="4" t="str">
        <f t="shared" si="3"/>
        <v/>
      </c>
      <c r="U803" s="4" t="str">
        <f t="shared" si="4"/>
        <v/>
      </c>
    </row>
    <row r="804" ht="15.75" customHeight="1">
      <c r="A804" s="4" t="s">
        <v>2223</v>
      </c>
      <c r="B804" s="4" t="s">
        <v>13</v>
      </c>
      <c r="F804" s="4">
        <v>2.83</v>
      </c>
      <c r="K804" s="6" t="b">
        <f t="shared" ref="K804:M804" si="781">FALSE()</f>
        <v>0</v>
      </c>
      <c r="L804" s="6" t="b">
        <f t="shared" si="781"/>
        <v>0</v>
      </c>
      <c r="M804" s="6" t="b">
        <f t="shared" si="781"/>
        <v>0</v>
      </c>
      <c r="O804" s="4">
        <v>1.34286480319256</v>
      </c>
      <c r="T804" s="4" t="str">
        <f t="shared" si="3"/>
        <v/>
      </c>
      <c r="U804" s="4" t="str">
        <f t="shared" si="4"/>
        <v/>
      </c>
    </row>
    <row r="805" ht="15.75" customHeight="1">
      <c r="A805" s="4" t="s">
        <v>2224</v>
      </c>
      <c r="B805" s="4" t="s">
        <v>13</v>
      </c>
      <c r="C805" s="4">
        <v>8.6</v>
      </c>
      <c r="D805" s="4">
        <v>53.5</v>
      </c>
      <c r="F805" s="4">
        <v>8.5</v>
      </c>
      <c r="G805" s="4">
        <v>0.7</v>
      </c>
      <c r="H805" s="4">
        <v>0.7</v>
      </c>
      <c r="K805" s="6" t="b">
        <f t="shared" ref="K805:L805" si="782">TRUE()</f>
        <v>1</v>
      </c>
      <c r="L805" s="6" t="b">
        <f t="shared" si="782"/>
        <v>1</v>
      </c>
      <c r="M805" s="6" t="b">
        <f>FALSE()</f>
        <v>0</v>
      </c>
      <c r="N805" s="4">
        <v>2.26176309847379</v>
      </c>
      <c r="O805" s="4">
        <v>2.2512917986065</v>
      </c>
      <c r="T805" s="4">
        <f t="shared" si="3"/>
        <v>88</v>
      </c>
      <c r="U805" s="4" t="str">
        <f t="shared" si="4"/>
        <v/>
      </c>
    </row>
    <row r="806" ht="15.75" customHeight="1">
      <c r="A806" s="4" t="s">
        <v>2225</v>
      </c>
      <c r="B806" s="4" t="s">
        <v>13</v>
      </c>
      <c r="C806" s="4">
        <v>2.67</v>
      </c>
      <c r="D806" s="4">
        <v>0.63</v>
      </c>
      <c r="E806" s="4">
        <v>1.4</v>
      </c>
      <c r="F806" s="4">
        <v>2.98</v>
      </c>
      <c r="G806" s="4">
        <v>0.05</v>
      </c>
      <c r="H806" s="4">
        <v>0.05</v>
      </c>
      <c r="K806" s="6" t="b">
        <f t="shared" ref="K806:M806" si="783">FALSE()</f>
        <v>0</v>
      </c>
      <c r="L806" s="6" t="b">
        <f t="shared" si="783"/>
        <v>0</v>
      </c>
      <c r="M806" s="6" t="b">
        <f t="shared" si="783"/>
        <v>0</v>
      </c>
      <c r="N806" s="4">
        <v>1.30019166206648</v>
      </c>
      <c r="O806" s="4">
        <v>1.38128181929635</v>
      </c>
      <c r="T806" s="4">
        <f t="shared" si="3"/>
        <v>355</v>
      </c>
      <c r="U806" s="4" t="str">
        <f t="shared" si="4"/>
        <v/>
      </c>
    </row>
    <row r="807" ht="15.75" customHeight="1">
      <c r="A807" s="4" t="s">
        <v>2226</v>
      </c>
      <c r="B807" s="4" t="s">
        <v>13</v>
      </c>
      <c r="D807" s="4">
        <v>0.05</v>
      </c>
      <c r="E807" s="4">
        <v>0.05</v>
      </c>
      <c r="F807" s="4">
        <v>0.79</v>
      </c>
      <c r="G807" s="4">
        <v>0.05</v>
      </c>
      <c r="H807" s="4">
        <v>0.05</v>
      </c>
      <c r="K807" s="6" t="b">
        <f t="shared" ref="K807:M807" si="784">FALSE()</f>
        <v>0</v>
      </c>
      <c r="L807" s="6" t="b">
        <f t="shared" si="784"/>
        <v>0</v>
      </c>
      <c r="M807" s="6" t="b">
        <f t="shared" si="784"/>
        <v>0</v>
      </c>
      <c r="O807" s="4">
        <v>0.582215619852664</v>
      </c>
      <c r="T807" s="4" t="str">
        <f t="shared" si="3"/>
        <v/>
      </c>
      <c r="U807" s="4" t="str">
        <f t="shared" si="4"/>
        <v/>
      </c>
    </row>
    <row r="808" ht="15.75" customHeight="1">
      <c r="A808" s="4" t="s">
        <v>2227</v>
      </c>
      <c r="B808" s="4" t="s">
        <v>13</v>
      </c>
      <c r="D808" s="4">
        <v>0.016</v>
      </c>
      <c r="E808" s="4">
        <v>0.012</v>
      </c>
      <c r="F808" s="4">
        <v>0.136</v>
      </c>
      <c r="G808" s="4">
        <v>0.016</v>
      </c>
      <c r="H808" s="4">
        <v>0.012</v>
      </c>
      <c r="K808" s="6" t="b">
        <f t="shared" ref="K808:M808" si="785">FALSE()</f>
        <v>0</v>
      </c>
      <c r="L808" s="6" t="b">
        <f t="shared" si="785"/>
        <v>0</v>
      </c>
      <c r="M808" s="6" t="b">
        <f t="shared" si="785"/>
        <v>0</v>
      </c>
      <c r="O808" s="4">
        <v>0.12751332029896</v>
      </c>
      <c r="T808" s="4" t="str">
        <f t="shared" si="3"/>
        <v/>
      </c>
      <c r="U808" s="4" t="str">
        <f t="shared" si="4"/>
        <v/>
      </c>
    </row>
    <row r="809" ht="15.75" customHeight="1">
      <c r="A809" s="4" t="s">
        <v>2228</v>
      </c>
      <c r="B809" s="4" t="s">
        <v>13</v>
      </c>
      <c r="D809" s="4">
        <v>0.0031</v>
      </c>
      <c r="E809" s="4">
        <v>0.0031</v>
      </c>
      <c r="F809" s="4">
        <v>0.0378</v>
      </c>
      <c r="G809" s="4">
        <v>0.0031</v>
      </c>
      <c r="H809" s="4">
        <v>0.0031</v>
      </c>
      <c r="K809" s="6" t="b">
        <f t="shared" ref="K809:M809" si="786">FALSE()</f>
        <v>0</v>
      </c>
      <c r="L809" s="6" t="b">
        <f t="shared" si="786"/>
        <v>0</v>
      </c>
      <c r="M809" s="6" t="b">
        <f t="shared" si="786"/>
        <v>0</v>
      </c>
      <c r="O809" s="4">
        <v>0.0371030879515022</v>
      </c>
      <c r="T809" s="4" t="str">
        <f t="shared" si="3"/>
        <v/>
      </c>
      <c r="U809" s="4" t="str">
        <f t="shared" si="4"/>
        <v/>
      </c>
    </row>
    <row r="810" ht="15.75" customHeight="1">
      <c r="A810" s="4" t="s">
        <v>2229</v>
      </c>
      <c r="B810" s="4" t="s">
        <v>13</v>
      </c>
      <c r="D810" s="4">
        <v>0.004</v>
      </c>
      <c r="E810" s="4">
        <v>0.004</v>
      </c>
      <c r="F810" s="4">
        <v>0.0422</v>
      </c>
      <c r="G810" s="4">
        <v>0.004</v>
      </c>
      <c r="H810" s="4">
        <v>0.004</v>
      </c>
      <c r="K810" s="6" t="b">
        <f t="shared" ref="K810:M810" si="787">FALSE()</f>
        <v>0</v>
      </c>
      <c r="L810" s="6" t="b">
        <f t="shared" si="787"/>
        <v>0</v>
      </c>
      <c r="M810" s="6" t="b">
        <f t="shared" si="787"/>
        <v>0</v>
      </c>
      <c r="O810" s="4">
        <v>0.0413338634929772</v>
      </c>
      <c r="T810" s="4" t="str">
        <f t="shared" si="3"/>
        <v/>
      </c>
      <c r="U810" s="4" t="str">
        <f t="shared" si="4"/>
        <v/>
      </c>
    </row>
    <row r="811" ht="15.75" customHeight="1">
      <c r="A811" s="4" t="s">
        <v>2230</v>
      </c>
      <c r="B811" s="4" t="s">
        <v>13</v>
      </c>
      <c r="D811" s="4">
        <v>0.08</v>
      </c>
      <c r="E811" s="4">
        <v>0.14</v>
      </c>
      <c r="F811" s="4">
        <v>1.85</v>
      </c>
      <c r="G811" s="4">
        <v>0.08</v>
      </c>
      <c r="H811" s="4">
        <v>0.14</v>
      </c>
      <c r="K811" s="6" t="b">
        <f t="shared" ref="K811:M811" si="788">FALSE()</f>
        <v>0</v>
      </c>
      <c r="L811" s="6" t="b">
        <f t="shared" si="788"/>
        <v>0</v>
      </c>
      <c r="M811" s="6" t="b">
        <f t="shared" si="788"/>
        <v>0</v>
      </c>
      <c r="O811" s="4">
        <v>1.04731899428056</v>
      </c>
      <c r="T811" s="4" t="str">
        <f t="shared" si="3"/>
        <v/>
      </c>
      <c r="U811" s="4" t="str">
        <f t="shared" si="4"/>
        <v/>
      </c>
    </row>
    <row r="812" ht="15.75" customHeight="1">
      <c r="A812" s="4" t="s">
        <v>2231</v>
      </c>
      <c r="B812" s="4" t="s">
        <v>13</v>
      </c>
      <c r="D812" s="4">
        <v>0.063</v>
      </c>
      <c r="E812" s="4">
        <v>0.123</v>
      </c>
      <c r="F812" s="4">
        <v>0.895</v>
      </c>
      <c r="G812" s="4">
        <v>0.063</v>
      </c>
      <c r="H812" s="4">
        <v>0.123</v>
      </c>
      <c r="K812" s="6" t="b">
        <f t="shared" ref="K812:M812" si="789">FALSE()</f>
        <v>0</v>
      </c>
      <c r="L812" s="6" t="b">
        <f t="shared" si="789"/>
        <v>0</v>
      </c>
      <c r="M812" s="6" t="b">
        <f t="shared" si="789"/>
        <v>0</v>
      </c>
      <c r="O812" s="4">
        <v>0.63921883853439</v>
      </c>
      <c r="T812" s="4" t="str">
        <f t="shared" si="3"/>
        <v/>
      </c>
      <c r="U812" s="4" t="str">
        <f t="shared" si="4"/>
        <v/>
      </c>
    </row>
    <row r="813" ht="15.75" customHeight="1">
      <c r="A813" s="4" t="s">
        <v>2232</v>
      </c>
      <c r="B813" s="4" t="s">
        <v>13</v>
      </c>
      <c r="D813" s="4">
        <v>0.4</v>
      </c>
      <c r="E813" s="4">
        <v>0.4</v>
      </c>
      <c r="F813" s="4">
        <v>1.9</v>
      </c>
      <c r="G813" s="4">
        <v>0.4</v>
      </c>
      <c r="H813" s="4">
        <v>0.4</v>
      </c>
      <c r="K813" s="6" t="b">
        <f t="shared" ref="K813:M813" si="790">FALSE()</f>
        <v>0</v>
      </c>
      <c r="L813" s="6" t="b">
        <f t="shared" si="790"/>
        <v>0</v>
      </c>
      <c r="M813" s="6" t="b">
        <f t="shared" si="790"/>
        <v>0</v>
      </c>
      <c r="O813" s="4">
        <v>1.06471073699243</v>
      </c>
      <c r="T813" s="4" t="str">
        <f t="shared" si="3"/>
        <v/>
      </c>
      <c r="U813" s="4" t="str">
        <f t="shared" si="4"/>
        <v/>
      </c>
    </row>
    <row r="814" ht="15.75" customHeight="1">
      <c r="A814" s="4" t="s">
        <v>2233</v>
      </c>
      <c r="B814" s="4" t="s">
        <v>13</v>
      </c>
      <c r="D814" s="4">
        <v>0.011</v>
      </c>
      <c r="E814" s="4">
        <v>0.174</v>
      </c>
      <c r="F814" s="4">
        <v>1.991</v>
      </c>
      <c r="G814" s="4">
        <v>0.011</v>
      </c>
      <c r="H814" s="4">
        <v>0.174</v>
      </c>
      <c r="K814" s="6" t="b">
        <f t="shared" ref="K814:M814" si="791">FALSE()</f>
        <v>0</v>
      </c>
      <c r="L814" s="6" t="b">
        <f t="shared" si="791"/>
        <v>0</v>
      </c>
      <c r="M814" s="6" t="b">
        <f t="shared" si="791"/>
        <v>0</v>
      </c>
      <c r="O814" s="4">
        <v>1.09560777964781</v>
      </c>
      <c r="T814" s="4" t="str">
        <f t="shared" si="3"/>
        <v/>
      </c>
      <c r="U814" s="4" t="str">
        <f t="shared" si="4"/>
        <v/>
      </c>
    </row>
    <row r="815" ht="15.75" customHeight="1">
      <c r="A815" s="4" t="s">
        <v>2234</v>
      </c>
      <c r="B815" s="4" t="s">
        <v>13</v>
      </c>
      <c r="D815" s="4">
        <v>0.212</v>
      </c>
      <c r="E815" s="4">
        <v>0.116</v>
      </c>
      <c r="F815" s="4">
        <v>1.917</v>
      </c>
      <c r="G815" s="4">
        <v>0.212</v>
      </c>
      <c r="H815" s="4">
        <v>0.116</v>
      </c>
      <c r="K815" s="6" t="b">
        <f t="shared" ref="K815:M815" si="792">FALSE()</f>
        <v>0</v>
      </c>
      <c r="L815" s="6" t="b">
        <f t="shared" si="792"/>
        <v>0</v>
      </c>
      <c r="M815" s="6" t="b">
        <f t="shared" si="792"/>
        <v>0</v>
      </c>
      <c r="O815" s="4">
        <v>1.07055569088558</v>
      </c>
      <c r="T815" s="4" t="str">
        <f t="shared" si="3"/>
        <v/>
      </c>
      <c r="U815" s="4" t="str">
        <f t="shared" si="4"/>
        <v/>
      </c>
    </row>
    <row r="816" ht="15.75" customHeight="1">
      <c r="A816" s="4" t="s">
        <v>413</v>
      </c>
      <c r="B816" s="4" t="s">
        <v>13</v>
      </c>
      <c r="C816" s="4">
        <v>1.008</v>
      </c>
      <c r="D816" s="4">
        <v>0.079</v>
      </c>
      <c r="E816" s="4">
        <v>0.074</v>
      </c>
      <c r="I816" s="4">
        <v>1.562</v>
      </c>
      <c r="J816" s="4">
        <v>0.069</v>
      </c>
      <c r="K816" s="6" t="b">
        <f t="shared" ref="K816:L816" si="793">FALSE()</f>
        <v>0</v>
      </c>
      <c r="L816" s="6" t="b">
        <f t="shared" si="793"/>
        <v>0</v>
      </c>
      <c r="M816" s="6" t="b">
        <f t="shared" ref="M816:M817" si="794">TRUE()</f>
        <v>1</v>
      </c>
      <c r="N816" s="4">
        <v>0.697139201829483</v>
      </c>
      <c r="P816" s="4">
        <v>0.940788203474542</v>
      </c>
      <c r="T816" s="4">
        <f t="shared" si="3"/>
        <v>657</v>
      </c>
      <c r="U816" s="4">
        <f t="shared" si="4"/>
        <v>92</v>
      </c>
    </row>
    <row r="817" ht="15.75" customHeight="1">
      <c r="A817" s="4" t="s">
        <v>414</v>
      </c>
      <c r="B817" s="4" t="s">
        <v>13</v>
      </c>
      <c r="C817" s="4">
        <v>11.0</v>
      </c>
      <c r="D817" s="4">
        <v>4.0</v>
      </c>
      <c r="E817" s="4">
        <v>4.0</v>
      </c>
      <c r="I817" s="4">
        <v>1.3</v>
      </c>
      <c r="J817" s="4">
        <v>0.04</v>
      </c>
      <c r="K817" s="6" t="b">
        <f>TRUE()</f>
        <v>1</v>
      </c>
      <c r="L817" s="6" t="b">
        <f>FALSE()</f>
        <v>0</v>
      </c>
      <c r="M817" s="6" t="b">
        <f t="shared" si="794"/>
        <v>1</v>
      </c>
      <c r="N817" s="4">
        <v>2.484906649788</v>
      </c>
      <c r="P817" s="4">
        <v>0.832909122935104</v>
      </c>
      <c r="T817" s="4">
        <f t="shared" si="3"/>
        <v>35</v>
      </c>
      <c r="U817" s="4">
        <f t="shared" si="4"/>
        <v>251</v>
      </c>
    </row>
    <row r="818" ht="15.75" customHeight="1">
      <c r="A818" s="4" t="s">
        <v>415</v>
      </c>
      <c r="B818" s="4" t="s">
        <v>13</v>
      </c>
      <c r="C818" s="4">
        <v>0.02335</v>
      </c>
      <c r="D818" s="4">
        <v>0.00343</v>
      </c>
      <c r="E818" s="4">
        <v>0.00343</v>
      </c>
      <c r="I818" s="4">
        <v>0.1534</v>
      </c>
      <c r="J818" s="4">
        <v>0.0062</v>
      </c>
      <c r="K818" s="6" t="b">
        <f t="shared" ref="K818:M818" si="795">FALSE()</f>
        <v>0</v>
      </c>
      <c r="L818" s="6" t="b">
        <f t="shared" si="795"/>
        <v>0</v>
      </c>
      <c r="M818" s="6" t="b">
        <f t="shared" si="795"/>
        <v>0</v>
      </c>
      <c r="N818" s="4">
        <v>0.0230815594433212</v>
      </c>
      <c r="P818" s="4">
        <v>0.142714102199175</v>
      </c>
      <c r="T818" s="4">
        <f t="shared" si="3"/>
        <v>1659</v>
      </c>
      <c r="U818" s="4">
        <f t="shared" si="4"/>
        <v>3265</v>
      </c>
    </row>
    <row r="819" ht="15.75" customHeight="1">
      <c r="A819" s="4" t="s">
        <v>2235</v>
      </c>
      <c r="B819" s="4" t="s">
        <v>13</v>
      </c>
      <c r="F819" s="4">
        <v>1.07</v>
      </c>
      <c r="K819" s="6" t="b">
        <f t="shared" ref="K819:M819" si="796">FALSE()</f>
        <v>0</v>
      </c>
      <c r="L819" s="6" t="b">
        <f t="shared" si="796"/>
        <v>0</v>
      </c>
      <c r="M819" s="6" t="b">
        <f t="shared" si="796"/>
        <v>0</v>
      </c>
      <c r="O819" s="4">
        <v>0.727548607277278</v>
      </c>
      <c r="T819" s="4" t="str">
        <f t="shared" si="3"/>
        <v/>
      </c>
      <c r="U819" s="4" t="str">
        <f t="shared" si="4"/>
        <v/>
      </c>
    </row>
    <row r="820" ht="15.75" customHeight="1">
      <c r="A820" s="4" t="s">
        <v>2236</v>
      </c>
      <c r="B820" s="4" t="s">
        <v>13</v>
      </c>
      <c r="D820" s="4">
        <v>0.82</v>
      </c>
      <c r="E820" s="4">
        <v>0.82</v>
      </c>
      <c r="F820" s="4">
        <v>6.11</v>
      </c>
      <c r="G820" s="4">
        <v>0.82</v>
      </c>
      <c r="H820" s="4">
        <v>0.82</v>
      </c>
      <c r="K820" s="6" t="b">
        <f t="shared" ref="K820:K827" si="797">FALSE()</f>
        <v>0</v>
      </c>
      <c r="L820" s="6" t="b">
        <f>TRUE()</f>
        <v>1</v>
      </c>
      <c r="M820" s="6" t="b">
        <f>FALSE()</f>
        <v>0</v>
      </c>
      <c r="O820" s="4">
        <v>1.96150224381515</v>
      </c>
      <c r="T820" s="4" t="str">
        <f t="shared" si="3"/>
        <v/>
      </c>
      <c r="U820" s="4" t="str">
        <f t="shared" si="4"/>
        <v/>
      </c>
    </row>
    <row r="821" ht="15.75" customHeight="1">
      <c r="A821" s="4" t="s">
        <v>2237</v>
      </c>
      <c r="B821" s="4" t="s">
        <v>13</v>
      </c>
      <c r="D821" s="4">
        <v>0.3</v>
      </c>
      <c r="E821" s="4">
        <v>0.3</v>
      </c>
      <c r="F821" s="4">
        <v>4.28</v>
      </c>
      <c r="G821" s="4">
        <v>0.3</v>
      </c>
      <c r="H821" s="4">
        <v>0.3</v>
      </c>
      <c r="K821" s="6" t="b">
        <f t="shared" si="797"/>
        <v>0</v>
      </c>
      <c r="L821" s="6" t="b">
        <f t="shared" ref="L821:M821" si="798">FALSE()</f>
        <v>0</v>
      </c>
      <c r="M821" s="6" t="b">
        <f t="shared" si="798"/>
        <v>0</v>
      </c>
      <c r="O821" s="4">
        <v>1.66392609771817</v>
      </c>
      <c r="T821" s="4" t="str">
        <f t="shared" si="3"/>
        <v/>
      </c>
      <c r="U821" s="4" t="str">
        <f t="shared" si="4"/>
        <v/>
      </c>
    </row>
    <row r="822" ht="15.75" customHeight="1">
      <c r="A822" s="4" t="s">
        <v>2238</v>
      </c>
      <c r="B822" s="4" t="s">
        <v>13</v>
      </c>
      <c r="D822" s="4">
        <v>0.0053</v>
      </c>
      <c r="E822" s="4">
        <v>0.0053</v>
      </c>
      <c r="F822" s="4">
        <v>0.0553</v>
      </c>
      <c r="G822" s="4">
        <v>0.0053</v>
      </c>
      <c r="H822" s="4">
        <v>0.0053</v>
      </c>
      <c r="K822" s="6" t="b">
        <f t="shared" si="797"/>
        <v>0</v>
      </c>
      <c r="L822" s="6" t="b">
        <f t="shared" ref="L822:M822" si="799">FALSE()</f>
        <v>0</v>
      </c>
      <c r="M822" s="6" t="b">
        <f t="shared" si="799"/>
        <v>0</v>
      </c>
      <c r="O822" s="4">
        <v>0.0538250866949074</v>
      </c>
      <c r="T822" s="4" t="str">
        <f t="shared" si="3"/>
        <v/>
      </c>
      <c r="U822" s="4" t="str">
        <f t="shared" si="4"/>
        <v/>
      </c>
    </row>
    <row r="823" ht="15.75" customHeight="1">
      <c r="A823" s="4" t="s">
        <v>2239</v>
      </c>
      <c r="B823" s="4" t="s">
        <v>13</v>
      </c>
      <c r="D823" s="4">
        <v>0.032</v>
      </c>
      <c r="E823" s="4">
        <v>0.032</v>
      </c>
      <c r="F823" s="4">
        <v>0.266</v>
      </c>
      <c r="G823" s="4">
        <v>0.032</v>
      </c>
      <c r="H823" s="4">
        <v>0.032</v>
      </c>
      <c r="K823" s="6" t="b">
        <f t="shared" si="797"/>
        <v>0</v>
      </c>
      <c r="L823" s="6" t="b">
        <f t="shared" ref="L823:M823" si="800">FALSE()</f>
        <v>0</v>
      </c>
      <c r="M823" s="6" t="b">
        <f t="shared" si="800"/>
        <v>0</v>
      </c>
      <c r="O823" s="4">
        <v>0.235862323721984</v>
      </c>
      <c r="T823" s="4" t="str">
        <f t="shared" si="3"/>
        <v/>
      </c>
      <c r="U823" s="4" t="str">
        <f t="shared" si="4"/>
        <v/>
      </c>
    </row>
    <row r="824" ht="15.75" customHeight="1">
      <c r="A824" s="4" t="s">
        <v>2240</v>
      </c>
      <c r="B824" s="4" t="s">
        <v>13</v>
      </c>
      <c r="D824" s="4">
        <v>0.045</v>
      </c>
      <c r="E824" s="4">
        <v>0.039</v>
      </c>
      <c r="F824" s="4">
        <v>0.392</v>
      </c>
      <c r="G824" s="4">
        <v>0.045</v>
      </c>
      <c r="H824" s="4">
        <v>0.039</v>
      </c>
      <c r="K824" s="6" t="b">
        <f t="shared" si="797"/>
        <v>0</v>
      </c>
      <c r="L824" s="6" t="b">
        <f t="shared" ref="L824:M824" si="801">FALSE()</f>
        <v>0</v>
      </c>
      <c r="M824" s="6" t="b">
        <f t="shared" si="801"/>
        <v>0</v>
      </c>
      <c r="O824" s="4">
        <v>0.330741561912228</v>
      </c>
      <c r="T824" s="4" t="str">
        <f t="shared" si="3"/>
        <v/>
      </c>
      <c r="U824" s="4" t="str">
        <f t="shared" si="4"/>
        <v/>
      </c>
    </row>
    <row r="825" ht="15.75" customHeight="1">
      <c r="A825" s="4" t="s">
        <v>2241</v>
      </c>
      <c r="B825" s="4" t="s">
        <v>13</v>
      </c>
      <c r="D825" s="4">
        <v>0.09</v>
      </c>
      <c r="E825" s="4">
        <v>0.07</v>
      </c>
      <c r="F825" s="4">
        <v>1.37</v>
      </c>
      <c r="G825" s="4">
        <v>0.09</v>
      </c>
      <c r="H825" s="4">
        <v>0.07</v>
      </c>
      <c r="K825" s="6" t="b">
        <f t="shared" si="797"/>
        <v>0</v>
      </c>
      <c r="L825" s="6" t="b">
        <f t="shared" ref="L825:M825" si="802">FALSE()</f>
        <v>0</v>
      </c>
      <c r="M825" s="6" t="b">
        <f t="shared" si="802"/>
        <v>0</v>
      </c>
      <c r="O825" s="4">
        <v>0.86288995514704</v>
      </c>
      <c r="T825" s="4" t="str">
        <f t="shared" si="3"/>
        <v/>
      </c>
      <c r="U825" s="4" t="str">
        <f t="shared" si="4"/>
        <v/>
      </c>
    </row>
    <row r="826" ht="15.75" customHeight="1">
      <c r="A826" s="4" t="s">
        <v>2242</v>
      </c>
      <c r="B826" s="4" t="s">
        <v>13</v>
      </c>
      <c r="D826" s="4">
        <v>0.0223</v>
      </c>
      <c r="E826" s="4">
        <v>0.0223</v>
      </c>
      <c r="F826" s="4">
        <v>0.1076</v>
      </c>
      <c r="G826" s="4">
        <v>0.0223</v>
      </c>
      <c r="H826" s="4">
        <v>0.0223</v>
      </c>
      <c r="K826" s="6" t="b">
        <f t="shared" si="797"/>
        <v>0</v>
      </c>
      <c r="L826" s="6" t="b">
        <f t="shared" ref="L826:M826" si="803">FALSE()</f>
        <v>0</v>
      </c>
      <c r="M826" s="6" t="b">
        <f t="shared" si="803"/>
        <v>0</v>
      </c>
      <c r="O826" s="4">
        <v>0.10219551231467</v>
      </c>
      <c r="T826" s="4" t="str">
        <f t="shared" si="3"/>
        <v/>
      </c>
      <c r="U826" s="4" t="str">
        <f t="shared" si="4"/>
        <v/>
      </c>
    </row>
    <row r="827" ht="15.75" customHeight="1">
      <c r="A827" s="4" t="s">
        <v>2243</v>
      </c>
      <c r="B827" s="4" t="s">
        <v>13</v>
      </c>
      <c r="D827" s="4">
        <v>0.1</v>
      </c>
      <c r="E827" s="4">
        <v>0.1</v>
      </c>
      <c r="F827" s="4">
        <v>2.2</v>
      </c>
      <c r="G827" s="4">
        <v>0.1</v>
      </c>
      <c r="H827" s="4">
        <v>0.1</v>
      </c>
      <c r="K827" s="6" t="b">
        <f t="shared" si="797"/>
        <v>0</v>
      </c>
      <c r="L827" s="6" t="b">
        <f t="shared" ref="L827:M827" si="804">FALSE()</f>
        <v>0</v>
      </c>
      <c r="M827" s="6" t="b">
        <f t="shared" si="804"/>
        <v>0</v>
      </c>
      <c r="O827" s="4">
        <v>1.16315080980568</v>
      </c>
      <c r="T827" s="4" t="str">
        <f t="shared" si="3"/>
        <v/>
      </c>
      <c r="U827" s="4" t="str">
        <f t="shared" si="4"/>
        <v/>
      </c>
    </row>
    <row r="828" ht="15.75" customHeight="1">
      <c r="A828" s="4" t="s">
        <v>416</v>
      </c>
      <c r="B828" s="4" t="s">
        <v>13</v>
      </c>
      <c r="C828" s="4">
        <v>10.31</v>
      </c>
      <c r="D828" s="4">
        <v>2.2</v>
      </c>
      <c r="E828" s="4">
        <v>2.4</v>
      </c>
      <c r="I828" s="4">
        <v>1.46</v>
      </c>
      <c r="J828" s="4">
        <v>0.06</v>
      </c>
      <c r="K828" s="6" t="b">
        <f>TRUE()</f>
        <v>1</v>
      </c>
      <c r="L828" s="6" t="b">
        <f>FALSE()</f>
        <v>0</v>
      </c>
      <c r="M828" s="6" t="b">
        <f>TRUE()</f>
        <v>1</v>
      </c>
      <c r="N828" s="4">
        <v>2.42568729012803</v>
      </c>
      <c r="P828" s="4">
        <v>0.900161349944271</v>
      </c>
      <c r="T828" s="4">
        <f t="shared" si="3"/>
        <v>49</v>
      </c>
      <c r="U828" s="4">
        <f t="shared" si="4"/>
        <v>139</v>
      </c>
    </row>
    <row r="829" ht="15.75" customHeight="1">
      <c r="A829" s="4" t="s">
        <v>417</v>
      </c>
      <c r="B829" s="4" t="s">
        <v>13</v>
      </c>
      <c r="C829" s="4">
        <v>0.0192</v>
      </c>
      <c r="D829" s="4">
        <v>0.005</v>
      </c>
      <c r="E829" s="4">
        <v>0.005</v>
      </c>
      <c r="I829" s="4">
        <v>0.2007</v>
      </c>
      <c r="J829" s="4">
        <v>0.0107</v>
      </c>
      <c r="K829" s="6" t="b">
        <f t="shared" ref="K829:M829" si="805">FALSE()</f>
        <v>0</v>
      </c>
      <c r="L829" s="6" t="b">
        <f t="shared" si="805"/>
        <v>0</v>
      </c>
      <c r="M829" s="6" t="b">
        <f t="shared" si="805"/>
        <v>0</v>
      </c>
      <c r="N829" s="4">
        <v>0.0190180058357618</v>
      </c>
      <c r="P829" s="4">
        <v>0.182904720054535</v>
      </c>
      <c r="T829" s="4">
        <f t="shared" si="3"/>
        <v>1747</v>
      </c>
      <c r="U829" s="4">
        <f t="shared" si="4"/>
        <v>2577</v>
      </c>
    </row>
    <row r="830" ht="15.75" customHeight="1">
      <c r="A830" s="4" t="s">
        <v>2244</v>
      </c>
      <c r="B830" s="4" t="s">
        <v>13</v>
      </c>
      <c r="D830" s="4">
        <v>0.00123</v>
      </c>
      <c r="E830" s="4">
        <v>0.00123</v>
      </c>
      <c r="F830" s="4">
        <v>0.00607</v>
      </c>
      <c r="G830" s="4">
        <v>0.00123</v>
      </c>
      <c r="H830" s="4">
        <v>0.00123</v>
      </c>
      <c r="K830" s="6" t="b">
        <f t="shared" ref="K830:M830" si="806">FALSE()</f>
        <v>0</v>
      </c>
      <c r="L830" s="6" t="b">
        <f t="shared" si="806"/>
        <v>0</v>
      </c>
      <c r="M830" s="6" t="b">
        <f t="shared" si="806"/>
        <v>0</v>
      </c>
      <c r="O830" s="4">
        <v>0.0060516517617674</v>
      </c>
      <c r="T830" s="4" t="str">
        <f t="shared" si="3"/>
        <v/>
      </c>
      <c r="U830" s="4" t="str">
        <f t="shared" si="4"/>
        <v/>
      </c>
    </row>
    <row r="831" ht="15.75" customHeight="1">
      <c r="A831" s="4" t="s">
        <v>2245</v>
      </c>
      <c r="B831" s="4" t="s">
        <v>13</v>
      </c>
      <c r="D831" s="4">
        <v>0.00211</v>
      </c>
      <c r="E831" s="4">
        <v>0.0022</v>
      </c>
      <c r="F831" s="4">
        <v>0.01677</v>
      </c>
      <c r="G831" s="4">
        <v>0.00211</v>
      </c>
      <c r="H831" s="4">
        <v>0.0022</v>
      </c>
      <c r="K831" s="6" t="b">
        <f t="shared" ref="K831:M831" si="807">FALSE()</f>
        <v>0</v>
      </c>
      <c r="L831" s="6" t="b">
        <f t="shared" si="807"/>
        <v>0</v>
      </c>
      <c r="M831" s="6" t="b">
        <f t="shared" si="807"/>
        <v>0</v>
      </c>
      <c r="O831" s="4">
        <v>0.0166309361305446</v>
      </c>
      <c r="T831" s="4" t="str">
        <f t="shared" si="3"/>
        <v/>
      </c>
      <c r="U831" s="4" t="str">
        <f t="shared" si="4"/>
        <v/>
      </c>
    </row>
    <row r="832" ht="15.75" customHeight="1">
      <c r="A832" s="4" t="s">
        <v>2246</v>
      </c>
      <c r="B832" s="4" t="s">
        <v>13</v>
      </c>
      <c r="D832" s="4">
        <v>0.0037</v>
      </c>
      <c r="E832" s="4">
        <v>0.0038</v>
      </c>
      <c r="F832" s="4">
        <v>0.0334</v>
      </c>
      <c r="G832" s="4">
        <v>0.0037</v>
      </c>
      <c r="H832" s="4">
        <v>0.0038</v>
      </c>
      <c r="K832" s="6" t="b">
        <f t="shared" ref="K832:M832" si="808">FALSE()</f>
        <v>0</v>
      </c>
      <c r="L832" s="6" t="b">
        <f t="shared" si="808"/>
        <v>0</v>
      </c>
      <c r="M832" s="6" t="b">
        <f t="shared" si="808"/>
        <v>0</v>
      </c>
      <c r="O832" s="4">
        <v>0.0328543368709471</v>
      </c>
      <c r="T832" s="4" t="str">
        <f t="shared" si="3"/>
        <v/>
      </c>
      <c r="U832" s="4" t="str">
        <f t="shared" si="4"/>
        <v/>
      </c>
    </row>
    <row r="833" ht="15.75" customHeight="1">
      <c r="A833" s="4" t="s">
        <v>2247</v>
      </c>
      <c r="B833" s="4" t="s">
        <v>13</v>
      </c>
      <c r="D833" s="4">
        <v>0.0049</v>
      </c>
      <c r="E833" s="4">
        <v>0.0049</v>
      </c>
      <c r="F833" s="4">
        <v>0.0442</v>
      </c>
      <c r="G833" s="4">
        <v>0.0049</v>
      </c>
      <c r="H833" s="4">
        <v>0.0049</v>
      </c>
      <c r="K833" s="6" t="b">
        <f t="shared" ref="K833:M833" si="809">FALSE()</f>
        <v>0</v>
      </c>
      <c r="L833" s="6" t="b">
        <f t="shared" si="809"/>
        <v>0</v>
      </c>
      <c r="M833" s="6" t="b">
        <f t="shared" si="809"/>
        <v>0</v>
      </c>
      <c r="O833" s="4">
        <v>0.0432510419943149</v>
      </c>
      <c r="T833" s="4" t="str">
        <f t="shared" si="3"/>
        <v/>
      </c>
      <c r="U833" s="4" t="str">
        <f t="shared" si="4"/>
        <v/>
      </c>
    </row>
    <row r="834" ht="15.75" customHeight="1">
      <c r="A834" s="4" t="s">
        <v>2248</v>
      </c>
      <c r="B834" s="4" t="s">
        <v>13</v>
      </c>
      <c r="D834" s="4">
        <v>0.5</v>
      </c>
      <c r="E834" s="4">
        <v>0.5</v>
      </c>
      <c r="F834" s="4">
        <v>1.9</v>
      </c>
      <c r="G834" s="4">
        <v>0.5</v>
      </c>
      <c r="H834" s="4">
        <v>0.5</v>
      </c>
      <c r="K834" s="6" t="b">
        <f t="shared" ref="K834:M834" si="810">FALSE()</f>
        <v>0</v>
      </c>
      <c r="L834" s="6" t="b">
        <f t="shared" si="810"/>
        <v>0</v>
      </c>
      <c r="M834" s="6" t="b">
        <f t="shared" si="810"/>
        <v>0</v>
      </c>
      <c r="O834" s="4">
        <v>1.06471073699243</v>
      </c>
      <c r="T834" s="4" t="str">
        <f t="shared" si="3"/>
        <v/>
      </c>
      <c r="U834" s="4" t="str">
        <f t="shared" si="4"/>
        <v/>
      </c>
    </row>
    <row r="835" ht="15.75" customHeight="1">
      <c r="A835" s="4" t="s">
        <v>2249</v>
      </c>
      <c r="B835" s="4" t="s">
        <v>13</v>
      </c>
      <c r="D835" s="4">
        <v>0.03</v>
      </c>
      <c r="E835" s="4">
        <v>0.06</v>
      </c>
      <c r="F835" s="4">
        <v>0.56</v>
      </c>
      <c r="G835" s="4">
        <v>0.03</v>
      </c>
      <c r="H835" s="4">
        <v>0.06</v>
      </c>
      <c r="K835" s="6" t="b">
        <f t="shared" ref="K835:M835" si="811">FALSE()</f>
        <v>0</v>
      </c>
      <c r="L835" s="6" t="b">
        <f t="shared" si="811"/>
        <v>0</v>
      </c>
      <c r="M835" s="6" t="b">
        <f t="shared" si="811"/>
        <v>0</v>
      </c>
      <c r="O835" s="4">
        <v>0.444685821261446</v>
      </c>
      <c r="T835" s="4" t="str">
        <f t="shared" si="3"/>
        <v/>
      </c>
      <c r="U835" s="4" t="str">
        <f t="shared" si="4"/>
        <v/>
      </c>
    </row>
    <row r="836" ht="15.75" customHeight="1">
      <c r="A836" s="4" t="s">
        <v>2250</v>
      </c>
      <c r="B836" s="4" t="s">
        <v>13</v>
      </c>
      <c r="D836" s="4">
        <v>0.05</v>
      </c>
      <c r="E836" s="4">
        <v>0.18</v>
      </c>
      <c r="F836" s="4">
        <v>0.73</v>
      </c>
      <c r="G836" s="4">
        <v>0.05</v>
      </c>
      <c r="H836" s="4">
        <v>0.18</v>
      </c>
      <c r="K836" s="6" t="b">
        <f t="shared" ref="K836:M836" si="812">FALSE()</f>
        <v>0</v>
      </c>
      <c r="L836" s="6" t="b">
        <f t="shared" si="812"/>
        <v>0</v>
      </c>
      <c r="M836" s="6" t="b">
        <f t="shared" si="812"/>
        <v>0</v>
      </c>
      <c r="O836" s="4">
        <v>0.548121408509688</v>
      </c>
      <c r="T836" s="4" t="str">
        <f t="shared" si="3"/>
        <v/>
      </c>
      <c r="U836" s="4" t="str">
        <f t="shared" si="4"/>
        <v/>
      </c>
    </row>
    <row r="837" ht="15.75" customHeight="1">
      <c r="A837" s="4" t="s">
        <v>418</v>
      </c>
      <c r="B837" s="4" t="s">
        <v>13</v>
      </c>
      <c r="C837" s="4">
        <v>0.05</v>
      </c>
      <c r="D837" s="4">
        <v>0.005</v>
      </c>
      <c r="E837" s="4">
        <v>0.005</v>
      </c>
      <c r="I837" s="4">
        <v>0.22348</v>
      </c>
      <c r="J837" s="4">
        <v>0.0071</v>
      </c>
      <c r="K837" s="6" t="b">
        <f t="shared" ref="K837:M837" si="813">FALSE()</f>
        <v>0</v>
      </c>
      <c r="L837" s="6" t="b">
        <f t="shared" si="813"/>
        <v>0</v>
      </c>
      <c r="M837" s="6" t="b">
        <f t="shared" si="813"/>
        <v>0</v>
      </c>
      <c r="N837" s="4">
        <v>0.048790164169432</v>
      </c>
      <c r="P837" s="4">
        <v>0.201699257220191</v>
      </c>
      <c r="T837" s="4">
        <f t="shared" si="3"/>
        <v>1403</v>
      </c>
      <c r="U837" s="4">
        <f t="shared" si="4"/>
        <v>2205</v>
      </c>
    </row>
    <row r="838" ht="15.75" customHeight="1">
      <c r="A838" s="4" t="s">
        <v>2251</v>
      </c>
      <c r="B838" s="4" t="s">
        <v>13</v>
      </c>
      <c r="D838" s="4">
        <v>0.05</v>
      </c>
      <c r="E838" s="4">
        <v>0.05</v>
      </c>
      <c r="F838" s="4">
        <v>0.413</v>
      </c>
      <c r="G838" s="4">
        <v>0.05</v>
      </c>
      <c r="H838" s="4">
        <v>0.05</v>
      </c>
      <c r="K838" s="6" t="b">
        <f t="shared" ref="K838:M838" si="814">FALSE()</f>
        <v>0</v>
      </c>
      <c r="L838" s="6" t="b">
        <f t="shared" si="814"/>
        <v>0</v>
      </c>
      <c r="M838" s="6" t="b">
        <f t="shared" si="814"/>
        <v>0</v>
      </c>
      <c r="O838" s="4">
        <v>0.34571510370239</v>
      </c>
      <c r="T838" s="4" t="str">
        <f t="shared" si="3"/>
        <v/>
      </c>
      <c r="U838" s="4" t="str">
        <f t="shared" si="4"/>
        <v/>
      </c>
    </row>
    <row r="839" ht="15.75" customHeight="1">
      <c r="A839" s="4" t="s">
        <v>2252</v>
      </c>
      <c r="B839" s="4" t="s">
        <v>13</v>
      </c>
      <c r="C839" s="4">
        <v>0.46</v>
      </c>
      <c r="D839" s="4">
        <v>0.1</v>
      </c>
      <c r="E839" s="4">
        <v>0.1</v>
      </c>
      <c r="K839" s="6" t="b">
        <f t="shared" ref="K839:M839" si="815">FALSE()</f>
        <v>0</v>
      </c>
      <c r="L839" s="6" t="b">
        <f t="shared" si="815"/>
        <v>0</v>
      </c>
      <c r="M839" s="6" t="b">
        <f t="shared" si="815"/>
        <v>0</v>
      </c>
      <c r="N839" s="4">
        <v>0.378436435720245</v>
      </c>
      <c r="T839" s="4">
        <f t="shared" si="3"/>
        <v>976</v>
      </c>
      <c r="U839" s="4" t="str">
        <f t="shared" si="4"/>
        <v/>
      </c>
    </row>
    <row r="840" ht="15.75" customHeight="1">
      <c r="A840" s="4" t="s">
        <v>2253</v>
      </c>
      <c r="B840" s="4" t="s">
        <v>13</v>
      </c>
      <c r="D840" s="4">
        <v>1.7</v>
      </c>
      <c r="E840" s="4">
        <v>1.7</v>
      </c>
      <c r="F840" s="4">
        <v>9.9</v>
      </c>
      <c r="G840" s="4">
        <v>1.7</v>
      </c>
      <c r="H840" s="4">
        <v>1.7</v>
      </c>
      <c r="K840" s="6" t="b">
        <f t="shared" ref="K840:K874" si="816">FALSE()</f>
        <v>0</v>
      </c>
      <c r="L840" s="6" t="b">
        <f>TRUE()</f>
        <v>1</v>
      </c>
      <c r="M840" s="6" t="b">
        <f>FALSE()</f>
        <v>0</v>
      </c>
      <c r="O840" s="4">
        <v>2.3887627892351</v>
      </c>
      <c r="T840" s="4" t="str">
        <f t="shared" si="3"/>
        <v/>
      </c>
      <c r="U840" s="4" t="str">
        <f t="shared" si="4"/>
        <v/>
      </c>
    </row>
    <row r="841" ht="15.75" customHeight="1">
      <c r="A841" s="4" t="s">
        <v>2254</v>
      </c>
      <c r="B841" s="4" t="s">
        <v>13</v>
      </c>
      <c r="D841" s="4">
        <v>0.05</v>
      </c>
      <c r="E841" s="4">
        <v>0.05</v>
      </c>
      <c r="F841" s="4">
        <v>1.99</v>
      </c>
      <c r="G841" s="4">
        <v>0.05</v>
      </c>
      <c r="H841" s="4">
        <v>0.05</v>
      </c>
      <c r="K841" s="6" t="b">
        <f t="shared" si="816"/>
        <v>0</v>
      </c>
      <c r="L841" s="6" t="b">
        <f t="shared" ref="L841:M841" si="817">FALSE()</f>
        <v>0</v>
      </c>
      <c r="M841" s="6" t="b">
        <f t="shared" si="817"/>
        <v>0</v>
      </c>
      <c r="O841" s="4">
        <v>1.0952733874026</v>
      </c>
      <c r="T841" s="4" t="str">
        <f t="shared" si="3"/>
        <v/>
      </c>
      <c r="U841" s="4" t="str">
        <f t="shared" si="4"/>
        <v/>
      </c>
    </row>
    <row r="842" ht="15.75" customHeight="1">
      <c r="A842" s="4" t="s">
        <v>2255</v>
      </c>
      <c r="B842" s="4" t="s">
        <v>13</v>
      </c>
      <c r="D842" s="4">
        <v>0.08</v>
      </c>
      <c r="E842" s="4">
        <v>0.08</v>
      </c>
      <c r="F842" s="4">
        <v>1.4</v>
      </c>
      <c r="G842" s="4">
        <v>0.08</v>
      </c>
      <c r="H842" s="4">
        <v>0.08</v>
      </c>
      <c r="K842" s="6" t="b">
        <f t="shared" si="816"/>
        <v>0</v>
      </c>
      <c r="L842" s="6" t="b">
        <f t="shared" ref="L842:M842" si="818">FALSE()</f>
        <v>0</v>
      </c>
      <c r="M842" s="6" t="b">
        <f t="shared" si="818"/>
        <v>0</v>
      </c>
      <c r="O842" s="4">
        <v>0.8754687373539</v>
      </c>
      <c r="T842" s="4" t="str">
        <f t="shared" si="3"/>
        <v/>
      </c>
      <c r="U842" s="4" t="str">
        <f t="shared" si="4"/>
        <v/>
      </c>
    </row>
    <row r="843" ht="15.75" customHeight="1">
      <c r="A843" s="4" t="s">
        <v>419</v>
      </c>
      <c r="B843" s="4" t="s">
        <v>13</v>
      </c>
      <c r="C843" s="4">
        <v>0.69</v>
      </c>
      <c r="D843" s="4">
        <v>0.017</v>
      </c>
      <c r="E843" s="4">
        <v>0.017</v>
      </c>
      <c r="G843" s="4">
        <v>0.017</v>
      </c>
      <c r="H843" s="4">
        <v>0.017</v>
      </c>
      <c r="I843" s="4">
        <v>1.38</v>
      </c>
      <c r="J843" s="4">
        <v>0.018</v>
      </c>
      <c r="K843" s="6" t="b">
        <f t="shared" si="816"/>
        <v>0</v>
      </c>
      <c r="L843" s="6" t="b">
        <f t="shared" ref="L843:L857" si="819">FALSE()</f>
        <v>0</v>
      </c>
      <c r="M843" s="6" t="b">
        <f>TRUE()</f>
        <v>1</v>
      </c>
      <c r="N843" s="4">
        <v>0.524728528934982</v>
      </c>
      <c r="P843" s="4">
        <v>0.867100487683383</v>
      </c>
      <c r="T843" s="4">
        <f t="shared" si="3"/>
        <v>824</v>
      </c>
      <c r="U843" s="4">
        <f t="shared" si="4"/>
        <v>194</v>
      </c>
    </row>
    <row r="844" ht="15.75" customHeight="1">
      <c r="A844" s="4" t="s">
        <v>2256</v>
      </c>
      <c r="B844" s="4" t="s">
        <v>13</v>
      </c>
      <c r="D844" s="4">
        <v>0.0733</v>
      </c>
      <c r="E844" s="4">
        <v>0.0733</v>
      </c>
      <c r="F844" s="4">
        <v>0.4817</v>
      </c>
      <c r="G844" s="4">
        <v>0.0733</v>
      </c>
      <c r="H844" s="4">
        <v>0.0733</v>
      </c>
      <c r="K844" s="6" t="b">
        <f t="shared" si="816"/>
        <v>0</v>
      </c>
      <c r="L844" s="6" t="b">
        <f t="shared" si="819"/>
        <v>0</v>
      </c>
      <c r="M844" s="6" t="b">
        <f t="shared" ref="M844:M845" si="820">FALSE()</f>
        <v>0</v>
      </c>
      <c r="O844" s="4">
        <v>0.393190077232552</v>
      </c>
      <c r="T844" s="4" t="str">
        <f t="shared" si="3"/>
        <v/>
      </c>
      <c r="U844" s="4" t="str">
        <f t="shared" si="4"/>
        <v/>
      </c>
    </row>
    <row r="845" ht="15.75" customHeight="1">
      <c r="A845" s="4" t="s">
        <v>2257</v>
      </c>
      <c r="B845" s="4" t="s">
        <v>13</v>
      </c>
      <c r="D845" s="4">
        <v>0.03</v>
      </c>
      <c r="E845" s="4">
        <v>0.03</v>
      </c>
      <c r="F845" s="4">
        <v>1.23</v>
      </c>
      <c r="G845" s="4">
        <v>0.03</v>
      </c>
      <c r="H845" s="4">
        <v>0.03</v>
      </c>
      <c r="K845" s="6" t="b">
        <f t="shared" si="816"/>
        <v>0</v>
      </c>
      <c r="L845" s="6" t="b">
        <f t="shared" si="819"/>
        <v>0</v>
      </c>
      <c r="M845" s="6" t="b">
        <f t="shared" si="820"/>
        <v>0</v>
      </c>
      <c r="O845" s="4">
        <v>0.802001585472027</v>
      </c>
      <c r="T845" s="4" t="str">
        <f t="shared" si="3"/>
        <v/>
      </c>
      <c r="U845" s="4" t="str">
        <f t="shared" si="4"/>
        <v/>
      </c>
    </row>
    <row r="846" ht="15.75" customHeight="1">
      <c r="A846" s="4" t="s">
        <v>2258</v>
      </c>
      <c r="B846" s="4" t="s">
        <v>13</v>
      </c>
      <c r="D846" s="4">
        <v>0.097</v>
      </c>
      <c r="E846" s="4">
        <v>0.097</v>
      </c>
      <c r="F846" s="4">
        <v>1.808</v>
      </c>
      <c r="G846" s="4">
        <v>0.097</v>
      </c>
      <c r="H846" s="4">
        <v>0.097</v>
      </c>
      <c r="I846" s="4">
        <v>1.216</v>
      </c>
      <c r="K846" s="6" t="b">
        <f t="shared" si="816"/>
        <v>0</v>
      </c>
      <c r="L846" s="6" t="b">
        <f t="shared" si="819"/>
        <v>0</v>
      </c>
      <c r="M846" s="6" t="b">
        <f>TRUE()</f>
        <v>1</v>
      </c>
      <c r="O846" s="4">
        <v>1.03247248616357</v>
      </c>
      <c r="P846" s="4">
        <v>0.795703768885037</v>
      </c>
      <c r="T846" s="4" t="str">
        <f t="shared" si="3"/>
        <v/>
      </c>
      <c r="U846" s="4">
        <f t="shared" si="4"/>
        <v>357</v>
      </c>
    </row>
    <row r="847" ht="15.75" customHeight="1">
      <c r="A847" s="4" t="s">
        <v>2259</v>
      </c>
      <c r="B847" s="4" t="s">
        <v>13</v>
      </c>
      <c r="D847" s="4">
        <v>0.39</v>
      </c>
      <c r="E847" s="4">
        <v>0.39</v>
      </c>
      <c r="F847" s="4">
        <v>5.54</v>
      </c>
      <c r="G847" s="4">
        <v>0.39</v>
      </c>
      <c r="H847" s="4">
        <v>0.39</v>
      </c>
      <c r="K847" s="6" t="b">
        <f t="shared" si="816"/>
        <v>0</v>
      </c>
      <c r="L847" s="6" t="b">
        <f t="shared" si="819"/>
        <v>0</v>
      </c>
      <c r="M847" s="6" t="b">
        <f t="shared" ref="M847:M849" si="821">FALSE()</f>
        <v>0</v>
      </c>
      <c r="O847" s="4">
        <v>1.87793716546911</v>
      </c>
      <c r="T847" s="4" t="str">
        <f t="shared" si="3"/>
        <v/>
      </c>
      <c r="U847" s="4" t="str">
        <f t="shared" si="4"/>
        <v/>
      </c>
    </row>
    <row r="848" ht="15.75" customHeight="1">
      <c r="A848" s="4" t="s">
        <v>2260</v>
      </c>
      <c r="B848" s="4" t="s">
        <v>13</v>
      </c>
      <c r="D848" s="4">
        <v>0.44</v>
      </c>
      <c r="E848" s="4">
        <v>0.44</v>
      </c>
      <c r="F848" s="4">
        <v>0.67</v>
      </c>
      <c r="G848" s="4">
        <v>0.44</v>
      </c>
      <c r="H848" s="4">
        <v>0.44</v>
      </c>
      <c r="K848" s="6" t="b">
        <f t="shared" si="816"/>
        <v>0</v>
      </c>
      <c r="L848" s="6" t="b">
        <f t="shared" si="819"/>
        <v>0</v>
      </c>
      <c r="M848" s="6" t="b">
        <f t="shared" si="821"/>
        <v>0</v>
      </c>
      <c r="O848" s="4">
        <v>0.512823626428664</v>
      </c>
      <c r="T848" s="4" t="str">
        <f t="shared" si="3"/>
        <v/>
      </c>
      <c r="U848" s="4" t="str">
        <f t="shared" si="4"/>
        <v/>
      </c>
    </row>
    <row r="849" ht="15.75" customHeight="1">
      <c r="A849" s="4" t="s">
        <v>2261</v>
      </c>
      <c r="B849" s="4" t="s">
        <v>13</v>
      </c>
      <c r="D849" s="4">
        <v>0.0079</v>
      </c>
      <c r="E849" s="4">
        <v>0.0079</v>
      </c>
      <c r="F849" s="4">
        <v>0.0409</v>
      </c>
      <c r="G849" s="4">
        <v>0.0079</v>
      </c>
      <c r="H849" s="4">
        <v>0.0079</v>
      </c>
      <c r="K849" s="6" t="b">
        <f t="shared" si="816"/>
        <v>0</v>
      </c>
      <c r="L849" s="6" t="b">
        <f t="shared" si="819"/>
        <v>0</v>
      </c>
      <c r="M849" s="6" t="b">
        <f t="shared" si="821"/>
        <v>0</v>
      </c>
      <c r="O849" s="4">
        <v>0.0400857235392856</v>
      </c>
      <c r="T849" s="4" t="str">
        <f t="shared" si="3"/>
        <v/>
      </c>
      <c r="U849" s="4" t="str">
        <f t="shared" si="4"/>
        <v/>
      </c>
    </row>
    <row r="850" ht="15.75" customHeight="1">
      <c r="A850" s="4" t="s">
        <v>2262</v>
      </c>
      <c r="B850" s="4" t="s">
        <v>13</v>
      </c>
      <c r="F850" s="4">
        <v>0.4</v>
      </c>
      <c r="I850" s="4">
        <v>1.07</v>
      </c>
      <c r="K850" s="6" t="b">
        <f t="shared" si="816"/>
        <v>0</v>
      </c>
      <c r="L850" s="6" t="b">
        <f t="shared" si="819"/>
        <v>0</v>
      </c>
      <c r="M850" s="6" t="b">
        <f>TRUE()</f>
        <v>1</v>
      </c>
      <c r="O850" s="4">
        <v>0.336472236621213</v>
      </c>
      <c r="P850" s="4">
        <v>0.727548607277278</v>
      </c>
      <c r="T850" s="4" t="str">
        <f t="shared" si="3"/>
        <v/>
      </c>
      <c r="U850" s="4">
        <f t="shared" si="4"/>
        <v>569</v>
      </c>
    </row>
    <row r="851" ht="15.75" customHeight="1">
      <c r="A851" s="4" t="s">
        <v>2263</v>
      </c>
      <c r="B851" s="4" t="s">
        <v>13</v>
      </c>
      <c r="D851" s="4">
        <v>0.4</v>
      </c>
      <c r="E851" s="4">
        <v>0.4</v>
      </c>
      <c r="F851" s="4">
        <v>2.3</v>
      </c>
      <c r="G851" s="4">
        <v>0.4</v>
      </c>
      <c r="H851" s="4">
        <v>0.4</v>
      </c>
      <c r="K851" s="6" t="b">
        <f t="shared" si="816"/>
        <v>0</v>
      </c>
      <c r="L851" s="6" t="b">
        <f t="shared" si="819"/>
        <v>0</v>
      </c>
      <c r="M851" s="6" t="b">
        <f t="shared" ref="M851:M857" si="822">FALSE()</f>
        <v>0</v>
      </c>
      <c r="O851" s="4">
        <v>1.19392246847244</v>
      </c>
      <c r="T851" s="4" t="str">
        <f t="shared" si="3"/>
        <v/>
      </c>
      <c r="U851" s="4" t="str">
        <f t="shared" si="4"/>
        <v/>
      </c>
    </row>
    <row r="852" ht="15.75" customHeight="1">
      <c r="A852" s="4" t="s">
        <v>2264</v>
      </c>
      <c r="B852" s="4" t="s">
        <v>13</v>
      </c>
      <c r="F852" s="4">
        <v>4.5</v>
      </c>
      <c r="K852" s="6" t="b">
        <f t="shared" si="816"/>
        <v>0</v>
      </c>
      <c r="L852" s="6" t="b">
        <f t="shared" si="819"/>
        <v>0</v>
      </c>
      <c r="M852" s="6" t="b">
        <f t="shared" si="822"/>
        <v>0</v>
      </c>
      <c r="O852" s="4">
        <v>1.70474809223843</v>
      </c>
      <c r="T852" s="4" t="str">
        <f t="shared" si="3"/>
        <v/>
      </c>
      <c r="U852" s="4" t="str">
        <f t="shared" si="4"/>
        <v/>
      </c>
    </row>
    <row r="853" ht="15.75" customHeight="1">
      <c r="A853" s="4" t="s">
        <v>2265</v>
      </c>
      <c r="B853" s="4" t="s">
        <v>13</v>
      </c>
      <c r="D853" s="4">
        <v>0.59</v>
      </c>
      <c r="E853" s="4">
        <v>1.1</v>
      </c>
      <c r="F853" s="4">
        <v>3.48</v>
      </c>
      <c r="G853" s="4">
        <v>0.59</v>
      </c>
      <c r="H853" s="4">
        <v>1.1</v>
      </c>
      <c r="K853" s="6" t="b">
        <f t="shared" si="816"/>
        <v>0</v>
      </c>
      <c r="L853" s="6" t="b">
        <f t="shared" si="819"/>
        <v>0</v>
      </c>
      <c r="M853" s="6" t="b">
        <f t="shared" si="822"/>
        <v>0</v>
      </c>
      <c r="O853" s="4">
        <v>1.49962304642689</v>
      </c>
      <c r="T853" s="4" t="str">
        <f t="shared" si="3"/>
        <v/>
      </c>
      <c r="U853" s="4" t="str">
        <f t="shared" si="4"/>
        <v/>
      </c>
    </row>
    <row r="854" ht="15.75" customHeight="1">
      <c r="A854" s="4" t="s">
        <v>2266</v>
      </c>
      <c r="B854" s="4" t="s">
        <v>13</v>
      </c>
      <c r="D854" s="4">
        <v>0.004</v>
      </c>
      <c r="E854" s="4">
        <v>0.009</v>
      </c>
      <c r="F854" s="4">
        <v>0.029</v>
      </c>
      <c r="G854" s="4">
        <v>0.004</v>
      </c>
      <c r="H854" s="4">
        <v>0.009</v>
      </c>
      <c r="K854" s="6" t="b">
        <f t="shared" si="816"/>
        <v>0</v>
      </c>
      <c r="L854" s="6" t="b">
        <f t="shared" si="819"/>
        <v>0</v>
      </c>
      <c r="M854" s="6" t="b">
        <f t="shared" si="822"/>
        <v>0</v>
      </c>
      <c r="O854" s="4">
        <v>0.0285874568519125</v>
      </c>
      <c r="T854" s="4" t="str">
        <f t="shared" si="3"/>
        <v/>
      </c>
      <c r="U854" s="4" t="str">
        <f t="shared" si="4"/>
        <v/>
      </c>
    </row>
    <row r="855" ht="15.75" customHeight="1">
      <c r="A855" s="4" t="s">
        <v>420</v>
      </c>
      <c r="B855" s="4" t="s">
        <v>13</v>
      </c>
      <c r="C855" s="4">
        <v>0.02778</v>
      </c>
      <c r="D855" s="4">
        <v>0.00208</v>
      </c>
      <c r="E855" s="4">
        <v>0.00208</v>
      </c>
      <c r="I855" s="4">
        <v>0.15568</v>
      </c>
      <c r="J855" s="4">
        <v>0.00464</v>
      </c>
      <c r="K855" s="6" t="b">
        <f t="shared" si="816"/>
        <v>0</v>
      </c>
      <c r="L855" s="6" t="b">
        <f t="shared" si="819"/>
        <v>0</v>
      </c>
      <c r="M855" s="6" t="b">
        <f t="shared" si="822"/>
        <v>0</v>
      </c>
      <c r="N855" s="4">
        <v>0.0274011363479391</v>
      </c>
      <c r="P855" s="4">
        <v>0.1446889153204</v>
      </c>
      <c r="T855" s="4">
        <f t="shared" si="3"/>
        <v>1591</v>
      </c>
      <c r="U855" s="4">
        <f t="shared" si="4"/>
        <v>3237</v>
      </c>
    </row>
    <row r="856" ht="15.75" customHeight="1">
      <c r="A856" s="4" t="s">
        <v>2267</v>
      </c>
      <c r="B856" s="4" t="s">
        <v>13</v>
      </c>
      <c r="D856" s="4">
        <v>0.00434</v>
      </c>
      <c r="E856" s="4">
        <v>0.00434</v>
      </c>
      <c r="F856" s="4">
        <v>0.06277</v>
      </c>
      <c r="G856" s="4">
        <v>0.00434</v>
      </c>
      <c r="H856" s="4">
        <v>0.00434</v>
      </c>
      <c r="K856" s="6" t="b">
        <f t="shared" si="816"/>
        <v>0</v>
      </c>
      <c r="L856" s="6" t="b">
        <f t="shared" si="819"/>
        <v>0</v>
      </c>
      <c r="M856" s="6" t="b">
        <f t="shared" si="822"/>
        <v>0</v>
      </c>
      <c r="O856" s="4">
        <v>0.0608787071810733</v>
      </c>
      <c r="T856" s="4" t="str">
        <f t="shared" si="3"/>
        <v/>
      </c>
      <c r="U856" s="4" t="str">
        <f t="shared" si="4"/>
        <v/>
      </c>
    </row>
    <row r="857" ht="15.75" customHeight="1">
      <c r="A857" s="4" t="s">
        <v>2268</v>
      </c>
      <c r="B857" s="4" t="s">
        <v>13</v>
      </c>
      <c r="D857" s="4">
        <v>0.0805</v>
      </c>
      <c r="E857" s="4">
        <v>0.0805</v>
      </c>
      <c r="F857" s="4">
        <v>0.2073</v>
      </c>
      <c r="G857" s="4">
        <v>0.0805</v>
      </c>
      <c r="H857" s="4">
        <v>0.0805</v>
      </c>
      <c r="K857" s="6" t="b">
        <f t="shared" si="816"/>
        <v>0</v>
      </c>
      <c r="L857" s="6" t="b">
        <f t="shared" si="819"/>
        <v>0</v>
      </c>
      <c r="M857" s="6" t="b">
        <f t="shared" si="822"/>
        <v>0</v>
      </c>
      <c r="O857" s="4">
        <v>0.188386461356205</v>
      </c>
      <c r="T857" s="4" t="str">
        <f t="shared" si="3"/>
        <v/>
      </c>
      <c r="U857" s="4" t="str">
        <f t="shared" si="4"/>
        <v/>
      </c>
    </row>
    <row r="858" ht="15.75" customHeight="1">
      <c r="A858" s="4" t="s">
        <v>2269</v>
      </c>
      <c r="B858" s="4" t="s">
        <v>13</v>
      </c>
      <c r="D858" s="4">
        <v>0.31</v>
      </c>
      <c r="E858" s="4">
        <v>0.31</v>
      </c>
      <c r="F858" s="4">
        <v>20.56</v>
      </c>
      <c r="G858" s="4">
        <v>0.31</v>
      </c>
      <c r="H858" s="4">
        <v>0.31</v>
      </c>
      <c r="I858" s="4">
        <v>1.082</v>
      </c>
      <c r="K858" s="6" t="b">
        <f t="shared" si="816"/>
        <v>0</v>
      </c>
      <c r="L858" s="6" t="b">
        <f t="shared" ref="L858:M858" si="823">TRUE()</f>
        <v>1</v>
      </c>
      <c r="M858" s="6" t="b">
        <f t="shared" si="823"/>
        <v>1</v>
      </c>
      <c r="O858" s="4">
        <v>3.0708397460408</v>
      </c>
      <c r="P858" s="4">
        <v>0.733328970192777</v>
      </c>
      <c r="T858" s="4" t="str">
        <f t="shared" si="3"/>
        <v/>
      </c>
      <c r="U858" s="4">
        <f t="shared" si="4"/>
        <v>546</v>
      </c>
    </row>
    <row r="859" ht="15.75" customHeight="1">
      <c r="A859" s="4" t="s">
        <v>2270</v>
      </c>
      <c r="B859" s="4" t="s">
        <v>13</v>
      </c>
      <c r="D859" s="4">
        <v>0.00235</v>
      </c>
      <c r="E859" s="4">
        <v>0.0013</v>
      </c>
      <c r="F859" s="4">
        <v>0.00628</v>
      </c>
      <c r="G859" s="4">
        <v>0.00235</v>
      </c>
      <c r="H859" s="4">
        <v>0.0013</v>
      </c>
      <c r="K859" s="6" t="b">
        <f t="shared" si="816"/>
        <v>0</v>
      </c>
      <c r="L859" s="6" t="b">
        <f t="shared" ref="L859:M859" si="824">FALSE()</f>
        <v>0</v>
      </c>
      <c r="M859" s="6" t="b">
        <f t="shared" si="824"/>
        <v>0</v>
      </c>
      <c r="O859" s="4">
        <v>0.0062603629708138</v>
      </c>
      <c r="T859" s="4" t="str">
        <f t="shared" si="3"/>
        <v/>
      </c>
      <c r="U859" s="4" t="str">
        <f t="shared" si="4"/>
        <v/>
      </c>
    </row>
    <row r="860" ht="15.75" customHeight="1">
      <c r="A860" s="4" t="s">
        <v>2271</v>
      </c>
      <c r="B860" s="4" t="s">
        <v>13</v>
      </c>
      <c r="D860" s="4">
        <v>0.00177</v>
      </c>
      <c r="E860" s="4">
        <v>0.00249</v>
      </c>
      <c r="F860" s="4">
        <v>0.004801</v>
      </c>
      <c r="G860" s="4">
        <v>0.00177</v>
      </c>
      <c r="H860" s="4">
        <v>0.00249</v>
      </c>
      <c r="K860" s="6" t="b">
        <f t="shared" si="816"/>
        <v>0</v>
      </c>
      <c r="L860" s="6" t="b">
        <f t="shared" ref="L860:M860" si="825">FALSE()</f>
        <v>0</v>
      </c>
      <c r="M860" s="6" t="b">
        <f t="shared" si="825"/>
        <v>0</v>
      </c>
      <c r="O860" s="4">
        <v>0.0047895119542318</v>
      </c>
      <c r="T860" s="4" t="str">
        <f t="shared" si="3"/>
        <v/>
      </c>
      <c r="U860" s="4" t="str">
        <f t="shared" si="4"/>
        <v/>
      </c>
    </row>
    <row r="861" ht="15.75" customHeight="1">
      <c r="A861" s="4" t="s">
        <v>2272</v>
      </c>
      <c r="B861" s="4" t="s">
        <v>13</v>
      </c>
      <c r="D861" s="4">
        <v>0.00259</v>
      </c>
      <c r="E861" s="4">
        <v>0.00287</v>
      </c>
      <c r="F861" s="4">
        <v>0.008511</v>
      </c>
      <c r="G861" s="4">
        <v>0.00259</v>
      </c>
      <c r="H861" s="4">
        <v>0.00287</v>
      </c>
      <c r="K861" s="6" t="b">
        <f t="shared" si="816"/>
        <v>0</v>
      </c>
      <c r="L861" s="6" t="b">
        <f t="shared" ref="L861:M861" si="826">FALSE()</f>
        <v>0</v>
      </c>
      <c r="M861" s="6" t="b">
        <f t="shared" si="826"/>
        <v>0</v>
      </c>
      <c r="O861" s="4">
        <v>0.0084749856406969</v>
      </c>
      <c r="T861" s="4" t="str">
        <f t="shared" si="3"/>
        <v/>
      </c>
      <c r="U861" s="4" t="str">
        <f t="shared" si="4"/>
        <v/>
      </c>
    </row>
    <row r="862" ht="15.75" customHeight="1">
      <c r="A862" s="4" t="s">
        <v>2273</v>
      </c>
      <c r="B862" s="4" t="s">
        <v>13</v>
      </c>
      <c r="D862" s="4">
        <v>0.006711</v>
      </c>
      <c r="E862" s="4">
        <v>0.00145</v>
      </c>
      <c r="F862" s="4">
        <v>0.01091</v>
      </c>
      <c r="G862" s="4">
        <v>0.006711</v>
      </c>
      <c r="H862" s="4">
        <v>0.00145</v>
      </c>
      <c r="K862" s="6" t="b">
        <f t="shared" si="816"/>
        <v>0</v>
      </c>
      <c r="L862" s="6" t="b">
        <f t="shared" ref="L862:M862" si="827">FALSE()</f>
        <v>0</v>
      </c>
      <c r="M862" s="6" t="b">
        <f t="shared" si="827"/>
        <v>0</v>
      </c>
      <c r="O862" s="4">
        <v>0.0108509153042369</v>
      </c>
      <c r="T862" s="4" t="str">
        <f t="shared" si="3"/>
        <v/>
      </c>
      <c r="U862" s="4" t="str">
        <f t="shared" si="4"/>
        <v/>
      </c>
    </row>
    <row r="863" ht="15.75" customHeight="1">
      <c r="A863" s="4" t="s">
        <v>421</v>
      </c>
      <c r="B863" s="4" t="s">
        <v>13</v>
      </c>
      <c r="C863" s="4">
        <v>0.0249</v>
      </c>
      <c r="D863" s="4">
        <v>0.0094</v>
      </c>
      <c r="E863" s="4">
        <v>0.0101</v>
      </c>
      <c r="F863" s="4">
        <v>0.0249</v>
      </c>
      <c r="G863" s="4">
        <v>0.009</v>
      </c>
      <c r="H863" s="4">
        <v>0.0101</v>
      </c>
      <c r="I863" s="4">
        <v>0.24061</v>
      </c>
      <c r="J863" s="4">
        <v>0.008</v>
      </c>
      <c r="K863" s="6" t="b">
        <f t="shared" si="816"/>
        <v>0</v>
      </c>
      <c r="L863" s="6" t="b">
        <f t="shared" ref="L863:M863" si="828">FALSE()</f>
        <v>0</v>
      </c>
      <c r="M863" s="6" t="b">
        <f t="shared" si="828"/>
        <v>0</v>
      </c>
      <c r="N863" s="4">
        <v>0.0245950468553802</v>
      </c>
      <c r="O863" s="4">
        <v>0.0245950468553802</v>
      </c>
      <c r="P863" s="4">
        <v>0.215603194140225</v>
      </c>
      <c r="Q863" s="4">
        <v>-0.612750695943786</v>
      </c>
      <c r="R863" s="4">
        <v>-0.636668523211379</v>
      </c>
      <c r="S863" s="4">
        <v>-1.09391984835739</v>
      </c>
      <c r="T863" s="4">
        <f t="shared" si="3"/>
        <v>1639</v>
      </c>
      <c r="U863" s="4">
        <f t="shared" si="4"/>
        <v>1941</v>
      </c>
    </row>
    <row r="864" ht="15.75" customHeight="1">
      <c r="A864" s="4" t="s">
        <v>2274</v>
      </c>
      <c r="B864" s="4" t="s">
        <v>13</v>
      </c>
      <c r="F864" s="4">
        <v>0.101</v>
      </c>
      <c r="K864" s="6" t="b">
        <f t="shared" si="816"/>
        <v>0</v>
      </c>
      <c r="L864" s="6" t="b">
        <f t="shared" ref="L864:M864" si="829">FALSE()</f>
        <v>0</v>
      </c>
      <c r="M864" s="6" t="b">
        <f t="shared" si="829"/>
        <v>0</v>
      </c>
      <c r="O864" s="4">
        <v>0.0962188577405429</v>
      </c>
      <c r="T864" s="4" t="str">
        <f t="shared" si="3"/>
        <v/>
      </c>
      <c r="U864" s="4" t="str">
        <f t="shared" si="4"/>
        <v/>
      </c>
    </row>
    <row r="865" ht="15.75" customHeight="1">
      <c r="A865" s="4" t="s">
        <v>2275</v>
      </c>
      <c r="B865" s="4" t="s">
        <v>13</v>
      </c>
      <c r="F865" s="4">
        <v>0.246</v>
      </c>
      <c r="K865" s="6" t="b">
        <f t="shared" si="816"/>
        <v>0</v>
      </c>
      <c r="L865" s="6" t="b">
        <f t="shared" ref="L865:M865" si="830">FALSE()</f>
        <v>0</v>
      </c>
      <c r="M865" s="6" t="b">
        <f t="shared" si="830"/>
        <v>0</v>
      </c>
      <c r="O865" s="4">
        <v>0.219938420365261</v>
      </c>
      <c r="T865" s="4" t="str">
        <f t="shared" si="3"/>
        <v/>
      </c>
      <c r="U865" s="4" t="str">
        <f t="shared" si="4"/>
        <v/>
      </c>
    </row>
    <row r="866" ht="15.75" customHeight="1">
      <c r="A866" s="4" t="s">
        <v>2276</v>
      </c>
      <c r="B866" s="4" t="s">
        <v>13</v>
      </c>
      <c r="F866" s="4">
        <v>0.02</v>
      </c>
      <c r="K866" s="6" t="b">
        <f t="shared" si="816"/>
        <v>0</v>
      </c>
      <c r="L866" s="6" t="b">
        <f t="shared" ref="L866:M866" si="831">FALSE()</f>
        <v>0</v>
      </c>
      <c r="M866" s="6" t="b">
        <f t="shared" si="831"/>
        <v>0</v>
      </c>
      <c r="O866" s="4">
        <v>0.0198026272961797</v>
      </c>
      <c r="T866" s="4" t="str">
        <f t="shared" si="3"/>
        <v/>
      </c>
      <c r="U866" s="4" t="str">
        <f t="shared" si="4"/>
        <v/>
      </c>
    </row>
    <row r="867" ht="15.75" customHeight="1">
      <c r="A867" s="4" t="s">
        <v>2277</v>
      </c>
      <c r="B867" s="4" t="s">
        <v>13</v>
      </c>
      <c r="F867" s="4">
        <v>0.33</v>
      </c>
      <c r="K867" s="6" t="b">
        <f t="shared" si="816"/>
        <v>0</v>
      </c>
      <c r="L867" s="6" t="b">
        <f t="shared" ref="L867:M867" si="832">FALSE()</f>
        <v>0</v>
      </c>
      <c r="M867" s="6" t="b">
        <f t="shared" si="832"/>
        <v>0</v>
      </c>
      <c r="O867" s="4">
        <v>0.285178942233662</v>
      </c>
      <c r="T867" s="4" t="str">
        <f t="shared" si="3"/>
        <v/>
      </c>
      <c r="U867" s="4" t="str">
        <f t="shared" si="4"/>
        <v/>
      </c>
    </row>
    <row r="868" ht="15.75" customHeight="1">
      <c r="A868" s="4" t="s">
        <v>2278</v>
      </c>
      <c r="B868" s="4" t="s">
        <v>13</v>
      </c>
      <c r="D868" s="4">
        <v>0.00311</v>
      </c>
      <c r="E868" s="4">
        <v>0.00311</v>
      </c>
      <c r="F868" s="4">
        <v>0.03228</v>
      </c>
      <c r="G868" s="4">
        <v>0.00311</v>
      </c>
      <c r="H868" s="4">
        <v>0.00311</v>
      </c>
      <c r="K868" s="6" t="b">
        <f t="shared" si="816"/>
        <v>0</v>
      </c>
      <c r="L868" s="6" t="b">
        <f t="shared" ref="L868:M868" si="833">FALSE()</f>
        <v>0</v>
      </c>
      <c r="M868" s="6" t="b">
        <f t="shared" si="833"/>
        <v>0</v>
      </c>
      <c r="O868" s="4">
        <v>0.0317699480888022</v>
      </c>
      <c r="T868" s="4" t="str">
        <f t="shared" si="3"/>
        <v/>
      </c>
      <c r="U868" s="4" t="str">
        <f t="shared" si="4"/>
        <v/>
      </c>
    </row>
    <row r="869" ht="15.75" customHeight="1">
      <c r="A869" s="4" t="s">
        <v>2279</v>
      </c>
      <c r="B869" s="4" t="s">
        <v>13</v>
      </c>
      <c r="D869" s="4">
        <v>0.00513</v>
      </c>
      <c r="E869" s="4">
        <v>0.00513</v>
      </c>
      <c r="F869" s="4">
        <v>0.0297</v>
      </c>
      <c r="G869" s="4">
        <v>0.00513</v>
      </c>
      <c r="H869" s="4">
        <v>0.00513</v>
      </c>
      <c r="K869" s="6" t="b">
        <f t="shared" si="816"/>
        <v>0</v>
      </c>
      <c r="L869" s="6" t="b">
        <f t="shared" ref="L869:M869" si="834">FALSE()</f>
        <v>0</v>
      </c>
      <c r="M869" s="6" t="b">
        <f t="shared" si="834"/>
        <v>0</v>
      </c>
      <c r="O869" s="4">
        <v>0.029267497680568</v>
      </c>
      <c r="T869" s="4" t="str">
        <f t="shared" si="3"/>
        <v/>
      </c>
      <c r="U869" s="4" t="str">
        <f t="shared" si="4"/>
        <v/>
      </c>
    </row>
    <row r="870" ht="15.75" customHeight="1">
      <c r="A870" s="4" t="s">
        <v>2280</v>
      </c>
      <c r="B870" s="4" t="s">
        <v>13</v>
      </c>
      <c r="D870" s="4">
        <v>0.12</v>
      </c>
      <c r="E870" s="4">
        <v>0.2</v>
      </c>
      <c r="F870" s="4">
        <v>1.47</v>
      </c>
      <c r="G870" s="4">
        <v>0.12</v>
      </c>
      <c r="H870" s="4">
        <v>0.2</v>
      </c>
      <c r="K870" s="6" t="b">
        <f t="shared" si="816"/>
        <v>0</v>
      </c>
      <c r="L870" s="6" t="b">
        <f t="shared" ref="L870:M870" si="835">FALSE()</f>
        <v>0</v>
      </c>
      <c r="M870" s="6" t="b">
        <f t="shared" si="835"/>
        <v>0</v>
      </c>
      <c r="O870" s="4">
        <v>0.904218150639886</v>
      </c>
      <c r="T870" s="4" t="str">
        <f t="shared" si="3"/>
        <v/>
      </c>
      <c r="U870" s="4" t="str">
        <f t="shared" si="4"/>
        <v/>
      </c>
    </row>
    <row r="871" ht="15.75" customHeight="1">
      <c r="A871" s="4" t="s">
        <v>2281</v>
      </c>
      <c r="B871" s="4" t="s">
        <v>13</v>
      </c>
      <c r="F871" s="4">
        <v>0.65</v>
      </c>
      <c r="K871" s="6" t="b">
        <f t="shared" si="816"/>
        <v>0</v>
      </c>
      <c r="L871" s="6" t="b">
        <f t="shared" ref="L871:M871" si="836">FALSE()</f>
        <v>0</v>
      </c>
      <c r="M871" s="6" t="b">
        <f t="shared" si="836"/>
        <v>0</v>
      </c>
      <c r="O871" s="4">
        <v>0.500775287912489</v>
      </c>
      <c r="T871" s="4" t="str">
        <f t="shared" si="3"/>
        <v/>
      </c>
      <c r="U871" s="4" t="str">
        <f t="shared" si="4"/>
        <v/>
      </c>
    </row>
    <row r="872" ht="15.75" customHeight="1">
      <c r="A872" s="4" t="s">
        <v>2282</v>
      </c>
      <c r="B872" s="4" t="s">
        <v>13</v>
      </c>
      <c r="D872" s="4">
        <v>0.0046</v>
      </c>
      <c r="E872" s="4">
        <v>0.0046</v>
      </c>
      <c r="F872" s="4">
        <v>0.0322</v>
      </c>
      <c r="G872" s="4">
        <v>0.0046</v>
      </c>
      <c r="H872" s="4">
        <v>0.0046</v>
      </c>
      <c r="K872" s="6" t="b">
        <f t="shared" si="816"/>
        <v>0</v>
      </c>
      <c r="L872" s="6" t="b">
        <f t="shared" ref="L872:M872" si="837">FALSE()</f>
        <v>0</v>
      </c>
      <c r="M872" s="6" t="b">
        <f t="shared" si="837"/>
        <v>0</v>
      </c>
      <c r="O872" s="4">
        <v>0.0316924467324897</v>
      </c>
      <c r="T872" s="4" t="str">
        <f t="shared" si="3"/>
        <v/>
      </c>
      <c r="U872" s="4" t="str">
        <f t="shared" si="4"/>
        <v/>
      </c>
    </row>
    <row r="873" ht="15.75" customHeight="1">
      <c r="A873" s="4" t="s">
        <v>2283</v>
      </c>
      <c r="B873" s="4" t="s">
        <v>13</v>
      </c>
      <c r="D873" s="4">
        <v>0.0057</v>
      </c>
      <c r="E873" s="4">
        <v>0.0057</v>
      </c>
      <c r="F873" s="4">
        <v>0.06472</v>
      </c>
      <c r="G873" s="4">
        <v>0.0057</v>
      </c>
      <c r="H873" s="4">
        <v>0.0057</v>
      </c>
      <c r="K873" s="6" t="b">
        <f t="shared" si="816"/>
        <v>0</v>
      </c>
      <c r="L873" s="6" t="b">
        <f t="shared" ref="L873:M873" si="838">FALSE()</f>
        <v>0</v>
      </c>
      <c r="M873" s="6" t="b">
        <f t="shared" si="838"/>
        <v>0</v>
      </c>
      <c r="O873" s="4">
        <v>0.0627118537961636</v>
      </c>
      <c r="T873" s="4" t="str">
        <f t="shared" si="3"/>
        <v/>
      </c>
      <c r="U873" s="4" t="str">
        <f t="shared" si="4"/>
        <v/>
      </c>
    </row>
    <row r="874" ht="15.75" customHeight="1">
      <c r="A874" s="4" t="s">
        <v>2284</v>
      </c>
      <c r="B874" s="4" t="s">
        <v>13</v>
      </c>
      <c r="C874" s="4">
        <v>1.446</v>
      </c>
      <c r="D874" s="4">
        <v>0.067</v>
      </c>
      <c r="E874" s="4">
        <v>0.18</v>
      </c>
      <c r="F874" s="4">
        <v>1.394</v>
      </c>
      <c r="G874" s="4">
        <v>0.06</v>
      </c>
      <c r="H874" s="4">
        <v>0.057</v>
      </c>
      <c r="K874" s="6" t="b">
        <f t="shared" si="816"/>
        <v>0</v>
      </c>
      <c r="L874" s="6" t="b">
        <f t="shared" ref="L874:M874" si="839">FALSE()</f>
        <v>0</v>
      </c>
      <c r="M874" s="6" t="b">
        <f t="shared" si="839"/>
        <v>0</v>
      </c>
      <c r="N874" s="4">
        <v>0.894454037264981</v>
      </c>
      <c r="O874" s="4">
        <v>0.872965607135781</v>
      </c>
      <c r="T874" s="4">
        <f t="shared" si="3"/>
        <v>527</v>
      </c>
      <c r="U874" s="4" t="str">
        <f t="shared" si="4"/>
        <v/>
      </c>
    </row>
    <row r="875" ht="15.75" customHeight="1">
      <c r="A875" s="4" t="s">
        <v>2285</v>
      </c>
      <c r="B875" s="4" t="s">
        <v>13</v>
      </c>
      <c r="C875" s="4">
        <v>4.37</v>
      </c>
      <c r="D875" s="4">
        <v>0.1</v>
      </c>
      <c r="E875" s="4">
        <v>0.13</v>
      </c>
      <c r="F875" s="4">
        <v>4.09</v>
      </c>
      <c r="G875" s="4">
        <v>0.23</v>
      </c>
      <c r="H875" s="4">
        <v>0.23</v>
      </c>
      <c r="K875" s="6" t="b">
        <f>TRUE()</f>
        <v>1</v>
      </c>
      <c r="L875" s="6" t="b">
        <f t="shared" ref="L875:M875" si="840">FALSE()</f>
        <v>0</v>
      </c>
      <c r="M875" s="6" t="b">
        <f t="shared" si="840"/>
        <v>0</v>
      </c>
      <c r="N875" s="4">
        <v>1.68082790852077</v>
      </c>
      <c r="O875" s="4">
        <v>1.62727783056243</v>
      </c>
      <c r="T875" s="4">
        <f t="shared" si="3"/>
        <v>237</v>
      </c>
      <c r="U875" s="4" t="str">
        <f t="shared" si="4"/>
        <v/>
      </c>
    </row>
    <row r="876" ht="15.75" customHeight="1">
      <c r="A876" s="4" t="s">
        <v>2286</v>
      </c>
      <c r="B876" s="4" t="s">
        <v>13</v>
      </c>
      <c r="D876" s="4">
        <v>0.002</v>
      </c>
      <c r="E876" s="4">
        <v>0.002</v>
      </c>
      <c r="F876" s="4">
        <v>0.023</v>
      </c>
      <c r="G876" s="4">
        <v>0.002</v>
      </c>
      <c r="H876" s="4">
        <v>0.002</v>
      </c>
      <c r="K876" s="6" t="b">
        <f t="shared" ref="K876:M876" si="841">FALSE()</f>
        <v>0</v>
      </c>
      <c r="L876" s="6" t="b">
        <f t="shared" si="841"/>
        <v>0</v>
      </c>
      <c r="M876" s="6" t="b">
        <f t="shared" si="841"/>
        <v>0</v>
      </c>
      <c r="O876" s="4">
        <v>0.0227394869694894</v>
      </c>
      <c r="T876" s="4" t="str">
        <f t="shared" si="3"/>
        <v/>
      </c>
      <c r="U876" s="4" t="str">
        <f t="shared" si="4"/>
        <v/>
      </c>
    </row>
    <row r="877" ht="15.75" customHeight="1">
      <c r="A877" s="4" t="s">
        <v>2287</v>
      </c>
      <c r="B877" s="4" t="s">
        <v>13</v>
      </c>
      <c r="C877" s="4">
        <v>0.524</v>
      </c>
      <c r="D877" s="4">
        <v>0.063</v>
      </c>
      <c r="E877" s="4">
        <v>0.347</v>
      </c>
      <c r="K877" s="6" t="b">
        <f t="shared" ref="K877:M877" si="842">FALSE()</f>
        <v>0</v>
      </c>
      <c r="L877" s="6" t="b">
        <f t="shared" si="842"/>
        <v>0</v>
      </c>
      <c r="M877" s="6" t="b">
        <f t="shared" si="842"/>
        <v>0</v>
      </c>
      <c r="N877" s="4">
        <v>0.421338457264455</v>
      </c>
      <c r="T877" s="4">
        <f t="shared" si="3"/>
        <v>940</v>
      </c>
      <c r="U877" s="4" t="str">
        <f t="shared" si="4"/>
        <v/>
      </c>
    </row>
    <row r="878" ht="15.75" customHeight="1">
      <c r="A878" s="4" t="s">
        <v>2288</v>
      </c>
      <c r="B878" s="4" t="s">
        <v>13</v>
      </c>
      <c r="D878" s="4">
        <v>0.02</v>
      </c>
      <c r="E878" s="4">
        <v>0.02</v>
      </c>
      <c r="F878" s="4">
        <v>0.21</v>
      </c>
      <c r="G878" s="4">
        <v>0.02</v>
      </c>
      <c r="H878" s="4">
        <v>0.02</v>
      </c>
      <c r="K878" s="6" t="b">
        <f t="shared" ref="K878:M878" si="843">FALSE()</f>
        <v>0</v>
      </c>
      <c r="L878" s="6" t="b">
        <f t="shared" si="843"/>
        <v>0</v>
      </c>
      <c r="M878" s="6" t="b">
        <f t="shared" si="843"/>
        <v>0</v>
      </c>
      <c r="O878" s="4">
        <v>0.19062035960865</v>
      </c>
      <c r="T878" s="4" t="str">
        <f t="shared" si="3"/>
        <v/>
      </c>
      <c r="U878" s="4" t="str">
        <f t="shared" si="4"/>
        <v/>
      </c>
    </row>
    <row r="879" ht="15.75" customHeight="1">
      <c r="A879" s="4" t="s">
        <v>422</v>
      </c>
      <c r="B879" s="4" t="s">
        <v>13</v>
      </c>
      <c r="C879" s="4">
        <v>0.01343</v>
      </c>
      <c r="D879" s="4">
        <v>0.00107</v>
      </c>
      <c r="E879" s="4">
        <v>0.00107</v>
      </c>
      <c r="I879" s="4">
        <v>0.134</v>
      </c>
      <c r="J879" s="4">
        <v>0.00509</v>
      </c>
      <c r="K879" s="6" t="b">
        <f t="shared" ref="K879:M879" si="844">FALSE()</f>
        <v>0</v>
      </c>
      <c r="L879" s="6" t="b">
        <f t="shared" si="844"/>
        <v>0</v>
      </c>
      <c r="M879" s="6" t="b">
        <f t="shared" si="844"/>
        <v>0</v>
      </c>
      <c r="N879" s="4">
        <v>0.0133406169370741</v>
      </c>
      <c r="P879" s="4">
        <v>0.12575120530556</v>
      </c>
      <c r="T879" s="4">
        <f t="shared" si="3"/>
        <v>1859</v>
      </c>
      <c r="U879" s="4">
        <f t="shared" si="4"/>
        <v>3622</v>
      </c>
    </row>
    <row r="880" ht="15.75" customHeight="1">
      <c r="A880" s="4" t="s">
        <v>423</v>
      </c>
      <c r="B880" s="4" t="s">
        <v>13</v>
      </c>
      <c r="C880" s="4">
        <v>0.01246</v>
      </c>
      <c r="D880" s="4">
        <v>0.00107</v>
      </c>
      <c r="E880" s="4">
        <v>0.00107</v>
      </c>
      <c r="F880" s="4">
        <v>0.004754</v>
      </c>
      <c r="G880" s="4">
        <v>1.48E-4</v>
      </c>
      <c r="H880" s="4">
        <v>1.48E-4</v>
      </c>
      <c r="I880" s="4">
        <v>0.12624</v>
      </c>
      <c r="J880" s="4">
        <v>0.00437</v>
      </c>
      <c r="K880" s="6" t="b">
        <f t="shared" ref="K880:M880" si="845">FALSE()</f>
        <v>0</v>
      </c>
      <c r="L880" s="6" t="b">
        <f t="shared" si="845"/>
        <v>0</v>
      </c>
      <c r="M880" s="6" t="b">
        <f t="shared" si="845"/>
        <v>0</v>
      </c>
      <c r="N880" s="4">
        <v>0.0123830130453282</v>
      </c>
      <c r="O880" s="4">
        <v>0.0047427354290722</v>
      </c>
      <c r="P880" s="4">
        <v>0.118884650877684</v>
      </c>
      <c r="Q880" s="4">
        <v>-0.620391570567084</v>
      </c>
      <c r="R880" s="4">
        <v>-0.649449892263297</v>
      </c>
      <c r="S880" s="4">
        <v>-1.30790827784059</v>
      </c>
      <c r="T880" s="4">
        <f t="shared" si="3"/>
        <v>1882</v>
      </c>
      <c r="U880" s="4">
        <f t="shared" si="4"/>
        <v>3757</v>
      </c>
    </row>
    <row r="881" ht="15.75" customHeight="1">
      <c r="A881" s="4" t="s">
        <v>2289</v>
      </c>
      <c r="B881" s="4" t="s">
        <v>13</v>
      </c>
      <c r="C881" s="4">
        <v>0.05236</v>
      </c>
      <c r="F881" s="4">
        <v>0.067</v>
      </c>
      <c r="G881" s="4">
        <v>0.004</v>
      </c>
      <c r="H881" s="4">
        <v>0.004</v>
      </c>
      <c r="K881" s="6" t="b">
        <f t="shared" ref="K881:M881" si="846">FALSE()</f>
        <v>0</v>
      </c>
      <c r="L881" s="6" t="b">
        <f t="shared" si="846"/>
        <v>0</v>
      </c>
      <c r="M881" s="6" t="b">
        <f t="shared" si="846"/>
        <v>0</v>
      </c>
      <c r="N881" s="4">
        <v>0.0510352610998249</v>
      </c>
      <c r="O881" s="4">
        <v>0.0648509723196163</v>
      </c>
      <c r="T881" s="4">
        <f t="shared" si="3"/>
        <v>1389</v>
      </c>
      <c r="U881" s="4" t="str">
        <f t="shared" si="4"/>
        <v/>
      </c>
    </row>
    <row r="882" ht="15.75" customHeight="1">
      <c r="A882" s="4" t="s">
        <v>2290</v>
      </c>
      <c r="B882" s="4" t="s">
        <v>13</v>
      </c>
      <c r="D882" s="4">
        <v>0.006</v>
      </c>
      <c r="E882" s="4">
        <v>0.189</v>
      </c>
      <c r="F882" s="4">
        <v>0.223</v>
      </c>
      <c r="G882" s="4">
        <v>0.006</v>
      </c>
      <c r="H882" s="4">
        <v>0.189</v>
      </c>
      <c r="K882" s="6" t="b">
        <f t="shared" ref="K882:M882" si="847">FALSE()</f>
        <v>0</v>
      </c>
      <c r="L882" s="6" t="b">
        <f t="shared" si="847"/>
        <v>0</v>
      </c>
      <c r="M882" s="6" t="b">
        <f t="shared" si="847"/>
        <v>0</v>
      </c>
      <c r="O882" s="4">
        <v>0.201306856705035</v>
      </c>
      <c r="T882" s="4" t="str">
        <f t="shared" si="3"/>
        <v/>
      </c>
      <c r="U882" s="4" t="str">
        <f t="shared" si="4"/>
        <v/>
      </c>
    </row>
    <row r="883" ht="15.75" customHeight="1">
      <c r="A883" s="4" t="s">
        <v>2291</v>
      </c>
      <c r="B883" s="4" t="s">
        <v>13</v>
      </c>
      <c r="C883" s="4">
        <v>0.0208</v>
      </c>
      <c r="F883" s="4">
        <v>0.028</v>
      </c>
      <c r="G883" s="4">
        <v>0.003</v>
      </c>
      <c r="H883" s="4">
        <v>0.003</v>
      </c>
      <c r="K883" s="6" t="b">
        <f t="shared" ref="K883:M883" si="848">FALSE()</f>
        <v>0</v>
      </c>
      <c r="L883" s="6" t="b">
        <f t="shared" si="848"/>
        <v>0</v>
      </c>
      <c r="M883" s="6" t="b">
        <f t="shared" si="848"/>
        <v>0</v>
      </c>
      <c r="N883" s="4">
        <v>0.0205866336083883</v>
      </c>
      <c r="O883" s="4">
        <v>0.0276151670329733</v>
      </c>
      <c r="T883" s="4">
        <f t="shared" si="3"/>
        <v>1711</v>
      </c>
      <c r="U883" s="4" t="str">
        <f t="shared" si="4"/>
        <v/>
      </c>
    </row>
    <row r="884" ht="15.75" customHeight="1">
      <c r="A884" s="4" t="s">
        <v>2292</v>
      </c>
      <c r="B884" s="4" t="s">
        <v>13</v>
      </c>
      <c r="D884" s="4">
        <v>0.004</v>
      </c>
      <c r="E884" s="4">
        <v>0.004</v>
      </c>
      <c r="F884" s="4">
        <v>0.034</v>
      </c>
      <c r="G884" s="4">
        <v>0.004</v>
      </c>
      <c r="H884" s="4">
        <v>0.004</v>
      </c>
      <c r="K884" s="6" t="b">
        <f t="shared" ref="K884:M884" si="849">FALSE()</f>
        <v>0</v>
      </c>
      <c r="L884" s="6" t="b">
        <f t="shared" si="849"/>
        <v>0</v>
      </c>
      <c r="M884" s="6" t="b">
        <f t="shared" si="849"/>
        <v>0</v>
      </c>
      <c r="O884" s="4">
        <v>0.0334347760862373</v>
      </c>
      <c r="T884" s="4" t="str">
        <f t="shared" si="3"/>
        <v/>
      </c>
      <c r="U884" s="4" t="str">
        <f t="shared" si="4"/>
        <v/>
      </c>
    </row>
    <row r="885" ht="15.75" customHeight="1">
      <c r="A885" s="4" t="s">
        <v>2293</v>
      </c>
      <c r="B885" s="4" t="s">
        <v>13</v>
      </c>
      <c r="D885" s="4">
        <v>0.014</v>
      </c>
      <c r="E885" s="4">
        <v>0.014</v>
      </c>
      <c r="F885" s="4">
        <v>0.308</v>
      </c>
      <c r="G885" s="4">
        <v>0.014</v>
      </c>
      <c r="H885" s="4">
        <v>0.014</v>
      </c>
      <c r="K885" s="6" t="b">
        <f t="shared" ref="K885:M885" si="850">FALSE()</f>
        <v>0</v>
      </c>
      <c r="L885" s="6" t="b">
        <f t="shared" si="850"/>
        <v>0</v>
      </c>
      <c r="M885" s="6" t="b">
        <f t="shared" si="850"/>
        <v>0</v>
      </c>
      <c r="O885" s="4">
        <v>0.268499253035007</v>
      </c>
      <c r="T885" s="4" t="str">
        <f t="shared" si="3"/>
        <v/>
      </c>
      <c r="U885" s="4" t="str">
        <f t="shared" si="4"/>
        <v/>
      </c>
    </row>
    <row r="886" ht="15.75" customHeight="1">
      <c r="A886" s="4" t="s">
        <v>2294</v>
      </c>
      <c r="B886" s="4" t="s">
        <v>13</v>
      </c>
      <c r="D886" s="4">
        <v>0.2</v>
      </c>
      <c r="E886" s="4">
        <v>0.05</v>
      </c>
      <c r="F886" s="4">
        <v>0.78</v>
      </c>
      <c r="G886" s="4">
        <v>0.2</v>
      </c>
      <c r="H886" s="4">
        <v>0.05</v>
      </c>
      <c r="K886" s="6" t="b">
        <f t="shared" ref="K886:M886" si="851">FALSE()</f>
        <v>0</v>
      </c>
      <c r="L886" s="6" t="b">
        <f t="shared" si="851"/>
        <v>0</v>
      </c>
      <c r="M886" s="6" t="b">
        <f t="shared" si="851"/>
        <v>0</v>
      </c>
      <c r="O886" s="4">
        <v>0.576613364303994</v>
      </c>
      <c r="T886" s="4" t="str">
        <f t="shared" si="3"/>
        <v/>
      </c>
      <c r="U886" s="4" t="str">
        <f t="shared" si="4"/>
        <v/>
      </c>
    </row>
    <row r="887" ht="15.75" customHeight="1">
      <c r="A887" s="4" t="s">
        <v>2295</v>
      </c>
      <c r="B887" s="4" t="s">
        <v>13</v>
      </c>
      <c r="F887" s="4">
        <v>1.0</v>
      </c>
      <c r="K887" s="6" t="b">
        <f t="shared" ref="K887:M887" si="852">FALSE()</f>
        <v>0</v>
      </c>
      <c r="L887" s="6" t="b">
        <f t="shared" si="852"/>
        <v>0</v>
      </c>
      <c r="M887" s="6" t="b">
        <f t="shared" si="852"/>
        <v>0</v>
      </c>
      <c r="O887" s="4">
        <v>0.693147180559945</v>
      </c>
      <c r="T887" s="4" t="str">
        <f t="shared" si="3"/>
        <v/>
      </c>
      <c r="U887" s="4" t="str">
        <f t="shared" si="4"/>
        <v/>
      </c>
    </row>
    <row r="888" ht="15.75" customHeight="1">
      <c r="A888" s="4" t="s">
        <v>424</v>
      </c>
      <c r="B888" s="4" t="s">
        <v>13</v>
      </c>
      <c r="C888" s="4">
        <v>0.0522</v>
      </c>
      <c r="D888" s="4">
        <v>0.0041</v>
      </c>
      <c r="E888" s="4">
        <v>0.0041</v>
      </c>
      <c r="I888" s="4">
        <v>0.4202</v>
      </c>
      <c r="J888" s="4">
        <v>0.0152</v>
      </c>
      <c r="K888" s="6" t="b">
        <f t="shared" ref="K888:M888" si="853">FALSE()</f>
        <v>0</v>
      </c>
      <c r="L888" s="6" t="b">
        <f t="shared" si="853"/>
        <v>0</v>
      </c>
      <c r="M888" s="6" t="b">
        <f t="shared" si="853"/>
        <v>0</v>
      </c>
      <c r="N888" s="4">
        <v>0.0508832103145698</v>
      </c>
      <c r="P888" s="4">
        <v>0.350797706765856</v>
      </c>
      <c r="T888" s="4">
        <f t="shared" si="3"/>
        <v>1390</v>
      </c>
      <c r="U888" s="4">
        <f t="shared" si="4"/>
        <v>1091</v>
      </c>
    </row>
    <row r="889" ht="15.75" customHeight="1">
      <c r="A889" s="4" t="s">
        <v>2296</v>
      </c>
      <c r="B889" s="4" t="s">
        <v>13</v>
      </c>
      <c r="D889" s="4">
        <v>0.0044</v>
      </c>
      <c r="E889" s="4">
        <v>0.0044</v>
      </c>
      <c r="F889" s="4">
        <v>0.0661</v>
      </c>
      <c r="G889" s="4">
        <v>0.0044</v>
      </c>
      <c r="H889" s="4">
        <v>0.0044</v>
      </c>
      <c r="K889" s="6" t="b">
        <f t="shared" ref="K889:M889" si="854">FALSE()</f>
        <v>0</v>
      </c>
      <c r="L889" s="6" t="b">
        <f t="shared" si="854"/>
        <v>0</v>
      </c>
      <c r="M889" s="6" t="b">
        <f t="shared" si="854"/>
        <v>0</v>
      </c>
      <c r="O889" s="4">
        <v>0.0640071299742923</v>
      </c>
      <c r="T889" s="4" t="str">
        <f t="shared" si="3"/>
        <v/>
      </c>
      <c r="U889" s="4" t="str">
        <f t="shared" si="4"/>
        <v/>
      </c>
    </row>
    <row r="890" ht="15.75" customHeight="1">
      <c r="A890" s="4" t="s">
        <v>2297</v>
      </c>
      <c r="B890" s="4" t="s">
        <v>13</v>
      </c>
      <c r="D890" s="4">
        <v>1.8</v>
      </c>
      <c r="E890" s="4">
        <v>1.8</v>
      </c>
      <c r="F890" s="4">
        <v>11.1</v>
      </c>
      <c r="G890" s="4">
        <v>1.8</v>
      </c>
      <c r="H890" s="4">
        <v>1.8</v>
      </c>
      <c r="K890" s="6" t="b">
        <f t="shared" ref="K890:K898" si="855">FALSE()</f>
        <v>0</v>
      </c>
      <c r="L890" s="6" t="b">
        <f>TRUE()</f>
        <v>1</v>
      </c>
      <c r="M890" s="6" t="b">
        <f>FALSE()</f>
        <v>0</v>
      </c>
      <c r="O890" s="4">
        <v>2.4932054526027</v>
      </c>
      <c r="T890" s="4" t="str">
        <f t="shared" si="3"/>
        <v/>
      </c>
      <c r="U890" s="4" t="str">
        <f t="shared" si="4"/>
        <v/>
      </c>
    </row>
    <row r="891" ht="15.75" customHeight="1">
      <c r="A891" s="4" t="s">
        <v>2298</v>
      </c>
      <c r="B891" s="4" t="s">
        <v>13</v>
      </c>
      <c r="D891" s="4">
        <v>0.04</v>
      </c>
      <c r="E891" s="4">
        <v>0.07</v>
      </c>
      <c r="F891" s="4">
        <v>0.2</v>
      </c>
      <c r="G891" s="4">
        <v>0.04</v>
      </c>
      <c r="H891" s="4">
        <v>0.07</v>
      </c>
      <c r="K891" s="6" t="b">
        <f t="shared" si="855"/>
        <v>0</v>
      </c>
      <c r="L891" s="6" t="b">
        <f t="shared" ref="L891:M891" si="856">FALSE()</f>
        <v>0</v>
      </c>
      <c r="M891" s="6" t="b">
        <f t="shared" si="856"/>
        <v>0</v>
      </c>
      <c r="O891" s="4">
        <v>0.182321556793955</v>
      </c>
      <c r="T891" s="4" t="str">
        <f t="shared" si="3"/>
        <v/>
      </c>
      <c r="U891" s="4" t="str">
        <f t="shared" si="4"/>
        <v/>
      </c>
    </row>
    <row r="892" ht="15.75" customHeight="1">
      <c r="A892" s="4" t="s">
        <v>2299</v>
      </c>
      <c r="B892" s="4" t="s">
        <v>13</v>
      </c>
      <c r="D892" s="4">
        <v>0.09</v>
      </c>
      <c r="E892" s="4">
        <v>0.09</v>
      </c>
      <c r="F892" s="4">
        <v>1.06</v>
      </c>
      <c r="G892" s="4">
        <v>0.09</v>
      </c>
      <c r="H892" s="4">
        <v>0.09</v>
      </c>
      <c r="K892" s="6" t="b">
        <f t="shared" si="855"/>
        <v>0</v>
      </c>
      <c r="L892" s="6" t="b">
        <f t="shared" ref="L892:M892" si="857">FALSE()</f>
        <v>0</v>
      </c>
      <c r="M892" s="6" t="b">
        <f t="shared" si="857"/>
        <v>0</v>
      </c>
      <c r="O892" s="4">
        <v>0.72270598280149</v>
      </c>
      <c r="T892" s="4" t="str">
        <f t="shared" si="3"/>
        <v/>
      </c>
      <c r="U892" s="4" t="str">
        <f t="shared" si="4"/>
        <v/>
      </c>
    </row>
    <row r="893" ht="15.75" customHeight="1">
      <c r="A893" s="4" t="s">
        <v>2300</v>
      </c>
      <c r="B893" s="4" t="s">
        <v>13</v>
      </c>
      <c r="D893" s="4">
        <v>0.15</v>
      </c>
      <c r="E893" s="4">
        <v>0.15</v>
      </c>
      <c r="F893" s="4">
        <v>3.18</v>
      </c>
      <c r="G893" s="4">
        <v>0.15</v>
      </c>
      <c r="H893" s="4">
        <v>0.15</v>
      </c>
      <c r="K893" s="6" t="b">
        <f t="shared" si="855"/>
        <v>0</v>
      </c>
      <c r="L893" s="6" t="b">
        <f t="shared" ref="L893:M893" si="858">FALSE()</f>
        <v>0</v>
      </c>
      <c r="M893" s="6" t="b">
        <f t="shared" si="858"/>
        <v>0</v>
      </c>
      <c r="O893" s="4">
        <v>1.43031124653667</v>
      </c>
      <c r="T893" s="4" t="str">
        <f t="shared" si="3"/>
        <v/>
      </c>
      <c r="U893" s="4" t="str">
        <f t="shared" si="4"/>
        <v/>
      </c>
    </row>
    <row r="894" ht="15.75" customHeight="1">
      <c r="A894" s="4" t="s">
        <v>2301</v>
      </c>
      <c r="B894" s="4" t="s">
        <v>13</v>
      </c>
      <c r="D894" s="4">
        <v>0.79</v>
      </c>
      <c r="E894" s="4">
        <v>0.79</v>
      </c>
      <c r="F894" s="4">
        <v>3.09</v>
      </c>
      <c r="G894" s="4">
        <v>0.79</v>
      </c>
      <c r="H894" s="4">
        <v>0.79</v>
      </c>
      <c r="K894" s="6" t="b">
        <f t="shared" si="855"/>
        <v>0</v>
      </c>
      <c r="L894" s="6" t="b">
        <f t="shared" ref="L894:M894" si="859">FALSE()</f>
        <v>0</v>
      </c>
      <c r="M894" s="6" t="b">
        <f t="shared" si="859"/>
        <v>0</v>
      </c>
      <c r="O894" s="4">
        <v>1.40854497005471</v>
      </c>
      <c r="T894" s="4" t="str">
        <f t="shared" si="3"/>
        <v/>
      </c>
      <c r="U894" s="4" t="str">
        <f t="shared" si="4"/>
        <v/>
      </c>
    </row>
    <row r="895" ht="15.75" customHeight="1">
      <c r="A895" s="4" t="s">
        <v>425</v>
      </c>
      <c r="B895" s="4" t="s">
        <v>13</v>
      </c>
      <c r="C895" s="4">
        <v>0.1904</v>
      </c>
      <c r="D895" s="4">
        <v>0.0179</v>
      </c>
      <c r="E895" s="4">
        <v>0.0179</v>
      </c>
      <c r="I895" s="4">
        <v>0.836</v>
      </c>
      <c r="J895" s="4">
        <v>0.028</v>
      </c>
      <c r="K895" s="6" t="b">
        <f t="shared" si="855"/>
        <v>0</v>
      </c>
      <c r="L895" s="6" t="b">
        <f t="shared" ref="L895:L899" si="860">FALSE()</f>
        <v>0</v>
      </c>
      <c r="M895" s="6" t="b">
        <f>TRUE()</f>
        <v>1</v>
      </c>
      <c r="N895" s="4">
        <v>0.17428938509669</v>
      </c>
      <c r="P895" s="4">
        <v>0.607589292198299</v>
      </c>
      <c r="T895" s="4">
        <f t="shared" si="3"/>
        <v>1161</v>
      </c>
      <c r="U895" s="4">
        <f t="shared" si="4"/>
        <v>814</v>
      </c>
    </row>
    <row r="896" ht="15.75" customHeight="1">
      <c r="A896" s="4" t="s">
        <v>2302</v>
      </c>
      <c r="B896" s="4" t="s">
        <v>13</v>
      </c>
      <c r="D896" s="4">
        <v>0.14</v>
      </c>
      <c r="E896" s="4">
        <v>0.14</v>
      </c>
      <c r="F896" s="4">
        <v>1.61</v>
      </c>
      <c r="G896" s="4">
        <v>0.14</v>
      </c>
      <c r="H896" s="4">
        <v>0.14</v>
      </c>
      <c r="K896" s="6" t="b">
        <f t="shared" si="855"/>
        <v>0</v>
      </c>
      <c r="L896" s="6" t="b">
        <f t="shared" si="860"/>
        <v>0</v>
      </c>
      <c r="M896" s="6" t="b">
        <f t="shared" ref="M896:M901" si="861">FALSE()</f>
        <v>0</v>
      </c>
      <c r="O896" s="4">
        <v>0.959350221334602</v>
      </c>
      <c r="T896" s="4" t="str">
        <f t="shared" si="3"/>
        <v/>
      </c>
      <c r="U896" s="4" t="str">
        <f t="shared" si="4"/>
        <v/>
      </c>
    </row>
    <row r="897" ht="15.75" customHeight="1">
      <c r="A897" s="4" t="s">
        <v>2303</v>
      </c>
      <c r="B897" s="4" t="s">
        <v>13</v>
      </c>
      <c r="D897" s="4">
        <v>0.11</v>
      </c>
      <c r="E897" s="4">
        <v>0.11</v>
      </c>
      <c r="F897" s="4">
        <v>1.56</v>
      </c>
      <c r="G897" s="4">
        <v>0.11</v>
      </c>
      <c r="H897" s="4">
        <v>0.11</v>
      </c>
      <c r="K897" s="6" t="b">
        <f t="shared" si="855"/>
        <v>0</v>
      </c>
      <c r="L897" s="6" t="b">
        <f t="shared" si="860"/>
        <v>0</v>
      </c>
      <c r="M897" s="6" t="b">
        <f t="shared" si="861"/>
        <v>0</v>
      </c>
      <c r="O897" s="4">
        <v>0.940007258491471</v>
      </c>
      <c r="T897" s="4" t="str">
        <f t="shared" si="3"/>
        <v/>
      </c>
      <c r="U897" s="4" t="str">
        <f t="shared" si="4"/>
        <v/>
      </c>
    </row>
    <row r="898" ht="15.75" customHeight="1">
      <c r="A898" s="4" t="s">
        <v>2304</v>
      </c>
      <c r="B898" s="4" t="s">
        <v>13</v>
      </c>
      <c r="D898" s="4">
        <v>0.53</v>
      </c>
      <c r="E898" s="4">
        <v>0.67</v>
      </c>
      <c r="F898" s="4">
        <v>1.9</v>
      </c>
      <c r="G898" s="4">
        <v>0.53</v>
      </c>
      <c r="H898" s="4">
        <v>0.67</v>
      </c>
      <c r="K898" s="6" t="b">
        <f t="shared" si="855"/>
        <v>0</v>
      </c>
      <c r="L898" s="6" t="b">
        <f t="shared" si="860"/>
        <v>0</v>
      </c>
      <c r="M898" s="6" t="b">
        <f t="shared" si="861"/>
        <v>0</v>
      </c>
      <c r="O898" s="4">
        <v>1.06471073699243</v>
      </c>
      <c r="T898" s="4" t="str">
        <f t="shared" si="3"/>
        <v/>
      </c>
      <c r="U898" s="4" t="str">
        <f t="shared" si="4"/>
        <v/>
      </c>
    </row>
    <row r="899" ht="15.75" customHeight="1">
      <c r="A899" s="4" t="s">
        <v>2305</v>
      </c>
      <c r="B899" s="4" t="s">
        <v>13</v>
      </c>
      <c r="C899" s="4">
        <v>5.19</v>
      </c>
      <c r="D899" s="4">
        <v>0.58</v>
      </c>
      <c r="E899" s="4">
        <v>0.58</v>
      </c>
      <c r="K899" s="6" t="b">
        <f>TRUE()</f>
        <v>1</v>
      </c>
      <c r="L899" s="6" t="b">
        <f t="shared" si="860"/>
        <v>0</v>
      </c>
      <c r="M899" s="6" t="b">
        <f t="shared" si="861"/>
        <v>0</v>
      </c>
      <c r="N899" s="4">
        <v>1.82293508669651</v>
      </c>
      <c r="T899" s="4">
        <f t="shared" si="3"/>
        <v>203</v>
      </c>
      <c r="U899" s="4" t="str">
        <f t="shared" si="4"/>
        <v/>
      </c>
    </row>
    <row r="900" ht="15.75" customHeight="1">
      <c r="A900" s="4" t="s">
        <v>2306</v>
      </c>
      <c r="B900" s="4" t="s">
        <v>13</v>
      </c>
      <c r="D900" s="4">
        <v>0.65</v>
      </c>
      <c r="E900" s="4">
        <v>0.65</v>
      </c>
      <c r="F900" s="4">
        <v>7.75</v>
      </c>
      <c r="G900" s="4">
        <v>0.65</v>
      </c>
      <c r="H900" s="4">
        <v>0.65</v>
      </c>
      <c r="K900" s="6" t="b">
        <f>FALSE()</f>
        <v>0</v>
      </c>
      <c r="L900" s="6" t="b">
        <f>TRUE()</f>
        <v>1</v>
      </c>
      <c r="M900" s="6" t="b">
        <f t="shared" si="861"/>
        <v>0</v>
      </c>
      <c r="O900" s="4">
        <v>2.16905370036952</v>
      </c>
      <c r="T900" s="4" t="str">
        <f t="shared" si="3"/>
        <v/>
      </c>
      <c r="U900" s="4" t="str">
        <f t="shared" si="4"/>
        <v/>
      </c>
    </row>
    <row r="901" ht="15.75" customHeight="1">
      <c r="A901" s="4" t="s">
        <v>2307</v>
      </c>
      <c r="B901" s="4" t="s">
        <v>13</v>
      </c>
      <c r="C901" s="4">
        <v>6.531</v>
      </c>
      <c r="D901" s="4">
        <v>0.349</v>
      </c>
      <c r="E901" s="4">
        <v>1.836</v>
      </c>
      <c r="F901" s="4">
        <v>5.97</v>
      </c>
      <c r="G901" s="4">
        <v>0.42</v>
      </c>
      <c r="H901" s="4">
        <v>0.42</v>
      </c>
      <c r="K901" s="6" t="b">
        <f t="shared" ref="K901:L901" si="862">TRUE()</f>
        <v>1</v>
      </c>
      <c r="L901" s="6" t="b">
        <f t="shared" si="862"/>
        <v>1</v>
      </c>
      <c r="M901" s="6" t="b">
        <f t="shared" si="861"/>
        <v>0</v>
      </c>
      <c r="N901" s="4">
        <v>2.01902783511922</v>
      </c>
      <c r="O901" s="4">
        <v>1.94161522477243</v>
      </c>
      <c r="T901" s="4">
        <f t="shared" si="3"/>
        <v>146</v>
      </c>
      <c r="U901" s="4" t="str">
        <f t="shared" si="4"/>
        <v/>
      </c>
    </row>
    <row r="902" ht="15.75" customHeight="1">
      <c r="A902" s="4" t="s">
        <v>2308</v>
      </c>
      <c r="B902" s="4" t="s">
        <v>13</v>
      </c>
      <c r="F902" s="4">
        <v>0.71</v>
      </c>
      <c r="K902" s="6" t="b">
        <f t="shared" ref="K902:M902" si="863">FALSE()</f>
        <v>0</v>
      </c>
      <c r="L902" s="6" t="b">
        <f t="shared" si="863"/>
        <v>0</v>
      </c>
      <c r="M902" s="6" t="b">
        <f t="shared" si="863"/>
        <v>0</v>
      </c>
      <c r="O902" s="4">
        <v>0.536493370514569</v>
      </c>
      <c r="T902" s="4" t="str">
        <f t="shared" si="3"/>
        <v/>
      </c>
      <c r="U902" s="4" t="str">
        <f t="shared" si="4"/>
        <v/>
      </c>
    </row>
    <row r="903" ht="15.75" customHeight="1">
      <c r="A903" s="4" t="s">
        <v>2309</v>
      </c>
      <c r="B903" s="4" t="s">
        <v>13</v>
      </c>
      <c r="D903" s="4">
        <v>0.00214</v>
      </c>
      <c r="E903" s="4">
        <v>0.0023</v>
      </c>
      <c r="F903" s="4">
        <v>0.01753</v>
      </c>
      <c r="G903" s="4">
        <v>0.00214</v>
      </c>
      <c r="H903" s="4">
        <v>0.0023</v>
      </c>
      <c r="K903" s="6" t="b">
        <f t="shared" ref="K903:M903" si="864">FALSE()</f>
        <v>0</v>
      </c>
      <c r="L903" s="6" t="b">
        <f t="shared" si="864"/>
        <v>0</v>
      </c>
      <c r="M903" s="6" t="b">
        <f t="shared" si="864"/>
        <v>0</v>
      </c>
      <c r="O903" s="4">
        <v>0.0173781219294515</v>
      </c>
      <c r="T903" s="4" t="str">
        <f t="shared" si="3"/>
        <v/>
      </c>
      <c r="U903" s="4" t="str">
        <f t="shared" si="4"/>
        <v/>
      </c>
    </row>
    <row r="904" ht="15.75" customHeight="1">
      <c r="A904" s="4" t="s">
        <v>2310</v>
      </c>
      <c r="B904" s="4" t="s">
        <v>13</v>
      </c>
      <c r="D904" s="4">
        <v>0.09</v>
      </c>
      <c r="E904" s="4">
        <v>0.09</v>
      </c>
      <c r="F904" s="4">
        <v>2.12</v>
      </c>
      <c r="G904" s="4">
        <v>0.09</v>
      </c>
      <c r="H904" s="4">
        <v>0.09</v>
      </c>
      <c r="K904" s="6" t="b">
        <f t="shared" ref="K904:M904" si="865">FALSE()</f>
        <v>0</v>
      </c>
      <c r="L904" s="6" t="b">
        <f t="shared" si="865"/>
        <v>0</v>
      </c>
      <c r="M904" s="6" t="b">
        <f t="shared" si="865"/>
        <v>0</v>
      </c>
      <c r="O904" s="4">
        <v>1.13783300182139</v>
      </c>
      <c r="T904" s="4" t="str">
        <f t="shared" si="3"/>
        <v/>
      </c>
      <c r="U904" s="4" t="str">
        <f t="shared" si="4"/>
        <v/>
      </c>
    </row>
    <row r="905" ht="15.75" customHeight="1">
      <c r="A905" s="4" t="s">
        <v>426</v>
      </c>
      <c r="B905" s="4" t="s">
        <v>13</v>
      </c>
      <c r="C905" s="4">
        <v>0.00821</v>
      </c>
      <c r="D905" s="4">
        <v>8.5E-4</v>
      </c>
      <c r="E905" s="4">
        <v>8.5E-4</v>
      </c>
      <c r="I905" s="4">
        <v>0.12151</v>
      </c>
      <c r="J905" s="4">
        <v>0.0036</v>
      </c>
      <c r="K905" s="6" t="b">
        <f t="shared" ref="K905:M905" si="866">FALSE()</f>
        <v>0</v>
      </c>
      <c r="L905" s="6" t="b">
        <f t="shared" si="866"/>
        <v>0</v>
      </c>
      <c r="M905" s="6" t="b">
        <f t="shared" si="866"/>
        <v>0</v>
      </c>
      <c r="N905" s="4">
        <v>0.0081764812841349</v>
      </c>
      <c r="P905" s="4">
        <v>0.114675991567887</v>
      </c>
      <c r="T905" s="4">
        <f t="shared" si="3"/>
        <v>1970</v>
      </c>
      <c r="U905" s="4">
        <f t="shared" si="4"/>
        <v>3836</v>
      </c>
    </row>
    <row r="906" ht="15.75" customHeight="1">
      <c r="A906" s="4" t="s">
        <v>427</v>
      </c>
      <c r="B906" s="4" t="s">
        <v>13</v>
      </c>
      <c r="C906" s="4">
        <v>0.0208</v>
      </c>
      <c r="D906" s="4">
        <v>5.3E-4</v>
      </c>
      <c r="E906" s="4">
        <v>5.3E-4</v>
      </c>
      <c r="I906" s="4">
        <v>0.20769</v>
      </c>
      <c r="J906" s="4">
        <v>0.0036</v>
      </c>
      <c r="K906" s="6" t="b">
        <f t="shared" ref="K906:M906" si="867">FALSE()</f>
        <v>0</v>
      </c>
      <c r="L906" s="6" t="b">
        <f t="shared" si="867"/>
        <v>0</v>
      </c>
      <c r="M906" s="6" t="b">
        <f t="shared" si="867"/>
        <v>0</v>
      </c>
      <c r="N906" s="4">
        <v>0.0205866336083883</v>
      </c>
      <c r="P906" s="4">
        <v>0.188709444062875</v>
      </c>
      <c r="T906" s="4">
        <f t="shared" si="3"/>
        <v>1712</v>
      </c>
      <c r="U906" s="4">
        <f t="shared" si="4"/>
        <v>2455</v>
      </c>
    </row>
    <row r="907" ht="15.75" customHeight="1">
      <c r="A907" s="4" t="s">
        <v>429</v>
      </c>
      <c r="B907" s="4" t="s">
        <v>13</v>
      </c>
      <c r="C907" s="4">
        <v>0.0249</v>
      </c>
      <c r="D907" s="4">
        <v>9.0E-4</v>
      </c>
      <c r="E907" s="4">
        <v>9.0E-4</v>
      </c>
      <c r="I907" s="4">
        <v>0.23258</v>
      </c>
      <c r="J907" s="4">
        <v>0.0054</v>
      </c>
      <c r="K907" s="6" t="b">
        <f t="shared" ref="K907:M907" si="868">FALSE()</f>
        <v>0</v>
      </c>
      <c r="L907" s="6" t="b">
        <f t="shared" si="868"/>
        <v>0</v>
      </c>
      <c r="M907" s="6" t="b">
        <f t="shared" si="868"/>
        <v>0</v>
      </c>
      <c r="N907" s="4">
        <v>0.0245950468553802</v>
      </c>
      <c r="P907" s="4">
        <v>0.209109533550338</v>
      </c>
      <c r="T907" s="4">
        <f t="shared" si="3"/>
        <v>1640</v>
      </c>
      <c r="U907" s="4">
        <f t="shared" si="4"/>
        <v>2066</v>
      </c>
    </row>
    <row r="908" ht="15.75" customHeight="1">
      <c r="A908" s="4" t="s">
        <v>2311</v>
      </c>
      <c r="B908" s="4" t="s">
        <v>13</v>
      </c>
      <c r="D908" s="4">
        <v>0.21</v>
      </c>
      <c r="E908" s="4">
        <v>0.21</v>
      </c>
      <c r="F908" s="4">
        <v>2.45</v>
      </c>
      <c r="G908" s="4">
        <v>0.21</v>
      </c>
      <c r="H908" s="4">
        <v>0.21</v>
      </c>
      <c r="K908" s="6" t="b">
        <f t="shared" ref="K908:M908" si="869">FALSE()</f>
        <v>0</v>
      </c>
      <c r="L908" s="6" t="b">
        <f t="shared" si="869"/>
        <v>0</v>
      </c>
      <c r="M908" s="6" t="b">
        <f t="shared" si="869"/>
        <v>0</v>
      </c>
      <c r="O908" s="4">
        <v>1.23837423104327</v>
      </c>
      <c r="T908" s="4" t="str">
        <f t="shared" si="3"/>
        <v/>
      </c>
      <c r="U908" s="4" t="str">
        <f t="shared" si="4"/>
        <v/>
      </c>
    </row>
    <row r="909" ht="15.75" customHeight="1">
      <c r="A909" s="4" t="s">
        <v>2312</v>
      </c>
      <c r="B909" s="4" t="s">
        <v>13</v>
      </c>
      <c r="D909" s="4">
        <v>0.2</v>
      </c>
      <c r="E909" s="4">
        <v>0.2</v>
      </c>
      <c r="F909" s="4">
        <v>1.5</v>
      </c>
      <c r="G909" s="4">
        <v>0.2</v>
      </c>
      <c r="H909" s="4">
        <v>0.2</v>
      </c>
      <c r="K909" s="6" t="b">
        <f t="shared" ref="K909:M909" si="870">FALSE()</f>
        <v>0</v>
      </c>
      <c r="L909" s="6" t="b">
        <f t="shared" si="870"/>
        <v>0</v>
      </c>
      <c r="M909" s="6" t="b">
        <f t="shared" si="870"/>
        <v>0</v>
      </c>
      <c r="O909" s="4">
        <v>0.916290731874155</v>
      </c>
      <c r="T909" s="4" t="str">
        <f t="shared" si="3"/>
        <v/>
      </c>
      <c r="U909" s="4" t="str">
        <f t="shared" si="4"/>
        <v/>
      </c>
    </row>
    <row r="910" ht="15.75" customHeight="1">
      <c r="A910" s="4" t="s">
        <v>2313</v>
      </c>
      <c r="B910" s="4" t="s">
        <v>13</v>
      </c>
      <c r="F910" s="4">
        <v>1.08</v>
      </c>
      <c r="K910" s="6" t="b">
        <f t="shared" ref="K910:M910" si="871">FALSE()</f>
        <v>0</v>
      </c>
      <c r="L910" s="6" t="b">
        <f t="shared" si="871"/>
        <v>0</v>
      </c>
      <c r="M910" s="6" t="b">
        <f t="shared" si="871"/>
        <v>0</v>
      </c>
      <c r="O910" s="4">
        <v>0.732367893713227</v>
      </c>
      <c r="T910" s="4" t="str">
        <f t="shared" si="3"/>
        <v/>
      </c>
      <c r="U910" s="4" t="str">
        <f t="shared" si="4"/>
        <v/>
      </c>
    </row>
    <row r="911" ht="15.75" customHeight="1">
      <c r="A911" s="4" t="s">
        <v>2314</v>
      </c>
      <c r="B911" s="4" t="s">
        <v>13</v>
      </c>
      <c r="F911" s="4">
        <v>6.575</v>
      </c>
      <c r="K911" s="6" t="b">
        <f t="shared" ref="K911:K917" si="872">FALSE()</f>
        <v>0</v>
      </c>
      <c r="L911" s="6" t="b">
        <f>TRUE()</f>
        <v>1</v>
      </c>
      <c r="M911" s="6" t="b">
        <f>FALSE()</f>
        <v>0</v>
      </c>
      <c r="O911" s="4">
        <v>2.02485335139543</v>
      </c>
      <c r="T911" s="4" t="str">
        <f t="shared" si="3"/>
        <v/>
      </c>
      <c r="U911" s="4" t="str">
        <f t="shared" si="4"/>
        <v/>
      </c>
    </row>
    <row r="912" ht="15.75" customHeight="1">
      <c r="A912" s="4" t="s">
        <v>2315</v>
      </c>
      <c r="B912" s="4" t="s">
        <v>13</v>
      </c>
      <c r="D912" s="4">
        <v>0.23</v>
      </c>
      <c r="E912" s="4">
        <v>0.23</v>
      </c>
      <c r="F912" s="4">
        <v>2.72</v>
      </c>
      <c r="G912" s="4">
        <v>0.23</v>
      </c>
      <c r="H912" s="4">
        <v>0.23</v>
      </c>
      <c r="K912" s="6" t="b">
        <f t="shared" si="872"/>
        <v>0</v>
      </c>
      <c r="L912" s="6" t="b">
        <f t="shared" ref="L912:M912" si="873">FALSE()</f>
        <v>0</v>
      </c>
      <c r="M912" s="6" t="b">
        <f t="shared" si="873"/>
        <v>0</v>
      </c>
      <c r="O912" s="4">
        <v>1.31372366828506</v>
      </c>
      <c r="T912" s="4" t="str">
        <f t="shared" si="3"/>
        <v/>
      </c>
      <c r="U912" s="4" t="str">
        <f t="shared" si="4"/>
        <v/>
      </c>
    </row>
    <row r="913" ht="15.75" customHeight="1">
      <c r="A913" s="4" t="s">
        <v>430</v>
      </c>
      <c r="B913" s="4" t="s">
        <v>13</v>
      </c>
      <c r="C913" s="4">
        <v>0.02618</v>
      </c>
      <c r="D913" s="4">
        <v>0.00249</v>
      </c>
      <c r="E913" s="4">
        <v>0.00249</v>
      </c>
      <c r="I913" s="4">
        <v>0.16701</v>
      </c>
      <c r="J913" s="4">
        <v>0.11785</v>
      </c>
      <c r="K913" s="6" t="b">
        <f t="shared" si="872"/>
        <v>0</v>
      </c>
      <c r="L913" s="6" t="b">
        <f t="shared" ref="L913:M913" si="874">FALSE()</f>
        <v>0</v>
      </c>
      <c r="M913" s="6" t="b">
        <f t="shared" si="874"/>
        <v>0</v>
      </c>
      <c r="N913" s="4">
        <v>0.0258431699575181</v>
      </c>
      <c r="P913" s="4">
        <v>0.154444922247997</v>
      </c>
      <c r="T913" s="4">
        <f t="shared" si="3"/>
        <v>1616</v>
      </c>
      <c r="U913" s="4">
        <f t="shared" si="4"/>
        <v>3084</v>
      </c>
    </row>
    <row r="914" ht="15.75" customHeight="1">
      <c r="A914" s="4" t="s">
        <v>431</v>
      </c>
      <c r="B914" s="4" t="s">
        <v>13</v>
      </c>
      <c r="C914" s="4">
        <v>0.01073</v>
      </c>
      <c r="D914" s="4">
        <v>0.0025</v>
      </c>
      <c r="E914" s="4">
        <v>0.00277</v>
      </c>
      <c r="I914" s="4">
        <v>0.1668</v>
      </c>
      <c r="J914" s="4">
        <v>0.0107</v>
      </c>
      <c r="K914" s="6" t="b">
        <f t="shared" si="872"/>
        <v>0</v>
      </c>
      <c r="L914" s="6" t="b">
        <f t="shared" ref="L914:M914" si="875">FALSE()</f>
        <v>0</v>
      </c>
      <c r="M914" s="6" t="b">
        <f t="shared" si="875"/>
        <v>0</v>
      </c>
      <c r="N914" s="4">
        <v>0.0106728420563039</v>
      </c>
      <c r="P914" s="4">
        <v>0.154264959011429</v>
      </c>
      <c r="T914" s="4">
        <f t="shared" si="3"/>
        <v>1926</v>
      </c>
      <c r="U914" s="4">
        <f t="shared" si="4"/>
        <v>3092</v>
      </c>
    </row>
    <row r="915" ht="15.75" customHeight="1">
      <c r="A915" s="4" t="s">
        <v>432</v>
      </c>
      <c r="B915" s="4" t="s">
        <v>13</v>
      </c>
      <c r="C915" s="4">
        <v>0.00173</v>
      </c>
      <c r="D915" s="4">
        <v>6.0E-4</v>
      </c>
      <c r="E915" s="4">
        <v>6.0E-4</v>
      </c>
      <c r="I915" s="4">
        <v>0.0669</v>
      </c>
      <c r="J915" s="4">
        <v>0.00509</v>
      </c>
      <c r="K915" s="6" t="b">
        <f t="shared" si="872"/>
        <v>0</v>
      </c>
      <c r="L915" s="6" t="b">
        <f t="shared" ref="L915:M915" si="876">FALSE()</f>
        <v>0</v>
      </c>
      <c r="M915" s="6" t="b">
        <f t="shared" si="876"/>
        <v>0</v>
      </c>
      <c r="N915" s="4">
        <v>0.0017285052736693</v>
      </c>
      <c r="P915" s="4">
        <v>0.0647572472152785</v>
      </c>
      <c r="T915" s="4">
        <f t="shared" si="3"/>
        <v>2068</v>
      </c>
      <c r="U915" s="4">
        <f t="shared" si="4"/>
        <v>4509</v>
      </c>
    </row>
    <row r="916" ht="15.75" customHeight="1">
      <c r="A916" s="4" t="s">
        <v>433</v>
      </c>
      <c r="B916" s="4" t="s">
        <v>13</v>
      </c>
      <c r="C916" s="4">
        <v>0.00227</v>
      </c>
      <c r="D916" s="4">
        <v>8.8E-4</v>
      </c>
      <c r="E916" s="4">
        <v>8.8E-4</v>
      </c>
      <c r="I916" s="4">
        <v>0.07298</v>
      </c>
      <c r="J916" s="4">
        <v>0.0058</v>
      </c>
      <c r="K916" s="6" t="b">
        <f t="shared" si="872"/>
        <v>0</v>
      </c>
      <c r="L916" s="6" t="b">
        <f t="shared" ref="L916:M916" si="877">FALSE()</f>
        <v>0</v>
      </c>
      <c r="M916" s="6" t="b">
        <f t="shared" si="877"/>
        <v>0</v>
      </c>
      <c r="N916" s="4">
        <v>0.0022674274424016</v>
      </c>
      <c r="P916" s="4">
        <v>0.0704398241458628</v>
      </c>
      <c r="T916" s="4">
        <f t="shared" si="3"/>
        <v>2063</v>
      </c>
      <c r="U916" s="4">
        <f t="shared" si="4"/>
        <v>4471</v>
      </c>
    </row>
    <row r="917" ht="15.75" customHeight="1">
      <c r="A917" s="4" t="s">
        <v>434</v>
      </c>
      <c r="B917" s="4" t="s">
        <v>13</v>
      </c>
      <c r="C917" s="4">
        <v>0.00242</v>
      </c>
      <c r="D917" s="4">
        <v>0.0013</v>
      </c>
      <c r="E917" s="4">
        <v>0.00138</v>
      </c>
      <c r="I917" s="4">
        <v>0.10144</v>
      </c>
      <c r="J917" s="4">
        <v>0.00687</v>
      </c>
      <c r="K917" s="6" t="b">
        <f t="shared" si="872"/>
        <v>0</v>
      </c>
      <c r="L917" s="6" t="b">
        <f t="shared" ref="L917:M917" si="878">FALSE()</f>
        <v>0</v>
      </c>
      <c r="M917" s="6" t="b">
        <f t="shared" si="878"/>
        <v>0</v>
      </c>
      <c r="N917" s="4">
        <v>0.0024170765156048</v>
      </c>
      <c r="P917" s="4">
        <v>0.0966184146009828</v>
      </c>
      <c r="T917" s="4">
        <f t="shared" si="3"/>
        <v>2060</v>
      </c>
      <c r="U917" s="4">
        <f t="shared" si="4"/>
        <v>4198</v>
      </c>
    </row>
    <row r="918" ht="15.75" customHeight="1">
      <c r="A918" s="4" t="s">
        <v>2316</v>
      </c>
      <c r="B918" s="4" t="s">
        <v>13</v>
      </c>
      <c r="C918" s="4">
        <v>11.914</v>
      </c>
      <c r="D918" s="4">
        <v>1.768</v>
      </c>
      <c r="E918" s="4">
        <v>0.99</v>
      </c>
      <c r="F918" s="4">
        <v>8.1</v>
      </c>
      <c r="K918" s="6" t="b">
        <f t="shared" ref="K918:L918" si="879">TRUE()</f>
        <v>1</v>
      </c>
      <c r="L918" s="6" t="b">
        <f t="shared" si="879"/>
        <v>1</v>
      </c>
      <c r="M918" s="6" t="b">
        <f>FALSE()</f>
        <v>0</v>
      </c>
      <c r="N918" s="4">
        <v>2.55831199420428</v>
      </c>
      <c r="O918" s="4">
        <v>2.2082744135228</v>
      </c>
      <c r="T918" s="4">
        <f t="shared" si="3"/>
        <v>19</v>
      </c>
      <c r="U918" s="4" t="str">
        <f t="shared" si="4"/>
        <v/>
      </c>
    </row>
    <row r="919" ht="15.75" customHeight="1">
      <c r="A919" s="4" t="s">
        <v>2317</v>
      </c>
      <c r="B919" s="4" t="s">
        <v>13</v>
      </c>
      <c r="D919" s="4">
        <v>0.00299</v>
      </c>
      <c r="E919" s="4">
        <v>0.00299</v>
      </c>
      <c r="F919" s="4">
        <v>0.02168</v>
      </c>
      <c r="G919" s="4">
        <v>0.00299</v>
      </c>
      <c r="H919" s="4">
        <v>0.00299</v>
      </c>
      <c r="K919" s="6" t="b">
        <f t="shared" ref="K919:M919" si="880">FALSE()</f>
        <v>0</v>
      </c>
      <c r="L919" s="6" t="b">
        <f t="shared" si="880"/>
        <v>0</v>
      </c>
      <c r="M919" s="6" t="b">
        <f t="shared" si="880"/>
        <v>0</v>
      </c>
      <c r="O919" s="4">
        <v>0.0214483312058695</v>
      </c>
      <c r="T919" s="4" t="str">
        <f t="shared" si="3"/>
        <v/>
      </c>
      <c r="U919" s="4" t="str">
        <f t="shared" si="4"/>
        <v/>
      </c>
    </row>
    <row r="920" ht="15.75" customHeight="1">
      <c r="A920" s="4" t="s">
        <v>2318</v>
      </c>
      <c r="B920" s="4" t="s">
        <v>13</v>
      </c>
      <c r="D920" s="4">
        <v>2.7</v>
      </c>
      <c r="E920" s="4">
        <v>2.7</v>
      </c>
      <c r="F920" s="4">
        <v>6.0</v>
      </c>
      <c r="G920" s="4">
        <v>2.7</v>
      </c>
      <c r="H920" s="4">
        <v>2.7</v>
      </c>
      <c r="K920" s="6" t="b">
        <f t="shared" ref="K920:K926" si="881">FALSE()</f>
        <v>0</v>
      </c>
      <c r="L920" s="6" t="b">
        <f t="shared" ref="L920:L921" si="882">TRUE()</f>
        <v>1</v>
      </c>
      <c r="M920" s="6" t="b">
        <f t="shared" ref="M920:M921" si="883">FALSE()</f>
        <v>0</v>
      </c>
      <c r="O920" s="4">
        <v>1.94591014905531</v>
      </c>
      <c r="T920" s="4" t="str">
        <f t="shared" si="3"/>
        <v/>
      </c>
      <c r="U920" s="4" t="str">
        <f t="shared" si="4"/>
        <v/>
      </c>
    </row>
    <row r="921" ht="15.75" customHeight="1">
      <c r="A921" s="4" t="s">
        <v>2319</v>
      </c>
      <c r="B921" s="4" t="s">
        <v>13</v>
      </c>
      <c r="F921" s="4">
        <v>6.9</v>
      </c>
      <c r="K921" s="6" t="b">
        <f t="shared" si="881"/>
        <v>0</v>
      </c>
      <c r="L921" s="6" t="b">
        <f t="shared" si="882"/>
        <v>1</v>
      </c>
      <c r="M921" s="6" t="b">
        <f t="shared" si="883"/>
        <v>0</v>
      </c>
      <c r="O921" s="4">
        <v>2.06686275947298</v>
      </c>
      <c r="T921" s="4" t="str">
        <f t="shared" si="3"/>
        <v/>
      </c>
      <c r="U921" s="4" t="str">
        <f t="shared" si="4"/>
        <v/>
      </c>
    </row>
    <row r="922" ht="15.75" customHeight="1">
      <c r="A922" s="4" t="s">
        <v>2320</v>
      </c>
      <c r="B922" s="4" t="s">
        <v>13</v>
      </c>
      <c r="F922" s="4">
        <v>5.3</v>
      </c>
      <c r="K922" s="6" t="b">
        <f t="shared" si="881"/>
        <v>0</v>
      </c>
      <c r="L922" s="6" t="b">
        <f t="shared" ref="L922:M922" si="884">FALSE()</f>
        <v>0</v>
      </c>
      <c r="M922" s="6" t="b">
        <f t="shared" si="884"/>
        <v>0</v>
      </c>
      <c r="O922" s="4">
        <v>1.84054963339749</v>
      </c>
      <c r="T922" s="4" t="str">
        <f t="shared" si="3"/>
        <v/>
      </c>
      <c r="U922" s="4" t="str">
        <f t="shared" si="4"/>
        <v/>
      </c>
    </row>
    <row r="923" ht="15.75" customHeight="1">
      <c r="A923" s="4" t="s">
        <v>2321</v>
      </c>
      <c r="B923" s="4" t="s">
        <v>13</v>
      </c>
      <c r="D923" s="4">
        <v>0.49</v>
      </c>
      <c r="E923" s="4">
        <v>0.49</v>
      </c>
      <c r="F923" s="4">
        <v>4.01</v>
      </c>
      <c r="G923" s="4">
        <v>0.49</v>
      </c>
      <c r="H923" s="4">
        <v>0.49</v>
      </c>
      <c r="K923" s="6" t="b">
        <f t="shared" si="881"/>
        <v>0</v>
      </c>
      <c r="L923" s="6" t="b">
        <f t="shared" ref="L923:M923" si="885">FALSE()</f>
        <v>0</v>
      </c>
      <c r="M923" s="6" t="b">
        <f t="shared" si="885"/>
        <v>0</v>
      </c>
      <c r="O923" s="4">
        <v>1.61143591509677</v>
      </c>
      <c r="T923" s="4" t="str">
        <f t="shared" si="3"/>
        <v/>
      </c>
      <c r="U923" s="4" t="str">
        <f t="shared" si="4"/>
        <v/>
      </c>
    </row>
    <row r="924" ht="15.75" customHeight="1">
      <c r="A924" s="4" t="s">
        <v>2322</v>
      </c>
      <c r="B924" s="4" t="s">
        <v>13</v>
      </c>
      <c r="D924" s="4">
        <v>0.027</v>
      </c>
      <c r="E924" s="4">
        <v>0.027</v>
      </c>
      <c r="F924" s="4">
        <v>0.201</v>
      </c>
      <c r="G924" s="4">
        <v>0.027</v>
      </c>
      <c r="H924" s="4">
        <v>0.027</v>
      </c>
      <c r="K924" s="6" t="b">
        <f t="shared" si="881"/>
        <v>0</v>
      </c>
      <c r="L924" s="6" t="b">
        <f t="shared" ref="L924:M924" si="886">FALSE()</f>
        <v>0</v>
      </c>
      <c r="M924" s="6" t="b">
        <f t="shared" si="886"/>
        <v>0</v>
      </c>
      <c r="O924" s="4">
        <v>0.183154543097847</v>
      </c>
      <c r="T924" s="4" t="str">
        <f t="shared" si="3"/>
        <v/>
      </c>
      <c r="U924" s="4" t="str">
        <f t="shared" si="4"/>
        <v/>
      </c>
    </row>
    <row r="925" ht="15.75" customHeight="1">
      <c r="A925" s="4" t="s">
        <v>2323</v>
      </c>
      <c r="B925" s="4" t="s">
        <v>13</v>
      </c>
      <c r="D925" s="4">
        <v>1.3</v>
      </c>
      <c r="E925" s="4">
        <v>1.3</v>
      </c>
      <c r="F925" s="4">
        <v>9.4</v>
      </c>
      <c r="G925" s="4">
        <v>1.3</v>
      </c>
      <c r="H925" s="4">
        <v>1.3</v>
      </c>
      <c r="K925" s="6" t="b">
        <f t="shared" si="881"/>
        <v>0</v>
      </c>
      <c r="L925" s="6" t="b">
        <f>TRUE()</f>
        <v>1</v>
      </c>
      <c r="M925" s="6" t="b">
        <f>FALSE()</f>
        <v>0</v>
      </c>
      <c r="O925" s="4">
        <v>2.34180580614733</v>
      </c>
      <c r="T925" s="4" t="str">
        <f t="shared" si="3"/>
        <v/>
      </c>
      <c r="U925" s="4" t="str">
        <f t="shared" si="4"/>
        <v/>
      </c>
    </row>
    <row r="926" ht="15.75" customHeight="1">
      <c r="A926" s="4" t="s">
        <v>2324</v>
      </c>
      <c r="B926" s="4" t="s">
        <v>13</v>
      </c>
      <c r="D926" s="4">
        <v>0.0098</v>
      </c>
      <c r="E926" s="4">
        <v>0.0098</v>
      </c>
      <c r="F926" s="4">
        <v>0.0371</v>
      </c>
      <c r="G926" s="4">
        <v>0.0098</v>
      </c>
      <c r="H926" s="4">
        <v>0.0098</v>
      </c>
      <c r="K926" s="6" t="b">
        <f t="shared" si="881"/>
        <v>0</v>
      </c>
      <c r="L926" s="6" t="b">
        <f t="shared" ref="L926:M926" si="887">FALSE()</f>
        <v>0</v>
      </c>
      <c r="M926" s="6" t="b">
        <f t="shared" si="887"/>
        <v>0</v>
      </c>
      <c r="O926" s="4">
        <v>0.0364283566135514</v>
      </c>
      <c r="T926" s="4" t="str">
        <f t="shared" si="3"/>
        <v/>
      </c>
      <c r="U926" s="4" t="str">
        <f t="shared" si="4"/>
        <v/>
      </c>
    </row>
    <row r="927" ht="15.75" customHeight="1">
      <c r="A927" s="4" t="s">
        <v>2325</v>
      </c>
      <c r="B927" s="4" t="s">
        <v>13</v>
      </c>
      <c r="C927" s="4">
        <v>9.077</v>
      </c>
      <c r="D927" s="4">
        <v>1.823</v>
      </c>
      <c r="E927" s="4">
        <v>1.157</v>
      </c>
      <c r="F927" s="4">
        <v>4.48</v>
      </c>
      <c r="G927" s="4">
        <v>0.3</v>
      </c>
      <c r="H927" s="4">
        <v>0.3</v>
      </c>
      <c r="K927" s="6" t="b">
        <f>TRUE()</f>
        <v>1</v>
      </c>
      <c r="L927" s="6" t="b">
        <f t="shared" ref="L927:M927" si="888">FALSE()</f>
        <v>0</v>
      </c>
      <c r="M927" s="6" t="b">
        <f t="shared" si="888"/>
        <v>0</v>
      </c>
      <c r="N927" s="4">
        <v>2.31025559929827</v>
      </c>
      <c r="O927" s="4">
        <v>1.70110510095993</v>
      </c>
      <c r="T927" s="4">
        <f t="shared" si="3"/>
        <v>76</v>
      </c>
      <c r="U927" s="4" t="str">
        <f t="shared" si="4"/>
        <v/>
      </c>
    </row>
    <row r="928" ht="15.75" customHeight="1">
      <c r="A928" s="4" t="s">
        <v>2326</v>
      </c>
      <c r="B928" s="4" t="s">
        <v>13</v>
      </c>
      <c r="D928" s="4">
        <v>0.1</v>
      </c>
      <c r="E928" s="4">
        <v>0.1</v>
      </c>
      <c r="F928" s="4">
        <v>0.95</v>
      </c>
      <c r="G928" s="4">
        <v>0.1</v>
      </c>
      <c r="H928" s="4">
        <v>0.1</v>
      </c>
      <c r="K928" s="6" t="b">
        <f t="shared" ref="K928:M928" si="889">FALSE()</f>
        <v>0</v>
      </c>
      <c r="L928" s="6" t="b">
        <f t="shared" si="889"/>
        <v>0</v>
      </c>
      <c r="M928" s="6" t="b">
        <f t="shared" si="889"/>
        <v>0</v>
      </c>
      <c r="O928" s="4">
        <v>0.667829372575655</v>
      </c>
      <c r="T928" s="4" t="str">
        <f t="shared" si="3"/>
        <v/>
      </c>
      <c r="U928" s="4" t="str">
        <f t="shared" si="4"/>
        <v/>
      </c>
    </row>
    <row r="929" ht="15.75" customHeight="1">
      <c r="A929" s="4" t="s">
        <v>2327</v>
      </c>
      <c r="B929" s="4" t="s">
        <v>13</v>
      </c>
      <c r="F929" s="4">
        <v>2.51</v>
      </c>
      <c r="K929" s="6" t="b">
        <f t="shared" ref="K929:M929" si="890">FALSE()</f>
        <v>0</v>
      </c>
      <c r="L929" s="6" t="b">
        <f t="shared" si="890"/>
        <v>0</v>
      </c>
      <c r="M929" s="6" t="b">
        <f t="shared" si="890"/>
        <v>0</v>
      </c>
      <c r="O929" s="4">
        <v>1.25561603747778</v>
      </c>
      <c r="T929" s="4" t="str">
        <f t="shared" si="3"/>
        <v/>
      </c>
      <c r="U929" s="4" t="str">
        <f t="shared" si="4"/>
        <v/>
      </c>
    </row>
    <row r="930" ht="15.75" customHeight="1">
      <c r="A930" s="4" t="s">
        <v>2328</v>
      </c>
      <c r="B930" s="4" t="s">
        <v>13</v>
      </c>
      <c r="F930" s="4">
        <v>1.33</v>
      </c>
      <c r="K930" s="6" t="b">
        <f t="shared" ref="K930:M930" si="891">FALSE()</f>
        <v>0</v>
      </c>
      <c r="L930" s="6" t="b">
        <f t="shared" si="891"/>
        <v>0</v>
      </c>
      <c r="M930" s="6" t="b">
        <f t="shared" si="891"/>
        <v>0</v>
      </c>
      <c r="O930" s="4">
        <v>0.845868267577609</v>
      </c>
      <c r="T930" s="4" t="str">
        <f t="shared" si="3"/>
        <v/>
      </c>
      <c r="U930" s="4" t="str">
        <f t="shared" si="4"/>
        <v/>
      </c>
    </row>
    <row r="931" ht="15.75" customHeight="1">
      <c r="A931" s="4" t="s">
        <v>2329</v>
      </c>
      <c r="B931" s="4" t="s">
        <v>13</v>
      </c>
      <c r="D931" s="4">
        <v>0.013</v>
      </c>
      <c r="E931" s="4">
        <v>0.013</v>
      </c>
      <c r="F931" s="4">
        <v>0.12</v>
      </c>
      <c r="G931" s="4">
        <v>0.013</v>
      </c>
      <c r="H931" s="4">
        <v>0.013</v>
      </c>
      <c r="K931" s="6" t="b">
        <f t="shared" ref="K931:M931" si="892">FALSE()</f>
        <v>0</v>
      </c>
      <c r="L931" s="6" t="b">
        <f t="shared" si="892"/>
        <v>0</v>
      </c>
      <c r="M931" s="6" t="b">
        <f t="shared" si="892"/>
        <v>0</v>
      </c>
      <c r="O931" s="4">
        <v>0.113328685307003</v>
      </c>
      <c r="T931" s="4" t="str">
        <f t="shared" si="3"/>
        <v/>
      </c>
      <c r="U931" s="4" t="str">
        <f t="shared" si="4"/>
        <v/>
      </c>
    </row>
    <row r="932" ht="15.75" customHeight="1">
      <c r="A932" s="4" t="s">
        <v>435</v>
      </c>
      <c r="B932" s="4" t="s">
        <v>13</v>
      </c>
      <c r="C932" s="4">
        <v>0.00673</v>
      </c>
      <c r="D932" s="4">
        <v>0.00107</v>
      </c>
      <c r="E932" s="4">
        <v>0.00107</v>
      </c>
      <c r="I932" s="4">
        <v>0.1106</v>
      </c>
      <c r="J932" s="4">
        <v>0.0303</v>
      </c>
      <c r="K932" s="6" t="b">
        <f t="shared" ref="K932:M932" si="893">FALSE()</f>
        <v>0</v>
      </c>
      <c r="L932" s="6" t="b">
        <f t="shared" si="893"/>
        <v>0</v>
      </c>
      <c r="M932" s="6" t="b">
        <f t="shared" si="893"/>
        <v>0</v>
      </c>
      <c r="N932" s="4">
        <v>0.0067074546469564</v>
      </c>
      <c r="P932" s="4">
        <v>0.10490040982537</v>
      </c>
      <c r="T932" s="4">
        <f t="shared" si="3"/>
        <v>1992</v>
      </c>
      <c r="U932" s="4">
        <f t="shared" si="4"/>
        <v>4034</v>
      </c>
    </row>
    <row r="933" ht="15.75" customHeight="1">
      <c r="A933" s="4" t="s">
        <v>437</v>
      </c>
      <c r="B933" s="4" t="s">
        <v>13</v>
      </c>
      <c r="C933" s="4">
        <v>0.00972</v>
      </c>
      <c r="D933" s="4">
        <v>0.00151</v>
      </c>
      <c r="E933" s="4">
        <v>0.00151</v>
      </c>
      <c r="I933" s="4">
        <v>0.13677</v>
      </c>
      <c r="J933" s="4">
        <v>0.0041</v>
      </c>
      <c r="K933" s="6" t="b">
        <f t="shared" ref="K933:M933" si="894">FALSE()</f>
        <v>0</v>
      </c>
      <c r="L933" s="6" t="b">
        <f t="shared" si="894"/>
        <v>0</v>
      </c>
      <c r="M933" s="6" t="b">
        <f t="shared" si="894"/>
        <v>0</v>
      </c>
      <c r="N933" s="4">
        <v>0.009673064695687</v>
      </c>
      <c r="P933" s="4">
        <v>0.128190907586244</v>
      </c>
      <c r="T933" s="4">
        <f t="shared" si="3"/>
        <v>1944</v>
      </c>
      <c r="U933" s="4">
        <f t="shared" si="4"/>
        <v>3565</v>
      </c>
    </row>
    <row r="934" ht="15.75" customHeight="1">
      <c r="A934" s="4" t="s">
        <v>2330</v>
      </c>
      <c r="B934" s="4" t="s">
        <v>13</v>
      </c>
      <c r="F934" s="4">
        <v>0.48</v>
      </c>
      <c r="I934" s="4">
        <v>1.04</v>
      </c>
      <c r="K934" s="6" t="b">
        <f t="shared" ref="K934:L934" si="895">FALSE()</f>
        <v>0</v>
      </c>
      <c r="L934" s="6" t="b">
        <f t="shared" si="895"/>
        <v>0</v>
      </c>
      <c r="M934" s="6" t="b">
        <f t="shared" ref="M934:M935" si="897">TRUE()</f>
        <v>1</v>
      </c>
      <c r="O934" s="4">
        <v>0.392042087776024</v>
      </c>
      <c r="P934" s="4">
        <v>0.712949807856125</v>
      </c>
      <c r="T934" s="4" t="str">
        <f t="shared" si="3"/>
        <v/>
      </c>
      <c r="U934" s="4">
        <f t="shared" si="4"/>
        <v>612</v>
      </c>
    </row>
    <row r="935" ht="15.75" customHeight="1">
      <c r="A935" s="4" t="s">
        <v>438</v>
      </c>
      <c r="B935" s="4" t="s">
        <v>13</v>
      </c>
      <c r="C935" s="4">
        <v>1.18</v>
      </c>
      <c r="D935" s="4">
        <v>0.09</v>
      </c>
      <c r="E935" s="4">
        <v>0.09</v>
      </c>
      <c r="I935" s="4">
        <v>1.44</v>
      </c>
      <c r="J935" s="4">
        <v>0.01</v>
      </c>
      <c r="K935" s="6" t="b">
        <f t="shared" ref="K935:L935" si="896">FALSE()</f>
        <v>0</v>
      </c>
      <c r="L935" s="6" t="b">
        <f t="shared" si="896"/>
        <v>0</v>
      </c>
      <c r="M935" s="6" t="b">
        <f t="shared" si="897"/>
        <v>1</v>
      </c>
      <c r="N935" s="4">
        <v>0.779324876800998</v>
      </c>
      <c r="P935" s="4">
        <v>0.891998039305111</v>
      </c>
      <c r="T935" s="4">
        <f t="shared" si="3"/>
        <v>595</v>
      </c>
      <c r="U935" s="4">
        <f t="shared" si="4"/>
        <v>150</v>
      </c>
    </row>
    <row r="936" ht="15.75" customHeight="1">
      <c r="A936" s="4" t="s">
        <v>2331</v>
      </c>
      <c r="B936" s="4" t="s">
        <v>13</v>
      </c>
      <c r="D936" s="4">
        <v>0.14</v>
      </c>
      <c r="E936" s="4">
        <v>0.14</v>
      </c>
      <c r="F936" s="4">
        <v>1.45</v>
      </c>
      <c r="G936" s="4">
        <v>0.14</v>
      </c>
      <c r="H936" s="4">
        <v>0.14</v>
      </c>
      <c r="K936" s="6" t="b">
        <f t="shared" ref="K936:M936" si="898">FALSE()</f>
        <v>0</v>
      </c>
      <c r="L936" s="6" t="b">
        <f t="shared" si="898"/>
        <v>0</v>
      </c>
      <c r="M936" s="6" t="b">
        <f t="shared" si="898"/>
        <v>0</v>
      </c>
      <c r="O936" s="4">
        <v>0.896088024556636</v>
      </c>
      <c r="T936" s="4" t="str">
        <f t="shared" si="3"/>
        <v/>
      </c>
      <c r="U936" s="4" t="str">
        <f t="shared" si="4"/>
        <v/>
      </c>
    </row>
    <row r="937" ht="15.75" customHeight="1">
      <c r="A937" s="4" t="s">
        <v>2332</v>
      </c>
      <c r="B937" s="4" t="s">
        <v>13</v>
      </c>
      <c r="D937" s="4">
        <v>0.007</v>
      </c>
      <c r="E937" s="4">
        <v>0.009</v>
      </c>
      <c r="F937" s="4">
        <v>0.665</v>
      </c>
      <c r="G937" s="4">
        <v>0.007</v>
      </c>
      <c r="H937" s="4">
        <v>0.009</v>
      </c>
      <c r="K937" s="6" t="b">
        <f t="shared" ref="K937:M937" si="899">FALSE()</f>
        <v>0</v>
      </c>
      <c r="L937" s="6" t="b">
        <f t="shared" si="899"/>
        <v>0</v>
      </c>
      <c r="M937" s="6" t="b">
        <f t="shared" si="899"/>
        <v>0</v>
      </c>
      <c r="O937" s="4">
        <v>0.509825123432407</v>
      </c>
      <c r="T937" s="4" t="str">
        <f t="shared" si="3"/>
        <v/>
      </c>
      <c r="U937" s="4" t="str">
        <f t="shared" si="4"/>
        <v/>
      </c>
    </row>
    <row r="938" ht="15.75" customHeight="1">
      <c r="A938" s="4" t="s">
        <v>2333</v>
      </c>
      <c r="B938" s="4" t="s">
        <v>13</v>
      </c>
      <c r="D938" s="4">
        <v>0.04</v>
      </c>
      <c r="E938" s="4">
        <v>0.011</v>
      </c>
      <c r="F938" s="4">
        <v>0.162</v>
      </c>
      <c r="G938" s="4">
        <v>0.04</v>
      </c>
      <c r="H938" s="4">
        <v>0.011</v>
      </c>
      <c r="K938" s="6" t="b">
        <f t="shared" ref="K938:M938" si="900">FALSE()</f>
        <v>0</v>
      </c>
      <c r="L938" s="6" t="b">
        <f t="shared" si="900"/>
        <v>0</v>
      </c>
      <c r="M938" s="6" t="b">
        <f t="shared" si="900"/>
        <v>0</v>
      </c>
      <c r="O938" s="4">
        <v>0.15014265842972</v>
      </c>
      <c r="T938" s="4" t="str">
        <f t="shared" si="3"/>
        <v/>
      </c>
      <c r="U938" s="4" t="str">
        <f t="shared" si="4"/>
        <v/>
      </c>
    </row>
    <row r="939" ht="15.75" customHeight="1">
      <c r="A939" s="4" t="s">
        <v>2334</v>
      </c>
      <c r="B939" s="4" t="s">
        <v>13</v>
      </c>
      <c r="C939" s="4">
        <v>6.493</v>
      </c>
      <c r="D939" s="4">
        <v>0.353</v>
      </c>
      <c r="E939" s="4">
        <v>0.987</v>
      </c>
      <c r="F939" s="4">
        <v>5.415</v>
      </c>
      <c r="G939" s="4">
        <v>1.214</v>
      </c>
      <c r="H939" s="4">
        <v>0.239</v>
      </c>
      <c r="K939" s="6" t="b">
        <f>TRUE()</f>
        <v>1</v>
      </c>
      <c r="L939" s="6" t="b">
        <f t="shared" ref="L939:M939" si="901">FALSE()</f>
        <v>0</v>
      </c>
      <c r="M939" s="6" t="b">
        <f t="shared" si="901"/>
        <v>0</v>
      </c>
      <c r="N939" s="4">
        <v>2.01396925138217</v>
      </c>
      <c r="O939" s="4">
        <v>1.8586389980676</v>
      </c>
      <c r="T939" s="4">
        <f t="shared" si="3"/>
        <v>147</v>
      </c>
      <c r="U939" s="4" t="str">
        <f t="shared" si="4"/>
        <v/>
      </c>
    </row>
    <row r="940" ht="15.75" customHeight="1">
      <c r="A940" s="4" t="s">
        <v>2335</v>
      </c>
      <c r="B940" s="4" t="s">
        <v>13</v>
      </c>
      <c r="D940" s="4">
        <v>0.24</v>
      </c>
      <c r="E940" s="4">
        <v>0.24</v>
      </c>
      <c r="F940" s="4">
        <v>4.8</v>
      </c>
      <c r="G940" s="4">
        <v>0.24</v>
      </c>
      <c r="H940" s="4">
        <v>0.24</v>
      </c>
      <c r="K940" s="6" t="b">
        <f t="shared" ref="K940:M940" si="902">FALSE()</f>
        <v>0</v>
      </c>
      <c r="L940" s="6" t="b">
        <f t="shared" si="902"/>
        <v>0</v>
      </c>
      <c r="M940" s="6" t="b">
        <f t="shared" si="902"/>
        <v>0</v>
      </c>
      <c r="O940" s="4">
        <v>1.75785791755237</v>
      </c>
      <c r="T940" s="4" t="str">
        <f t="shared" si="3"/>
        <v/>
      </c>
      <c r="U940" s="4" t="str">
        <f t="shared" si="4"/>
        <v/>
      </c>
    </row>
    <row r="941" ht="15.75" customHeight="1">
      <c r="A941" s="4" t="s">
        <v>439</v>
      </c>
      <c r="B941" s="4" t="s">
        <v>13</v>
      </c>
      <c r="C941" s="4">
        <v>0.058195</v>
      </c>
      <c r="D941" s="4">
        <v>0.025</v>
      </c>
      <c r="E941" s="4">
        <v>0.028</v>
      </c>
      <c r="I941" s="4">
        <v>0.19618</v>
      </c>
      <c r="J941" s="4">
        <v>0.009</v>
      </c>
      <c r="K941" s="6" t="b">
        <f t="shared" ref="K941:M941" si="903">FALSE()</f>
        <v>0</v>
      </c>
      <c r="L941" s="6" t="b">
        <f t="shared" si="903"/>
        <v>0</v>
      </c>
      <c r="M941" s="6" t="b">
        <f t="shared" si="903"/>
        <v>0</v>
      </c>
      <c r="N941" s="4">
        <v>0.0565646264720064</v>
      </c>
      <c r="P941" s="4">
        <v>0.17913314587644</v>
      </c>
      <c r="T941" s="4">
        <f t="shared" si="3"/>
        <v>1369</v>
      </c>
      <c r="U941" s="4">
        <f t="shared" si="4"/>
        <v>2642</v>
      </c>
    </row>
    <row r="942" ht="15.75" customHeight="1">
      <c r="A942" s="4" t="s">
        <v>2336</v>
      </c>
      <c r="B942" s="4" t="s">
        <v>13</v>
      </c>
      <c r="I942" s="4">
        <v>0.3774</v>
      </c>
      <c r="J942" s="4">
        <v>0.0098</v>
      </c>
      <c r="K942" s="6" t="b">
        <f t="shared" ref="K942:M942" si="904">FALSE()</f>
        <v>0</v>
      </c>
      <c r="L942" s="6" t="b">
        <f t="shared" si="904"/>
        <v>0</v>
      </c>
      <c r="M942" s="6" t="b">
        <f t="shared" si="904"/>
        <v>0</v>
      </c>
      <c r="P942" s="4">
        <v>0.320197664128461</v>
      </c>
      <c r="T942" s="4" t="str">
        <f t="shared" si="3"/>
        <v/>
      </c>
      <c r="U942" s="4">
        <f t="shared" si="4"/>
        <v>1150</v>
      </c>
    </row>
    <row r="943" ht="15.75" customHeight="1">
      <c r="A943" s="4" t="s">
        <v>2337</v>
      </c>
      <c r="B943" s="4" t="s">
        <v>13</v>
      </c>
      <c r="I943" s="4">
        <v>0.2899</v>
      </c>
      <c r="J943" s="4">
        <v>0.0098</v>
      </c>
      <c r="K943" s="6" t="b">
        <f t="shared" ref="K943:M943" si="905">FALSE()</f>
        <v>0</v>
      </c>
      <c r="L943" s="6" t="b">
        <f t="shared" si="905"/>
        <v>0</v>
      </c>
      <c r="M943" s="6" t="b">
        <f t="shared" si="905"/>
        <v>0</v>
      </c>
      <c r="P943" s="4">
        <v>0.254564695988953</v>
      </c>
      <c r="T943" s="4" t="str">
        <f t="shared" si="3"/>
        <v/>
      </c>
      <c r="U943" s="4">
        <f t="shared" si="4"/>
        <v>1439</v>
      </c>
    </row>
    <row r="944" ht="15.75" customHeight="1">
      <c r="A944" s="4" t="s">
        <v>2338</v>
      </c>
      <c r="B944" s="4" t="s">
        <v>13</v>
      </c>
      <c r="D944" s="4">
        <v>0.08</v>
      </c>
      <c r="E944" s="4">
        <v>0.08</v>
      </c>
      <c r="F944" s="4">
        <v>5.85</v>
      </c>
      <c r="G944" s="4">
        <v>0.08</v>
      </c>
      <c r="H944" s="4">
        <v>0.08</v>
      </c>
      <c r="K944" s="6" t="b">
        <f t="shared" ref="K944:M944" si="906">FALSE()</f>
        <v>0</v>
      </c>
      <c r="L944" s="6" t="b">
        <f t="shared" si="906"/>
        <v>0</v>
      </c>
      <c r="M944" s="6" t="b">
        <f t="shared" si="906"/>
        <v>0</v>
      </c>
      <c r="O944" s="4">
        <v>1.92424865227413</v>
      </c>
      <c r="T944" s="4" t="str">
        <f t="shared" si="3"/>
        <v/>
      </c>
      <c r="U944" s="4" t="str">
        <f t="shared" si="4"/>
        <v/>
      </c>
    </row>
    <row r="945" ht="15.75" customHeight="1">
      <c r="A945" s="4" t="s">
        <v>2339</v>
      </c>
      <c r="B945" s="4" t="s">
        <v>13</v>
      </c>
      <c r="C945" s="4">
        <v>6.0</v>
      </c>
      <c r="D945" s="4">
        <v>0.6</v>
      </c>
      <c r="E945" s="4">
        <v>0.6</v>
      </c>
      <c r="K945" s="6" t="b">
        <f>TRUE()</f>
        <v>1</v>
      </c>
      <c r="L945" s="6" t="b">
        <f t="shared" ref="L945:M945" si="907">FALSE()</f>
        <v>0</v>
      </c>
      <c r="M945" s="6" t="b">
        <f t="shared" si="907"/>
        <v>0</v>
      </c>
      <c r="N945" s="4">
        <v>1.94591014905531</v>
      </c>
      <c r="T945" s="4">
        <f t="shared" si="3"/>
        <v>164</v>
      </c>
      <c r="U945" s="4" t="str">
        <f t="shared" si="4"/>
        <v/>
      </c>
    </row>
    <row r="946" ht="15.75" customHeight="1">
      <c r="A946" s="4" t="s">
        <v>2340</v>
      </c>
      <c r="B946" s="4" t="s">
        <v>13</v>
      </c>
      <c r="D946" s="4">
        <v>0.031</v>
      </c>
      <c r="E946" s="4">
        <v>0.024</v>
      </c>
      <c r="F946" s="4">
        <v>0.314</v>
      </c>
      <c r="G946" s="4">
        <v>0.031</v>
      </c>
      <c r="H946" s="4">
        <v>0.024</v>
      </c>
      <c r="K946" s="6" t="b">
        <f t="shared" ref="K946:M946" si="908">FALSE()</f>
        <v>0</v>
      </c>
      <c r="L946" s="6" t="b">
        <f t="shared" si="908"/>
        <v>0</v>
      </c>
      <c r="M946" s="6" t="b">
        <f t="shared" si="908"/>
        <v>0</v>
      </c>
      <c r="O946" s="4">
        <v>0.273075920062419</v>
      </c>
      <c r="T946" s="4" t="str">
        <f t="shared" si="3"/>
        <v/>
      </c>
      <c r="U946" s="4" t="str">
        <f t="shared" si="4"/>
        <v/>
      </c>
    </row>
    <row r="947" ht="15.75" customHeight="1">
      <c r="A947" s="4" t="s">
        <v>2341</v>
      </c>
      <c r="B947" s="4" t="s">
        <v>13</v>
      </c>
      <c r="D947" s="4">
        <v>0.06</v>
      </c>
      <c r="E947" s="4">
        <v>0.1</v>
      </c>
      <c r="F947" s="4">
        <v>1.16</v>
      </c>
      <c r="G947" s="4">
        <v>0.06</v>
      </c>
      <c r="H947" s="4">
        <v>0.1</v>
      </c>
      <c r="K947" s="6" t="b">
        <f t="shared" ref="K947:M947" si="909">FALSE()</f>
        <v>0</v>
      </c>
      <c r="L947" s="6" t="b">
        <f t="shared" si="909"/>
        <v>0</v>
      </c>
      <c r="M947" s="6" t="b">
        <f t="shared" si="909"/>
        <v>0</v>
      </c>
      <c r="O947" s="4">
        <v>0.770108221696074</v>
      </c>
      <c r="T947" s="4" t="str">
        <f t="shared" si="3"/>
        <v/>
      </c>
      <c r="U947" s="4" t="str">
        <f t="shared" si="4"/>
        <v/>
      </c>
    </row>
    <row r="948" ht="15.75" customHeight="1">
      <c r="A948" s="4" t="s">
        <v>2342</v>
      </c>
      <c r="B948" s="4" t="s">
        <v>13</v>
      </c>
      <c r="I948" s="4">
        <v>0.1749</v>
      </c>
      <c r="J948" s="4">
        <v>0.0116</v>
      </c>
      <c r="K948" s="6" t="b">
        <f t="shared" ref="K948:M948" si="910">FALSE()</f>
        <v>0</v>
      </c>
      <c r="L948" s="6" t="b">
        <f t="shared" si="910"/>
        <v>0</v>
      </c>
      <c r="M948" s="6" t="b">
        <f t="shared" si="910"/>
        <v>0</v>
      </c>
      <c r="P948" s="4">
        <v>0.16118303759139</v>
      </c>
      <c r="T948" s="4" t="str">
        <f t="shared" si="3"/>
        <v/>
      </c>
      <c r="U948" s="4">
        <f t="shared" si="4"/>
        <v>2984</v>
      </c>
    </row>
    <row r="949" ht="15.75" customHeight="1">
      <c r="A949" s="4" t="s">
        <v>2343</v>
      </c>
      <c r="B949" s="4" t="s">
        <v>13</v>
      </c>
      <c r="D949" s="4">
        <v>0.033</v>
      </c>
      <c r="E949" s="4">
        <v>0.033</v>
      </c>
      <c r="F949" s="4">
        <v>0.917</v>
      </c>
      <c r="G949" s="4">
        <v>0.033</v>
      </c>
      <c r="H949" s="4">
        <v>0.033</v>
      </c>
      <c r="K949" s="6" t="b">
        <f t="shared" ref="K949:M949" si="911">FALSE()</f>
        <v>0</v>
      </c>
      <c r="L949" s="6" t="b">
        <f t="shared" si="911"/>
        <v>0</v>
      </c>
      <c r="M949" s="6" t="b">
        <f t="shared" si="911"/>
        <v>0</v>
      </c>
      <c r="O949" s="4">
        <v>0.650761464063507</v>
      </c>
      <c r="T949" s="4" t="str">
        <f t="shared" si="3"/>
        <v/>
      </c>
      <c r="U949" s="4" t="str">
        <f t="shared" si="4"/>
        <v/>
      </c>
    </row>
    <row r="950" ht="15.75" customHeight="1">
      <c r="A950" s="4" t="s">
        <v>2344</v>
      </c>
      <c r="B950" s="4" t="s">
        <v>13</v>
      </c>
      <c r="D950" s="4">
        <v>0.1</v>
      </c>
      <c r="E950" s="4">
        <v>0.1</v>
      </c>
      <c r="F950" s="4">
        <v>1.7</v>
      </c>
      <c r="G950" s="4">
        <v>0.1</v>
      </c>
      <c r="H950" s="4">
        <v>0.1</v>
      </c>
      <c r="K950" s="6" t="b">
        <f t="shared" ref="K950:M950" si="912">FALSE()</f>
        <v>0</v>
      </c>
      <c r="L950" s="6" t="b">
        <f t="shared" si="912"/>
        <v>0</v>
      </c>
      <c r="M950" s="6" t="b">
        <f t="shared" si="912"/>
        <v>0</v>
      </c>
      <c r="O950" s="4">
        <v>0.993251773010283</v>
      </c>
      <c r="T950" s="4" t="str">
        <f t="shared" si="3"/>
        <v/>
      </c>
      <c r="U950" s="4" t="str">
        <f t="shared" si="4"/>
        <v/>
      </c>
    </row>
    <row r="951" ht="15.75" customHeight="1">
      <c r="A951" s="4" t="s">
        <v>2345</v>
      </c>
      <c r="B951" s="4" t="s">
        <v>13</v>
      </c>
      <c r="D951" s="4">
        <v>0.2</v>
      </c>
      <c r="E951" s="4">
        <v>0.2</v>
      </c>
      <c r="F951" s="4">
        <v>2.4</v>
      </c>
      <c r="G951" s="4">
        <v>0.2</v>
      </c>
      <c r="H951" s="4">
        <v>0.2</v>
      </c>
      <c r="K951" s="6" t="b">
        <f t="shared" ref="K951:M951" si="913">FALSE()</f>
        <v>0</v>
      </c>
      <c r="L951" s="6" t="b">
        <f t="shared" si="913"/>
        <v>0</v>
      </c>
      <c r="M951" s="6" t="b">
        <f t="shared" si="913"/>
        <v>0</v>
      </c>
      <c r="O951" s="4">
        <v>1.22377543162212</v>
      </c>
      <c r="T951" s="4" t="str">
        <f t="shared" si="3"/>
        <v/>
      </c>
      <c r="U951" s="4" t="str">
        <f t="shared" si="4"/>
        <v/>
      </c>
    </row>
    <row r="952" ht="15.75" customHeight="1">
      <c r="A952" s="4" t="s">
        <v>2346</v>
      </c>
      <c r="B952" s="4" t="s">
        <v>13</v>
      </c>
      <c r="D952" s="4">
        <v>0.14</v>
      </c>
      <c r="E952" s="4">
        <v>0.17</v>
      </c>
      <c r="F952" s="4">
        <v>2.54</v>
      </c>
      <c r="G952" s="4">
        <v>0.14</v>
      </c>
      <c r="H952" s="4">
        <v>0.17</v>
      </c>
      <c r="K952" s="6" t="b">
        <f t="shared" ref="K952:M952" si="914">FALSE()</f>
        <v>0</v>
      </c>
      <c r="L952" s="6" t="b">
        <f t="shared" si="914"/>
        <v>0</v>
      </c>
      <c r="M952" s="6" t="b">
        <f t="shared" si="914"/>
        <v>0</v>
      </c>
      <c r="O952" s="4">
        <v>1.26412672714568</v>
      </c>
      <c r="T952" s="4" t="str">
        <f t="shared" si="3"/>
        <v/>
      </c>
      <c r="U952" s="4" t="str">
        <f t="shared" si="4"/>
        <v/>
      </c>
    </row>
    <row r="953" ht="15.75" customHeight="1">
      <c r="A953" s="4" t="s">
        <v>2347</v>
      </c>
      <c r="B953" s="4" t="s">
        <v>13</v>
      </c>
      <c r="D953" s="4">
        <v>0.11</v>
      </c>
      <c r="E953" s="4">
        <v>0.11</v>
      </c>
      <c r="F953" s="4">
        <v>1.57</v>
      </c>
      <c r="G953" s="4">
        <v>0.11</v>
      </c>
      <c r="H953" s="4">
        <v>0.11</v>
      </c>
      <c r="K953" s="6" t="b">
        <f t="shared" ref="K953:M953" si="915">FALSE()</f>
        <v>0</v>
      </c>
      <c r="L953" s="6" t="b">
        <f t="shared" si="915"/>
        <v>0</v>
      </c>
      <c r="M953" s="6" t="b">
        <f t="shared" si="915"/>
        <v>0</v>
      </c>
      <c r="O953" s="4">
        <v>0.943905898907128</v>
      </c>
      <c r="T953" s="4" t="str">
        <f t="shared" si="3"/>
        <v/>
      </c>
      <c r="U953" s="4" t="str">
        <f t="shared" si="4"/>
        <v/>
      </c>
    </row>
    <row r="954" ht="15.75" customHeight="1">
      <c r="A954" s="4" t="s">
        <v>2348</v>
      </c>
      <c r="B954" s="4" t="s">
        <v>13</v>
      </c>
      <c r="F954" s="4">
        <v>1.6</v>
      </c>
      <c r="K954" s="6" t="b">
        <f t="shared" ref="K954:M954" si="916">FALSE()</f>
        <v>0</v>
      </c>
      <c r="L954" s="6" t="b">
        <f t="shared" si="916"/>
        <v>0</v>
      </c>
      <c r="M954" s="6" t="b">
        <f t="shared" si="916"/>
        <v>0</v>
      </c>
      <c r="O954" s="4">
        <v>0.955511445027436</v>
      </c>
      <c r="T954" s="4" t="str">
        <f t="shared" si="3"/>
        <v/>
      </c>
      <c r="U954" s="4" t="str">
        <f t="shared" si="4"/>
        <v/>
      </c>
    </row>
    <row r="955" ht="15.75" customHeight="1">
      <c r="A955" s="4" t="s">
        <v>2349</v>
      </c>
      <c r="B955" s="4" t="s">
        <v>13</v>
      </c>
      <c r="C955" s="4">
        <v>5.473</v>
      </c>
      <c r="D955" s="4">
        <v>1.157</v>
      </c>
      <c r="E955" s="4">
        <v>1.944</v>
      </c>
      <c r="K955" s="6" t="b">
        <f t="shared" ref="K955:K957" si="918">TRUE()</f>
        <v>1</v>
      </c>
      <c r="L955" s="6" t="b">
        <f t="shared" ref="L955:M955" si="917">FALSE()</f>
        <v>0</v>
      </c>
      <c r="M955" s="6" t="b">
        <f t="shared" si="917"/>
        <v>0</v>
      </c>
      <c r="N955" s="4">
        <v>1.86763967956337</v>
      </c>
      <c r="T955" s="4">
        <f t="shared" si="3"/>
        <v>192</v>
      </c>
      <c r="U955" s="4" t="str">
        <f t="shared" si="4"/>
        <v/>
      </c>
    </row>
    <row r="956" ht="15.75" customHeight="1">
      <c r="A956" s="4" t="s">
        <v>2350</v>
      </c>
      <c r="B956" s="4" t="s">
        <v>13</v>
      </c>
      <c r="C956" s="4">
        <v>8.403</v>
      </c>
      <c r="D956" s="4">
        <v>0.489</v>
      </c>
      <c r="E956" s="4">
        <v>1.241</v>
      </c>
      <c r="F956" s="4">
        <v>8.07</v>
      </c>
      <c r="G956" s="4">
        <v>0.12</v>
      </c>
      <c r="H956" s="4">
        <v>0.12</v>
      </c>
      <c r="K956" s="6" t="b">
        <f t="shared" si="918"/>
        <v>1</v>
      </c>
      <c r="L956" s="6" t="b">
        <f>TRUE()</f>
        <v>1</v>
      </c>
      <c r="M956" s="6" t="b">
        <f>FALSE()</f>
        <v>0</v>
      </c>
      <c r="N956" s="4">
        <v>2.24102878729494</v>
      </c>
      <c r="O956" s="4">
        <v>2.20497226412705</v>
      </c>
      <c r="T956" s="4">
        <f t="shared" si="3"/>
        <v>97</v>
      </c>
      <c r="U956" s="4" t="str">
        <f t="shared" si="4"/>
        <v/>
      </c>
    </row>
    <row r="957" ht="15.75" customHeight="1">
      <c r="A957" s="4" t="s">
        <v>2351</v>
      </c>
      <c r="B957" s="4" t="s">
        <v>13</v>
      </c>
      <c r="C957" s="4">
        <v>6.15</v>
      </c>
      <c r="D957" s="4">
        <v>0.341</v>
      </c>
      <c r="E957" s="4">
        <v>1.308</v>
      </c>
      <c r="F957" s="4">
        <v>3.0</v>
      </c>
      <c r="G957" s="4">
        <v>0.3</v>
      </c>
      <c r="H957" s="4">
        <v>0.3</v>
      </c>
      <c r="K957" s="6" t="b">
        <f t="shared" si="918"/>
        <v>1</v>
      </c>
      <c r="L957" s="6" t="b">
        <f t="shared" ref="L957:M957" si="919">FALSE()</f>
        <v>0</v>
      </c>
      <c r="M957" s="6" t="b">
        <f t="shared" si="919"/>
        <v>0</v>
      </c>
      <c r="N957" s="4">
        <v>1.96711235670592</v>
      </c>
      <c r="O957" s="4">
        <v>1.38629436111989</v>
      </c>
      <c r="T957" s="4">
        <f t="shared" si="3"/>
        <v>157</v>
      </c>
      <c r="U957" s="4" t="str">
        <f t="shared" si="4"/>
        <v/>
      </c>
    </row>
    <row r="958" ht="15.75" customHeight="1">
      <c r="A958" s="4" t="s">
        <v>2352</v>
      </c>
      <c r="B958" s="4" t="s">
        <v>13</v>
      </c>
      <c r="D958" s="4">
        <v>0.08</v>
      </c>
      <c r="E958" s="4">
        <v>0.08</v>
      </c>
      <c r="F958" s="4">
        <v>1.29</v>
      </c>
      <c r="G958" s="4">
        <v>0.08</v>
      </c>
      <c r="H958" s="4">
        <v>0.08</v>
      </c>
      <c r="K958" s="6" t="b">
        <f t="shared" ref="K958:M958" si="920">FALSE()</f>
        <v>0</v>
      </c>
      <c r="L958" s="6" t="b">
        <f t="shared" si="920"/>
        <v>0</v>
      </c>
      <c r="M958" s="6" t="b">
        <f t="shared" si="920"/>
        <v>0</v>
      </c>
      <c r="O958" s="4">
        <v>0.828551817566148</v>
      </c>
      <c r="T958" s="4" t="str">
        <f t="shared" si="3"/>
        <v/>
      </c>
      <c r="U958" s="4" t="str">
        <f t="shared" si="4"/>
        <v/>
      </c>
    </row>
    <row r="959" ht="15.75" customHeight="1">
      <c r="A959" s="4" t="s">
        <v>2353</v>
      </c>
      <c r="B959" s="4" t="s">
        <v>13</v>
      </c>
      <c r="D959" s="4">
        <v>0.06</v>
      </c>
      <c r="E959" s="4">
        <v>0.06</v>
      </c>
      <c r="F959" s="4">
        <v>0.47</v>
      </c>
      <c r="G959" s="4">
        <v>0.06</v>
      </c>
      <c r="H959" s="4">
        <v>0.06</v>
      </c>
      <c r="K959" s="6" t="b">
        <f t="shared" ref="K959:M959" si="921">FALSE()</f>
        <v>0</v>
      </c>
      <c r="L959" s="6" t="b">
        <f t="shared" si="921"/>
        <v>0</v>
      </c>
      <c r="M959" s="6" t="b">
        <f t="shared" si="921"/>
        <v>0</v>
      </c>
      <c r="O959" s="4">
        <v>0.385262400790645</v>
      </c>
      <c r="T959" s="4" t="str">
        <f t="shared" si="3"/>
        <v/>
      </c>
      <c r="U959" s="4" t="str">
        <f t="shared" si="4"/>
        <v/>
      </c>
    </row>
    <row r="960" ht="15.75" customHeight="1">
      <c r="A960" s="4" t="s">
        <v>2354</v>
      </c>
      <c r="B960" s="4" t="s">
        <v>13</v>
      </c>
      <c r="D960" s="4">
        <v>0.2</v>
      </c>
      <c r="E960" s="4">
        <v>0.2</v>
      </c>
      <c r="F960" s="4">
        <v>1.8</v>
      </c>
      <c r="G960" s="4">
        <v>0.2</v>
      </c>
      <c r="H960" s="4">
        <v>0.2</v>
      </c>
      <c r="K960" s="6" t="b">
        <f t="shared" ref="K960:M960" si="922">FALSE()</f>
        <v>0</v>
      </c>
      <c r="L960" s="6" t="b">
        <f t="shared" si="922"/>
        <v>0</v>
      </c>
      <c r="M960" s="6" t="b">
        <f t="shared" si="922"/>
        <v>0</v>
      </c>
      <c r="O960" s="4">
        <v>1.02961941718116</v>
      </c>
      <c r="T960" s="4" t="str">
        <f t="shared" si="3"/>
        <v/>
      </c>
      <c r="U960" s="4" t="str">
        <f t="shared" si="4"/>
        <v/>
      </c>
    </row>
    <row r="961" ht="15.75" customHeight="1">
      <c r="A961" s="4" t="s">
        <v>171</v>
      </c>
      <c r="B961" s="4" t="s">
        <v>13</v>
      </c>
      <c r="C961" s="4">
        <v>12.0</v>
      </c>
      <c r="D961" s="4">
        <v>12.0</v>
      </c>
      <c r="E961" s="4">
        <v>12.0</v>
      </c>
      <c r="I961" s="4">
        <v>1.32</v>
      </c>
      <c r="J961" s="4">
        <v>0.14</v>
      </c>
      <c r="K961" s="6" t="b">
        <f>TRUE()</f>
        <v>1</v>
      </c>
      <c r="L961" s="6" t="b">
        <f>FALSE()</f>
        <v>0</v>
      </c>
      <c r="M961" s="6" t="b">
        <f>TRUE()</f>
        <v>1</v>
      </c>
      <c r="N961" s="4">
        <v>2.56494935746154</v>
      </c>
      <c r="P961" s="4">
        <v>0.841567185678219</v>
      </c>
      <c r="T961" s="4">
        <f t="shared" si="3"/>
        <v>15</v>
      </c>
      <c r="U961" s="4">
        <f t="shared" si="4"/>
        <v>233</v>
      </c>
    </row>
    <row r="962" ht="15.75" customHeight="1">
      <c r="A962" s="4" t="s">
        <v>2355</v>
      </c>
      <c r="B962" s="4" t="s">
        <v>13</v>
      </c>
      <c r="D962" s="4">
        <v>0.07</v>
      </c>
      <c r="E962" s="4">
        <v>0.07</v>
      </c>
      <c r="F962" s="4">
        <v>0.5</v>
      </c>
      <c r="G962" s="4">
        <v>0.07</v>
      </c>
      <c r="H962" s="4">
        <v>0.07</v>
      </c>
      <c r="K962" s="6" t="b">
        <f t="shared" ref="K962:M962" si="923">FALSE()</f>
        <v>0</v>
      </c>
      <c r="L962" s="6" t="b">
        <f t="shared" si="923"/>
        <v>0</v>
      </c>
      <c r="M962" s="6" t="b">
        <f t="shared" si="923"/>
        <v>0</v>
      </c>
      <c r="O962" s="4">
        <v>0.405465108108164</v>
      </c>
      <c r="T962" s="4" t="str">
        <f t="shared" si="3"/>
        <v/>
      </c>
      <c r="U962" s="4" t="str">
        <f t="shared" si="4"/>
        <v/>
      </c>
    </row>
    <row r="963" ht="15.75" customHeight="1">
      <c r="A963" s="4" t="s">
        <v>2356</v>
      </c>
      <c r="B963" s="4" t="s">
        <v>13</v>
      </c>
      <c r="D963" s="4">
        <v>0.0025</v>
      </c>
      <c r="E963" s="4">
        <v>0.0025</v>
      </c>
      <c r="F963" s="4">
        <v>0.0363</v>
      </c>
      <c r="G963" s="4">
        <v>0.0025</v>
      </c>
      <c r="H963" s="4">
        <v>0.0025</v>
      </c>
      <c r="K963" s="6" t="b">
        <f t="shared" ref="K963:M963" si="924">FALSE()</f>
        <v>0</v>
      </c>
      <c r="L963" s="6" t="b">
        <f t="shared" si="924"/>
        <v>0</v>
      </c>
      <c r="M963" s="6" t="b">
        <f t="shared" si="924"/>
        <v>0</v>
      </c>
      <c r="O963" s="4">
        <v>0.0356566772080346</v>
      </c>
      <c r="T963" s="4" t="str">
        <f t="shared" si="3"/>
        <v/>
      </c>
      <c r="U963" s="4" t="str">
        <f t="shared" si="4"/>
        <v/>
      </c>
    </row>
    <row r="964" ht="15.75" customHeight="1">
      <c r="A964" s="4" t="s">
        <v>2357</v>
      </c>
      <c r="B964" s="4" t="s">
        <v>13</v>
      </c>
      <c r="D964" s="4">
        <v>0.00345</v>
      </c>
      <c r="E964" s="4">
        <v>0.00345</v>
      </c>
      <c r="F964" s="4">
        <v>0.0498</v>
      </c>
      <c r="G964" s="4">
        <v>0.00345</v>
      </c>
      <c r="H964" s="4">
        <v>0.00345</v>
      </c>
      <c r="K964" s="6" t="b">
        <f t="shared" ref="K964:M964" si="925">FALSE()</f>
        <v>0</v>
      </c>
      <c r="L964" s="6" t="b">
        <f t="shared" si="925"/>
        <v>0</v>
      </c>
      <c r="M964" s="6" t="b">
        <f t="shared" si="925"/>
        <v>0</v>
      </c>
      <c r="O964" s="4">
        <v>0.0485996698360623</v>
      </c>
      <c r="T964" s="4" t="str">
        <f t="shared" si="3"/>
        <v/>
      </c>
      <c r="U964" s="4" t="str">
        <f t="shared" si="4"/>
        <v/>
      </c>
    </row>
    <row r="965" ht="15.75" customHeight="1">
      <c r="A965" s="4" t="s">
        <v>2358</v>
      </c>
      <c r="B965" s="4" t="s">
        <v>13</v>
      </c>
      <c r="D965" s="4">
        <v>0.0257</v>
      </c>
      <c r="E965" s="4">
        <v>0.0257</v>
      </c>
      <c r="F965" s="4">
        <v>0.0519</v>
      </c>
      <c r="G965" s="4">
        <v>0.0257</v>
      </c>
      <c r="H965" s="4">
        <v>0.0257</v>
      </c>
      <c r="K965" s="6" t="b">
        <f t="shared" ref="K965:M965" si="926">FALSE()</f>
        <v>0</v>
      </c>
      <c r="L965" s="6" t="b">
        <f t="shared" si="926"/>
        <v>0</v>
      </c>
      <c r="M965" s="6" t="b">
        <f t="shared" si="926"/>
        <v>0</v>
      </c>
      <c r="O965" s="4">
        <v>0.0505980527630913</v>
      </c>
      <c r="T965" s="4" t="str">
        <f t="shared" si="3"/>
        <v/>
      </c>
      <c r="U965" s="4" t="str">
        <f t="shared" si="4"/>
        <v/>
      </c>
    </row>
    <row r="966" ht="15.75" customHeight="1">
      <c r="A966" s="4" t="s">
        <v>441</v>
      </c>
      <c r="B966" s="4" t="s">
        <v>13</v>
      </c>
      <c r="C966" s="4">
        <v>0.0158</v>
      </c>
      <c r="D966" s="4">
        <v>0.0012</v>
      </c>
      <c r="E966" s="4">
        <v>0.0012</v>
      </c>
      <c r="I966" s="4">
        <v>0.152</v>
      </c>
      <c r="J966" s="4">
        <v>0.013</v>
      </c>
      <c r="K966" s="6" t="b">
        <f t="shared" ref="K966:M966" si="927">FALSE()</f>
        <v>0</v>
      </c>
      <c r="L966" s="6" t="b">
        <f t="shared" si="927"/>
        <v>0</v>
      </c>
      <c r="M966" s="6" t="b">
        <f t="shared" si="927"/>
        <v>0</v>
      </c>
      <c r="N966" s="4">
        <v>0.0156764793850075</v>
      </c>
      <c r="P966" s="4">
        <v>0.1414995622737</v>
      </c>
      <c r="T966" s="4">
        <f t="shared" si="3"/>
        <v>1811</v>
      </c>
      <c r="U966" s="4">
        <f t="shared" si="4"/>
        <v>3290</v>
      </c>
    </row>
    <row r="967" ht="15.75" customHeight="1">
      <c r="A967" s="4" t="s">
        <v>442</v>
      </c>
      <c r="B967" s="4" t="s">
        <v>13</v>
      </c>
      <c r="C967" s="4">
        <v>0.0308</v>
      </c>
      <c r="D967" s="4">
        <v>0.0039</v>
      </c>
      <c r="E967" s="4">
        <v>0.00409</v>
      </c>
      <c r="I967" s="4">
        <v>0.255</v>
      </c>
      <c r="J967" s="4">
        <v>0.02</v>
      </c>
      <c r="K967" s="6" t="b">
        <f t="shared" ref="K967:M967" si="928">FALSE()</f>
        <v>0</v>
      </c>
      <c r="L967" s="6" t="b">
        <f t="shared" si="928"/>
        <v>0</v>
      </c>
      <c r="M967" s="6" t="b">
        <f t="shared" si="928"/>
        <v>0</v>
      </c>
      <c r="N967" s="4">
        <v>0.0303351997960729</v>
      </c>
      <c r="P967" s="4">
        <v>0.227135572583747</v>
      </c>
      <c r="T967" s="4">
        <f t="shared" si="3"/>
        <v>1541</v>
      </c>
      <c r="U967" s="4">
        <f t="shared" si="4"/>
        <v>1743</v>
      </c>
    </row>
    <row r="968" ht="15.75" customHeight="1">
      <c r="A968" s="4" t="s">
        <v>2359</v>
      </c>
      <c r="B968" s="4" t="s">
        <v>13</v>
      </c>
      <c r="C968" s="4">
        <v>0.0217</v>
      </c>
      <c r="D968" s="4">
        <v>0.0022</v>
      </c>
      <c r="E968" s="4">
        <v>0.0022</v>
      </c>
      <c r="G968" s="4">
        <v>0.00142</v>
      </c>
      <c r="H968" s="4">
        <v>0.00142</v>
      </c>
      <c r="K968" s="6" t="b">
        <f t="shared" ref="K968:M968" si="929">FALSE()</f>
        <v>0</v>
      </c>
      <c r="L968" s="6" t="b">
        <f t="shared" si="929"/>
        <v>0</v>
      </c>
      <c r="M968" s="6" t="b">
        <f t="shared" si="929"/>
        <v>0</v>
      </c>
      <c r="N968" s="4">
        <v>0.0214679066152409</v>
      </c>
      <c r="T968" s="4">
        <f t="shared" si="3"/>
        <v>1687</v>
      </c>
      <c r="U968" s="4" t="str">
        <f t="shared" si="4"/>
        <v/>
      </c>
    </row>
    <row r="969" ht="15.75" customHeight="1">
      <c r="A969" s="4" t="s">
        <v>2360</v>
      </c>
      <c r="B969" s="4" t="s">
        <v>13</v>
      </c>
      <c r="D969" s="4">
        <v>0.003</v>
      </c>
      <c r="E969" s="4">
        <v>0.003</v>
      </c>
      <c r="F969" s="4">
        <v>0.02646</v>
      </c>
      <c r="G969" s="4">
        <v>0.003</v>
      </c>
      <c r="H969" s="4">
        <v>0.003</v>
      </c>
      <c r="K969" s="6" t="b">
        <f t="shared" ref="K969:M969" si="930">FALSE()</f>
        <v>0</v>
      </c>
      <c r="L969" s="6" t="b">
        <f t="shared" si="930"/>
        <v>0</v>
      </c>
      <c r="M969" s="6" t="b">
        <f t="shared" si="930"/>
        <v>0</v>
      </c>
      <c r="O969" s="4">
        <v>0.0261159893527717</v>
      </c>
      <c r="T969" s="4" t="str">
        <f t="shared" si="3"/>
        <v/>
      </c>
      <c r="U969" s="4" t="str">
        <f t="shared" si="4"/>
        <v/>
      </c>
    </row>
    <row r="970" ht="15.75" customHeight="1">
      <c r="A970" s="4" t="s">
        <v>2361</v>
      </c>
      <c r="B970" s="4" t="s">
        <v>13</v>
      </c>
      <c r="D970" s="4">
        <v>0.69</v>
      </c>
      <c r="E970" s="4">
        <v>0.69</v>
      </c>
      <c r="F970" s="4">
        <v>3.04</v>
      </c>
      <c r="G970" s="4">
        <v>0.69</v>
      </c>
      <c r="H970" s="4">
        <v>0.69</v>
      </c>
      <c r="K970" s="6" t="b">
        <f t="shared" ref="K970:M970" si="931">FALSE()</f>
        <v>0</v>
      </c>
      <c r="L970" s="6" t="b">
        <f t="shared" si="931"/>
        <v>0</v>
      </c>
      <c r="M970" s="6" t="b">
        <f t="shared" si="931"/>
        <v>0</v>
      </c>
      <c r="O970" s="4">
        <v>1.39624469197306</v>
      </c>
      <c r="T970" s="4" t="str">
        <f t="shared" si="3"/>
        <v/>
      </c>
      <c r="U970" s="4" t="str">
        <f t="shared" si="4"/>
        <v/>
      </c>
    </row>
    <row r="971" ht="15.75" customHeight="1">
      <c r="A971" s="4" t="s">
        <v>2362</v>
      </c>
      <c r="B971" s="4" t="s">
        <v>13</v>
      </c>
      <c r="D971" s="4">
        <v>0.03</v>
      </c>
      <c r="E971" s="4">
        <v>0.03</v>
      </c>
      <c r="F971" s="4">
        <v>0.7</v>
      </c>
      <c r="G971" s="4">
        <v>0.03</v>
      </c>
      <c r="H971" s="4">
        <v>0.03</v>
      </c>
      <c r="K971" s="6" t="b">
        <f t="shared" ref="K971:M971" si="932">FALSE()</f>
        <v>0</v>
      </c>
      <c r="L971" s="6" t="b">
        <f t="shared" si="932"/>
        <v>0</v>
      </c>
      <c r="M971" s="6" t="b">
        <f t="shared" si="932"/>
        <v>0</v>
      </c>
      <c r="O971" s="4">
        <v>0.53062825106217</v>
      </c>
      <c r="T971" s="4" t="str">
        <f t="shared" si="3"/>
        <v/>
      </c>
      <c r="U971" s="4" t="str">
        <f t="shared" si="4"/>
        <v/>
      </c>
    </row>
    <row r="972" ht="15.75" customHeight="1">
      <c r="A972" s="4" t="s">
        <v>2363</v>
      </c>
      <c r="B972" s="4" t="s">
        <v>13</v>
      </c>
      <c r="F972" s="4">
        <v>0.62</v>
      </c>
      <c r="I972" s="4">
        <v>1.06</v>
      </c>
      <c r="K972" s="6" t="b">
        <f t="shared" ref="K972:L972" si="933">FALSE()</f>
        <v>0</v>
      </c>
      <c r="L972" s="6" t="b">
        <f t="shared" si="933"/>
        <v>0</v>
      </c>
      <c r="M972" s="6" t="b">
        <f>TRUE()</f>
        <v>1</v>
      </c>
      <c r="O972" s="4">
        <v>0.482426149244293</v>
      </c>
      <c r="P972" s="4">
        <v>0.72270598280149</v>
      </c>
      <c r="T972" s="4" t="str">
        <f t="shared" si="3"/>
        <v/>
      </c>
      <c r="U972" s="4">
        <f t="shared" si="4"/>
        <v>586</v>
      </c>
    </row>
    <row r="973" ht="15.75" customHeight="1">
      <c r="A973" s="4" t="s">
        <v>2364</v>
      </c>
      <c r="B973" s="4" t="s">
        <v>13</v>
      </c>
      <c r="D973" s="4">
        <v>0.11</v>
      </c>
      <c r="E973" s="4">
        <v>0.11</v>
      </c>
      <c r="F973" s="4">
        <v>1.5</v>
      </c>
      <c r="G973" s="4">
        <v>0.11</v>
      </c>
      <c r="H973" s="4">
        <v>0.11</v>
      </c>
      <c r="K973" s="6" t="b">
        <f t="shared" ref="K973:M973" si="934">FALSE()</f>
        <v>0</v>
      </c>
      <c r="L973" s="6" t="b">
        <f t="shared" si="934"/>
        <v>0</v>
      </c>
      <c r="M973" s="6" t="b">
        <f t="shared" si="934"/>
        <v>0</v>
      </c>
      <c r="O973" s="4">
        <v>0.916290731874155</v>
      </c>
      <c r="T973" s="4" t="str">
        <f t="shared" si="3"/>
        <v/>
      </c>
      <c r="U973" s="4" t="str">
        <f t="shared" si="4"/>
        <v/>
      </c>
    </row>
    <row r="974" ht="15.75" customHeight="1">
      <c r="A974" s="4" t="s">
        <v>2365</v>
      </c>
      <c r="B974" s="4" t="s">
        <v>13</v>
      </c>
      <c r="F974" s="4">
        <v>1.261</v>
      </c>
      <c r="I974" s="4">
        <v>1.235</v>
      </c>
      <c r="K974" s="6" t="b">
        <f t="shared" ref="K974:L974" si="935">FALSE()</f>
        <v>0</v>
      </c>
      <c r="L974" s="6" t="b">
        <f t="shared" si="935"/>
        <v>0</v>
      </c>
      <c r="M974" s="6" t="b">
        <f t="shared" ref="M974:M975" si="937">TRUE()</f>
        <v>1</v>
      </c>
      <c r="O974" s="4">
        <v>0.815807193295833</v>
      </c>
      <c r="P974" s="4">
        <v>0.804241228065532</v>
      </c>
      <c r="T974" s="4" t="str">
        <f t="shared" si="3"/>
        <v/>
      </c>
      <c r="U974" s="4">
        <f t="shared" si="4"/>
        <v>334</v>
      </c>
    </row>
    <row r="975" ht="15.75" customHeight="1">
      <c r="A975" s="4" t="s">
        <v>2366</v>
      </c>
      <c r="B975" s="4" t="s">
        <v>13</v>
      </c>
      <c r="F975" s="4">
        <v>0.885</v>
      </c>
      <c r="I975" s="4">
        <v>1.277</v>
      </c>
      <c r="K975" s="6" t="b">
        <f t="shared" ref="K975:L975" si="936">FALSE()</f>
        <v>0</v>
      </c>
      <c r="L975" s="6" t="b">
        <f t="shared" si="936"/>
        <v>0</v>
      </c>
      <c r="M975" s="6" t="b">
        <f t="shared" si="937"/>
        <v>1</v>
      </c>
      <c r="O975" s="4">
        <v>0.633927820899974</v>
      </c>
      <c r="P975" s="4">
        <v>0.822858787081603</v>
      </c>
      <c r="T975" s="4" t="str">
        <f t="shared" si="3"/>
        <v/>
      </c>
      <c r="U975" s="4">
        <f t="shared" si="4"/>
        <v>287</v>
      </c>
    </row>
    <row r="976" ht="15.75" customHeight="1">
      <c r="A976" s="4" t="s">
        <v>2367</v>
      </c>
      <c r="B976" s="4" t="s">
        <v>13</v>
      </c>
      <c r="F976" s="4">
        <v>0.2</v>
      </c>
      <c r="K976" s="6" t="b">
        <f t="shared" ref="K976:M976" si="938">FALSE()</f>
        <v>0</v>
      </c>
      <c r="L976" s="6" t="b">
        <f t="shared" si="938"/>
        <v>0</v>
      </c>
      <c r="M976" s="6" t="b">
        <f t="shared" si="938"/>
        <v>0</v>
      </c>
      <c r="O976" s="4">
        <v>0.182321556793955</v>
      </c>
      <c r="T976" s="4" t="str">
        <f t="shared" si="3"/>
        <v/>
      </c>
      <c r="U976" s="4" t="str">
        <f t="shared" si="4"/>
        <v/>
      </c>
    </row>
    <row r="977" ht="15.75" customHeight="1">
      <c r="A977" s="4" t="s">
        <v>443</v>
      </c>
      <c r="B977" s="4" t="s">
        <v>13</v>
      </c>
      <c r="C977" s="4">
        <v>0.244</v>
      </c>
      <c r="D977" s="4">
        <v>0.021</v>
      </c>
      <c r="E977" s="4">
        <v>0.021</v>
      </c>
      <c r="I977" s="4">
        <v>0.867</v>
      </c>
      <c r="J977" s="4">
        <v>0.025</v>
      </c>
      <c r="K977" s="6" t="b">
        <f t="shared" ref="K977:L977" si="939">FALSE()</f>
        <v>0</v>
      </c>
      <c r="L977" s="6" t="b">
        <f t="shared" si="939"/>
        <v>0</v>
      </c>
      <c r="M977" s="6" t="b">
        <f t="shared" ref="M977:M978" si="941">TRUE()</f>
        <v>1</v>
      </c>
      <c r="N977" s="4">
        <v>0.218331994316988</v>
      </c>
      <c r="P977" s="4">
        <v>0.624332864559586</v>
      </c>
      <c r="T977" s="4">
        <f t="shared" si="3"/>
        <v>1116</v>
      </c>
      <c r="U977" s="4">
        <f t="shared" si="4"/>
        <v>791</v>
      </c>
    </row>
    <row r="978" ht="15.75" customHeight="1">
      <c r="A978" s="4" t="s">
        <v>2368</v>
      </c>
      <c r="B978" s="4" t="s">
        <v>13</v>
      </c>
      <c r="F978" s="4">
        <v>0.33</v>
      </c>
      <c r="I978" s="4">
        <v>0.99</v>
      </c>
      <c r="K978" s="6" t="b">
        <f t="shared" ref="K978:L978" si="940">FALSE()</f>
        <v>0</v>
      </c>
      <c r="L978" s="6" t="b">
        <f t="shared" si="940"/>
        <v>0</v>
      </c>
      <c r="M978" s="6" t="b">
        <f t="shared" si="941"/>
        <v>1</v>
      </c>
      <c r="O978" s="4">
        <v>0.285178942233662</v>
      </c>
      <c r="P978" s="4">
        <v>0.688134638736401</v>
      </c>
      <c r="T978" s="4" t="str">
        <f t="shared" si="3"/>
        <v/>
      </c>
      <c r="U978" s="4">
        <f t="shared" si="4"/>
        <v>684</v>
      </c>
    </row>
    <row r="979" ht="15.75" customHeight="1">
      <c r="A979" s="4" t="s">
        <v>2369</v>
      </c>
      <c r="B979" s="4" t="s">
        <v>13</v>
      </c>
      <c r="F979" s="4">
        <v>9.1</v>
      </c>
      <c r="K979" s="6" t="b">
        <f t="shared" ref="K979:K1030" si="942">FALSE()</f>
        <v>0</v>
      </c>
      <c r="L979" s="6" t="b">
        <f>TRUE()</f>
        <v>1</v>
      </c>
      <c r="M979" s="6" t="b">
        <f>FALSE()</f>
        <v>0</v>
      </c>
      <c r="O979" s="4">
        <v>2.31253542384721</v>
      </c>
      <c r="T979" s="4" t="str">
        <f t="shared" si="3"/>
        <v/>
      </c>
      <c r="U979" s="4" t="str">
        <f t="shared" si="4"/>
        <v/>
      </c>
    </row>
    <row r="980" ht="15.75" customHeight="1">
      <c r="A980" s="4" t="s">
        <v>2370</v>
      </c>
      <c r="B980" s="4" t="s">
        <v>13</v>
      </c>
      <c r="D980" s="4">
        <v>0.12</v>
      </c>
      <c r="E980" s="4">
        <v>0.12</v>
      </c>
      <c r="F980" s="4">
        <v>1.96</v>
      </c>
      <c r="G980" s="4">
        <v>0.12</v>
      </c>
      <c r="H980" s="4">
        <v>0.12</v>
      </c>
      <c r="K980" s="6" t="b">
        <f t="shared" si="942"/>
        <v>0</v>
      </c>
      <c r="L980" s="6" t="b">
        <f t="shared" ref="L980:M980" si="943">FALSE()</f>
        <v>0</v>
      </c>
      <c r="M980" s="6" t="b">
        <f t="shared" si="943"/>
        <v>0</v>
      </c>
      <c r="O980" s="4">
        <v>1.08518926833597</v>
      </c>
      <c r="T980" s="4" t="str">
        <f t="shared" si="3"/>
        <v/>
      </c>
      <c r="U980" s="4" t="str">
        <f t="shared" si="4"/>
        <v/>
      </c>
    </row>
    <row r="981" ht="15.75" customHeight="1">
      <c r="A981" s="4" t="s">
        <v>2371</v>
      </c>
      <c r="B981" s="4" t="s">
        <v>13</v>
      </c>
      <c r="D981" s="4">
        <v>0.18</v>
      </c>
      <c r="E981" s="4">
        <v>0.18</v>
      </c>
      <c r="F981" s="4">
        <v>1.75</v>
      </c>
      <c r="G981" s="4">
        <v>0.18</v>
      </c>
      <c r="H981" s="4">
        <v>0.18</v>
      </c>
      <c r="K981" s="6" t="b">
        <f t="shared" si="942"/>
        <v>0</v>
      </c>
      <c r="L981" s="6" t="b">
        <f t="shared" ref="L981:M981" si="944">FALSE()</f>
        <v>0</v>
      </c>
      <c r="M981" s="6" t="b">
        <f t="shared" si="944"/>
        <v>0</v>
      </c>
      <c r="O981" s="4">
        <v>1.01160091167848</v>
      </c>
      <c r="T981" s="4" t="str">
        <f t="shared" si="3"/>
        <v/>
      </c>
      <c r="U981" s="4" t="str">
        <f t="shared" si="4"/>
        <v/>
      </c>
    </row>
    <row r="982" ht="15.75" customHeight="1">
      <c r="A982" s="4" t="s">
        <v>2372</v>
      </c>
      <c r="B982" s="4" t="s">
        <v>13</v>
      </c>
      <c r="D982" s="4">
        <v>0.028</v>
      </c>
      <c r="E982" s="4">
        <v>0.028</v>
      </c>
      <c r="F982" s="4">
        <v>0.629</v>
      </c>
      <c r="G982" s="4">
        <v>0.028</v>
      </c>
      <c r="H982" s="4">
        <v>0.028</v>
      </c>
      <c r="K982" s="6" t="b">
        <f t="shared" si="942"/>
        <v>0</v>
      </c>
      <c r="L982" s="6" t="b">
        <f t="shared" ref="L982:M982" si="945">FALSE()</f>
        <v>0</v>
      </c>
      <c r="M982" s="6" t="b">
        <f t="shared" si="945"/>
        <v>0</v>
      </c>
      <c r="O982" s="4">
        <v>0.487966329619908</v>
      </c>
      <c r="T982" s="4" t="str">
        <f t="shared" si="3"/>
        <v/>
      </c>
      <c r="U982" s="4" t="str">
        <f t="shared" si="4"/>
        <v/>
      </c>
    </row>
    <row r="983" ht="15.75" customHeight="1">
      <c r="A983" s="4" t="s">
        <v>2373</v>
      </c>
      <c r="B983" s="4" t="s">
        <v>13</v>
      </c>
      <c r="D983" s="4">
        <v>0.016</v>
      </c>
      <c r="E983" s="4">
        <v>0.016</v>
      </c>
      <c r="F983" s="4">
        <v>0.168</v>
      </c>
      <c r="G983" s="4">
        <v>0.016</v>
      </c>
      <c r="H983" s="4">
        <v>0.016</v>
      </c>
      <c r="K983" s="6" t="b">
        <f t="shared" si="942"/>
        <v>0</v>
      </c>
      <c r="L983" s="6" t="b">
        <f t="shared" ref="L983:M983" si="946">FALSE()</f>
        <v>0</v>
      </c>
      <c r="M983" s="6" t="b">
        <f t="shared" si="946"/>
        <v>0</v>
      </c>
      <c r="O983" s="4">
        <v>0.155292884406035</v>
      </c>
      <c r="T983" s="4" t="str">
        <f t="shared" si="3"/>
        <v/>
      </c>
      <c r="U983" s="4" t="str">
        <f t="shared" si="4"/>
        <v/>
      </c>
    </row>
    <row r="984" ht="15.75" customHeight="1">
      <c r="A984" s="4" t="s">
        <v>2374</v>
      </c>
      <c r="B984" s="4" t="s">
        <v>13</v>
      </c>
      <c r="D984" s="4">
        <v>0.037</v>
      </c>
      <c r="E984" s="4">
        <v>0.13</v>
      </c>
      <c r="F984" s="4">
        <v>0.097</v>
      </c>
      <c r="G984" s="4">
        <v>0.037</v>
      </c>
      <c r="H984" s="4">
        <v>0.13</v>
      </c>
      <c r="K984" s="6" t="b">
        <f t="shared" si="942"/>
        <v>0</v>
      </c>
      <c r="L984" s="6" t="b">
        <f t="shared" ref="L984:M984" si="947">FALSE()</f>
        <v>0</v>
      </c>
      <c r="M984" s="6" t="b">
        <f t="shared" si="947"/>
        <v>0</v>
      </c>
      <c r="O984" s="4">
        <v>0.0925791812930932</v>
      </c>
      <c r="T984" s="4" t="str">
        <f t="shared" si="3"/>
        <v/>
      </c>
      <c r="U984" s="4" t="str">
        <f t="shared" si="4"/>
        <v/>
      </c>
    </row>
    <row r="985" ht="15.75" customHeight="1">
      <c r="A985" s="4" t="s">
        <v>2375</v>
      </c>
      <c r="B985" s="4" t="s">
        <v>13</v>
      </c>
      <c r="D985" s="4">
        <v>0.0089</v>
      </c>
      <c r="E985" s="4">
        <v>0.0089</v>
      </c>
      <c r="F985" s="4">
        <v>0.0529</v>
      </c>
      <c r="G985" s="4">
        <v>0.0089</v>
      </c>
      <c r="H985" s="4">
        <v>0.0089</v>
      </c>
      <c r="K985" s="6" t="b">
        <f t="shared" si="942"/>
        <v>0</v>
      </c>
      <c r="L985" s="6" t="b">
        <f t="shared" ref="L985:M985" si="948">FALSE()</f>
        <v>0</v>
      </c>
      <c r="M985" s="6" t="b">
        <f t="shared" si="948"/>
        <v>0</v>
      </c>
      <c r="O985" s="4">
        <v>0.0515482618805766</v>
      </c>
      <c r="T985" s="4" t="str">
        <f t="shared" si="3"/>
        <v/>
      </c>
      <c r="U985" s="4" t="str">
        <f t="shared" si="4"/>
        <v/>
      </c>
    </row>
    <row r="986" ht="15.75" customHeight="1">
      <c r="A986" s="4" t="s">
        <v>2376</v>
      </c>
      <c r="B986" s="4" t="s">
        <v>13</v>
      </c>
      <c r="D986" s="4">
        <v>0.021</v>
      </c>
      <c r="E986" s="4">
        <v>0.021</v>
      </c>
      <c r="F986" s="4">
        <v>0.119</v>
      </c>
      <c r="G986" s="4">
        <v>0.021</v>
      </c>
      <c r="H986" s="4">
        <v>0.021</v>
      </c>
      <c r="K986" s="6" t="b">
        <f t="shared" si="942"/>
        <v>0</v>
      </c>
      <c r="L986" s="6" t="b">
        <f t="shared" ref="L986:M986" si="949">FALSE()</f>
        <v>0</v>
      </c>
      <c r="M986" s="6" t="b">
        <f t="shared" si="949"/>
        <v>0</v>
      </c>
      <c r="O986" s="4">
        <v>0.112435429329788</v>
      </c>
      <c r="T986" s="4" t="str">
        <f t="shared" si="3"/>
        <v/>
      </c>
      <c r="U986" s="4" t="str">
        <f t="shared" si="4"/>
        <v/>
      </c>
    </row>
    <row r="987" ht="15.75" customHeight="1">
      <c r="A987" s="4" t="s">
        <v>2377</v>
      </c>
      <c r="B987" s="4" t="s">
        <v>13</v>
      </c>
      <c r="D987" s="4">
        <v>0.13</v>
      </c>
      <c r="E987" s="4">
        <v>0.13</v>
      </c>
      <c r="F987" s="4">
        <v>0.38</v>
      </c>
      <c r="G987" s="4">
        <v>0.13</v>
      </c>
      <c r="H987" s="4">
        <v>0.13</v>
      </c>
      <c r="K987" s="6" t="b">
        <f t="shared" si="942"/>
        <v>0</v>
      </c>
      <c r="L987" s="6" t="b">
        <f t="shared" ref="L987:M987" si="950">FALSE()</f>
        <v>0</v>
      </c>
      <c r="M987" s="6" t="b">
        <f t="shared" si="950"/>
        <v>0</v>
      </c>
      <c r="O987" s="4">
        <v>0.322083499169113</v>
      </c>
      <c r="T987" s="4" t="str">
        <f t="shared" si="3"/>
        <v/>
      </c>
      <c r="U987" s="4" t="str">
        <f t="shared" si="4"/>
        <v/>
      </c>
    </row>
    <row r="988" ht="15.75" customHeight="1">
      <c r="A988" s="4" t="s">
        <v>2378</v>
      </c>
      <c r="B988" s="4" t="s">
        <v>13</v>
      </c>
      <c r="D988" s="4">
        <v>0.17</v>
      </c>
      <c r="E988" s="4">
        <v>0.17</v>
      </c>
      <c r="F988" s="4">
        <v>3.76</v>
      </c>
      <c r="G988" s="4">
        <v>0.17</v>
      </c>
      <c r="H988" s="4">
        <v>0.17</v>
      </c>
      <c r="K988" s="6" t="b">
        <f t="shared" si="942"/>
        <v>0</v>
      </c>
      <c r="L988" s="6" t="b">
        <f t="shared" ref="L988:M988" si="951">FALSE()</f>
        <v>0</v>
      </c>
      <c r="M988" s="6" t="b">
        <f t="shared" si="951"/>
        <v>0</v>
      </c>
      <c r="O988" s="4">
        <v>1.56024766824333</v>
      </c>
      <c r="T988" s="4" t="str">
        <f t="shared" si="3"/>
        <v/>
      </c>
      <c r="U988" s="4" t="str">
        <f t="shared" si="4"/>
        <v/>
      </c>
    </row>
    <row r="989" ht="15.75" customHeight="1">
      <c r="A989" s="4" t="s">
        <v>2379</v>
      </c>
      <c r="B989" s="4" t="s">
        <v>13</v>
      </c>
      <c r="D989" s="4">
        <v>0.00264</v>
      </c>
      <c r="E989" s="4">
        <v>0.00264</v>
      </c>
      <c r="F989" s="4">
        <v>0.01837</v>
      </c>
      <c r="G989" s="4">
        <v>0.00264</v>
      </c>
      <c r="H989" s="4">
        <v>0.00264</v>
      </c>
      <c r="K989" s="6" t="b">
        <f t="shared" si="942"/>
        <v>0</v>
      </c>
      <c r="L989" s="6" t="b">
        <f t="shared" ref="L989:M989" si="952">FALSE()</f>
        <v>0</v>
      </c>
      <c r="M989" s="6" t="b">
        <f t="shared" si="952"/>
        <v>0</v>
      </c>
      <c r="O989" s="4">
        <v>0.0182033098538736</v>
      </c>
      <c r="T989" s="4" t="str">
        <f t="shared" si="3"/>
        <v/>
      </c>
      <c r="U989" s="4" t="str">
        <f t="shared" si="4"/>
        <v/>
      </c>
    </row>
    <row r="990" ht="15.75" customHeight="1">
      <c r="A990" s="4" t="s">
        <v>444</v>
      </c>
      <c r="B990" s="4" t="s">
        <v>13</v>
      </c>
      <c r="C990" s="4">
        <v>0.03562</v>
      </c>
      <c r="D990" s="4">
        <v>0.0047</v>
      </c>
      <c r="E990" s="4">
        <v>0.005</v>
      </c>
      <c r="I990" s="4">
        <v>0.2266</v>
      </c>
      <c r="J990" s="4">
        <v>0.0071</v>
      </c>
      <c r="K990" s="6" t="b">
        <f t="shared" si="942"/>
        <v>0</v>
      </c>
      <c r="L990" s="6" t="b">
        <f t="shared" ref="L990:M990" si="953">FALSE()</f>
        <v>0</v>
      </c>
      <c r="M990" s="6" t="b">
        <f t="shared" si="953"/>
        <v>0</v>
      </c>
      <c r="N990" s="4">
        <v>0.0350002811846214</v>
      </c>
      <c r="P990" s="4">
        <v>0.204246114209746</v>
      </c>
      <c r="T990" s="4">
        <f t="shared" si="3"/>
        <v>1481</v>
      </c>
      <c r="U990" s="4">
        <f t="shared" si="4"/>
        <v>2168</v>
      </c>
    </row>
    <row r="991" ht="15.75" customHeight="1">
      <c r="A991" s="4" t="s">
        <v>2380</v>
      </c>
      <c r="B991" s="4" t="s">
        <v>13</v>
      </c>
      <c r="D991" s="4">
        <v>0.15</v>
      </c>
      <c r="E991" s="4">
        <v>0.15</v>
      </c>
      <c r="F991" s="4">
        <v>0.75</v>
      </c>
      <c r="G991" s="4">
        <v>0.15</v>
      </c>
      <c r="H991" s="4">
        <v>0.15</v>
      </c>
      <c r="K991" s="6" t="b">
        <f t="shared" si="942"/>
        <v>0</v>
      </c>
      <c r="L991" s="6" t="b">
        <f t="shared" ref="L991:M991" si="954">FALSE()</f>
        <v>0</v>
      </c>
      <c r="M991" s="6" t="b">
        <f t="shared" si="954"/>
        <v>0</v>
      </c>
      <c r="O991" s="4">
        <v>0.559615787935423</v>
      </c>
      <c r="T991" s="4" t="str">
        <f t="shared" si="3"/>
        <v/>
      </c>
      <c r="U991" s="4" t="str">
        <f t="shared" si="4"/>
        <v/>
      </c>
    </row>
    <row r="992" ht="15.75" customHeight="1">
      <c r="A992" s="4" t="s">
        <v>2381</v>
      </c>
      <c r="B992" s="4" t="s">
        <v>13</v>
      </c>
      <c r="D992" s="4">
        <v>0.5</v>
      </c>
      <c r="E992" s="4">
        <v>0.5</v>
      </c>
      <c r="F992" s="4">
        <v>6.6</v>
      </c>
      <c r="G992" s="4">
        <v>0.5</v>
      </c>
      <c r="H992" s="4">
        <v>0.5</v>
      </c>
      <c r="K992" s="6" t="b">
        <f t="shared" si="942"/>
        <v>0</v>
      </c>
      <c r="L992" s="6" t="b">
        <f>TRUE()</f>
        <v>1</v>
      </c>
      <c r="M992" s="6" t="b">
        <f>FALSE()</f>
        <v>0</v>
      </c>
      <c r="O992" s="4">
        <v>2.02814824729229</v>
      </c>
      <c r="T992" s="4" t="str">
        <f t="shared" si="3"/>
        <v/>
      </c>
      <c r="U992" s="4" t="str">
        <f t="shared" si="4"/>
        <v/>
      </c>
    </row>
    <row r="993" ht="15.75" customHeight="1">
      <c r="A993" s="4" t="s">
        <v>2382</v>
      </c>
      <c r="B993" s="4" t="s">
        <v>13</v>
      </c>
      <c r="D993" s="4">
        <v>0.017</v>
      </c>
      <c r="E993" s="4">
        <v>0.017</v>
      </c>
      <c r="F993" s="4">
        <v>0.675</v>
      </c>
      <c r="G993" s="4">
        <v>0.017</v>
      </c>
      <c r="H993" s="4">
        <v>0.017</v>
      </c>
      <c r="K993" s="6" t="b">
        <f t="shared" si="942"/>
        <v>0</v>
      </c>
      <c r="L993" s="6" t="b">
        <f t="shared" ref="L993:M993" si="955">FALSE()</f>
        <v>0</v>
      </c>
      <c r="M993" s="6" t="b">
        <f t="shared" si="955"/>
        <v>0</v>
      </c>
      <c r="O993" s="4">
        <v>0.51581316527703</v>
      </c>
      <c r="T993" s="4" t="str">
        <f t="shared" si="3"/>
        <v/>
      </c>
      <c r="U993" s="4" t="str">
        <f t="shared" si="4"/>
        <v/>
      </c>
    </row>
    <row r="994" ht="15.75" customHeight="1">
      <c r="A994" s="4" t="s">
        <v>2383</v>
      </c>
      <c r="B994" s="4" t="s">
        <v>13</v>
      </c>
      <c r="D994" s="4">
        <v>0.052</v>
      </c>
      <c r="E994" s="4">
        <v>0.052</v>
      </c>
      <c r="F994" s="4">
        <v>0.652</v>
      </c>
      <c r="G994" s="4">
        <v>0.052</v>
      </c>
      <c r="H994" s="4">
        <v>0.052</v>
      </c>
      <c r="K994" s="6" t="b">
        <f t="shared" si="942"/>
        <v>0</v>
      </c>
      <c r="L994" s="6" t="b">
        <f t="shared" ref="L994:M994" si="956">FALSE()</f>
        <v>0</v>
      </c>
      <c r="M994" s="6" t="b">
        <f t="shared" si="956"/>
        <v>0</v>
      </c>
      <c r="O994" s="4">
        <v>0.501986675098786</v>
      </c>
      <c r="T994" s="4" t="str">
        <f t="shared" si="3"/>
        <v/>
      </c>
      <c r="U994" s="4" t="str">
        <f t="shared" si="4"/>
        <v/>
      </c>
    </row>
    <row r="995" ht="15.75" customHeight="1">
      <c r="A995" s="4" t="s">
        <v>2384</v>
      </c>
      <c r="B995" s="4" t="s">
        <v>13</v>
      </c>
      <c r="D995" s="4">
        <v>0.059</v>
      </c>
      <c r="E995" s="4">
        <v>0.059</v>
      </c>
      <c r="F995" s="4">
        <v>0.696</v>
      </c>
      <c r="G995" s="4">
        <v>0.059</v>
      </c>
      <c r="H995" s="4">
        <v>0.059</v>
      </c>
      <c r="K995" s="6" t="b">
        <f t="shared" si="942"/>
        <v>0</v>
      </c>
      <c r="L995" s="6" t="b">
        <f t="shared" ref="L995:M995" si="957">FALSE()</f>
        <v>0</v>
      </c>
      <c r="M995" s="6" t="b">
        <f t="shared" si="957"/>
        <v>0</v>
      </c>
      <c r="O995" s="4">
        <v>0.528272537369711</v>
      </c>
      <c r="T995" s="4" t="str">
        <f t="shared" si="3"/>
        <v/>
      </c>
      <c r="U995" s="4" t="str">
        <f t="shared" si="4"/>
        <v/>
      </c>
    </row>
    <row r="996" ht="15.75" customHeight="1">
      <c r="A996" s="4" t="s">
        <v>2385</v>
      </c>
      <c r="B996" s="4" t="s">
        <v>13</v>
      </c>
      <c r="D996" s="4">
        <v>0.032</v>
      </c>
      <c r="E996" s="4">
        <v>0.032</v>
      </c>
      <c r="F996" s="4">
        <v>2.813</v>
      </c>
      <c r="G996" s="4">
        <v>0.032</v>
      </c>
      <c r="H996" s="4">
        <v>0.032</v>
      </c>
      <c r="K996" s="6" t="b">
        <f t="shared" si="942"/>
        <v>0</v>
      </c>
      <c r="L996" s="6" t="b">
        <f t="shared" ref="L996:M996" si="958">FALSE()</f>
        <v>0</v>
      </c>
      <c r="M996" s="6" t="b">
        <f t="shared" si="958"/>
        <v>0</v>
      </c>
      <c r="O996" s="4">
        <v>1.33841628087543</v>
      </c>
      <c r="T996" s="4" t="str">
        <f t="shared" si="3"/>
        <v/>
      </c>
      <c r="U996" s="4" t="str">
        <f t="shared" si="4"/>
        <v/>
      </c>
    </row>
    <row r="997" ht="15.75" customHeight="1">
      <c r="A997" s="4" t="s">
        <v>2386</v>
      </c>
      <c r="B997" s="4" t="s">
        <v>13</v>
      </c>
      <c r="D997" s="4">
        <v>0.072</v>
      </c>
      <c r="E997" s="4">
        <v>0.072</v>
      </c>
      <c r="F997" s="4">
        <v>3.366</v>
      </c>
      <c r="G997" s="4">
        <v>0.072</v>
      </c>
      <c r="H997" s="4">
        <v>0.072</v>
      </c>
      <c r="K997" s="6" t="b">
        <f t="shared" si="942"/>
        <v>0</v>
      </c>
      <c r="L997" s="6" t="b">
        <f t="shared" ref="L997:M997" si="959">FALSE()</f>
        <v>0</v>
      </c>
      <c r="M997" s="6" t="b">
        <f t="shared" si="959"/>
        <v>0</v>
      </c>
      <c r="O997" s="4">
        <v>1.47384725812775</v>
      </c>
      <c r="T997" s="4" t="str">
        <f t="shared" si="3"/>
        <v/>
      </c>
      <c r="U997" s="4" t="str">
        <f t="shared" si="4"/>
        <v/>
      </c>
    </row>
    <row r="998" ht="15.75" customHeight="1">
      <c r="A998" s="4" t="s">
        <v>2387</v>
      </c>
      <c r="B998" s="4" t="s">
        <v>13</v>
      </c>
      <c r="D998" s="4">
        <v>0.014</v>
      </c>
      <c r="E998" s="4">
        <v>0.014</v>
      </c>
      <c r="F998" s="4">
        <v>0.173</v>
      </c>
      <c r="G998" s="4">
        <v>0.014</v>
      </c>
      <c r="H998" s="4">
        <v>0.014</v>
      </c>
      <c r="K998" s="6" t="b">
        <f t="shared" si="942"/>
        <v>0</v>
      </c>
      <c r="L998" s="6" t="b">
        <f t="shared" ref="L998:M998" si="960">FALSE()</f>
        <v>0</v>
      </c>
      <c r="M998" s="6" t="b">
        <f t="shared" si="960"/>
        <v>0</v>
      </c>
      <c r="O998" s="4">
        <v>0.159564569671338</v>
      </c>
      <c r="T998" s="4" t="str">
        <f t="shared" si="3"/>
        <v/>
      </c>
      <c r="U998" s="4" t="str">
        <f t="shared" si="4"/>
        <v/>
      </c>
    </row>
    <row r="999" ht="15.75" customHeight="1">
      <c r="A999" s="4" t="s">
        <v>2388</v>
      </c>
      <c r="B999" s="4" t="s">
        <v>13</v>
      </c>
      <c r="D999" s="4">
        <v>0.02</v>
      </c>
      <c r="E999" s="4">
        <v>0.02</v>
      </c>
      <c r="F999" s="4">
        <v>0.34</v>
      </c>
      <c r="G999" s="4">
        <v>0.02</v>
      </c>
      <c r="H999" s="4">
        <v>0.02</v>
      </c>
      <c r="K999" s="6" t="b">
        <f t="shared" si="942"/>
        <v>0</v>
      </c>
      <c r="L999" s="6" t="b">
        <f t="shared" ref="L999:M999" si="961">FALSE()</f>
        <v>0</v>
      </c>
      <c r="M999" s="6" t="b">
        <f t="shared" si="961"/>
        <v>0</v>
      </c>
      <c r="O999" s="4">
        <v>0.29266961396282</v>
      </c>
      <c r="T999" s="4" t="str">
        <f t="shared" si="3"/>
        <v/>
      </c>
      <c r="U999" s="4" t="str">
        <f t="shared" si="4"/>
        <v/>
      </c>
    </row>
    <row r="1000" ht="15.75" customHeight="1">
      <c r="A1000" s="4" t="s">
        <v>2389</v>
      </c>
      <c r="B1000" s="4" t="s">
        <v>13</v>
      </c>
      <c r="C1000" s="4">
        <v>0.93</v>
      </c>
      <c r="D1000" s="4">
        <v>0.11</v>
      </c>
      <c r="E1000" s="4">
        <v>0.21</v>
      </c>
      <c r="F1000" s="4">
        <v>0.78</v>
      </c>
      <c r="K1000" s="6" t="b">
        <f t="shared" si="942"/>
        <v>0</v>
      </c>
      <c r="L1000" s="6" t="b">
        <f t="shared" ref="L1000:M1000" si="962">FALSE()</f>
        <v>0</v>
      </c>
      <c r="M1000" s="6" t="b">
        <f t="shared" si="962"/>
        <v>0</v>
      </c>
      <c r="N1000" s="4">
        <v>0.657520002916794</v>
      </c>
      <c r="O1000" s="4">
        <v>0.576613364303994</v>
      </c>
      <c r="T1000" s="4">
        <f t="shared" si="3"/>
        <v>696</v>
      </c>
      <c r="U1000" s="4" t="str">
        <f t="shared" si="4"/>
        <v/>
      </c>
    </row>
    <row r="1001" ht="15.75" customHeight="1">
      <c r="A1001" s="4" t="s">
        <v>2390</v>
      </c>
      <c r="B1001" s="4" t="s">
        <v>13</v>
      </c>
      <c r="D1001" s="4">
        <v>0.005</v>
      </c>
      <c r="E1001" s="4">
        <v>0.005</v>
      </c>
      <c r="F1001" s="4">
        <v>0.07636</v>
      </c>
      <c r="G1001" s="4">
        <v>0.005</v>
      </c>
      <c r="H1001" s="4">
        <v>0.005</v>
      </c>
      <c r="K1001" s="6" t="b">
        <f t="shared" si="942"/>
        <v>0</v>
      </c>
      <c r="L1001" s="6" t="b">
        <f t="shared" ref="L1001:M1001" si="963">FALSE()</f>
        <v>0</v>
      </c>
      <c r="M1001" s="6" t="b">
        <f t="shared" si="963"/>
        <v>0</v>
      </c>
      <c r="O1001" s="4">
        <v>0.0735849782734039</v>
      </c>
      <c r="T1001" s="4" t="str">
        <f t="shared" si="3"/>
        <v/>
      </c>
      <c r="U1001" s="4" t="str">
        <f t="shared" si="4"/>
        <v/>
      </c>
    </row>
    <row r="1002" ht="15.75" customHeight="1">
      <c r="A1002" s="4" t="s">
        <v>2391</v>
      </c>
      <c r="B1002" s="4" t="s">
        <v>13</v>
      </c>
      <c r="D1002" s="4">
        <v>0.00497</v>
      </c>
      <c r="E1002" s="4">
        <v>0.00497</v>
      </c>
      <c r="F1002" s="4">
        <v>0.0302</v>
      </c>
      <c r="G1002" s="4">
        <v>0.00497</v>
      </c>
      <c r="H1002" s="4">
        <v>0.00497</v>
      </c>
      <c r="I1002" s="4">
        <v>0.16184</v>
      </c>
      <c r="K1002" s="6" t="b">
        <f t="shared" si="942"/>
        <v>0</v>
      </c>
      <c r="L1002" s="6" t="b">
        <f t="shared" ref="L1002:M1002" si="964">FALSE()</f>
        <v>0</v>
      </c>
      <c r="M1002" s="6" t="b">
        <f t="shared" si="964"/>
        <v>0</v>
      </c>
      <c r="O1002" s="4">
        <v>0.0297529581493477</v>
      </c>
      <c r="P1002" s="4">
        <v>0.150004955317412</v>
      </c>
      <c r="T1002" s="4" t="str">
        <f t="shared" si="3"/>
        <v/>
      </c>
      <c r="U1002" s="4">
        <f t="shared" si="4"/>
        <v>3156</v>
      </c>
    </row>
    <row r="1003" ht="15.75" customHeight="1">
      <c r="A1003" s="4" t="s">
        <v>2392</v>
      </c>
      <c r="B1003" s="4" t="s">
        <v>13</v>
      </c>
      <c r="D1003" s="4">
        <v>0.0011</v>
      </c>
      <c r="E1003" s="4">
        <v>0.0011</v>
      </c>
      <c r="F1003" s="4">
        <v>0.01054</v>
      </c>
      <c r="G1003" s="4">
        <v>0.0011</v>
      </c>
      <c r="H1003" s="4">
        <v>0.0011</v>
      </c>
      <c r="I1003" s="4">
        <v>0.12428</v>
      </c>
      <c r="K1003" s="6" t="b">
        <f t="shared" si="942"/>
        <v>0</v>
      </c>
      <c r="L1003" s="6" t="b">
        <f t="shared" ref="L1003:M1003" si="965">FALSE()</f>
        <v>0</v>
      </c>
      <c r="M1003" s="6" t="b">
        <f t="shared" si="965"/>
        <v>0</v>
      </c>
      <c r="O1003" s="4">
        <v>0.0104848414422745</v>
      </c>
      <c r="P1003" s="4">
        <v>0.11714283076896</v>
      </c>
      <c r="T1003" s="4" t="str">
        <f t="shared" si="3"/>
        <v/>
      </c>
      <c r="U1003" s="4">
        <f t="shared" si="4"/>
        <v>3795</v>
      </c>
    </row>
    <row r="1004" ht="15.75" customHeight="1">
      <c r="A1004" s="4" t="s">
        <v>2393</v>
      </c>
      <c r="B1004" s="4" t="s">
        <v>13</v>
      </c>
      <c r="D1004" s="4">
        <v>0.00359</v>
      </c>
      <c r="E1004" s="4">
        <v>0.00359</v>
      </c>
      <c r="F1004" s="4">
        <v>0.01299</v>
      </c>
      <c r="G1004" s="4">
        <v>0.00359</v>
      </c>
      <c r="H1004" s="4">
        <v>0.00359</v>
      </c>
      <c r="I1004" s="4">
        <v>0.13123</v>
      </c>
      <c r="K1004" s="6" t="b">
        <f t="shared" si="942"/>
        <v>0</v>
      </c>
      <c r="L1004" s="6" t="b">
        <f t="shared" ref="L1004:M1004" si="966">FALSE()</f>
        <v>0</v>
      </c>
      <c r="M1004" s="6" t="b">
        <f t="shared" si="966"/>
        <v>0</v>
      </c>
      <c r="O1004" s="4">
        <v>0.0129063535495091</v>
      </c>
      <c r="P1004" s="4">
        <v>0.123305536317703</v>
      </c>
      <c r="T1004" s="4" t="str">
        <f t="shared" si="3"/>
        <v/>
      </c>
      <c r="U1004" s="4">
        <f t="shared" si="4"/>
        <v>3669</v>
      </c>
    </row>
    <row r="1005" ht="15.75" customHeight="1">
      <c r="A1005" s="4" t="s">
        <v>2394</v>
      </c>
      <c r="B1005" s="4" t="s">
        <v>13</v>
      </c>
      <c r="D1005" s="4">
        <v>0.23</v>
      </c>
      <c r="E1005" s="4">
        <v>0.23</v>
      </c>
      <c r="F1005" s="4">
        <v>10.13</v>
      </c>
      <c r="G1005" s="4">
        <v>0.23</v>
      </c>
      <c r="H1005" s="4">
        <v>0.23</v>
      </c>
      <c r="I1005" s="4">
        <v>1.134</v>
      </c>
      <c r="K1005" s="6" t="b">
        <f t="shared" si="942"/>
        <v>0</v>
      </c>
      <c r="L1005" s="6" t="b">
        <f t="shared" ref="L1005:M1005" si="967">TRUE()</f>
        <v>1</v>
      </c>
      <c r="M1005" s="6" t="b">
        <f t="shared" si="967"/>
        <v>1</v>
      </c>
      <c r="O1005" s="4">
        <v>2.40964416528745</v>
      </c>
      <c r="P1005" s="4">
        <v>0.757998152879562</v>
      </c>
      <c r="T1005" s="4" t="str">
        <f t="shared" si="3"/>
        <v/>
      </c>
      <c r="U1005" s="4">
        <f t="shared" si="4"/>
        <v>467</v>
      </c>
    </row>
    <row r="1006" ht="15.75" customHeight="1">
      <c r="A1006" s="4" t="s">
        <v>2395</v>
      </c>
      <c r="B1006" s="4" t="s">
        <v>13</v>
      </c>
      <c r="D1006" s="4">
        <v>0.012</v>
      </c>
      <c r="E1006" s="4">
        <v>0.012</v>
      </c>
      <c r="F1006" s="4">
        <v>0.0961</v>
      </c>
      <c r="G1006" s="4">
        <v>0.012</v>
      </c>
      <c r="H1006" s="4">
        <v>0.012</v>
      </c>
      <c r="K1006" s="6" t="b">
        <f t="shared" si="942"/>
        <v>0</v>
      </c>
      <c r="L1006" s="6" t="b">
        <f t="shared" ref="L1006:M1006" si="968">FALSE()</f>
        <v>0</v>
      </c>
      <c r="M1006" s="6" t="b">
        <f t="shared" si="968"/>
        <v>0</v>
      </c>
      <c r="O1006" s="4">
        <v>0.0917584252395406</v>
      </c>
      <c r="T1006" s="4" t="str">
        <f t="shared" si="3"/>
        <v/>
      </c>
      <c r="U1006" s="4" t="str">
        <f t="shared" si="4"/>
        <v/>
      </c>
    </row>
    <row r="1007" ht="15.75" customHeight="1">
      <c r="A1007" s="4" t="s">
        <v>2396</v>
      </c>
      <c r="B1007" s="4" t="s">
        <v>13</v>
      </c>
      <c r="D1007" s="4">
        <v>9.0E-4</v>
      </c>
      <c r="E1007" s="4">
        <v>9.0E-4</v>
      </c>
      <c r="F1007" s="4">
        <v>0.013</v>
      </c>
      <c r="G1007" s="4">
        <v>9.0E-4</v>
      </c>
      <c r="H1007" s="4">
        <v>9.0E-4</v>
      </c>
      <c r="K1007" s="6" t="b">
        <f t="shared" si="942"/>
        <v>0</v>
      </c>
      <c r="L1007" s="6" t="b">
        <f t="shared" ref="L1007:M1007" si="969">FALSE()</f>
        <v>0</v>
      </c>
      <c r="M1007" s="6" t="b">
        <f t="shared" si="969"/>
        <v>0</v>
      </c>
      <c r="O1007" s="4">
        <v>0.0129162252665463</v>
      </c>
      <c r="T1007" s="4" t="str">
        <f t="shared" si="3"/>
        <v/>
      </c>
      <c r="U1007" s="4" t="str">
        <f t="shared" si="4"/>
        <v/>
      </c>
    </row>
    <row r="1008" ht="15.75" customHeight="1">
      <c r="A1008" s="4" t="s">
        <v>2397</v>
      </c>
      <c r="B1008" s="4" t="s">
        <v>13</v>
      </c>
      <c r="D1008" s="4">
        <v>0.0016</v>
      </c>
      <c r="E1008" s="4">
        <v>0.0016</v>
      </c>
      <c r="F1008" s="4">
        <v>0.0198</v>
      </c>
      <c r="G1008" s="4">
        <v>0.0016</v>
      </c>
      <c r="H1008" s="4">
        <v>0.0016</v>
      </c>
      <c r="K1008" s="6" t="b">
        <f t="shared" si="942"/>
        <v>0</v>
      </c>
      <c r="L1008" s="6" t="b">
        <f t="shared" ref="L1008:M1008" si="970">FALSE()</f>
        <v>0</v>
      </c>
      <c r="M1008" s="6" t="b">
        <f t="shared" si="970"/>
        <v>0</v>
      </c>
      <c r="O1008" s="4">
        <v>0.0196065296389183</v>
      </c>
      <c r="T1008" s="4" t="str">
        <f t="shared" si="3"/>
        <v/>
      </c>
      <c r="U1008" s="4" t="str">
        <f t="shared" si="4"/>
        <v/>
      </c>
    </row>
    <row r="1009" ht="15.75" customHeight="1">
      <c r="A1009" s="4" t="s">
        <v>2398</v>
      </c>
      <c r="B1009" s="4" t="s">
        <v>13</v>
      </c>
      <c r="D1009" s="4">
        <v>0.0019</v>
      </c>
      <c r="E1009" s="4">
        <v>0.0019</v>
      </c>
      <c r="F1009" s="4">
        <v>0.013</v>
      </c>
      <c r="G1009" s="4">
        <v>0.0019</v>
      </c>
      <c r="H1009" s="4">
        <v>0.0019</v>
      </c>
      <c r="K1009" s="6" t="b">
        <f t="shared" si="942"/>
        <v>0</v>
      </c>
      <c r="L1009" s="6" t="b">
        <f t="shared" ref="L1009:M1009" si="971">FALSE()</f>
        <v>0</v>
      </c>
      <c r="M1009" s="6" t="b">
        <f t="shared" si="971"/>
        <v>0</v>
      </c>
      <c r="O1009" s="4">
        <v>0.0129162252665463</v>
      </c>
      <c r="T1009" s="4" t="str">
        <f t="shared" si="3"/>
        <v/>
      </c>
      <c r="U1009" s="4" t="str">
        <f t="shared" si="4"/>
        <v/>
      </c>
    </row>
    <row r="1010" ht="15.75" customHeight="1">
      <c r="A1010" s="4" t="s">
        <v>2399</v>
      </c>
      <c r="B1010" s="4" t="s">
        <v>13</v>
      </c>
      <c r="D1010" s="4">
        <v>0.0047</v>
      </c>
      <c r="E1010" s="4">
        <v>0.0047</v>
      </c>
      <c r="F1010" s="4">
        <v>0.0267</v>
      </c>
      <c r="G1010" s="4">
        <v>0.0047</v>
      </c>
      <c r="H1010" s="4">
        <v>0.0047</v>
      </c>
      <c r="K1010" s="6" t="b">
        <f t="shared" si="942"/>
        <v>0</v>
      </c>
      <c r="L1010" s="6" t="b">
        <f t="shared" ref="L1010:M1010" si="972">FALSE()</f>
        <v>0</v>
      </c>
      <c r="M1010" s="6" t="b">
        <f t="shared" si="972"/>
        <v>0</v>
      </c>
      <c r="O1010" s="4">
        <v>0.026349775322782</v>
      </c>
      <c r="T1010" s="4" t="str">
        <f t="shared" si="3"/>
        <v/>
      </c>
      <c r="U1010" s="4" t="str">
        <f t="shared" si="4"/>
        <v/>
      </c>
    </row>
    <row r="1011" ht="15.75" customHeight="1">
      <c r="A1011" s="4" t="s">
        <v>2400</v>
      </c>
      <c r="B1011" s="4" t="s">
        <v>13</v>
      </c>
      <c r="D1011" s="4">
        <v>9.4E-4</v>
      </c>
      <c r="E1011" s="4">
        <v>9.4E-4</v>
      </c>
      <c r="F1011" s="4">
        <v>0.012</v>
      </c>
      <c r="G1011" s="4">
        <v>9.4E-4</v>
      </c>
      <c r="H1011" s="4">
        <v>9.4E-4</v>
      </c>
      <c r="K1011" s="6" t="b">
        <f t="shared" si="942"/>
        <v>0</v>
      </c>
      <c r="L1011" s="6" t="b">
        <f t="shared" ref="L1011:M1011" si="973">FALSE()</f>
        <v>0</v>
      </c>
      <c r="M1011" s="6" t="b">
        <f t="shared" si="973"/>
        <v>0</v>
      </c>
      <c r="O1011" s="4">
        <v>0.0119285708652738</v>
      </c>
      <c r="T1011" s="4" t="str">
        <f t="shared" si="3"/>
        <v/>
      </c>
      <c r="U1011" s="4" t="str">
        <f t="shared" si="4"/>
        <v/>
      </c>
    </row>
    <row r="1012" ht="15.75" customHeight="1">
      <c r="A1012" s="4" t="s">
        <v>2401</v>
      </c>
      <c r="B1012" s="4" t="s">
        <v>13</v>
      </c>
      <c r="D1012" s="4">
        <v>0.0014</v>
      </c>
      <c r="E1012" s="4">
        <v>0.0014</v>
      </c>
      <c r="F1012" s="4">
        <v>0.0202</v>
      </c>
      <c r="G1012" s="4">
        <v>0.0014</v>
      </c>
      <c r="H1012" s="4">
        <v>0.0014</v>
      </c>
      <c r="K1012" s="6" t="b">
        <f t="shared" si="942"/>
        <v>0</v>
      </c>
      <c r="L1012" s="6" t="b">
        <f t="shared" ref="L1012:M1012" si="974">FALSE()</f>
        <v>0</v>
      </c>
      <c r="M1012" s="6" t="b">
        <f t="shared" si="974"/>
        <v>0</v>
      </c>
      <c r="O1012" s="4">
        <v>0.0199986865066891</v>
      </c>
      <c r="T1012" s="4" t="str">
        <f t="shared" si="3"/>
        <v/>
      </c>
      <c r="U1012" s="4" t="str">
        <f t="shared" si="4"/>
        <v/>
      </c>
    </row>
    <row r="1013" ht="15.75" customHeight="1">
      <c r="A1013" s="4" t="s">
        <v>2402</v>
      </c>
      <c r="B1013" s="4" t="s">
        <v>13</v>
      </c>
      <c r="D1013" s="4">
        <v>0.0018</v>
      </c>
      <c r="E1013" s="4">
        <v>0.0018</v>
      </c>
      <c r="F1013" s="4">
        <v>0.0275</v>
      </c>
      <c r="G1013" s="4">
        <v>0.0018</v>
      </c>
      <c r="H1013" s="4">
        <v>0.0018</v>
      </c>
      <c r="K1013" s="6" t="b">
        <f t="shared" si="942"/>
        <v>0</v>
      </c>
      <c r="L1013" s="6" t="b">
        <f t="shared" ref="L1013:M1013" si="975">FALSE()</f>
        <v>0</v>
      </c>
      <c r="M1013" s="6" t="b">
        <f t="shared" si="975"/>
        <v>0</v>
      </c>
      <c r="O1013" s="4">
        <v>0.0271286673882526</v>
      </c>
      <c r="T1013" s="4" t="str">
        <f t="shared" si="3"/>
        <v/>
      </c>
      <c r="U1013" s="4" t="str">
        <f t="shared" si="4"/>
        <v/>
      </c>
    </row>
    <row r="1014" ht="15.75" customHeight="1">
      <c r="A1014" s="4" t="s">
        <v>2403</v>
      </c>
      <c r="B1014" s="4" t="s">
        <v>13</v>
      </c>
      <c r="D1014" s="4">
        <v>0.0044</v>
      </c>
      <c r="E1014" s="4">
        <v>0.0044</v>
      </c>
      <c r="F1014" s="4">
        <v>0.011</v>
      </c>
      <c r="G1014" s="4">
        <v>0.0044</v>
      </c>
      <c r="H1014" s="4">
        <v>0.0044</v>
      </c>
      <c r="K1014" s="6" t="b">
        <f t="shared" si="942"/>
        <v>0</v>
      </c>
      <c r="L1014" s="6" t="b">
        <f t="shared" ref="L1014:M1014" si="976">FALSE()</f>
        <v>0</v>
      </c>
      <c r="M1014" s="6" t="b">
        <f t="shared" si="976"/>
        <v>0</v>
      </c>
      <c r="O1014" s="4">
        <v>0.0109399400383343</v>
      </c>
      <c r="T1014" s="4" t="str">
        <f t="shared" si="3"/>
        <v/>
      </c>
      <c r="U1014" s="4" t="str">
        <f t="shared" si="4"/>
        <v/>
      </c>
    </row>
    <row r="1015" ht="15.75" customHeight="1">
      <c r="A1015" s="4" t="s">
        <v>2404</v>
      </c>
      <c r="B1015" s="4" t="s">
        <v>13</v>
      </c>
      <c r="D1015" s="4">
        <v>0.0019</v>
      </c>
      <c r="E1015" s="4">
        <v>0.0019</v>
      </c>
      <c r="F1015" s="4">
        <v>0.0114</v>
      </c>
      <c r="G1015" s="4">
        <v>0.0019</v>
      </c>
      <c r="H1015" s="4">
        <v>0.0019</v>
      </c>
      <c r="K1015" s="6" t="b">
        <f t="shared" si="942"/>
        <v>0</v>
      </c>
      <c r="L1015" s="6" t="b">
        <f t="shared" ref="L1015:M1015" si="977">FALSE()</f>
        <v>0</v>
      </c>
      <c r="M1015" s="6" t="b">
        <f t="shared" si="977"/>
        <v>0</v>
      </c>
      <c r="O1015" s="4">
        <v>0.0113355096637456</v>
      </c>
      <c r="T1015" s="4" t="str">
        <f t="shared" si="3"/>
        <v/>
      </c>
      <c r="U1015" s="4" t="str">
        <f t="shared" si="4"/>
        <v/>
      </c>
    </row>
    <row r="1016" ht="15.75" customHeight="1">
      <c r="A1016" s="4" t="s">
        <v>2405</v>
      </c>
      <c r="B1016" s="4" t="s">
        <v>13</v>
      </c>
      <c r="D1016" s="4">
        <v>0.0082</v>
      </c>
      <c r="E1016" s="4">
        <v>0.0082</v>
      </c>
      <c r="F1016" s="4">
        <v>0.0223</v>
      </c>
      <c r="G1016" s="4">
        <v>0.0082</v>
      </c>
      <c r="H1016" s="4">
        <v>0.0082</v>
      </c>
      <c r="K1016" s="6" t="b">
        <f t="shared" si="942"/>
        <v>0</v>
      </c>
      <c r="L1016" s="6" t="b">
        <f t="shared" ref="L1016:M1016" si="978">FALSE()</f>
        <v>0</v>
      </c>
      <c r="M1016" s="6" t="b">
        <f t="shared" si="978"/>
        <v>0</v>
      </c>
      <c r="O1016" s="4">
        <v>0.0220549907808313</v>
      </c>
      <c r="T1016" s="4" t="str">
        <f t="shared" si="3"/>
        <v/>
      </c>
      <c r="U1016" s="4" t="str">
        <f t="shared" si="4"/>
        <v/>
      </c>
    </row>
    <row r="1017" ht="15.75" customHeight="1">
      <c r="A1017" s="4" t="s">
        <v>2406</v>
      </c>
      <c r="B1017" s="4" t="s">
        <v>13</v>
      </c>
      <c r="D1017" s="4">
        <v>0.6</v>
      </c>
      <c r="E1017" s="4">
        <v>0.6</v>
      </c>
      <c r="F1017" s="4">
        <v>2.7</v>
      </c>
      <c r="G1017" s="4">
        <v>0.6</v>
      </c>
      <c r="H1017" s="4">
        <v>0.6</v>
      </c>
      <c r="K1017" s="6" t="b">
        <f t="shared" si="942"/>
        <v>0</v>
      </c>
      <c r="L1017" s="6" t="b">
        <f t="shared" ref="L1017:M1017" si="979">FALSE()</f>
        <v>0</v>
      </c>
      <c r="M1017" s="6" t="b">
        <f t="shared" si="979"/>
        <v>0</v>
      </c>
      <c r="O1017" s="4">
        <v>1.30833281965018</v>
      </c>
      <c r="T1017" s="4" t="str">
        <f t="shared" si="3"/>
        <v/>
      </c>
      <c r="U1017" s="4" t="str">
        <f t="shared" si="4"/>
        <v/>
      </c>
    </row>
    <row r="1018" ht="15.75" customHeight="1">
      <c r="A1018" s="4" t="s">
        <v>2407</v>
      </c>
      <c r="B1018" s="4" t="s">
        <v>13</v>
      </c>
      <c r="D1018" s="4">
        <v>0.13</v>
      </c>
      <c r="E1018" s="4">
        <v>0.13</v>
      </c>
      <c r="F1018" s="4">
        <v>4.01</v>
      </c>
      <c r="G1018" s="4">
        <v>0.13</v>
      </c>
      <c r="H1018" s="4">
        <v>0.13</v>
      </c>
      <c r="K1018" s="6" t="b">
        <f t="shared" si="942"/>
        <v>0</v>
      </c>
      <c r="L1018" s="6" t="b">
        <f t="shared" ref="L1018:M1018" si="980">FALSE()</f>
        <v>0</v>
      </c>
      <c r="M1018" s="6" t="b">
        <f t="shared" si="980"/>
        <v>0</v>
      </c>
      <c r="O1018" s="4">
        <v>1.61143591509677</v>
      </c>
      <c r="T1018" s="4" t="str">
        <f t="shared" si="3"/>
        <v/>
      </c>
      <c r="U1018" s="4" t="str">
        <f t="shared" si="4"/>
        <v/>
      </c>
    </row>
    <row r="1019" ht="15.75" customHeight="1">
      <c r="A1019" s="4" t="s">
        <v>2408</v>
      </c>
      <c r="B1019" s="4" t="s">
        <v>13</v>
      </c>
      <c r="D1019" s="4">
        <v>0.74</v>
      </c>
      <c r="E1019" s="4">
        <v>0.74</v>
      </c>
      <c r="F1019" s="4">
        <v>2.54</v>
      </c>
      <c r="G1019" s="4">
        <v>0.74</v>
      </c>
      <c r="H1019" s="4">
        <v>0.74</v>
      </c>
      <c r="K1019" s="6" t="b">
        <f t="shared" si="942"/>
        <v>0</v>
      </c>
      <c r="L1019" s="6" t="b">
        <f t="shared" ref="L1019:M1019" si="981">FALSE()</f>
        <v>0</v>
      </c>
      <c r="M1019" s="6" t="b">
        <f t="shared" si="981"/>
        <v>0</v>
      </c>
      <c r="O1019" s="4">
        <v>1.26412672714568</v>
      </c>
      <c r="T1019" s="4" t="str">
        <f t="shared" si="3"/>
        <v/>
      </c>
      <c r="U1019" s="4" t="str">
        <f t="shared" si="4"/>
        <v/>
      </c>
    </row>
    <row r="1020" ht="15.75" customHeight="1">
      <c r="A1020" s="4" t="s">
        <v>2409</v>
      </c>
      <c r="B1020" s="4" t="s">
        <v>13</v>
      </c>
      <c r="D1020" s="4">
        <v>0.22</v>
      </c>
      <c r="E1020" s="4">
        <v>0.22</v>
      </c>
      <c r="F1020" s="4">
        <v>18.4</v>
      </c>
      <c r="G1020" s="4">
        <v>0.22</v>
      </c>
      <c r="H1020" s="4">
        <v>0.22</v>
      </c>
      <c r="I1020" s="4">
        <v>1.06</v>
      </c>
      <c r="K1020" s="6" t="b">
        <f t="shared" si="942"/>
        <v>0</v>
      </c>
      <c r="L1020" s="6" t="b">
        <f t="shared" ref="L1020:M1020" si="982">TRUE()</f>
        <v>1</v>
      </c>
      <c r="M1020" s="6" t="b">
        <f t="shared" si="982"/>
        <v>1</v>
      </c>
      <c r="O1020" s="4">
        <v>2.96527306606928</v>
      </c>
      <c r="P1020" s="4">
        <v>0.72270598280149</v>
      </c>
      <c r="T1020" s="4" t="str">
        <f t="shared" si="3"/>
        <v/>
      </c>
      <c r="U1020" s="4">
        <f t="shared" si="4"/>
        <v>587</v>
      </c>
    </row>
    <row r="1021" ht="15.75" customHeight="1">
      <c r="A1021" s="4" t="s">
        <v>2410</v>
      </c>
      <c r="B1021" s="4" t="s">
        <v>13</v>
      </c>
      <c r="D1021" s="4">
        <v>0.04</v>
      </c>
      <c r="E1021" s="4">
        <v>0.04</v>
      </c>
      <c r="F1021" s="4">
        <v>1.56</v>
      </c>
      <c r="G1021" s="4">
        <v>0.04</v>
      </c>
      <c r="H1021" s="4">
        <v>0.04</v>
      </c>
      <c r="K1021" s="6" t="b">
        <f t="shared" si="942"/>
        <v>0</v>
      </c>
      <c r="L1021" s="6" t="b">
        <f t="shared" ref="L1021:M1021" si="983">FALSE()</f>
        <v>0</v>
      </c>
      <c r="M1021" s="6" t="b">
        <f t="shared" si="983"/>
        <v>0</v>
      </c>
      <c r="O1021" s="4">
        <v>0.940007258491471</v>
      </c>
      <c r="T1021" s="4" t="str">
        <f t="shared" si="3"/>
        <v/>
      </c>
      <c r="U1021" s="4" t="str">
        <f t="shared" si="4"/>
        <v/>
      </c>
    </row>
    <row r="1022" ht="15.75" customHeight="1">
      <c r="A1022" s="4" t="s">
        <v>2411</v>
      </c>
      <c r="B1022" s="4" t="s">
        <v>13</v>
      </c>
      <c r="D1022" s="4">
        <v>0.1</v>
      </c>
      <c r="E1022" s="4">
        <v>0.1</v>
      </c>
      <c r="F1022" s="4">
        <v>1.6</v>
      </c>
      <c r="G1022" s="4">
        <v>0.1</v>
      </c>
      <c r="H1022" s="4">
        <v>0.1</v>
      </c>
      <c r="K1022" s="6" t="b">
        <f t="shared" si="942"/>
        <v>0</v>
      </c>
      <c r="L1022" s="6" t="b">
        <f t="shared" ref="L1022:M1022" si="984">FALSE()</f>
        <v>0</v>
      </c>
      <c r="M1022" s="6" t="b">
        <f t="shared" si="984"/>
        <v>0</v>
      </c>
      <c r="O1022" s="4">
        <v>0.955511445027436</v>
      </c>
      <c r="T1022" s="4" t="str">
        <f t="shared" si="3"/>
        <v/>
      </c>
      <c r="U1022" s="4" t="str">
        <f t="shared" si="4"/>
        <v/>
      </c>
    </row>
    <row r="1023" ht="15.75" customHeight="1">
      <c r="A1023" s="4" t="s">
        <v>2412</v>
      </c>
      <c r="B1023" s="4" t="s">
        <v>13</v>
      </c>
      <c r="D1023" s="4">
        <v>0.05</v>
      </c>
      <c r="E1023" s="4">
        <v>0.05</v>
      </c>
      <c r="F1023" s="4">
        <v>1.82</v>
      </c>
      <c r="G1023" s="4">
        <v>0.05</v>
      </c>
      <c r="H1023" s="4">
        <v>0.05</v>
      </c>
      <c r="K1023" s="6" t="b">
        <f t="shared" si="942"/>
        <v>0</v>
      </c>
      <c r="L1023" s="6" t="b">
        <f t="shared" ref="L1023:M1023" si="985">FALSE()</f>
        <v>0</v>
      </c>
      <c r="M1023" s="6" t="b">
        <f t="shared" si="985"/>
        <v>0</v>
      </c>
      <c r="O1023" s="4">
        <v>1.03673688495002</v>
      </c>
      <c r="T1023" s="4" t="str">
        <f t="shared" si="3"/>
        <v/>
      </c>
      <c r="U1023" s="4" t="str">
        <f t="shared" si="4"/>
        <v/>
      </c>
    </row>
    <row r="1024" ht="15.75" customHeight="1">
      <c r="A1024" s="4" t="s">
        <v>2413</v>
      </c>
      <c r="B1024" s="4" t="s">
        <v>13</v>
      </c>
      <c r="D1024" s="4">
        <v>0.52</v>
      </c>
      <c r="E1024" s="4">
        <v>0.52</v>
      </c>
      <c r="F1024" s="4">
        <v>2.17</v>
      </c>
      <c r="G1024" s="4">
        <v>0.52</v>
      </c>
      <c r="H1024" s="4">
        <v>0.52</v>
      </c>
      <c r="K1024" s="6" t="b">
        <f t="shared" si="942"/>
        <v>0</v>
      </c>
      <c r="L1024" s="6" t="b">
        <f t="shared" ref="L1024:M1024" si="986">FALSE()</f>
        <v>0</v>
      </c>
      <c r="M1024" s="6" t="b">
        <f t="shared" si="986"/>
        <v>0</v>
      </c>
      <c r="O1024" s="4">
        <v>1.15373158788919</v>
      </c>
      <c r="T1024" s="4" t="str">
        <f t="shared" si="3"/>
        <v/>
      </c>
      <c r="U1024" s="4" t="str">
        <f t="shared" si="4"/>
        <v/>
      </c>
    </row>
    <row r="1025" ht="15.75" customHeight="1">
      <c r="A1025" s="4" t="s">
        <v>2414</v>
      </c>
      <c r="B1025" s="4" t="s">
        <v>13</v>
      </c>
      <c r="D1025" s="4">
        <v>0.073</v>
      </c>
      <c r="E1025" s="4">
        <v>0.073</v>
      </c>
      <c r="F1025" s="4">
        <v>0.804</v>
      </c>
      <c r="G1025" s="4">
        <v>0.073</v>
      </c>
      <c r="H1025" s="4">
        <v>0.073</v>
      </c>
      <c r="K1025" s="6" t="b">
        <f t="shared" si="942"/>
        <v>0</v>
      </c>
      <c r="L1025" s="6" t="b">
        <f t="shared" ref="L1025:M1025" si="987">FALSE()</f>
        <v>0</v>
      </c>
      <c r="M1025" s="6" t="b">
        <f t="shared" si="987"/>
        <v>0</v>
      </c>
      <c r="O1025" s="4">
        <v>0.590006421640432</v>
      </c>
      <c r="T1025" s="4" t="str">
        <f t="shared" si="3"/>
        <v/>
      </c>
      <c r="U1025" s="4" t="str">
        <f t="shared" si="4"/>
        <v/>
      </c>
    </row>
    <row r="1026" ht="15.75" customHeight="1">
      <c r="A1026" s="4" t="s">
        <v>2415</v>
      </c>
      <c r="B1026" s="4" t="s">
        <v>13</v>
      </c>
      <c r="D1026" s="4">
        <v>0.0079</v>
      </c>
      <c r="E1026" s="4">
        <v>0.0079</v>
      </c>
      <c r="F1026" s="4">
        <v>0.0453</v>
      </c>
      <c r="G1026" s="4">
        <v>0.0079</v>
      </c>
      <c r="H1026" s="4">
        <v>0.0079</v>
      </c>
      <c r="K1026" s="6" t="b">
        <f t="shared" si="942"/>
        <v>0</v>
      </c>
      <c r="L1026" s="6" t="b">
        <f t="shared" ref="L1026:M1026" si="988">FALSE()</f>
        <v>0</v>
      </c>
      <c r="M1026" s="6" t="b">
        <f t="shared" si="988"/>
        <v>0</v>
      </c>
      <c r="O1026" s="4">
        <v>0.0443039255565244</v>
      </c>
      <c r="T1026" s="4" t="str">
        <f t="shared" si="3"/>
        <v/>
      </c>
      <c r="U1026" s="4" t="str">
        <f t="shared" si="4"/>
        <v/>
      </c>
    </row>
    <row r="1027" ht="15.75" customHeight="1">
      <c r="A1027" s="4" t="s">
        <v>2416</v>
      </c>
      <c r="B1027" s="4" t="s">
        <v>13</v>
      </c>
      <c r="D1027" s="4">
        <v>0.00182</v>
      </c>
      <c r="E1027" s="4">
        <v>0.00182</v>
      </c>
      <c r="F1027" s="4">
        <v>0.00812</v>
      </c>
      <c r="G1027" s="4">
        <v>0.00182</v>
      </c>
      <c r="H1027" s="4">
        <v>0.00182</v>
      </c>
      <c r="K1027" s="6" t="b">
        <f t="shared" si="942"/>
        <v>0</v>
      </c>
      <c r="L1027" s="6" t="b">
        <f t="shared" ref="L1027:M1027" si="989">FALSE()</f>
        <v>0</v>
      </c>
      <c r="M1027" s="6" t="b">
        <f t="shared" si="989"/>
        <v>0</v>
      </c>
      <c r="O1027" s="4">
        <v>0.008087210182619</v>
      </c>
      <c r="T1027" s="4" t="str">
        <f t="shared" si="3"/>
        <v/>
      </c>
      <c r="U1027" s="4" t="str">
        <f t="shared" si="4"/>
        <v/>
      </c>
    </row>
    <row r="1028" ht="15.75" customHeight="1">
      <c r="A1028" s="4" t="s">
        <v>2417</v>
      </c>
      <c r="B1028" s="4" t="s">
        <v>13</v>
      </c>
      <c r="D1028" s="4">
        <v>0.005</v>
      </c>
      <c r="E1028" s="4">
        <v>0.005</v>
      </c>
      <c r="F1028" s="4">
        <v>0.0405</v>
      </c>
      <c r="G1028" s="4">
        <v>0.005</v>
      </c>
      <c r="H1028" s="4">
        <v>0.005</v>
      </c>
      <c r="K1028" s="6" t="b">
        <f t="shared" si="942"/>
        <v>0</v>
      </c>
      <c r="L1028" s="6" t="b">
        <f t="shared" ref="L1028:M1028" si="990">FALSE()</f>
        <v>0</v>
      </c>
      <c r="M1028" s="6" t="b">
        <f t="shared" si="990"/>
        <v>0</v>
      </c>
      <c r="O1028" s="4">
        <v>0.039701366851552</v>
      </c>
      <c r="T1028" s="4" t="str">
        <f t="shared" si="3"/>
        <v/>
      </c>
      <c r="U1028" s="4" t="str">
        <f t="shared" si="4"/>
        <v/>
      </c>
    </row>
    <row r="1029" ht="15.75" customHeight="1">
      <c r="A1029" s="4" t="s">
        <v>2418</v>
      </c>
      <c r="B1029" s="4" t="s">
        <v>13</v>
      </c>
      <c r="D1029" s="4">
        <v>0.2</v>
      </c>
      <c r="E1029" s="4">
        <v>0.2</v>
      </c>
      <c r="F1029" s="4">
        <v>2.3</v>
      </c>
      <c r="G1029" s="4">
        <v>0.2</v>
      </c>
      <c r="H1029" s="4">
        <v>0.2</v>
      </c>
      <c r="K1029" s="6" t="b">
        <f t="shared" si="942"/>
        <v>0</v>
      </c>
      <c r="L1029" s="6" t="b">
        <f t="shared" ref="L1029:M1029" si="991">FALSE()</f>
        <v>0</v>
      </c>
      <c r="M1029" s="6" t="b">
        <f t="shared" si="991"/>
        <v>0</v>
      </c>
      <c r="O1029" s="4">
        <v>1.19392246847244</v>
      </c>
      <c r="T1029" s="4" t="str">
        <f t="shared" si="3"/>
        <v/>
      </c>
      <c r="U1029" s="4" t="str">
        <f t="shared" si="4"/>
        <v/>
      </c>
    </row>
    <row r="1030" ht="15.75" customHeight="1">
      <c r="A1030" s="4" t="s">
        <v>2419</v>
      </c>
      <c r="B1030" s="4" t="s">
        <v>13</v>
      </c>
      <c r="D1030" s="4">
        <v>0.04</v>
      </c>
      <c r="E1030" s="4">
        <v>0.12</v>
      </c>
      <c r="F1030" s="4">
        <v>0.6</v>
      </c>
      <c r="G1030" s="4">
        <v>0.04</v>
      </c>
      <c r="H1030" s="4">
        <v>0.12</v>
      </c>
      <c r="K1030" s="6" t="b">
        <f t="shared" si="942"/>
        <v>0</v>
      </c>
      <c r="L1030" s="6" t="b">
        <f t="shared" ref="L1030:M1030" si="992">FALSE()</f>
        <v>0</v>
      </c>
      <c r="M1030" s="6" t="b">
        <f t="shared" si="992"/>
        <v>0</v>
      </c>
      <c r="O1030" s="4">
        <v>0.470003629245736</v>
      </c>
      <c r="T1030" s="4" t="str">
        <f t="shared" si="3"/>
        <v/>
      </c>
      <c r="U1030" s="4" t="str">
        <f t="shared" si="4"/>
        <v/>
      </c>
    </row>
    <row r="1031" ht="15.75" customHeight="1">
      <c r="A1031" s="4" t="s">
        <v>2420</v>
      </c>
      <c r="B1031" s="4" t="s">
        <v>13</v>
      </c>
      <c r="C1031" s="4">
        <v>7.868</v>
      </c>
      <c r="D1031" s="4">
        <v>1.599</v>
      </c>
      <c r="E1031" s="4">
        <v>1.76</v>
      </c>
      <c r="K1031" s="6" t="b">
        <f>TRUE()</f>
        <v>1</v>
      </c>
      <c r="L1031" s="6" t="b">
        <f t="shared" ref="L1031:M1031" si="993">FALSE()</f>
        <v>0</v>
      </c>
      <c r="M1031" s="6" t="b">
        <f t="shared" si="993"/>
        <v>0</v>
      </c>
      <c r="N1031" s="4">
        <v>2.18244929175407</v>
      </c>
      <c r="T1031" s="4">
        <f t="shared" si="3"/>
        <v>114</v>
      </c>
      <c r="U1031" s="4" t="str">
        <f t="shared" si="4"/>
        <v/>
      </c>
    </row>
    <row r="1032" ht="15.75" customHeight="1">
      <c r="A1032" s="4" t="s">
        <v>2421</v>
      </c>
      <c r="B1032" s="4" t="s">
        <v>13</v>
      </c>
      <c r="D1032" s="4">
        <v>0.34</v>
      </c>
      <c r="E1032" s="4">
        <v>0.3</v>
      </c>
      <c r="F1032" s="4">
        <v>2.57</v>
      </c>
      <c r="G1032" s="4">
        <v>0.34</v>
      </c>
      <c r="H1032" s="4">
        <v>0.3</v>
      </c>
      <c r="K1032" s="6" t="b">
        <f t="shared" ref="K1032:M1032" si="994">FALSE()</f>
        <v>0</v>
      </c>
      <c r="L1032" s="6" t="b">
        <f t="shared" si="994"/>
        <v>0</v>
      </c>
      <c r="M1032" s="6" t="b">
        <f t="shared" si="994"/>
        <v>0</v>
      </c>
      <c r="O1032" s="4">
        <v>1.27256559579155</v>
      </c>
      <c r="T1032" s="4" t="str">
        <f t="shared" si="3"/>
        <v/>
      </c>
      <c r="U1032" s="4" t="str">
        <f t="shared" si="4"/>
        <v/>
      </c>
    </row>
    <row r="1033" ht="15.75" customHeight="1">
      <c r="A1033" s="4" t="s">
        <v>2422</v>
      </c>
      <c r="B1033" s="4" t="s">
        <v>13</v>
      </c>
      <c r="D1033" s="4">
        <v>0.04</v>
      </c>
      <c r="E1033" s="4">
        <v>0.06</v>
      </c>
      <c r="F1033" s="4">
        <v>0.58</v>
      </c>
      <c r="G1033" s="4">
        <v>0.04</v>
      </c>
      <c r="H1033" s="4">
        <v>0.06</v>
      </c>
      <c r="K1033" s="6" t="b">
        <f t="shared" ref="K1033:M1033" si="995">FALSE()</f>
        <v>0</v>
      </c>
      <c r="L1033" s="6" t="b">
        <f t="shared" si="995"/>
        <v>0</v>
      </c>
      <c r="M1033" s="6" t="b">
        <f t="shared" si="995"/>
        <v>0</v>
      </c>
      <c r="O1033" s="4">
        <v>0.457424847038875</v>
      </c>
      <c r="T1033" s="4" t="str">
        <f t="shared" si="3"/>
        <v/>
      </c>
      <c r="U1033" s="4" t="str">
        <f t="shared" si="4"/>
        <v/>
      </c>
    </row>
    <row r="1034" ht="15.75" customHeight="1">
      <c r="A1034" s="4" t="s">
        <v>2423</v>
      </c>
      <c r="B1034" s="4" t="s">
        <v>13</v>
      </c>
      <c r="D1034" s="4">
        <v>1.1</v>
      </c>
      <c r="E1034" s="4">
        <v>1.1</v>
      </c>
      <c r="F1034" s="4">
        <v>5.9</v>
      </c>
      <c r="G1034" s="4">
        <v>1.1</v>
      </c>
      <c r="H1034" s="4">
        <v>1.1</v>
      </c>
      <c r="K1034" s="6" t="b">
        <f t="shared" ref="K1034:M1034" si="996">FALSE()</f>
        <v>0</v>
      </c>
      <c r="L1034" s="6" t="b">
        <f t="shared" si="996"/>
        <v>0</v>
      </c>
      <c r="M1034" s="6" t="b">
        <f t="shared" si="996"/>
        <v>0</v>
      </c>
      <c r="O1034" s="4">
        <v>1.93152141160321</v>
      </c>
      <c r="T1034" s="4" t="str">
        <f t="shared" si="3"/>
        <v/>
      </c>
      <c r="U1034" s="4" t="str">
        <f t="shared" si="4"/>
        <v/>
      </c>
    </row>
    <row r="1035" ht="15.75" customHeight="1">
      <c r="A1035" s="4" t="s">
        <v>2424</v>
      </c>
      <c r="B1035" s="4" t="s">
        <v>13</v>
      </c>
      <c r="F1035" s="4">
        <v>0.04</v>
      </c>
      <c r="K1035" s="6" t="b">
        <f t="shared" ref="K1035:M1035" si="997">FALSE()</f>
        <v>0</v>
      </c>
      <c r="L1035" s="6" t="b">
        <f t="shared" si="997"/>
        <v>0</v>
      </c>
      <c r="M1035" s="6" t="b">
        <f t="shared" si="997"/>
        <v>0</v>
      </c>
      <c r="O1035" s="4">
        <v>0.0392207131532812</v>
      </c>
      <c r="T1035" s="4" t="str">
        <f t="shared" si="3"/>
        <v/>
      </c>
      <c r="U1035" s="4" t="str">
        <f t="shared" si="4"/>
        <v/>
      </c>
    </row>
    <row r="1036" ht="15.75" customHeight="1">
      <c r="A1036" s="4" t="s">
        <v>2425</v>
      </c>
      <c r="B1036" s="4" t="s">
        <v>13</v>
      </c>
      <c r="D1036" s="4">
        <v>0.0032</v>
      </c>
      <c r="E1036" s="4">
        <v>0.0034</v>
      </c>
      <c r="F1036" s="4">
        <v>0.0277</v>
      </c>
      <c r="G1036" s="4">
        <v>0.0032</v>
      </c>
      <c r="H1036" s="4">
        <v>0.0034</v>
      </c>
      <c r="K1036" s="6" t="b">
        <f t="shared" ref="K1036:M1036" si="998">FALSE()</f>
        <v>0</v>
      </c>
      <c r="L1036" s="6" t="b">
        <f t="shared" si="998"/>
        <v>0</v>
      </c>
      <c r="M1036" s="6" t="b">
        <f t="shared" si="998"/>
        <v>0</v>
      </c>
      <c r="O1036" s="4">
        <v>0.0273232956488903</v>
      </c>
      <c r="T1036" s="4" t="str">
        <f t="shared" si="3"/>
        <v/>
      </c>
      <c r="U1036" s="4" t="str">
        <f t="shared" si="4"/>
        <v/>
      </c>
    </row>
    <row r="1037" ht="15.75" customHeight="1">
      <c r="A1037" s="4" t="s">
        <v>2426</v>
      </c>
      <c r="B1037" s="4" t="s">
        <v>13</v>
      </c>
      <c r="D1037" s="4">
        <v>0.14</v>
      </c>
      <c r="E1037" s="4">
        <v>0.14</v>
      </c>
      <c r="F1037" s="4">
        <v>1.79</v>
      </c>
      <c r="G1037" s="4">
        <v>0.14</v>
      </c>
      <c r="H1037" s="4">
        <v>0.14</v>
      </c>
      <c r="K1037" s="6" t="b">
        <f t="shared" ref="K1037:M1037" si="999">FALSE()</f>
        <v>0</v>
      </c>
      <c r="L1037" s="6" t="b">
        <f t="shared" si="999"/>
        <v>0</v>
      </c>
      <c r="M1037" s="6" t="b">
        <f t="shared" si="999"/>
        <v>0</v>
      </c>
      <c r="O1037" s="4">
        <v>1.02604159583327</v>
      </c>
      <c r="T1037" s="4" t="str">
        <f t="shared" si="3"/>
        <v/>
      </c>
      <c r="U1037" s="4" t="str">
        <f t="shared" si="4"/>
        <v/>
      </c>
    </row>
    <row r="1038" ht="15.75" customHeight="1">
      <c r="A1038" s="4" t="s">
        <v>2427</v>
      </c>
      <c r="B1038" s="4" t="s">
        <v>13</v>
      </c>
      <c r="F1038" s="4">
        <v>0.1872</v>
      </c>
      <c r="K1038" s="6" t="b">
        <f t="shared" ref="K1038:M1038" si="1000">FALSE()</f>
        <v>0</v>
      </c>
      <c r="L1038" s="6" t="b">
        <f t="shared" si="1000"/>
        <v>0</v>
      </c>
      <c r="M1038" s="6" t="b">
        <f t="shared" si="1000"/>
        <v>0</v>
      </c>
      <c r="O1038" s="4">
        <v>0.171597593430979</v>
      </c>
      <c r="T1038" s="4" t="str">
        <f t="shared" si="3"/>
        <v/>
      </c>
      <c r="U1038" s="4" t="str">
        <f t="shared" si="4"/>
        <v/>
      </c>
    </row>
    <row r="1039" ht="15.75" customHeight="1">
      <c r="A1039" s="4" t="s">
        <v>2428</v>
      </c>
      <c r="B1039" s="4" t="s">
        <v>13</v>
      </c>
      <c r="F1039" s="4">
        <v>0.6579</v>
      </c>
      <c r="K1039" s="6" t="b">
        <f t="shared" ref="K1039:M1039" si="1001">FALSE()</f>
        <v>0</v>
      </c>
      <c r="L1039" s="6" t="b">
        <f t="shared" si="1001"/>
        <v>0</v>
      </c>
      <c r="M1039" s="6" t="b">
        <f t="shared" si="1001"/>
        <v>0</v>
      </c>
      <c r="O1039" s="4">
        <v>0.505551741263283</v>
      </c>
      <c r="T1039" s="4" t="str">
        <f t="shared" si="3"/>
        <v/>
      </c>
      <c r="U1039" s="4" t="str">
        <f t="shared" si="4"/>
        <v/>
      </c>
    </row>
    <row r="1040" ht="15.75" customHeight="1">
      <c r="A1040" s="4" t="s">
        <v>2429</v>
      </c>
      <c r="B1040" s="4" t="s">
        <v>13</v>
      </c>
      <c r="F1040" s="4">
        <v>0.47</v>
      </c>
      <c r="K1040" s="6" t="b">
        <f t="shared" ref="K1040:M1040" si="1002">FALSE()</f>
        <v>0</v>
      </c>
      <c r="L1040" s="6" t="b">
        <f t="shared" si="1002"/>
        <v>0</v>
      </c>
      <c r="M1040" s="6" t="b">
        <f t="shared" si="1002"/>
        <v>0</v>
      </c>
      <c r="O1040" s="4">
        <v>0.385262400790645</v>
      </c>
      <c r="T1040" s="4" t="str">
        <f t="shared" si="3"/>
        <v/>
      </c>
      <c r="U1040" s="4" t="str">
        <f t="shared" si="4"/>
        <v/>
      </c>
    </row>
    <row r="1041" ht="15.75" customHeight="1">
      <c r="A1041" s="4" t="s">
        <v>2430</v>
      </c>
      <c r="B1041" s="4" t="s">
        <v>13</v>
      </c>
      <c r="F1041" s="4">
        <v>0.23</v>
      </c>
      <c r="I1041" s="4">
        <v>1.02</v>
      </c>
      <c r="K1041" s="6" t="b">
        <f t="shared" ref="K1041:L1041" si="1003">FALSE()</f>
        <v>0</v>
      </c>
      <c r="L1041" s="6" t="b">
        <f t="shared" si="1003"/>
        <v>0</v>
      </c>
      <c r="M1041" s="6" t="b">
        <f>TRUE()</f>
        <v>1</v>
      </c>
      <c r="O1041" s="4">
        <v>0.207014169384326</v>
      </c>
      <c r="P1041" s="4">
        <v>0.703097511413113</v>
      </c>
      <c r="T1041" s="4" t="str">
        <f t="shared" si="3"/>
        <v/>
      </c>
      <c r="U1041" s="4">
        <f t="shared" si="4"/>
        <v>642</v>
      </c>
    </row>
    <row r="1042" ht="15.75" customHeight="1">
      <c r="A1042" s="4" t="s">
        <v>2431</v>
      </c>
      <c r="B1042" s="4" t="s">
        <v>13</v>
      </c>
      <c r="D1042" s="4">
        <v>0.04</v>
      </c>
      <c r="E1042" s="4">
        <v>0.06</v>
      </c>
      <c r="F1042" s="4">
        <v>0.25</v>
      </c>
      <c r="G1042" s="4">
        <v>0.04</v>
      </c>
      <c r="H1042" s="4">
        <v>0.06</v>
      </c>
      <c r="K1042" s="6" t="b">
        <f t="shared" ref="K1042:M1042" si="1004">FALSE()</f>
        <v>0</v>
      </c>
      <c r="L1042" s="6" t="b">
        <f t="shared" si="1004"/>
        <v>0</v>
      </c>
      <c r="M1042" s="6" t="b">
        <f t="shared" si="1004"/>
        <v>0</v>
      </c>
      <c r="O1042" s="4">
        <v>0.22314355131421</v>
      </c>
      <c r="T1042" s="4" t="str">
        <f t="shared" si="3"/>
        <v/>
      </c>
      <c r="U1042" s="4" t="str">
        <f t="shared" si="4"/>
        <v/>
      </c>
    </row>
    <row r="1043" ht="15.75" customHeight="1">
      <c r="A1043" s="4" t="s">
        <v>2432</v>
      </c>
      <c r="B1043" s="4" t="s">
        <v>13</v>
      </c>
      <c r="F1043" s="4">
        <v>0.07167</v>
      </c>
      <c r="K1043" s="6" t="b">
        <f t="shared" ref="K1043:M1043" si="1005">FALSE()</f>
        <v>0</v>
      </c>
      <c r="L1043" s="6" t="b">
        <f t="shared" si="1005"/>
        <v>0</v>
      </c>
      <c r="M1043" s="6" t="b">
        <f t="shared" si="1005"/>
        <v>0</v>
      </c>
      <c r="O1043" s="4">
        <v>0.0692181794365423</v>
      </c>
      <c r="T1043" s="4" t="str">
        <f t="shared" si="3"/>
        <v/>
      </c>
      <c r="U1043" s="4" t="str">
        <f t="shared" si="4"/>
        <v/>
      </c>
    </row>
    <row r="1044" ht="15.75" customHeight="1">
      <c r="A1044" s="4" t="s">
        <v>2433</v>
      </c>
      <c r="B1044" s="4" t="s">
        <v>13</v>
      </c>
      <c r="F1044" s="4">
        <v>0.35061</v>
      </c>
      <c r="K1044" s="6" t="b">
        <f t="shared" ref="K1044:M1044" si="1006">FALSE()</f>
        <v>0</v>
      </c>
      <c r="L1044" s="6" t="b">
        <f t="shared" si="1006"/>
        <v>0</v>
      </c>
      <c r="M1044" s="6" t="b">
        <f t="shared" si="1006"/>
        <v>0</v>
      </c>
      <c r="O1044" s="4">
        <v>0.300556342247883</v>
      </c>
      <c r="T1044" s="4" t="str">
        <f t="shared" si="3"/>
        <v/>
      </c>
      <c r="U1044" s="4" t="str">
        <f t="shared" si="4"/>
        <v/>
      </c>
    </row>
    <row r="1045" ht="15.75" customHeight="1">
      <c r="A1045" s="4" t="s">
        <v>2434</v>
      </c>
      <c r="B1045" s="4" t="s">
        <v>13</v>
      </c>
      <c r="D1045" s="4">
        <v>0.34</v>
      </c>
      <c r="E1045" s="4">
        <v>0.34</v>
      </c>
      <c r="F1045" s="4">
        <v>2.37</v>
      </c>
      <c r="G1045" s="4">
        <v>0.34</v>
      </c>
      <c r="H1045" s="4">
        <v>0.34</v>
      </c>
      <c r="K1045" s="6" t="b">
        <f t="shared" ref="K1045:M1045" si="1007">FALSE()</f>
        <v>0</v>
      </c>
      <c r="L1045" s="6" t="b">
        <f t="shared" si="1007"/>
        <v>0</v>
      </c>
      <c r="M1045" s="6" t="b">
        <f t="shared" si="1007"/>
        <v>0</v>
      </c>
      <c r="O1045" s="4">
        <v>1.21491274436427</v>
      </c>
      <c r="T1045" s="4" t="str">
        <f t="shared" si="3"/>
        <v/>
      </c>
      <c r="U1045" s="4" t="str">
        <f t="shared" si="4"/>
        <v/>
      </c>
    </row>
    <row r="1046" ht="15.75" customHeight="1">
      <c r="A1046" s="4" t="s">
        <v>2435</v>
      </c>
      <c r="B1046" s="4" t="s">
        <v>13</v>
      </c>
      <c r="D1046" s="4">
        <v>0.38</v>
      </c>
      <c r="E1046" s="4">
        <v>0.38</v>
      </c>
      <c r="F1046" s="4">
        <v>2.37</v>
      </c>
      <c r="G1046" s="4">
        <v>0.38</v>
      </c>
      <c r="H1046" s="4">
        <v>0.38</v>
      </c>
      <c r="K1046" s="6" t="b">
        <f t="shared" ref="K1046:M1046" si="1008">FALSE()</f>
        <v>0</v>
      </c>
      <c r="L1046" s="6" t="b">
        <f t="shared" si="1008"/>
        <v>0</v>
      </c>
      <c r="M1046" s="6" t="b">
        <f t="shared" si="1008"/>
        <v>0</v>
      </c>
      <c r="O1046" s="4">
        <v>1.21491274436427</v>
      </c>
      <c r="T1046" s="4" t="str">
        <f t="shared" si="3"/>
        <v/>
      </c>
      <c r="U1046" s="4" t="str">
        <f t="shared" si="4"/>
        <v/>
      </c>
    </row>
    <row r="1047" ht="15.75" customHeight="1">
      <c r="A1047" s="4" t="s">
        <v>2436</v>
      </c>
      <c r="B1047" s="4" t="s">
        <v>13</v>
      </c>
      <c r="D1047" s="4">
        <v>0.2</v>
      </c>
      <c r="E1047" s="4">
        <v>0.2</v>
      </c>
      <c r="F1047" s="4">
        <v>1.75</v>
      </c>
      <c r="G1047" s="4">
        <v>0.2</v>
      </c>
      <c r="H1047" s="4">
        <v>0.2</v>
      </c>
      <c r="K1047" s="6" t="b">
        <f t="shared" ref="K1047:M1047" si="1009">FALSE()</f>
        <v>0</v>
      </c>
      <c r="L1047" s="6" t="b">
        <f t="shared" si="1009"/>
        <v>0</v>
      </c>
      <c r="M1047" s="6" t="b">
        <f t="shared" si="1009"/>
        <v>0</v>
      </c>
      <c r="O1047" s="4">
        <v>1.01160091167848</v>
      </c>
      <c r="T1047" s="4" t="str">
        <f t="shared" si="3"/>
        <v/>
      </c>
      <c r="U1047" s="4" t="str">
        <f t="shared" si="4"/>
        <v/>
      </c>
    </row>
    <row r="1048" ht="15.75" customHeight="1">
      <c r="A1048" s="4" t="s">
        <v>2437</v>
      </c>
      <c r="B1048" s="4" t="s">
        <v>13</v>
      </c>
      <c r="D1048" s="4">
        <v>0.16</v>
      </c>
      <c r="E1048" s="4">
        <v>0.16</v>
      </c>
      <c r="F1048" s="4">
        <v>1.86</v>
      </c>
      <c r="G1048" s="4">
        <v>0.16</v>
      </c>
      <c r="H1048" s="4">
        <v>0.16</v>
      </c>
      <c r="K1048" s="6" t="b">
        <f t="shared" ref="K1048:M1048" si="1010">FALSE()</f>
        <v>0</v>
      </c>
      <c r="L1048" s="6" t="b">
        <f t="shared" si="1010"/>
        <v>0</v>
      </c>
      <c r="M1048" s="6" t="b">
        <f t="shared" si="1010"/>
        <v>0</v>
      </c>
      <c r="O1048" s="4">
        <v>1.05082162483176</v>
      </c>
      <c r="T1048" s="4" t="str">
        <f t="shared" si="3"/>
        <v/>
      </c>
      <c r="U1048" s="4" t="str">
        <f t="shared" si="4"/>
        <v/>
      </c>
    </row>
    <row r="1049" ht="15.75" customHeight="1">
      <c r="A1049" s="4" t="s">
        <v>2438</v>
      </c>
      <c r="B1049" s="4" t="s">
        <v>13</v>
      </c>
      <c r="F1049" s="4">
        <v>5.0</v>
      </c>
      <c r="K1049" s="6" t="b">
        <f t="shared" ref="K1049:M1049" si="1011">FALSE()</f>
        <v>0</v>
      </c>
      <c r="L1049" s="6" t="b">
        <f t="shared" si="1011"/>
        <v>0</v>
      </c>
      <c r="M1049" s="6" t="b">
        <f t="shared" si="1011"/>
        <v>0</v>
      </c>
      <c r="O1049" s="4">
        <v>1.79175946922806</v>
      </c>
      <c r="T1049" s="4" t="str">
        <f t="shared" si="3"/>
        <v/>
      </c>
      <c r="U1049" s="4" t="str">
        <f t="shared" si="4"/>
        <v/>
      </c>
    </row>
    <row r="1050" ht="15.75" customHeight="1">
      <c r="A1050" s="4" t="s">
        <v>2439</v>
      </c>
      <c r="B1050" s="4" t="s">
        <v>13</v>
      </c>
      <c r="D1050" s="4">
        <v>0.38</v>
      </c>
      <c r="E1050" s="4">
        <v>0.38</v>
      </c>
      <c r="F1050" s="4">
        <v>1.16</v>
      </c>
      <c r="G1050" s="4">
        <v>0.38</v>
      </c>
      <c r="H1050" s="4">
        <v>0.38</v>
      </c>
      <c r="K1050" s="6" t="b">
        <f t="shared" ref="K1050:M1050" si="1012">FALSE()</f>
        <v>0</v>
      </c>
      <c r="L1050" s="6" t="b">
        <f t="shared" si="1012"/>
        <v>0</v>
      </c>
      <c r="M1050" s="6" t="b">
        <f t="shared" si="1012"/>
        <v>0</v>
      </c>
      <c r="O1050" s="4">
        <v>0.770108221696074</v>
      </c>
      <c r="T1050" s="4" t="str">
        <f t="shared" si="3"/>
        <v/>
      </c>
      <c r="U1050" s="4" t="str">
        <f t="shared" si="4"/>
        <v/>
      </c>
    </row>
    <row r="1051" ht="15.75" customHeight="1">
      <c r="A1051" s="4" t="s">
        <v>2440</v>
      </c>
      <c r="B1051" s="4" t="s">
        <v>13</v>
      </c>
      <c r="D1051" s="4">
        <v>9.0E-4</v>
      </c>
      <c r="E1051" s="4">
        <v>9.0E-4</v>
      </c>
      <c r="F1051" s="4">
        <v>0.01708</v>
      </c>
      <c r="G1051" s="4">
        <v>9.0E-4</v>
      </c>
      <c r="H1051" s="4">
        <v>9.0E-4</v>
      </c>
      <c r="K1051" s="6" t="b">
        <f t="shared" ref="K1051:M1051" si="1013">FALSE()</f>
        <v>0</v>
      </c>
      <c r="L1051" s="6" t="b">
        <f t="shared" si="1013"/>
        <v>0</v>
      </c>
      <c r="M1051" s="6" t="b">
        <f t="shared" si="1013"/>
        <v>0</v>
      </c>
      <c r="O1051" s="4">
        <v>0.0169357767062023</v>
      </c>
      <c r="T1051" s="4" t="str">
        <f t="shared" si="3"/>
        <v/>
      </c>
      <c r="U1051" s="4" t="str">
        <f t="shared" si="4"/>
        <v/>
      </c>
    </row>
    <row r="1052" ht="15.75" customHeight="1">
      <c r="A1052" s="4" t="s">
        <v>2441</v>
      </c>
      <c r="B1052" s="4" t="s">
        <v>13</v>
      </c>
      <c r="D1052" s="4">
        <v>0.005</v>
      </c>
      <c r="E1052" s="4">
        <v>0.005</v>
      </c>
      <c r="F1052" s="4">
        <v>0.01992</v>
      </c>
      <c r="G1052" s="4">
        <v>0.005</v>
      </c>
      <c r="H1052" s="4">
        <v>0.005</v>
      </c>
      <c r="K1052" s="6" t="b">
        <f t="shared" ref="K1052:M1052" si="1014">FALSE()</f>
        <v>0</v>
      </c>
      <c r="L1052" s="6" t="b">
        <f t="shared" si="1014"/>
        <v>0</v>
      </c>
      <c r="M1052" s="6" t="b">
        <f t="shared" si="1014"/>
        <v>0</v>
      </c>
      <c r="O1052" s="4">
        <v>0.0197241928477297</v>
      </c>
      <c r="T1052" s="4" t="str">
        <f t="shared" si="3"/>
        <v/>
      </c>
      <c r="U1052" s="4" t="str">
        <f t="shared" si="4"/>
        <v/>
      </c>
    </row>
    <row r="1053" ht="15.75" customHeight="1">
      <c r="A1053" s="4" t="s">
        <v>2442</v>
      </c>
      <c r="B1053" s="4" t="s">
        <v>13</v>
      </c>
      <c r="D1053" s="4">
        <v>0.0039</v>
      </c>
      <c r="E1053" s="4">
        <v>0.0039</v>
      </c>
      <c r="F1053" s="4">
        <v>0.0218</v>
      </c>
      <c r="G1053" s="4">
        <v>0.0039</v>
      </c>
      <c r="H1053" s="4">
        <v>0.0039</v>
      </c>
      <c r="K1053" s="6" t="b">
        <f t="shared" ref="K1053:M1053" si="1015">FALSE()</f>
        <v>0</v>
      </c>
      <c r="L1053" s="6" t="b">
        <f t="shared" si="1015"/>
        <v>0</v>
      </c>
      <c r="M1053" s="6" t="b">
        <f t="shared" si="1015"/>
        <v>0</v>
      </c>
      <c r="O1053" s="4">
        <v>0.0215657779145605</v>
      </c>
      <c r="T1053" s="4" t="str">
        <f t="shared" si="3"/>
        <v/>
      </c>
      <c r="U1053" s="4" t="str">
        <f t="shared" si="4"/>
        <v/>
      </c>
    </row>
    <row r="1054" ht="15.75" customHeight="1">
      <c r="A1054" s="4" t="s">
        <v>2443</v>
      </c>
      <c r="B1054" s="4" t="s">
        <v>13</v>
      </c>
      <c r="D1054" s="4">
        <v>0.09</v>
      </c>
      <c r="E1054" s="4">
        <v>0.09</v>
      </c>
      <c r="F1054" s="4">
        <v>1.615</v>
      </c>
      <c r="G1054" s="4">
        <v>0.09</v>
      </c>
      <c r="H1054" s="4">
        <v>0.09</v>
      </c>
      <c r="I1054" s="4">
        <v>1.224</v>
      </c>
      <c r="K1054" s="6" t="b">
        <f t="shared" ref="K1054:L1054" si="1016">FALSE()</f>
        <v>0</v>
      </c>
      <c r="L1054" s="6" t="b">
        <f t="shared" si="1016"/>
        <v>0</v>
      </c>
      <c r="M1054" s="6" t="b">
        <f t="shared" ref="M1054:M1055" si="1018">TRUE()</f>
        <v>1</v>
      </c>
      <c r="O1054" s="4">
        <v>0.961264097516886</v>
      </c>
      <c r="P1054" s="4">
        <v>0.799307376388336</v>
      </c>
      <c r="T1054" s="4" t="str">
        <f t="shared" si="3"/>
        <v/>
      </c>
      <c r="U1054" s="4">
        <f t="shared" si="4"/>
        <v>345</v>
      </c>
    </row>
    <row r="1055" ht="15.75" customHeight="1">
      <c r="A1055" s="4" t="s">
        <v>2444</v>
      </c>
      <c r="B1055" s="4" t="s">
        <v>13</v>
      </c>
      <c r="F1055" s="4">
        <v>0.1</v>
      </c>
      <c r="I1055" s="4">
        <v>0.98</v>
      </c>
      <c r="K1055" s="6" t="b">
        <f t="shared" ref="K1055:L1055" si="1017">FALSE()</f>
        <v>0</v>
      </c>
      <c r="L1055" s="6" t="b">
        <f t="shared" si="1017"/>
        <v>0</v>
      </c>
      <c r="M1055" s="6" t="b">
        <f t="shared" si="1018"/>
        <v>1</v>
      </c>
      <c r="O1055" s="4">
        <v>0.0953101798043248</v>
      </c>
      <c r="P1055" s="4">
        <v>0.683096844706444</v>
      </c>
      <c r="T1055" s="4" t="str">
        <f t="shared" si="3"/>
        <v/>
      </c>
      <c r="U1055" s="4">
        <f t="shared" si="4"/>
        <v>695</v>
      </c>
    </row>
    <row r="1056" ht="15.75" customHeight="1">
      <c r="A1056" s="4" t="s">
        <v>2445</v>
      </c>
      <c r="B1056" s="4" t="s">
        <v>13</v>
      </c>
      <c r="D1056" s="4">
        <v>0.08</v>
      </c>
      <c r="E1056" s="4">
        <v>0.08</v>
      </c>
      <c r="F1056" s="4">
        <v>1.45</v>
      </c>
      <c r="G1056" s="4">
        <v>0.08</v>
      </c>
      <c r="H1056" s="4">
        <v>0.08</v>
      </c>
      <c r="K1056" s="6" t="b">
        <f t="shared" ref="K1056:M1056" si="1019">FALSE()</f>
        <v>0</v>
      </c>
      <c r="L1056" s="6" t="b">
        <f t="shared" si="1019"/>
        <v>0</v>
      </c>
      <c r="M1056" s="6" t="b">
        <f t="shared" si="1019"/>
        <v>0</v>
      </c>
      <c r="O1056" s="4">
        <v>0.896088024556636</v>
      </c>
      <c r="T1056" s="4" t="str">
        <f t="shared" si="3"/>
        <v/>
      </c>
      <c r="U1056" s="4" t="str">
        <f t="shared" si="4"/>
        <v/>
      </c>
    </row>
    <row r="1057" ht="15.75" customHeight="1">
      <c r="A1057" s="4" t="s">
        <v>2446</v>
      </c>
      <c r="B1057" s="4" t="s">
        <v>13</v>
      </c>
      <c r="D1057" s="4">
        <v>0.18</v>
      </c>
      <c r="E1057" s="4">
        <v>0.73</v>
      </c>
      <c r="F1057" s="4">
        <v>2.93</v>
      </c>
      <c r="G1057" s="4">
        <v>0.18</v>
      </c>
      <c r="H1057" s="4">
        <v>0.73</v>
      </c>
      <c r="K1057" s="6" t="b">
        <f t="shared" ref="K1057:M1057" si="1020">FALSE()</f>
        <v>0</v>
      </c>
      <c r="L1057" s="6" t="b">
        <f t="shared" si="1020"/>
        <v>0</v>
      </c>
      <c r="M1057" s="6" t="b">
        <f t="shared" si="1020"/>
        <v>0</v>
      </c>
      <c r="O1057" s="4">
        <v>1.36863942588117</v>
      </c>
      <c r="T1057" s="4" t="str">
        <f t="shared" si="3"/>
        <v/>
      </c>
      <c r="U1057" s="4" t="str">
        <f t="shared" si="4"/>
        <v/>
      </c>
    </row>
    <row r="1058" ht="15.75" customHeight="1">
      <c r="A1058" s="4" t="s">
        <v>2447</v>
      </c>
      <c r="B1058" s="4" t="s">
        <v>13</v>
      </c>
      <c r="F1058" s="4">
        <v>5.16</v>
      </c>
      <c r="K1058" s="6" t="b">
        <f t="shared" ref="K1058:M1058" si="1021">FALSE()</f>
        <v>0</v>
      </c>
      <c r="L1058" s="6" t="b">
        <f t="shared" si="1021"/>
        <v>0</v>
      </c>
      <c r="M1058" s="6" t="b">
        <f t="shared" si="1021"/>
        <v>0</v>
      </c>
      <c r="O1058" s="4">
        <v>1.81807677754543</v>
      </c>
      <c r="T1058" s="4" t="str">
        <f t="shared" si="3"/>
        <v/>
      </c>
      <c r="U1058" s="4" t="str">
        <f t="shared" si="4"/>
        <v/>
      </c>
    </row>
    <row r="1059" ht="15.75" customHeight="1">
      <c r="A1059" s="4" t="s">
        <v>2448</v>
      </c>
      <c r="B1059" s="4" t="s">
        <v>13</v>
      </c>
      <c r="D1059" s="4">
        <v>0.0018</v>
      </c>
      <c r="E1059" s="4">
        <v>0.0018</v>
      </c>
      <c r="F1059" s="4">
        <v>0.04</v>
      </c>
      <c r="G1059" s="4">
        <v>0.0018</v>
      </c>
      <c r="H1059" s="4">
        <v>0.0018</v>
      </c>
      <c r="K1059" s="6" t="b">
        <f t="shared" ref="K1059:M1059" si="1022">FALSE()</f>
        <v>0</v>
      </c>
      <c r="L1059" s="6" t="b">
        <f t="shared" si="1022"/>
        <v>0</v>
      </c>
      <c r="M1059" s="6" t="b">
        <f t="shared" si="1022"/>
        <v>0</v>
      </c>
      <c r="O1059" s="4">
        <v>0.0392207131532812</v>
      </c>
      <c r="T1059" s="4" t="str">
        <f t="shared" si="3"/>
        <v/>
      </c>
      <c r="U1059" s="4" t="str">
        <f t="shared" si="4"/>
        <v/>
      </c>
    </row>
    <row r="1060" ht="15.75" customHeight="1">
      <c r="A1060" s="4" t="s">
        <v>2449</v>
      </c>
      <c r="B1060" s="4" t="s">
        <v>13</v>
      </c>
      <c r="D1060" s="4">
        <v>0.0049</v>
      </c>
      <c r="E1060" s="4">
        <v>0.0019</v>
      </c>
      <c r="F1060" s="4">
        <v>0.0521</v>
      </c>
      <c r="G1060" s="4">
        <v>0.0049</v>
      </c>
      <c r="H1060" s="4">
        <v>0.0019</v>
      </c>
      <c r="K1060" s="6" t="b">
        <f t="shared" ref="K1060:M1060" si="1023">FALSE()</f>
        <v>0</v>
      </c>
      <c r="L1060" s="6" t="b">
        <f t="shared" si="1023"/>
        <v>0</v>
      </c>
      <c r="M1060" s="6" t="b">
        <f t="shared" si="1023"/>
        <v>0</v>
      </c>
      <c r="O1060" s="4">
        <v>0.050788166832105</v>
      </c>
      <c r="T1060" s="4" t="str">
        <f t="shared" si="3"/>
        <v/>
      </c>
      <c r="U1060" s="4" t="str">
        <f t="shared" si="4"/>
        <v/>
      </c>
    </row>
    <row r="1061" ht="15.75" customHeight="1">
      <c r="A1061" s="4" t="s">
        <v>2450</v>
      </c>
      <c r="B1061" s="4" t="s">
        <v>13</v>
      </c>
      <c r="D1061" s="4">
        <v>0.05</v>
      </c>
      <c r="E1061" s="4">
        <v>0.05</v>
      </c>
      <c r="F1061" s="4">
        <v>1.21</v>
      </c>
      <c r="G1061" s="4">
        <v>0.05</v>
      </c>
      <c r="H1061" s="4">
        <v>0.05</v>
      </c>
      <c r="K1061" s="6" t="b">
        <f t="shared" ref="K1061:M1061" si="1024">FALSE()</f>
        <v>0</v>
      </c>
      <c r="L1061" s="6" t="b">
        <f t="shared" si="1024"/>
        <v>0</v>
      </c>
      <c r="M1061" s="6" t="b">
        <f t="shared" si="1024"/>
        <v>0</v>
      </c>
      <c r="O1061" s="4">
        <v>0.792992515529661</v>
      </c>
      <c r="T1061" s="4" t="str">
        <f t="shared" si="3"/>
        <v/>
      </c>
      <c r="U1061" s="4" t="str">
        <f t="shared" si="4"/>
        <v/>
      </c>
    </row>
    <row r="1062" ht="15.75" customHeight="1">
      <c r="A1062" s="4" t="s">
        <v>445</v>
      </c>
      <c r="B1062" s="4" t="s">
        <v>13</v>
      </c>
      <c r="C1062" s="4">
        <v>0.0245</v>
      </c>
      <c r="D1062" s="4">
        <v>0.0044</v>
      </c>
      <c r="E1062" s="4">
        <v>0.0044</v>
      </c>
      <c r="I1062" s="4">
        <v>0.2186</v>
      </c>
      <c r="J1062" s="4">
        <v>0.0045</v>
      </c>
      <c r="K1062" s="6" t="b">
        <f t="shared" ref="K1062:M1062" si="1025">FALSE()</f>
        <v>0</v>
      </c>
      <c r="L1062" s="6" t="b">
        <f t="shared" si="1025"/>
        <v>0</v>
      </c>
      <c r="M1062" s="6" t="b">
        <f t="shared" si="1025"/>
        <v>0</v>
      </c>
      <c r="N1062" s="4">
        <v>0.0242046886968173</v>
      </c>
      <c r="P1062" s="4">
        <v>0.197702658832257</v>
      </c>
      <c r="T1062" s="4">
        <f t="shared" si="3"/>
        <v>1645</v>
      </c>
      <c r="U1062" s="4">
        <f t="shared" si="4"/>
        <v>2287</v>
      </c>
    </row>
    <row r="1063" ht="15.75" customHeight="1">
      <c r="A1063" s="4" t="s">
        <v>2451</v>
      </c>
      <c r="B1063" s="4" t="s">
        <v>13</v>
      </c>
      <c r="D1063" s="4">
        <v>0.006</v>
      </c>
      <c r="E1063" s="4">
        <v>0.0057</v>
      </c>
      <c r="F1063" s="4">
        <v>0.0579</v>
      </c>
      <c r="G1063" s="4">
        <v>0.006</v>
      </c>
      <c r="H1063" s="4">
        <v>0.0057</v>
      </c>
      <c r="K1063" s="6" t="b">
        <f t="shared" ref="K1063:M1063" si="1026">FALSE()</f>
        <v>0</v>
      </c>
      <c r="L1063" s="6" t="b">
        <f t="shared" si="1026"/>
        <v>0</v>
      </c>
      <c r="M1063" s="6" t="b">
        <f t="shared" si="1026"/>
        <v>0</v>
      </c>
      <c r="O1063" s="4">
        <v>0.0562858110105918</v>
      </c>
      <c r="T1063" s="4" t="str">
        <f t="shared" si="3"/>
        <v/>
      </c>
      <c r="U1063" s="4" t="str">
        <f t="shared" si="4"/>
        <v/>
      </c>
    </row>
    <row r="1064" ht="15.75" customHeight="1">
      <c r="A1064" s="4" t="s">
        <v>2452</v>
      </c>
      <c r="B1064" s="4" t="s">
        <v>13</v>
      </c>
      <c r="F1064" s="4">
        <v>1.94</v>
      </c>
      <c r="K1064" s="6" t="b">
        <f t="shared" ref="K1064:M1064" si="1027">FALSE()</f>
        <v>0</v>
      </c>
      <c r="L1064" s="6" t="b">
        <f t="shared" si="1027"/>
        <v>0</v>
      </c>
      <c r="M1064" s="6" t="b">
        <f t="shared" si="1027"/>
        <v>0</v>
      </c>
      <c r="O1064" s="4">
        <v>1.07840958135059</v>
      </c>
      <c r="T1064" s="4" t="str">
        <f t="shared" si="3"/>
        <v/>
      </c>
      <c r="U1064" s="4" t="str">
        <f t="shared" si="4"/>
        <v/>
      </c>
    </row>
    <row r="1065" ht="15.75" customHeight="1">
      <c r="A1065" s="4" t="s">
        <v>2453</v>
      </c>
      <c r="B1065" s="4" t="s">
        <v>13</v>
      </c>
      <c r="D1065" s="4">
        <v>0.08</v>
      </c>
      <c r="E1065" s="4">
        <v>0.08</v>
      </c>
      <c r="F1065" s="4">
        <v>1.15</v>
      </c>
      <c r="G1065" s="4">
        <v>0.08</v>
      </c>
      <c r="H1065" s="4">
        <v>0.08</v>
      </c>
      <c r="K1065" s="6" t="b">
        <f t="shared" ref="K1065:M1065" si="1028">FALSE()</f>
        <v>0</v>
      </c>
      <c r="L1065" s="6" t="b">
        <f t="shared" si="1028"/>
        <v>0</v>
      </c>
      <c r="M1065" s="6" t="b">
        <f t="shared" si="1028"/>
        <v>0</v>
      </c>
      <c r="O1065" s="4">
        <v>0.765467842139571</v>
      </c>
      <c r="T1065" s="4" t="str">
        <f t="shared" si="3"/>
        <v/>
      </c>
      <c r="U1065" s="4" t="str">
        <f t="shared" si="4"/>
        <v/>
      </c>
    </row>
    <row r="1066" ht="15.75" customHeight="1">
      <c r="A1066" s="4" t="s">
        <v>2454</v>
      </c>
      <c r="B1066" s="4" t="s">
        <v>13</v>
      </c>
      <c r="D1066" s="4">
        <v>0.72</v>
      </c>
      <c r="E1066" s="4">
        <v>0.72</v>
      </c>
      <c r="F1066" s="4">
        <v>3.87</v>
      </c>
      <c r="G1066" s="4">
        <v>0.72</v>
      </c>
      <c r="H1066" s="4">
        <v>0.72</v>
      </c>
      <c r="K1066" s="6" t="b">
        <f t="shared" ref="K1066:M1066" si="1029">FALSE()</f>
        <v>0</v>
      </c>
      <c r="L1066" s="6" t="b">
        <f t="shared" si="1029"/>
        <v>0</v>
      </c>
      <c r="M1066" s="6" t="b">
        <f t="shared" si="1029"/>
        <v>0</v>
      </c>
      <c r="O1066" s="4">
        <v>1.5830939370945</v>
      </c>
      <c r="T1066" s="4" t="str">
        <f t="shared" si="3"/>
        <v/>
      </c>
      <c r="U1066" s="4" t="str">
        <f t="shared" si="4"/>
        <v/>
      </c>
    </row>
    <row r="1067" ht="15.75" customHeight="1">
      <c r="A1067" s="4" t="s">
        <v>2455</v>
      </c>
      <c r="B1067" s="4" t="s">
        <v>13</v>
      </c>
      <c r="D1067" s="4">
        <v>0.53</v>
      </c>
      <c r="E1067" s="4">
        <v>0.53</v>
      </c>
      <c r="F1067" s="4">
        <v>5.78</v>
      </c>
      <c r="G1067" s="4">
        <v>0.53</v>
      </c>
      <c r="H1067" s="4">
        <v>0.53</v>
      </c>
      <c r="K1067" s="6" t="b">
        <f t="shared" ref="K1067:M1067" si="1030">FALSE()</f>
        <v>0</v>
      </c>
      <c r="L1067" s="6" t="b">
        <f t="shared" si="1030"/>
        <v>0</v>
      </c>
      <c r="M1067" s="6" t="b">
        <f t="shared" si="1030"/>
        <v>0</v>
      </c>
      <c r="O1067" s="4">
        <v>1.9139771019523</v>
      </c>
      <c r="T1067" s="4" t="str">
        <f t="shared" si="3"/>
        <v/>
      </c>
      <c r="U1067" s="4" t="str">
        <f t="shared" si="4"/>
        <v/>
      </c>
    </row>
    <row r="1068" ht="15.75" customHeight="1">
      <c r="A1068" s="4" t="s">
        <v>2456</v>
      </c>
      <c r="B1068" s="4" t="s">
        <v>13</v>
      </c>
      <c r="D1068" s="4">
        <v>0.081</v>
      </c>
      <c r="E1068" s="4">
        <v>0.081</v>
      </c>
      <c r="F1068" s="4">
        <v>1.681</v>
      </c>
      <c r="G1068" s="4">
        <v>0.081</v>
      </c>
      <c r="H1068" s="4">
        <v>0.081</v>
      </c>
      <c r="I1068" s="4">
        <v>1.222</v>
      </c>
      <c r="K1068" s="6" t="b">
        <f t="shared" ref="K1068:L1068" si="1031">FALSE()</f>
        <v>0</v>
      </c>
      <c r="L1068" s="6" t="b">
        <f t="shared" si="1031"/>
        <v>0</v>
      </c>
      <c r="M1068" s="6" t="b">
        <f>TRUE()</f>
        <v>1</v>
      </c>
      <c r="O1068" s="4">
        <v>0.986189859253822</v>
      </c>
      <c r="P1068" s="4">
        <v>0.798407691217438</v>
      </c>
      <c r="T1068" s="4" t="str">
        <f t="shared" si="3"/>
        <v/>
      </c>
      <c r="U1068" s="4">
        <f t="shared" si="4"/>
        <v>348</v>
      </c>
    </row>
    <row r="1069" ht="15.75" customHeight="1">
      <c r="A1069" s="4" t="s">
        <v>2457</v>
      </c>
      <c r="B1069" s="4" t="s">
        <v>13</v>
      </c>
      <c r="I1069" s="4">
        <v>0.331</v>
      </c>
      <c r="J1069" s="4">
        <v>0.018</v>
      </c>
      <c r="K1069" s="6" t="b">
        <f t="shared" ref="K1069:M1069" si="1032">FALSE()</f>
        <v>0</v>
      </c>
      <c r="L1069" s="6" t="b">
        <f t="shared" si="1032"/>
        <v>0</v>
      </c>
      <c r="M1069" s="6" t="b">
        <f t="shared" si="1032"/>
        <v>0</v>
      </c>
      <c r="P1069" s="4">
        <v>0.285930539412975</v>
      </c>
      <c r="T1069" s="4" t="str">
        <f t="shared" si="3"/>
        <v/>
      </c>
      <c r="U1069" s="4">
        <f t="shared" si="4"/>
        <v>1255</v>
      </c>
    </row>
    <row r="1070" ht="15.75" customHeight="1">
      <c r="A1070" s="4" t="s">
        <v>2458</v>
      </c>
      <c r="B1070" s="4" t="s">
        <v>13</v>
      </c>
      <c r="D1070" s="4">
        <v>0.03</v>
      </c>
      <c r="E1070" s="4">
        <v>0.03</v>
      </c>
      <c r="F1070" s="4">
        <v>0.33</v>
      </c>
      <c r="G1070" s="4">
        <v>0.03</v>
      </c>
      <c r="H1070" s="4">
        <v>0.03</v>
      </c>
      <c r="K1070" s="6" t="b">
        <f t="shared" ref="K1070:M1070" si="1033">FALSE()</f>
        <v>0</v>
      </c>
      <c r="L1070" s="6" t="b">
        <f t="shared" si="1033"/>
        <v>0</v>
      </c>
      <c r="M1070" s="6" t="b">
        <f t="shared" si="1033"/>
        <v>0</v>
      </c>
      <c r="O1070" s="4">
        <v>0.285178942233662</v>
      </c>
      <c r="T1070" s="4" t="str">
        <f t="shared" si="3"/>
        <v/>
      </c>
      <c r="U1070" s="4" t="str">
        <f t="shared" si="4"/>
        <v/>
      </c>
    </row>
    <row r="1071" ht="15.75" customHeight="1">
      <c r="A1071" s="4" t="s">
        <v>2459</v>
      </c>
      <c r="B1071" s="4" t="s">
        <v>13</v>
      </c>
      <c r="C1071" s="4">
        <v>5.918</v>
      </c>
      <c r="D1071" s="4">
        <v>4.026</v>
      </c>
      <c r="E1071" s="4">
        <v>2.879</v>
      </c>
      <c r="K1071" s="6" t="b">
        <f t="shared" ref="K1071:K1072" si="1035">TRUE()</f>
        <v>1</v>
      </c>
      <c r="L1071" s="6" t="b">
        <f t="shared" ref="L1071:M1071" si="1034">FALSE()</f>
        <v>0</v>
      </c>
      <c r="M1071" s="6" t="b">
        <f t="shared" si="1034"/>
        <v>0</v>
      </c>
      <c r="N1071" s="4">
        <v>1.93412671051498</v>
      </c>
      <c r="T1071" s="4">
        <f t="shared" si="3"/>
        <v>171</v>
      </c>
      <c r="U1071" s="4" t="str">
        <f t="shared" si="4"/>
        <v/>
      </c>
    </row>
    <row r="1072" ht="15.75" customHeight="1">
      <c r="A1072" s="4" t="s">
        <v>2460</v>
      </c>
      <c r="B1072" s="4" t="s">
        <v>13</v>
      </c>
      <c r="C1072" s="4">
        <v>8.43</v>
      </c>
      <c r="D1072" s="4">
        <v>0.9</v>
      </c>
      <c r="E1072" s="4">
        <v>1.1</v>
      </c>
      <c r="K1072" s="6" t="b">
        <f t="shared" si="1035"/>
        <v>1</v>
      </c>
      <c r="L1072" s="6" t="b">
        <f t="shared" ref="L1072:M1072" si="1036">FALSE()</f>
        <v>0</v>
      </c>
      <c r="M1072" s="6" t="b">
        <f t="shared" si="1036"/>
        <v>0</v>
      </c>
      <c r="N1072" s="4">
        <v>2.24389609664537</v>
      </c>
      <c r="T1072" s="4">
        <f t="shared" si="3"/>
        <v>96</v>
      </c>
      <c r="U1072" s="4" t="str">
        <f t="shared" si="4"/>
        <v/>
      </c>
    </row>
    <row r="1073" ht="15.75" customHeight="1">
      <c r="A1073" s="4" t="s">
        <v>2461</v>
      </c>
      <c r="B1073" s="4" t="s">
        <v>13</v>
      </c>
      <c r="D1073" s="4">
        <v>0.4</v>
      </c>
      <c r="E1073" s="4">
        <v>0.4</v>
      </c>
      <c r="F1073" s="4">
        <v>7.6</v>
      </c>
      <c r="G1073" s="4">
        <v>0.4</v>
      </c>
      <c r="H1073" s="4">
        <v>0.4</v>
      </c>
      <c r="K1073" s="6" t="b">
        <f t="shared" ref="K1073:K1075" si="1037">FALSE()</f>
        <v>0</v>
      </c>
      <c r="L1073" s="6" t="b">
        <f t="shared" ref="L1073:L1075" si="1038">TRUE()</f>
        <v>1</v>
      </c>
      <c r="M1073" s="6" t="b">
        <f t="shared" ref="M1073:M1075" si="1039">FALSE()</f>
        <v>0</v>
      </c>
      <c r="O1073" s="4">
        <v>2.15176220325946</v>
      </c>
      <c r="T1073" s="4" t="str">
        <f t="shared" si="3"/>
        <v/>
      </c>
      <c r="U1073" s="4" t="str">
        <f t="shared" si="4"/>
        <v/>
      </c>
    </row>
    <row r="1074" ht="15.75" customHeight="1">
      <c r="A1074" s="4" t="s">
        <v>2462</v>
      </c>
      <c r="B1074" s="4" t="s">
        <v>13</v>
      </c>
      <c r="D1074" s="4">
        <v>0.24</v>
      </c>
      <c r="E1074" s="4">
        <v>0.18</v>
      </c>
      <c r="F1074" s="4">
        <v>6.92</v>
      </c>
      <c r="G1074" s="4">
        <v>0.24</v>
      </c>
      <c r="H1074" s="4">
        <v>0.18</v>
      </c>
      <c r="K1074" s="6" t="b">
        <f t="shared" si="1037"/>
        <v>0</v>
      </c>
      <c r="L1074" s="6" t="b">
        <f t="shared" si="1038"/>
        <v>1</v>
      </c>
      <c r="M1074" s="6" t="b">
        <f t="shared" si="1039"/>
        <v>0</v>
      </c>
      <c r="O1074" s="4">
        <v>2.06939120582633</v>
      </c>
      <c r="T1074" s="4" t="str">
        <f t="shared" si="3"/>
        <v/>
      </c>
      <c r="U1074" s="4" t="str">
        <f t="shared" si="4"/>
        <v/>
      </c>
    </row>
    <row r="1075" ht="15.75" customHeight="1">
      <c r="A1075" s="4" t="s">
        <v>2463</v>
      </c>
      <c r="B1075" s="4" t="s">
        <v>13</v>
      </c>
      <c r="D1075" s="4">
        <v>1.0</v>
      </c>
      <c r="E1075" s="4">
        <v>1.0</v>
      </c>
      <c r="F1075" s="4">
        <v>6.5</v>
      </c>
      <c r="G1075" s="4">
        <v>1.0</v>
      </c>
      <c r="H1075" s="4">
        <v>1.0</v>
      </c>
      <c r="K1075" s="6" t="b">
        <f t="shared" si="1037"/>
        <v>0</v>
      </c>
      <c r="L1075" s="6" t="b">
        <f t="shared" si="1038"/>
        <v>1</v>
      </c>
      <c r="M1075" s="6" t="b">
        <f t="shared" si="1039"/>
        <v>0</v>
      </c>
      <c r="O1075" s="4">
        <v>2.01490302054227</v>
      </c>
      <c r="T1075" s="4" t="str">
        <f t="shared" si="3"/>
        <v/>
      </c>
      <c r="U1075" s="4" t="str">
        <f t="shared" si="4"/>
        <v/>
      </c>
    </row>
    <row r="1076" ht="15.75" customHeight="1">
      <c r="A1076" s="4" t="s">
        <v>2464</v>
      </c>
      <c r="B1076" s="4" t="s">
        <v>13</v>
      </c>
      <c r="C1076" s="4">
        <v>9.21</v>
      </c>
      <c r="D1076" s="4">
        <v>0.0</v>
      </c>
      <c r="E1076" s="4">
        <v>0.0</v>
      </c>
      <c r="F1076" s="4">
        <v>3.15</v>
      </c>
      <c r="K1076" s="6" t="b">
        <f t="shared" ref="K1076:K1077" si="1041">TRUE()</f>
        <v>1</v>
      </c>
      <c r="L1076" s="6" t="b">
        <f t="shared" ref="L1076:M1076" si="1040">FALSE()</f>
        <v>0</v>
      </c>
      <c r="M1076" s="6" t="b">
        <f t="shared" si="1040"/>
        <v>0</v>
      </c>
      <c r="N1076" s="4">
        <v>2.32336763217657</v>
      </c>
      <c r="O1076" s="4">
        <v>1.42310833424261</v>
      </c>
      <c r="T1076" s="4">
        <f t="shared" si="3"/>
        <v>72</v>
      </c>
      <c r="U1076" s="4" t="str">
        <f t="shared" si="4"/>
        <v/>
      </c>
    </row>
    <row r="1077" ht="15.75" customHeight="1">
      <c r="A1077" s="4" t="s">
        <v>2465</v>
      </c>
      <c r="B1077" s="4" t="s">
        <v>13</v>
      </c>
      <c r="C1077" s="4">
        <v>8.519</v>
      </c>
      <c r="D1077" s="4">
        <v>1.04</v>
      </c>
      <c r="E1077" s="4">
        <v>2.093</v>
      </c>
      <c r="K1077" s="6" t="b">
        <f t="shared" si="1041"/>
        <v>1</v>
      </c>
      <c r="L1077" s="6" t="b">
        <f t="shared" ref="L1077:M1077" si="1042">FALSE()</f>
        <v>0</v>
      </c>
      <c r="M1077" s="6" t="b">
        <f t="shared" si="1042"/>
        <v>0</v>
      </c>
      <c r="N1077" s="4">
        <v>2.25328980126917</v>
      </c>
      <c r="T1077" s="4">
        <f t="shared" si="3"/>
        <v>89</v>
      </c>
      <c r="U1077" s="4" t="str">
        <f t="shared" si="4"/>
        <v/>
      </c>
    </row>
    <row r="1078" ht="15.75" customHeight="1">
      <c r="A1078" s="4" t="s">
        <v>446</v>
      </c>
      <c r="B1078" s="4" t="s">
        <v>13</v>
      </c>
      <c r="C1078" s="4">
        <v>0.0689</v>
      </c>
      <c r="D1078" s="4">
        <v>0.0689</v>
      </c>
      <c r="E1078" s="4">
        <v>0.0</v>
      </c>
      <c r="I1078" s="4">
        <v>0.1945</v>
      </c>
      <c r="J1078" s="4">
        <v>0.008</v>
      </c>
      <c r="K1078" s="6" t="b">
        <f t="shared" ref="K1078:M1078" si="1043">FALSE()</f>
        <v>0</v>
      </c>
      <c r="L1078" s="6" t="b">
        <f t="shared" si="1043"/>
        <v>0</v>
      </c>
      <c r="M1078" s="6" t="b">
        <f t="shared" si="1043"/>
        <v>0</v>
      </c>
      <c r="N1078" s="4">
        <v>0.066630082297763</v>
      </c>
      <c r="P1078" s="4">
        <v>0.177727687783727</v>
      </c>
      <c r="T1078" s="4">
        <f t="shared" si="3"/>
        <v>1328</v>
      </c>
      <c r="U1078" s="4">
        <f t="shared" si="4"/>
        <v>2672</v>
      </c>
    </row>
    <row r="1079" ht="15.75" customHeight="1">
      <c r="A1079" s="4" t="s">
        <v>447</v>
      </c>
      <c r="B1079" s="4" t="s">
        <v>13</v>
      </c>
      <c r="C1079" s="4">
        <v>0.0482</v>
      </c>
      <c r="D1079" s="4">
        <v>0.013</v>
      </c>
      <c r="E1079" s="4">
        <v>0.0132</v>
      </c>
      <c r="I1079" s="4">
        <v>0.2427</v>
      </c>
      <c r="J1079" s="4">
        <v>0.009</v>
      </c>
      <c r="K1079" s="6" t="b">
        <f t="shared" ref="K1079:M1079" si="1044">FALSE()</f>
        <v>0</v>
      </c>
      <c r="L1079" s="6" t="b">
        <f t="shared" si="1044"/>
        <v>0</v>
      </c>
      <c r="M1079" s="6" t="b">
        <f t="shared" si="1044"/>
        <v>0</v>
      </c>
      <c r="N1079" s="4">
        <v>0.0470744073859288</v>
      </c>
      <c r="P1079" s="4">
        <v>0.217286431829812</v>
      </c>
      <c r="T1079" s="4">
        <f t="shared" si="3"/>
        <v>1410</v>
      </c>
      <c r="U1079" s="4">
        <f t="shared" si="4"/>
        <v>1908</v>
      </c>
    </row>
    <row r="1080" ht="15.75" customHeight="1">
      <c r="A1080" s="4" t="s">
        <v>2466</v>
      </c>
      <c r="B1080" s="4" t="s">
        <v>13</v>
      </c>
      <c r="I1080" s="4">
        <v>0.09573</v>
      </c>
      <c r="J1080" s="4">
        <v>0.0041</v>
      </c>
      <c r="K1080" s="6" t="b">
        <f t="shared" ref="K1080:M1080" si="1045">FALSE()</f>
        <v>0</v>
      </c>
      <c r="L1080" s="6" t="b">
        <f t="shared" si="1045"/>
        <v>0</v>
      </c>
      <c r="M1080" s="6" t="b">
        <f t="shared" si="1045"/>
        <v>0</v>
      </c>
      <c r="P1080" s="4">
        <v>0.0914208078116246</v>
      </c>
      <c r="T1080" s="4" t="str">
        <f t="shared" si="3"/>
        <v/>
      </c>
      <c r="U1080" s="4">
        <f t="shared" si="4"/>
        <v>4269</v>
      </c>
    </row>
    <row r="1081" ht="15.75" customHeight="1">
      <c r="A1081" s="4" t="s">
        <v>2467</v>
      </c>
      <c r="B1081" s="4" t="s">
        <v>13</v>
      </c>
      <c r="F1081" s="4">
        <v>0.39</v>
      </c>
      <c r="I1081" s="4">
        <v>1.06</v>
      </c>
      <c r="K1081" s="6" t="b">
        <f t="shared" ref="K1081:L1081" si="1046">FALSE()</f>
        <v>0</v>
      </c>
      <c r="L1081" s="6" t="b">
        <f t="shared" si="1046"/>
        <v>0</v>
      </c>
      <c r="M1081" s="6" t="b">
        <f>TRUE()</f>
        <v>1</v>
      </c>
      <c r="O1081" s="4">
        <v>0.3293037471426</v>
      </c>
      <c r="P1081" s="4">
        <v>0.72270598280149</v>
      </c>
      <c r="T1081" s="4" t="str">
        <f t="shared" si="3"/>
        <v/>
      </c>
      <c r="U1081" s="4">
        <f t="shared" si="4"/>
        <v>588</v>
      </c>
    </row>
    <row r="1082" ht="15.75" customHeight="1">
      <c r="A1082" s="4" t="s">
        <v>2468</v>
      </c>
      <c r="B1082" s="4" t="s">
        <v>13</v>
      </c>
      <c r="D1082" s="4">
        <v>0.05</v>
      </c>
      <c r="E1082" s="4">
        <v>0.05</v>
      </c>
      <c r="F1082" s="4">
        <v>0.64</v>
      </c>
      <c r="G1082" s="4">
        <v>0.05</v>
      </c>
      <c r="H1082" s="4">
        <v>0.05</v>
      </c>
      <c r="K1082" s="6" t="b">
        <f t="shared" ref="K1082:M1082" si="1047">FALSE()</f>
        <v>0</v>
      </c>
      <c r="L1082" s="6" t="b">
        <f t="shared" si="1047"/>
        <v>0</v>
      </c>
      <c r="M1082" s="6" t="b">
        <f t="shared" si="1047"/>
        <v>0</v>
      </c>
      <c r="O1082" s="4">
        <v>0.494696241836107</v>
      </c>
      <c r="T1082" s="4" t="str">
        <f t="shared" si="3"/>
        <v/>
      </c>
      <c r="U1082" s="4" t="str">
        <f t="shared" si="4"/>
        <v/>
      </c>
    </row>
    <row r="1083" ht="15.75" customHeight="1">
      <c r="A1083" s="4" t="s">
        <v>448</v>
      </c>
      <c r="B1083" s="4" t="s">
        <v>13</v>
      </c>
      <c r="C1083" s="4">
        <v>0.033</v>
      </c>
      <c r="D1083" s="4">
        <v>0.005</v>
      </c>
      <c r="E1083" s="4">
        <v>0.005</v>
      </c>
      <c r="I1083" s="4">
        <v>0.2668</v>
      </c>
      <c r="J1083" s="4">
        <v>0.0125</v>
      </c>
      <c r="K1083" s="6" t="b">
        <f t="shared" ref="K1083:M1083" si="1048">FALSE()</f>
        <v>0</v>
      </c>
      <c r="L1083" s="6" t="b">
        <f t="shared" si="1048"/>
        <v>0</v>
      </c>
      <c r="M1083" s="6" t="b">
        <f t="shared" si="1048"/>
        <v>0</v>
      </c>
      <c r="N1083" s="4">
        <v>0.0324671901375014</v>
      </c>
      <c r="P1083" s="4">
        <v>0.236494035682348</v>
      </c>
      <c r="T1083" s="4">
        <f t="shared" si="3"/>
        <v>1511</v>
      </c>
      <c r="U1083" s="4">
        <f t="shared" si="4"/>
        <v>1620</v>
      </c>
    </row>
    <row r="1084" ht="15.75" customHeight="1">
      <c r="A1084" s="4" t="s">
        <v>450</v>
      </c>
      <c r="B1084" s="4" t="s">
        <v>13</v>
      </c>
      <c r="C1084" s="4">
        <v>0.0349</v>
      </c>
      <c r="D1084" s="4">
        <v>0.0076</v>
      </c>
      <c r="E1084" s="4">
        <v>0.0076</v>
      </c>
      <c r="I1084" s="4">
        <v>0.259</v>
      </c>
      <c r="J1084" s="4">
        <v>0.0116</v>
      </c>
      <c r="K1084" s="6" t="b">
        <f t="shared" ref="K1084:M1084" si="1049">FALSE()</f>
        <v>0</v>
      </c>
      <c r="L1084" s="6" t="b">
        <f t="shared" si="1049"/>
        <v>0</v>
      </c>
      <c r="M1084" s="6" t="b">
        <f t="shared" si="1049"/>
        <v>0</v>
      </c>
      <c r="N1084" s="4">
        <v>0.0343048036919903</v>
      </c>
      <c r="P1084" s="4">
        <v>0.23031775506221</v>
      </c>
      <c r="T1084" s="4">
        <f t="shared" si="3"/>
        <v>1490</v>
      </c>
      <c r="U1084" s="4">
        <f t="shared" si="4"/>
        <v>1689</v>
      </c>
    </row>
    <row r="1085" ht="15.75" customHeight="1">
      <c r="A1085" s="4" t="s">
        <v>2469</v>
      </c>
      <c r="B1085" s="4" t="s">
        <v>13</v>
      </c>
      <c r="D1085" s="4">
        <v>0.19</v>
      </c>
      <c r="E1085" s="4">
        <v>0.19</v>
      </c>
      <c r="F1085" s="4">
        <v>2.56</v>
      </c>
      <c r="G1085" s="4">
        <v>0.19</v>
      </c>
      <c r="H1085" s="4">
        <v>0.19</v>
      </c>
      <c r="K1085" s="6" t="b">
        <f t="shared" ref="K1085:M1085" si="1050">FALSE()</f>
        <v>0</v>
      </c>
      <c r="L1085" s="6" t="b">
        <f t="shared" si="1050"/>
        <v>0</v>
      </c>
      <c r="M1085" s="6" t="b">
        <f t="shared" si="1050"/>
        <v>0</v>
      </c>
      <c r="O1085" s="4">
        <v>1.26976054486394</v>
      </c>
      <c r="T1085" s="4" t="str">
        <f t="shared" si="3"/>
        <v/>
      </c>
      <c r="U1085" s="4" t="str">
        <f t="shared" si="4"/>
        <v/>
      </c>
    </row>
    <row r="1086" ht="15.75" customHeight="1">
      <c r="A1086" s="4" t="s">
        <v>2470</v>
      </c>
      <c r="B1086" s="4" t="s">
        <v>13</v>
      </c>
      <c r="F1086" s="4">
        <v>0.39</v>
      </c>
      <c r="K1086" s="6" t="b">
        <f t="shared" ref="K1086:M1086" si="1051">FALSE()</f>
        <v>0</v>
      </c>
      <c r="L1086" s="6" t="b">
        <f t="shared" si="1051"/>
        <v>0</v>
      </c>
      <c r="M1086" s="6" t="b">
        <f t="shared" si="1051"/>
        <v>0</v>
      </c>
      <c r="O1086" s="4">
        <v>0.3293037471426</v>
      </c>
      <c r="T1086" s="4" t="str">
        <f t="shared" si="3"/>
        <v/>
      </c>
      <c r="U1086" s="4" t="str">
        <f t="shared" si="4"/>
        <v/>
      </c>
    </row>
    <row r="1087" ht="15.75" customHeight="1">
      <c r="A1087" s="4" t="s">
        <v>2471</v>
      </c>
      <c r="B1087" s="4" t="s">
        <v>13</v>
      </c>
      <c r="D1087" s="4">
        <v>0.062</v>
      </c>
      <c r="E1087" s="4">
        <v>0.062</v>
      </c>
      <c r="F1087" s="4">
        <v>1.295</v>
      </c>
      <c r="G1087" s="4">
        <v>0.062</v>
      </c>
      <c r="H1087" s="4">
        <v>0.062</v>
      </c>
      <c r="K1087" s="6" t="b">
        <f t="shared" ref="K1087:M1087" si="1052">FALSE()</f>
        <v>0</v>
      </c>
      <c r="L1087" s="6" t="b">
        <f t="shared" si="1052"/>
        <v>0</v>
      </c>
      <c r="M1087" s="6" t="b">
        <f t="shared" si="1052"/>
        <v>0</v>
      </c>
      <c r="O1087" s="4">
        <v>0.830732843512508</v>
      </c>
      <c r="T1087" s="4" t="str">
        <f t="shared" si="3"/>
        <v/>
      </c>
      <c r="U1087" s="4" t="str">
        <f t="shared" si="4"/>
        <v/>
      </c>
    </row>
    <row r="1088" ht="15.75" customHeight="1">
      <c r="A1088" s="4" t="s">
        <v>2472</v>
      </c>
      <c r="B1088" s="4" t="s">
        <v>13</v>
      </c>
      <c r="D1088" s="4">
        <v>0.11</v>
      </c>
      <c r="E1088" s="4">
        <v>0.11</v>
      </c>
      <c r="F1088" s="4">
        <v>2.03</v>
      </c>
      <c r="G1088" s="4">
        <v>0.11</v>
      </c>
      <c r="H1088" s="4">
        <v>0.11</v>
      </c>
      <c r="K1088" s="6" t="b">
        <f t="shared" ref="K1088:M1088" si="1053">FALSE()</f>
        <v>0</v>
      </c>
      <c r="L1088" s="6" t="b">
        <f t="shared" si="1053"/>
        <v>0</v>
      </c>
      <c r="M1088" s="6" t="b">
        <f t="shared" si="1053"/>
        <v>0</v>
      </c>
      <c r="O1088" s="4">
        <v>1.10856261952128</v>
      </c>
      <c r="T1088" s="4" t="str">
        <f t="shared" si="3"/>
        <v/>
      </c>
      <c r="U1088" s="4" t="str">
        <f t="shared" si="4"/>
        <v/>
      </c>
    </row>
    <row r="1089" ht="15.75" customHeight="1">
      <c r="A1089" s="4" t="s">
        <v>2473</v>
      </c>
      <c r="B1089" s="4" t="s">
        <v>13</v>
      </c>
      <c r="C1089" s="4">
        <v>10.946</v>
      </c>
      <c r="D1089" s="4">
        <v>3.845</v>
      </c>
      <c r="E1089" s="4">
        <v>2.442</v>
      </c>
      <c r="F1089" s="4">
        <v>2.82</v>
      </c>
      <c r="G1089" s="4">
        <v>0.027</v>
      </c>
      <c r="H1089" s="4">
        <v>0.027</v>
      </c>
      <c r="K1089" s="6" t="b">
        <f>TRUE()</f>
        <v>1</v>
      </c>
      <c r="L1089" s="6" t="b">
        <f t="shared" ref="L1089:M1089" si="1054">FALSE()</f>
        <v>0</v>
      </c>
      <c r="M1089" s="6" t="b">
        <f t="shared" si="1054"/>
        <v>0</v>
      </c>
      <c r="N1089" s="4">
        <v>2.48039649431011</v>
      </c>
      <c r="O1089" s="4">
        <v>1.34025042261848</v>
      </c>
      <c r="T1089" s="4">
        <f t="shared" si="3"/>
        <v>38</v>
      </c>
      <c r="U1089" s="4" t="str">
        <f t="shared" si="4"/>
        <v/>
      </c>
    </row>
    <row r="1090" ht="15.75" customHeight="1">
      <c r="A1090" s="4" t="s">
        <v>2474</v>
      </c>
      <c r="B1090" s="4" t="s">
        <v>13</v>
      </c>
      <c r="D1090" s="4">
        <v>0.2</v>
      </c>
      <c r="E1090" s="4">
        <v>0.22</v>
      </c>
      <c r="F1090" s="4">
        <v>3.06</v>
      </c>
      <c r="G1090" s="4">
        <v>0.2</v>
      </c>
      <c r="H1090" s="4">
        <v>0.22</v>
      </c>
      <c r="K1090" s="6" t="b">
        <f t="shared" ref="K1090:M1090" si="1055">FALSE()</f>
        <v>0</v>
      </c>
      <c r="L1090" s="6" t="b">
        <f t="shared" si="1055"/>
        <v>0</v>
      </c>
      <c r="M1090" s="6" t="b">
        <f t="shared" si="1055"/>
        <v>0</v>
      </c>
      <c r="O1090" s="4">
        <v>1.40118297361364</v>
      </c>
      <c r="T1090" s="4" t="str">
        <f t="shared" si="3"/>
        <v/>
      </c>
      <c r="U1090" s="4" t="str">
        <f t="shared" si="4"/>
        <v/>
      </c>
    </row>
    <row r="1091" ht="15.75" customHeight="1">
      <c r="A1091" s="4" t="s">
        <v>2475</v>
      </c>
      <c r="B1091" s="4" t="s">
        <v>13</v>
      </c>
      <c r="D1091" s="4">
        <v>3.61</v>
      </c>
      <c r="E1091" s="4">
        <v>10.0</v>
      </c>
      <c r="F1091" s="4">
        <v>4.85</v>
      </c>
      <c r="G1091" s="4">
        <v>3.61</v>
      </c>
      <c r="H1091" s="4">
        <v>10.0</v>
      </c>
      <c r="K1091" s="6" t="b">
        <f t="shared" ref="K1091:M1091" si="1056">FALSE()</f>
        <v>0</v>
      </c>
      <c r="L1091" s="6" t="b">
        <f t="shared" si="1056"/>
        <v>0</v>
      </c>
      <c r="M1091" s="6" t="b">
        <f t="shared" si="1056"/>
        <v>0</v>
      </c>
      <c r="O1091" s="4">
        <v>1.76644166124377</v>
      </c>
      <c r="T1091" s="4" t="str">
        <f t="shared" si="3"/>
        <v/>
      </c>
      <c r="U1091" s="4" t="str">
        <f t="shared" si="4"/>
        <v/>
      </c>
    </row>
    <row r="1092" ht="15.75" customHeight="1">
      <c r="A1092" s="4" t="s">
        <v>2476</v>
      </c>
      <c r="B1092" s="4" t="s">
        <v>13</v>
      </c>
      <c r="D1092" s="4">
        <v>0.35</v>
      </c>
      <c r="E1092" s="4">
        <v>0.35</v>
      </c>
      <c r="F1092" s="4">
        <v>3.07</v>
      </c>
      <c r="G1092" s="4">
        <v>0.35</v>
      </c>
      <c r="H1092" s="4">
        <v>0.35</v>
      </c>
      <c r="K1092" s="6" t="b">
        <f t="shared" ref="K1092:M1092" si="1057">FALSE()</f>
        <v>0</v>
      </c>
      <c r="L1092" s="6" t="b">
        <f t="shared" si="1057"/>
        <v>0</v>
      </c>
      <c r="M1092" s="6" t="b">
        <f t="shared" si="1057"/>
        <v>0</v>
      </c>
      <c r="O1092" s="4">
        <v>1.4036429994545</v>
      </c>
      <c r="T1092" s="4" t="str">
        <f t="shared" si="3"/>
        <v/>
      </c>
      <c r="U1092" s="4" t="str">
        <f t="shared" si="4"/>
        <v/>
      </c>
    </row>
    <row r="1093" ht="15.75" customHeight="1">
      <c r="A1093" s="4" t="s">
        <v>2477</v>
      </c>
      <c r="B1093" s="4" t="s">
        <v>13</v>
      </c>
      <c r="D1093" s="4">
        <v>0.16</v>
      </c>
      <c r="E1093" s="4">
        <v>0.16</v>
      </c>
      <c r="F1093" s="4">
        <v>1.86</v>
      </c>
      <c r="G1093" s="4">
        <v>0.16</v>
      </c>
      <c r="H1093" s="4">
        <v>0.16</v>
      </c>
      <c r="K1093" s="6" t="b">
        <f t="shared" ref="K1093:M1093" si="1058">FALSE()</f>
        <v>0</v>
      </c>
      <c r="L1093" s="6" t="b">
        <f t="shared" si="1058"/>
        <v>0</v>
      </c>
      <c r="M1093" s="6" t="b">
        <f t="shared" si="1058"/>
        <v>0</v>
      </c>
      <c r="O1093" s="4">
        <v>1.05082162483176</v>
      </c>
      <c r="T1093" s="4" t="str">
        <f t="shared" si="3"/>
        <v/>
      </c>
      <c r="U1093" s="4" t="str">
        <f t="shared" si="4"/>
        <v/>
      </c>
    </row>
    <row r="1094" ht="15.75" customHeight="1">
      <c r="A1094" s="4" t="s">
        <v>2478</v>
      </c>
      <c r="B1094" s="4" t="s">
        <v>13</v>
      </c>
      <c r="D1094" s="4">
        <v>0.16</v>
      </c>
      <c r="E1094" s="4">
        <v>0.16</v>
      </c>
      <c r="F1094" s="4">
        <v>3.04</v>
      </c>
      <c r="G1094" s="4">
        <v>0.16</v>
      </c>
      <c r="H1094" s="4">
        <v>0.16</v>
      </c>
      <c r="K1094" s="6" t="b">
        <f t="shared" ref="K1094:M1094" si="1059">FALSE()</f>
        <v>0</v>
      </c>
      <c r="L1094" s="6" t="b">
        <f t="shared" si="1059"/>
        <v>0</v>
      </c>
      <c r="M1094" s="6" t="b">
        <f t="shared" si="1059"/>
        <v>0</v>
      </c>
      <c r="O1094" s="4">
        <v>1.39624469197306</v>
      </c>
      <c r="T1094" s="4" t="str">
        <f t="shared" si="3"/>
        <v/>
      </c>
      <c r="U1094" s="4" t="str">
        <f t="shared" si="4"/>
        <v/>
      </c>
    </row>
    <row r="1095" ht="15.75" customHeight="1">
      <c r="A1095" s="4" t="s">
        <v>2479</v>
      </c>
      <c r="B1095" s="4" t="s">
        <v>13</v>
      </c>
      <c r="C1095" s="4">
        <v>0.1427</v>
      </c>
      <c r="D1095" s="4">
        <v>0.0928</v>
      </c>
      <c r="F1095" s="4">
        <v>0.0321</v>
      </c>
      <c r="K1095" s="6" t="b">
        <f t="shared" ref="K1095:M1095" si="1060">FALSE()</f>
        <v>0</v>
      </c>
      <c r="L1095" s="6" t="b">
        <f t="shared" si="1060"/>
        <v>0</v>
      </c>
      <c r="M1095" s="6" t="b">
        <f t="shared" si="1060"/>
        <v>0</v>
      </c>
      <c r="N1095" s="4">
        <v>0.133393883170531</v>
      </c>
      <c r="O1095" s="4">
        <v>0.0315955615897505</v>
      </c>
      <c r="T1095" s="4">
        <f t="shared" si="3"/>
        <v>1203</v>
      </c>
      <c r="U1095" s="4" t="str">
        <f t="shared" si="4"/>
        <v/>
      </c>
    </row>
    <row r="1096" ht="15.75" customHeight="1">
      <c r="A1096" s="4" t="s">
        <v>2480</v>
      </c>
      <c r="B1096" s="4" t="s">
        <v>13</v>
      </c>
      <c r="C1096" s="4">
        <v>0.1649</v>
      </c>
      <c r="D1096" s="4">
        <v>0.1072</v>
      </c>
      <c r="F1096" s="4">
        <v>0.0371</v>
      </c>
      <c r="K1096" s="6" t="b">
        <f t="shared" ref="K1096:M1096" si="1061">FALSE()</f>
        <v>0</v>
      </c>
      <c r="L1096" s="6" t="b">
        <f t="shared" si="1061"/>
        <v>0</v>
      </c>
      <c r="M1096" s="6" t="b">
        <f t="shared" si="1061"/>
        <v>0</v>
      </c>
      <c r="N1096" s="4">
        <v>0.152635246423594</v>
      </c>
      <c r="O1096" s="4">
        <v>0.0364283566135514</v>
      </c>
      <c r="T1096" s="4">
        <f t="shared" si="3"/>
        <v>1188</v>
      </c>
      <c r="U1096" s="4" t="str">
        <f t="shared" si="4"/>
        <v/>
      </c>
    </row>
    <row r="1097" ht="15.75" customHeight="1">
      <c r="A1097" s="4" t="s">
        <v>2481</v>
      </c>
      <c r="B1097" s="4" t="s">
        <v>13</v>
      </c>
      <c r="C1097" s="4">
        <v>0.2529</v>
      </c>
      <c r="D1097" s="4">
        <v>0.1644</v>
      </c>
      <c r="F1097" s="4">
        <v>0.0569</v>
      </c>
      <c r="K1097" s="6" t="b">
        <f t="shared" ref="K1097:M1097" si="1062">FALSE()</f>
        <v>0</v>
      </c>
      <c r="L1097" s="6" t="b">
        <f t="shared" si="1062"/>
        <v>0</v>
      </c>
      <c r="M1097" s="6" t="b">
        <f t="shared" si="1062"/>
        <v>0</v>
      </c>
      <c r="N1097" s="4">
        <v>0.22546086426937</v>
      </c>
      <c r="O1097" s="4">
        <v>0.0553400950331645</v>
      </c>
      <c r="T1097" s="4">
        <f t="shared" si="3"/>
        <v>1105</v>
      </c>
      <c r="U1097" s="4" t="str">
        <f t="shared" si="4"/>
        <v/>
      </c>
    </row>
    <row r="1098" ht="15.75" customHeight="1">
      <c r="A1098" s="4" t="s">
        <v>2482</v>
      </c>
      <c r="B1098" s="4" t="s">
        <v>13</v>
      </c>
      <c r="F1098" s="4">
        <v>2.0</v>
      </c>
      <c r="K1098" s="6" t="b">
        <f t="shared" ref="K1098:M1098" si="1063">FALSE()</f>
        <v>0</v>
      </c>
      <c r="L1098" s="6" t="b">
        <f t="shared" si="1063"/>
        <v>0</v>
      </c>
      <c r="M1098" s="6" t="b">
        <f t="shared" si="1063"/>
        <v>0</v>
      </c>
      <c r="O1098" s="4">
        <v>1.09861228866811</v>
      </c>
      <c r="T1098" s="4" t="str">
        <f t="shared" si="3"/>
        <v/>
      </c>
      <c r="U1098" s="4" t="str">
        <f t="shared" si="4"/>
        <v/>
      </c>
    </row>
    <row r="1099" ht="15.75" customHeight="1">
      <c r="A1099" s="4" t="s">
        <v>2483</v>
      </c>
      <c r="B1099" s="4" t="s">
        <v>13</v>
      </c>
      <c r="D1099" s="4">
        <v>0.023</v>
      </c>
      <c r="E1099" s="4">
        <v>0.023</v>
      </c>
      <c r="F1099" s="4">
        <v>0.29</v>
      </c>
      <c r="G1099" s="4">
        <v>0.023</v>
      </c>
      <c r="H1099" s="4">
        <v>0.023</v>
      </c>
      <c r="K1099" s="6" t="b">
        <f t="shared" ref="K1099:M1099" si="1064">FALSE()</f>
        <v>0</v>
      </c>
      <c r="L1099" s="6" t="b">
        <f t="shared" si="1064"/>
        <v>0</v>
      </c>
      <c r="M1099" s="6" t="b">
        <f t="shared" si="1064"/>
        <v>0</v>
      </c>
      <c r="O1099" s="4">
        <v>0.254642218373581</v>
      </c>
      <c r="T1099" s="4" t="str">
        <f t="shared" si="3"/>
        <v/>
      </c>
      <c r="U1099" s="4" t="str">
        <f t="shared" si="4"/>
        <v/>
      </c>
    </row>
    <row r="1100" ht="15.75" customHeight="1">
      <c r="A1100" s="4" t="s">
        <v>2484</v>
      </c>
      <c r="B1100" s="4" t="s">
        <v>13</v>
      </c>
      <c r="D1100" s="4">
        <v>0.08</v>
      </c>
      <c r="E1100" s="4">
        <v>0.08</v>
      </c>
      <c r="F1100" s="4">
        <v>1.768</v>
      </c>
      <c r="G1100" s="4">
        <v>0.08</v>
      </c>
      <c r="H1100" s="4">
        <v>0.08</v>
      </c>
      <c r="I1100" s="4">
        <v>1.218</v>
      </c>
      <c r="K1100" s="6" t="b">
        <f t="shared" ref="K1100:L1100" si="1065">FALSE()</f>
        <v>0</v>
      </c>
      <c r="L1100" s="6" t="b">
        <f t="shared" si="1065"/>
        <v>0</v>
      </c>
      <c r="M1100" s="6" t="b">
        <f>TRUE()</f>
        <v>1</v>
      </c>
      <c r="O1100" s="4">
        <v>1.01812503775542</v>
      </c>
      <c r="P1100" s="4">
        <v>0.796605888928175</v>
      </c>
      <c r="T1100" s="4" t="str">
        <f t="shared" si="3"/>
        <v/>
      </c>
      <c r="U1100" s="4">
        <f t="shared" si="4"/>
        <v>354</v>
      </c>
    </row>
    <row r="1101" ht="15.75" customHeight="1">
      <c r="A1101" s="4" t="s">
        <v>2485</v>
      </c>
      <c r="B1101" s="4" t="s">
        <v>13</v>
      </c>
      <c r="C1101" s="4">
        <v>2.988</v>
      </c>
      <c r="D1101" s="4">
        <v>0.098</v>
      </c>
      <c r="E1101" s="4">
        <v>2.586</v>
      </c>
      <c r="F1101" s="4">
        <v>3.15</v>
      </c>
      <c r="G1101" s="4">
        <v>0.14</v>
      </c>
      <c r="H1101" s="4">
        <v>0.14</v>
      </c>
      <c r="K1101" s="6" t="b">
        <f t="shared" ref="K1101:M1101" si="1066">FALSE()</f>
        <v>0</v>
      </c>
      <c r="L1101" s="6" t="b">
        <f t="shared" si="1066"/>
        <v>0</v>
      </c>
      <c r="M1101" s="6" t="b">
        <f t="shared" si="1066"/>
        <v>0</v>
      </c>
      <c r="N1101" s="4">
        <v>1.38328985209959</v>
      </c>
      <c r="O1101" s="4">
        <v>1.42310833424261</v>
      </c>
      <c r="T1101" s="4">
        <f t="shared" si="3"/>
        <v>324</v>
      </c>
      <c r="U1101" s="4" t="str">
        <f t="shared" si="4"/>
        <v/>
      </c>
    </row>
    <row r="1102" ht="15.75" customHeight="1">
      <c r="A1102" s="4" t="s">
        <v>2486</v>
      </c>
      <c r="B1102" s="4" t="s">
        <v>13</v>
      </c>
      <c r="D1102" s="4">
        <v>0.475</v>
      </c>
      <c r="E1102" s="4">
        <v>0.452</v>
      </c>
      <c r="F1102" s="4">
        <v>5.468</v>
      </c>
      <c r="G1102" s="4">
        <v>0.475</v>
      </c>
      <c r="H1102" s="4">
        <v>0.452</v>
      </c>
      <c r="K1102" s="6" t="b">
        <f t="shared" ref="K1102:M1102" si="1067">FALSE()</f>
        <v>0</v>
      </c>
      <c r="L1102" s="6" t="b">
        <f t="shared" si="1067"/>
        <v>0</v>
      </c>
      <c r="M1102" s="6" t="b">
        <f t="shared" si="1067"/>
        <v>0</v>
      </c>
      <c r="O1102" s="4">
        <v>1.86686694171486</v>
      </c>
      <c r="T1102" s="4" t="str">
        <f t="shared" si="3"/>
        <v/>
      </c>
      <c r="U1102" s="4" t="str">
        <f t="shared" si="4"/>
        <v/>
      </c>
    </row>
    <row r="1103" ht="15.75" customHeight="1">
      <c r="A1103" s="4" t="s">
        <v>2487</v>
      </c>
      <c r="B1103" s="4" t="s">
        <v>13</v>
      </c>
      <c r="C1103" s="4">
        <v>4.158</v>
      </c>
      <c r="D1103" s="4">
        <v>0.519</v>
      </c>
      <c r="E1103" s="4">
        <v>0.681</v>
      </c>
      <c r="F1103" s="4">
        <v>3.06</v>
      </c>
      <c r="G1103" s="4">
        <v>0.07</v>
      </c>
      <c r="H1103" s="4">
        <v>0.07</v>
      </c>
      <c r="K1103" s="6" t="b">
        <f t="shared" ref="K1103:K1104" si="1069">TRUE()</f>
        <v>1</v>
      </c>
      <c r="L1103" s="6" t="b">
        <f t="shared" ref="L1103:M1103" si="1068">FALSE()</f>
        <v>0</v>
      </c>
      <c r="M1103" s="6" t="b">
        <f t="shared" si="1068"/>
        <v>0</v>
      </c>
      <c r="N1103" s="4">
        <v>1.64054890745915</v>
      </c>
      <c r="O1103" s="4">
        <v>1.40118297361364</v>
      </c>
      <c r="T1103" s="4">
        <f t="shared" si="3"/>
        <v>250</v>
      </c>
      <c r="U1103" s="4" t="str">
        <f t="shared" si="4"/>
        <v/>
      </c>
    </row>
    <row r="1104" ht="15.75" customHeight="1">
      <c r="A1104" s="4" t="s">
        <v>2488</v>
      </c>
      <c r="B1104" s="4" t="s">
        <v>13</v>
      </c>
      <c r="C1104" s="4">
        <v>5.131</v>
      </c>
      <c r="D1104" s="4">
        <v>0.282</v>
      </c>
      <c r="E1104" s="4">
        <v>0.912</v>
      </c>
      <c r="K1104" s="6" t="b">
        <f t="shared" si="1069"/>
        <v>1</v>
      </c>
      <c r="L1104" s="6" t="b">
        <f t="shared" ref="L1104:M1104" si="1070">FALSE()</f>
        <v>0</v>
      </c>
      <c r="M1104" s="6" t="b">
        <f t="shared" si="1070"/>
        <v>0</v>
      </c>
      <c r="N1104" s="4">
        <v>1.81335786878055</v>
      </c>
      <c r="T1104" s="4">
        <f t="shared" si="3"/>
        <v>206</v>
      </c>
      <c r="U1104" s="4" t="str">
        <f t="shared" si="4"/>
        <v/>
      </c>
    </row>
    <row r="1105" ht="15.75" customHeight="1">
      <c r="A1105" s="4" t="s">
        <v>451</v>
      </c>
      <c r="B1105" s="4" t="s">
        <v>13</v>
      </c>
      <c r="C1105" s="4">
        <v>0.039</v>
      </c>
      <c r="D1105" s="4">
        <v>0.039</v>
      </c>
      <c r="E1105" s="4">
        <v>0.0</v>
      </c>
      <c r="I1105" s="4">
        <v>0.256</v>
      </c>
      <c r="J1105" s="4">
        <v>0.0152</v>
      </c>
      <c r="K1105" s="6" t="b">
        <f t="shared" ref="K1105:M1105" si="1071">FALSE()</f>
        <v>0</v>
      </c>
      <c r="L1105" s="6" t="b">
        <f t="shared" si="1071"/>
        <v>0</v>
      </c>
      <c r="M1105" s="6" t="b">
        <f t="shared" si="1071"/>
        <v>0</v>
      </c>
      <c r="N1105" s="4">
        <v>0.0382587121170903</v>
      </c>
      <c r="P1105" s="4">
        <v>0.227932068046007</v>
      </c>
      <c r="T1105" s="4">
        <f t="shared" si="3"/>
        <v>1457</v>
      </c>
      <c r="U1105" s="4">
        <f t="shared" si="4"/>
        <v>1726</v>
      </c>
    </row>
    <row r="1106" ht="15.75" customHeight="1">
      <c r="A1106" s="4" t="s">
        <v>2489</v>
      </c>
      <c r="B1106" s="4" t="s">
        <v>13</v>
      </c>
      <c r="D1106" s="4">
        <v>0.041</v>
      </c>
      <c r="E1106" s="4">
        <v>0.041</v>
      </c>
      <c r="F1106" s="4">
        <v>0.3659</v>
      </c>
      <c r="G1106" s="4">
        <v>0.041</v>
      </c>
      <c r="H1106" s="4">
        <v>0.041</v>
      </c>
      <c r="K1106" s="6" t="b">
        <f t="shared" ref="K1106:M1106" si="1072">FALSE()</f>
        <v>0</v>
      </c>
      <c r="L1106" s="6" t="b">
        <f t="shared" si="1072"/>
        <v>0</v>
      </c>
      <c r="M1106" s="6" t="b">
        <f t="shared" si="1072"/>
        <v>0</v>
      </c>
      <c r="O1106" s="4">
        <v>0.311813552026709</v>
      </c>
      <c r="T1106" s="4" t="str">
        <f t="shared" si="3"/>
        <v/>
      </c>
      <c r="U1106" s="4" t="str">
        <f t="shared" si="4"/>
        <v/>
      </c>
    </row>
    <row r="1107" ht="15.75" customHeight="1">
      <c r="A1107" s="4" t="s">
        <v>2490</v>
      </c>
      <c r="B1107" s="4" t="s">
        <v>13</v>
      </c>
      <c r="C1107" s="4">
        <v>2.55</v>
      </c>
      <c r="D1107" s="4">
        <v>0.46</v>
      </c>
      <c r="E1107" s="4">
        <v>0.56</v>
      </c>
      <c r="K1107" s="6" t="b">
        <f t="shared" ref="K1107:M1107" si="1073">FALSE()</f>
        <v>0</v>
      </c>
      <c r="L1107" s="6" t="b">
        <f t="shared" si="1073"/>
        <v>0</v>
      </c>
      <c r="M1107" s="6" t="b">
        <f t="shared" si="1073"/>
        <v>0</v>
      </c>
      <c r="N1107" s="4">
        <v>1.26694760348732</v>
      </c>
      <c r="T1107" s="4">
        <f t="shared" si="3"/>
        <v>364</v>
      </c>
      <c r="U1107" s="4" t="str">
        <f t="shared" si="4"/>
        <v/>
      </c>
    </row>
    <row r="1108" ht="15.75" customHeight="1">
      <c r="A1108" s="4" t="s">
        <v>2491</v>
      </c>
      <c r="B1108" s="4" t="s">
        <v>13</v>
      </c>
      <c r="D1108" s="4">
        <v>0.12</v>
      </c>
      <c r="E1108" s="4">
        <v>0.12</v>
      </c>
      <c r="F1108" s="4">
        <v>2.25</v>
      </c>
      <c r="G1108" s="4">
        <v>0.12</v>
      </c>
      <c r="H1108" s="4">
        <v>0.12</v>
      </c>
      <c r="K1108" s="6" t="b">
        <f t="shared" ref="K1108:M1108" si="1074">FALSE()</f>
        <v>0</v>
      </c>
      <c r="L1108" s="6" t="b">
        <f t="shared" si="1074"/>
        <v>0</v>
      </c>
      <c r="M1108" s="6" t="b">
        <f t="shared" si="1074"/>
        <v>0</v>
      </c>
      <c r="O1108" s="4">
        <v>1.17865499634165</v>
      </c>
      <c r="T1108" s="4" t="str">
        <f t="shared" si="3"/>
        <v/>
      </c>
      <c r="U1108" s="4" t="str">
        <f t="shared" si="4"/>
        <v/>
      </c>
    </row>
    <row r="1109" ht="15.75" customHeight="1">
      <c r="A1109" s="4" t="s">
        <v>2492</v>
      </c>
      <c r="B1109" s="4" t="s">
        <v>13</v>
      </c>
      <c r="D1109" s="4">
        <v>0.13</v>
      </c>
      <c r="E1109" s="4">
        <v>0.13</v>
      </c>
      <c r="F1109" s="4">
        <v>2.25</v>
      </c>
      <c r="G1109" s="4">
        <v>0.13</v>
      </c>
      <c r="H1109" s="4">
        <v>0.13</v>
      </c>
      <c r="K1109" s="6" t="b">
        <f t="shared" ref="K1109:M1109" si="1075">FALSE()</f>
        <v>0</v>
      </c>
      <c r="L1109" s="6" t="b">
        <f t="shared" si="1075"/>
        <v>0</v>
      </c>
      <c r="M1109" s="6" t="b">
        <f t="shared" si="1075"/>
        <v>0</v>
      </c>
      <c r="O1109" s="4">
        <v>1.17865499634165</v>
      </c>
      <c r="T1109" s="4" t="str">
        <f t="shared" si="3"/>
        <v/>
      </c>
      <c r="U1109" s="4" t="str">
        <f t="shared" si="4"/>
        <v/>
      </c>
    </row>
    <row r="1110" ht="15.75" customHeight="1">
      <c r="A1110" s="4" t="s">
        <v>2493</v>
      </c>
      <c r="B1110" s="4" t="s">
        <v>13</v>
      </c>
      <c r="F1110" s="4">
        <v>1.15</v>
      </c>
      <c r="K1110" s="6" t="b">
        <f t="shared" ref="K1110:M1110" si="1076">FALSE()</f>
        <v>0</v>
      </c>
      <c r="L1110" s="6" t="b">
        <f t="shared" si="1076"/>
        <v>0</v>
      </c>
      <c r="M1110" s="6" t="b">
        <f t="shared" si="1076"/>
        <v>0</v>
      </c>
      <c r="O1110" s="4">
        <v>0.765467842139571</v>
      </c>
      <c r="T1110" s="4" t="str">
        <f t="shared" si="3"/>
        <v/>
      </c>
      <c r="U1110" s="4" t="str">
        <f t="shared" si="4"/>
        <v/>
      </c>
    </row>
    <row r="1111" ht="15.75" customHeight="1">
      <c r="A1111" s="4" t="s">
        <v>452</v>
      </c>
      <c r="B1111" s="4" t="s">
        <v>13</v>
      </c>
      <c r="C1111" s="4">
        <v>0.0321</v>
      </c>
      <c r="D1111" s="4">
        <v>0.0098</v>
      </c>
      <c r="E1111" s="4">
        <v>0.0107</v>
      </c>
      <c r="I1111" s="4">
        <v>0.2489</v>
      </c>
      <c r="J1111" s="4">
        <v>0.009</v>
      </c>
      <c r="K1111" s="6" t="b">
        <f t="shared" ref="K1111:M1111" si="1077">FALSE()</f>
        <v>0</v>
      </c>
      <c r="L1111" s="6" t="b">
        <f t="shared" si="1077"/>
        <v>0</v>
      </c>
      <c r="M1111" s="6" t="b">
        <f t="shared" si="1077"/>
        <v>0</v>
      </c>
      <c r="N1111" s="4">
        <v>0.0315955615897505</v>
      </c>
      <c r="P1111" s="4">
        <v>0.222263163886902</v>
      </c>
      <c r="T1111" s="4">
        <f t="shared" si="3"/>
        <v>1523</v>
      </c>
      <c r="U1111" s="4">
        <f t="shared" si="4"/>
        <v>1827</v>
      </c>
    </row>
    <row r="1112" ht="15.75" customHeight="1">
      <c r="A1112" s="4" t="s">
        <v>453</v>
      </c>
      <c r="B1112" s="4" t="s">
        <v>13</v>
      </c>
      <c r="C1112" s="4">
        <v>0.0302</v>
      </c>
      <c r="D1112" s="4">
        <v>0.0057</v>
      </c>
      <c r="E1112" s="4">
        <v>0.0057</v>
      </c>
      <c r="I1112" s="4">
        <v>0.2436</v>
      </c>
      <c r="J1112" s="4">
        <v>0.0107</v>
      </c>
      <c r="K1112" s="6" t="b">
        <f t="shared" ref="K1112:M1112" si="1078">FALSE()</f>
        <v>0</v>
      </c>
      <c r="L1112" s="6" t="b">
        <f t="shared" si="1078"/>
        <v>0</v>
      </c>
      <c r="M1112" s="6" t="b">
        <f t="shared" si="1078"/>
        <v>0</v>
      </c>
      <c r="N1112" s="4">
        <v>0.0297529581493477</v>
      </c>
      <c r="P1112" s="4">
        <v>0.218010399202462</v>
      </c>
      <c r="T1112" s="4">
        <f t="shared" si="3"/>
        <v>1550</v>
      </c>
      <c r="U1112" s="4">
        <f t="shared" si="4"/>
        <v>1897</v>
      </c>
    </row>
    <row r="1113" ht="15.75" customHeight="1">
      <c r="A1113" s="4" t="s">
        <v>2494</v>
      </c>
      <c r="B1113" s="4" t="s">
        <v>13</v>
      </c>
      <c r="D1113" s="4">
        <v>0.02</v>
      </c>
      <c r="E1113" s="4">
        <v>0.02</v>
      </c>
      <c r="F1113" s="4">
        <v>1.778</v>
      </c>
      <c r="G1113" s="4">
        <v>0.02</v>
      </c>
      <c r="H1113" s="4">
        <v>0.02</v>
      </c>
      <c r="K1113" s="6" t="b">
        <f t="shared" ref="K1113:M1113" si="1079">FALSE()</f>
        <v>0</v>
      </c>
      <c r="L1113" s="6" t="b">
        <f t="shared" si="1079"/>
        <v>0</v>
      </c>
      <c r="M1113" s="6" t="b">
        <f t="shared" si="1079"/>
        <v>0</v>
      </c>
      <c r="O1113" s="4">
        <v>1.02173124433215</v>
      </c>
      <c r="T1113" s="4" t="str">
        <f t="shared" si="3"/>
        <v/>
      </c>
      <c r="U1113" s="4" t="str">
        <f t="shared" si="4"/>
        <v/>
      </c>
    </row>
    <row r="1114" ht="15.75" customHeight="1">
      <c r="A1114" s="4" t="s">
        <v>2495</v>
      </c>
      <c r="B1114" s="4" t="s">
        <v>13</v>
      </c>
      <c r="D1114" s="4">
        <v>0.095</v>
      </c>
      <c r="E1114" s="4">
        <v>0.095</v>
      </c>
      <c r="F1114" s="4">
        <v>7.997</v>
      </c>
      <c r="G1114" s="4">
        <v>0.095</v>
      </c>
      <c r="H1114" s="4">
        <v>0.095</v>
      </c>
      <c r="K1114" s="6" t="b">
        <f>FALSE()</f>
        <v>0</v>
      </c>
      <c r="L1114" s="6" t="b">
        <f>TRUE()</f>
        <v>1</v>
      </c>
      <c r="M1114" s="6" t="b">
        <f>FALSE()</f>
        <v>0</v>
      </c>
      <c r="O1114" s="4">
        <v>2.19689118843498</v>
      </c>
      <c r="T1114" s="4" t="str">
        <f t="shared" si="3"/>
        <v/>
      </c>
      <c r="U1114" s="4" t="str">
        <f t="shared" si="4"/>
        <v/>
      </c>
    </row>
    <row r="1115" ht="15.75" customHeight="1">
      <c r="A1115" s="4" t="s">
        <v>2496</v>
      </c>
      <c r="B1115" s="4" t="s">
        <v>13</v>
      </c>
      <c r="C1115" s="4">
        <v>8.174</v>
      </c>
      <c r="D1115" s="4">
        <v>2.699</v>
      </c>
      <c r="E1115" s="4">
        <v>3.055</v>
      </c>
      <c r="F1115" s="4">
        <v>0.508</v>
      </c>
      <c r="G1115" s="4">
        <v>0.111</v>
      </c>
      <c r="H1115" s="4">
        <v>0.111</v>
      </c>
      <c r="K1115" s="6" t="b">
        <f>TRUE()</f>
        <v>1</v>
      </c>
      <c r="L1115" s="6" t="b">
        <f t="shared" ref="L1115:M1115" si="1080">FALSE()</f>
        <v>0</v>
      </c>
      <c r="M1115" s="6" t="b">
        <f t="shared" si="1080"/>
        <v>0</v>
      </c>
      <c r="N1115" s="4">
        <v>2.21637339617498</v>
      </c>
      <c r="O1115" s="4">
        <v>0.410784269585764</v>
      </c>
      <c r="T1115" s="4">
        <f t="shared" si="3"/>
        <v>103</v>
      </c>
      <c r="U1115" s="4" t="str">
        <f t="shared" si="4"/>
        <v/>
      </c>
    </row>
    <row r="1116" ht="15.75" customHeight="1">
      <c r="A1116" s="4" t="s">
        <v>2497</v>
      </c>
      <c r="B1116" s="4" t="s">
        <v>13</v>
      </c>
      <c r="D1116" s="4">
        <v>0.007</v>
      </c>
      <c r="E1116" s="4">
        <v>0.007</v>
      </c>
      <c r="F1116" s="4">
        <v>0.053</v>
      </c>
      <c r="G1116" s="4">
        <v>0.007</v>
      </c>
      <c r="H1116" s="4">
        <v>0.007</v>
      </c>
      <c r="K1116" s="6" t="b">
        <f t="shared" ref="K1116:M1116" si="1081">FALSE()</f>
        <v>0</v>
      </c>
      <c r="L1116" s="6" t="b">
        <f t="shared" si="1081"/>
        <v>0</v>
      </c>
      <c r="M1116" s="6" t="b">
        <f t="shared" si="1081"/>
        <v>0</v>
      </c>
      <c r="O1116" s="4">
        <v>0.0516432331518384</v>
      </c>
      <c r="T1116" s="4" t="str">
        <f t="shared" si="3"/>
        <v/>
      </c>
      <c r="U1116" s="4" t="str">
        <f t="shared" si="4"/>
        <v/>
      </c>
    </row>
    <row r="1117" ht="15.75" customHeight="1">
      <c r="A1117" s="4" t="s">
        <v>2498</v>
      </c>
      <c r="B1117" s="4" t="s">
        <v>13</v>
      </c>
      <c r="D1117" s="4">
        <v>0.006</v>
      </c>
      <c r="E1117" s="4">
        <v>0.006</v>
      </c>
      <c r="F1117" s="4">
        <v>0.072</v>
      </c>
      <c r="G1117" s="4">
        <v>0.006</v>
      </c>
      <c r="H1117" s="4">
        <v>0.006</v>
      </c>
      <c r="K1117" s="6" t="b">
        <f t="shared" ref="K1117:M1117" si="1082">FALSE()</f>
        <v>0</v>
      </c>
      <c r="L1117" s="6" t="b">
        <f t="shared" si="1082"/>
        <v>0</v>
      </c>
      <c r="M1117" s="6" t="b">
        <f t="shared" si="1082"/>
        <v>0</v>
      </c>
      <c r="O1117" s="4">
        <v>0.0695260626486102</v>
      </c>
      <c r="T1117" s="4" t="str">
        <f t="shared" si="3"/>
        <v/>
      </c>
      <c r="U1117" s="4" t="str">
        <f t="shared" si="4"/>
        <v/>
      </c>
    </row>
    <row r="1118" ht="15.75" customHeight="1">
      <c r="A1118" s="4" t="s">
        <v>2499</v>
      </c>
      <c r="B1118" s="4" t="s">
        <v>13</v>
      </c>
      <c r="D1118" s="4">
        <v>0.06</v>
      </c>
      <c r="E1118" s="4">
        <v>0.06</v>
      </c>
      <c r="F1118" s="4">
        <v>0.4</v>
      </c>
      <c r="G1118" s="4">
        <v>0.06</v>
      </c>
      <c r="H1118" s="4">
        <v>0.06</v>
      </c>
      <c r="K1118" s="6" t="b">
        <f t="shared" ref="K1118:M1118" si="1083">FALSE()</f>
        <v>0</v>
      </c>
      <c r="L1118" s="6" t="b">
        <f t="shared" si="1083"/>
        <v>0</v>
      </c>
      <c r="M1118" s="6" t="b">
        <f t="shared" si="1083"/>
        <v>0</v>
      </c>
      <c r="O1118" s="4">
        <v>0.336472236621213</v>
      </c>
      <c r="T1118" s="4" t="str">
        <f t="shared" si="3"/>
        <v/>
      </c>
      <c r="U1118" s="4" t="str">
        <f t="shared" si="4"/>
        <v/>
      </c>
    </row>
    <row r="1119" ht="15.75" customHeight="1">
      <c r="A1119" s="4" t="s">
        <v>2500</v>
      </c>
      <c r="B1119" s="4" t="s">
        <v>13</v>
      </c>
      <c r="F1119" s="4">
        <v>0.47</v>
      </c>
      <c r="I1119" s="4">
        <v>1.03</v>
      </c>
      <c r="K1119" s="6" t="b">
        <f t="shared" ref="K1119:L1119" si="1084">FALSE()</f>
        <v>0</v>
      </c>
      <c r="L1119" s="6" t="b">
        <f t="shared" si="1084"/>
        <v>0</v>
      </c>
      <c r="M1119" s="6" t="b">
        <f>TRUE()</f>
        <v>1</v>
      </c>
      <c r="O1119" s="4">
        <v>0.385262400790645</v>
      </c>
      <c r="P1119" s="4">
        <v>0.708035793053696</v>
      </c>
      <c r="T1119" s="4" t="str">
        <f t="shared" si="3"/>
        <v/>
      </c>
      <c r="U1119" s="4">
        <f t="shared" si="4"/>
        <v>626</v>
      </c>
    </row>
    <row r="1120" ht="15.75" customHeight="1">
      <c r="A1120" s="4" t="s">
        <v>2501</v>
      </c>
      <c r="B1120" s="4" t="s">
        <v>13</v>
      </c>
      <c r="C1120" s="4">
        <v>5.4</v>
      </c>
      <c r="D1120" s="4">
        <v>0.5</v>
      </c>
      <c r="E1120" s="4">
        <v>0.5</v>
      </c>
      <c r="K1120" s="6" t="b">
        <f>TRUE()</f>
        <v>1</v>
      </c>
      <c r="L1120" s="6" t="b">
        <f t="shared" ref="L1120:M1120" si="1085">FALSE()</f>
        <v>0</v>
      </c>
      <c r="M1120" s="6" t="b">
        <f t="shared" si="1085"/>
        <v>0</v>
      </c>
      <c r="N1120" s="4">
        <v>1.85629799036563</v>
      </c>
      <c r="T1120" s="4">
        <f t="shared" si="3"/>
        <v>196</v>
      </c>
      <c r="U1120" s="4" t="str">
        <f t="shared" si="4"/>
        <v/>
      </c>
    </row>
    <row r="1121" ht="15.75" customHeight="1">
      <c r="A1121" s="4" t="s">
        <v>2502</v>
      </c>
      <c r="B1121" s="4" t="s">
        <v>13</v>
      </c>
      <c r="D1121" s="4">
        <v>0.3</v>
      </c>
      <c r="E1121" s="4">
        <v>0.3</v>
      </c>
      <c r="F1121" s="4">
        <v>1.15</v>
      </c>
      <c r="G1121" s="4">
        <v>0.3</v>
      </c>
      <c r="H1121" s="4">
        <v>0.3</v>
      </c>
      <c r="K1121" s="6" t="b">
        <f t="shared" ref="K1121:M1121" si="1086">FALSE()</f>
        <v>0</v>
      </c>
      <c r="L1121" s="6" t="b">
        <f t="shared" si="1086"/>
        <v>0</v>
      </c>
      <c r="M1121" s="6" t="b">
        <f t="shared" si="1086"/>
        <v>0</v>
      </c>
      <c r="O1121" s="4">
        <v>0.765467842139571</v>
      </c>
      <c r="T1121" s="4" t="str">
        <f t="shared" si="3"/>
        <v/>
      </c>
      <c r="U1121" s="4" t="str">
        <f t="shared" si="4"/>
        <v/>
      </c>
    </row>
    <row r="1122" ht="15.75" customHeight="1">
      <c r="A1122" s="4" t="s">
        <v>2503</v>
      </c>
      <c r="B1122" s="4" t="s">
        <v>13</v>
      </c>
      <c r="D1122" s="4">
        <v>1.2</v>
      </c>
      <c r="E1122" s="4">
        <v>1.2</v>
      </c>
      <c r="F1122" s="4">
        <v>5.6</v>
      </c>
      <c r="G1122" s="4">
        <v>1.2</v>
      </c>
      <c r="H1122" s="4">
        <v>1.2</v>
      </c>
      <c r="K1122" s="6" t="b">
        <f t="shared" ref="K1122:M1122" si="1087">FALSE()</f>
        <v>0</v>
      </c>
      <c r="L1122" s="6" t="b">
        <f t="shared" si="1087"/>
        <v>0</v>
      </c>
      <c r="M1122" s="6" t="b">
        <f t="shared" si="1087"/>
        <v>0</v>
      </c>
      <c r="O1122" s="4">
        <v>1.88706964903238</v>
      </c>
      <c r="T1122" s="4" t="str">
        <f t="shared" si="3"/>
        <v/>
      </c>
      <c r="U1122" s="4" t="str">
        <f t="shared" si="4"/>
        <v/>
      </c>
    </row>
    <row r="1123" ht="15.75" customHeight="1">
      <c r="A1123" s="4" t="s">
        <v>2504</v>
      </c>
      <c r="B1123" s="4" t="s">
        <v>13</v>
      </c>
      <c r="F1123" s="4">
        <v>2.51</v>
      </c>
      <c r="K1123" s="6" t="b">
        <f t="shared" ref="K1123:M1123" si="1088">FALSE()</f>
        <v>0</v>
      </c>
      <c r="L1123" s="6" t="b">
        <f t="shared" si="1088"/>
        <v>0</v>
      </c>
      <c r="M1123" s="6" t="b">
        <f t="shared" si="1088"/>
        <v>0</v>
      </c>
      <c r="O1123" s="4">
        <v>1.25561603747778</v>
      </c>
      <c r="T1123" s="4" t="str">
        <f t="shared" si="3"/>
        <v/>
      </c>
      <c r="U1123" s="4" t="str">
        <f t="shared" si="4"/>
        <v/>
      </c>
    </row>
    <row r="1124" ht="15.75" customHeight="1">
      <c r="A1124" s="4" t="s">
        <v>2505</v>
      </c>
      <c r="B1124" s="4" t="s">
        <v>13</v>
      </c>
      <c r="C1124" s="4">
        <v>8.49</v>
      </c>
      <c r="D1124" s="4">
        <v>0.65</v>
      </c>
      <c r="E1124" s="4">
        <v>0.65</v>
      </c>
      <c r="K1124" s="6" t="b">
        <f>TRUE()</f>
        <v>1</v>
      </c>
      <c r="L1124" s="6" t="b">
        <f t="shared" ref="L1124:M1124" si="1089">FALSE()</f>
        <v>0</v>
      </c>
      <c r="M1124" s="6" t="b">
        <f t="shared" si="1089"/>
        <v>0</v>
      </c>
      <c r="N1124" s="4">
        <v>2.25023861262184</v>
      </c>
      <c r="T1124" s="4">
        <f t="shared" si="3"/>
        <v>93</v>
      </c>
      <c r="U1124" s="4" t="str">
        <f t="shared" si="4"/>
        <v/>
      </c>
    </row>
    <row r="1125" ht="15.75" customHeight="1">
      <c r="A1125" s="4" t="s">
        <v>2506</v>
      </c>
      <c r="B1125" s="4" t="s">
        <v>13</v>
      </c>
      <c r="F1125" s="4">
        <v>0.23</v>
      </c>
      <c r="I1125" s="4">
        <v>0.99</v>
      </c>
      <c r="K1125" s="6" t="b">
        <f t="shared" ref="K1125:L1125" si="1090">FALSE()</f>
        <v>0</v>
      </c>
      <c r="L1125" s="6" t="b">
        <f t="shared" si="1090"/>
        <v>0</v>
      </c>
      <c r="M1125" s="6" t="b">
        <f>TRUE()</f>
        <v>1</v>
      </c>
      <c r="O1125" s="4">
        <v>0.207014169384326</v>
      </c>
      <c r="P1125" s="4">
        <v>0.688134638736401</v>
      </c>
      <c r="T1125" s="4" t="str">
        <f t="shared" si="3"/>
        <v/>
      </c>
      <c r="U1125" s="4">
        <f t="shared" si="4"/>
        <v>685</v>
      </c>
    </row>
    <row r="1126" ht="15.75" customHeight="1">
      <c r="A1126" s="4" t="s">
        <v>2507</v>
      </c>
      <c r="B1126" s="4" t="s">
        <v>13</v>
      </c>
      <c r="D1126" s="4">
        <v>0.43</v>
      </c>
      <c r="E1126" s="4">
        <v>0.41</v>
      </c>
      <c r="F1126" s="4">
        <v>3.13</v>
      </c>
      <c r="G1126" s="4">
        <v>0.43</v>
      </c>
      <c r="H1126" s="4">
        <v>0.41</v>
      </c>
      <c r="K1126" s="6" t="b">
        <f t="shared" ref="K1126:M1126" si="1091">FALSE()</f>
        <v>0</v>
      </c>
      <c r="L1126" s="6" t="b">
        <f t="shared" si="1091"/>
        <v>0</v>
      </c>
      <c r="M1126" s="6" t="b">
        <f t="shared" si="1091"/>
        <v>0</v>
      </c>
      <c r="O1126" s="4">
        <v>1.41827740697294</v>
      </c>
      <c r="T1126" s="4" t="str">
        <f t="shared" si="3"/>
        <v/>
      </c>
      <c r="U1126" s="4" t="str">
        <f t="shared" si="4"/>
        <v/>
      </c>
    </row>
    <row r="1127" ht="15.75" customHeight="1">
      <c r="A1127" s="4" t="s">
        <v>2508</v>
      </c>
      <c r="B1127" s="4" t="s">
        <v>13</v>
      </c>
      <c r="D1127" s="4">
        <v>0.0135</v>
      </c>
      <c r="E1127" s="4">
        <v>0.0148</v>
      </c>
      <c r="F1127" s="4">
        <v>0.05</v>
      </c>
      <c r="G1127" s="4">
        <v>0.0135</v>
      </c>
      <c r="H1127" s="4">
        <v>0.0148</v>
      </c>
      <c r="K1127" s="6" t="b">
        <f t="shared" ref="K1127:M1127" si="1092">FALSE()</f>
        <v>0</v>
      </c>
      <c r="L1127" s="6" t="b">
        <f t="shared" si="1092"/>
        <v>0</v>
      </c>
      <c r="M1127" s="6" t="b">
        <f t="shared" si="1092"/>
        <v>0</v>
      </c>
      <c r="O1127" s="4">
        <v>0.048790164169432</v>
      </c>
      <c r="T1127" s="4" t="str">
        <f t="shared" si="3"/>
        <v/>
      </c>
      <c r="U1127" s="4" t="str">
        <f t="shared" si="4"/>
        <v/>
      </c>
    </row>
    <row r="1128" ht="15.75" customHeight="1">
      <c r="A1128" s="4" t="s">
        <v>2509</v>
      </c>
      <c r="B1128" s="4" t="s">
        <v>13</v>
      </c>
      <c r="D1128" s="4">
        <v>0.16</v>
      </c>
      <c r="E1128" s="4">
        <v>0.06</v>
      </c>
      <c r="F1128" s="4">
        <v>0.64</v>
      </c>
      <c r="G1128" s="4">
        <v>0.16</v>
      </c>
      <c r="H1128" s="4">
        <v>0.06</v>
      </c>
      <c r="K1128" s="6" t="b">
        <f t="shared" ref="K1128:M1128" si="1093">FALSE()</f>
        <v>0</v>
      </c>
      <c r="L1128" s="6" t="b">
        <f t="shared" si="1093"/>
        <v>0</v>
      </c>
      <c r="M1128" s="6" t="b">
        <f t="shared" si="1093"/>
        <v>0</v>
      </c>
      <c r="O1128" s="4">
        <v>0.494696241836107</v>
      </c>
      <c r="T1128" s="4" t="str">
        <f t="shared" si="3"/>
        <v/>
      </c>
      <c r="U1128" s="4" t="str">
        <f t="shared" si="4"/>
        <v/>
      </c>
    </row>
    <row r="1129" ht="15.75" customHeight="1">
      <c r="A1129" s="4" t="s">
        <v>2510</v>
      </c>
      <c r="B1129" s="4" t="s">
        <v>13</v>
      </c>
      <c r="D1129" s="4">
        <v>0.0017</v>
      </c>
      <c r="E1129" s="4">
        <v>0.0017</v>
      </c>
      <c r="F1129" s="4">
        <v>0.0273</v>
      </c>
      <c r="G1129" s="4">
        <v>0.0017</v>
      </c>
      <c r="H1129" s="4">
        <v>0.0017</v>
      </c>
      <c r="I1129" s="4">
        <v>1.05</v>
      </c>
      <c r="K1129" s="6" t="b">
        <f t="shared" ref="K1129:L1129" si="1094">FALSE()</f>
        <v>0</v>
      </c>
      <c r="L1129" s="6" t="b">
        <f t="shared" si="1094"/>
        <v>0</v>
      </c>
      <c r="M1129" s="6" t="b">
        <f>TRUE()</f>
        <v>1</v>
      </c>
      <c r="O1129" s="4">
        <v>0.0269340012400809</v>
      </c>
      <c r="P1129" s="4">
        <v>0.717839793150317</v>
      </c>
      <c r="T1129" s="4" t="str">
        <f t="shared" si="3"/>
        <v/>
      </c>
      <c r="U1129" s="4">
        <f t="shared" si="4"/>
        <v>605</v>
      </c>
    </row>
    <row r="1130" ht="15.75" customHeight="1">
      <c r="A1130" s="4" t="s">
        <v>2511</v>
      </c>
      <c r="B1130" s="4" t="s">
        <v>13</v>
      </c>
      <c r="D1130" s="4">
        <v>0.0023</v>
      </c>
      <c r="E1130" s="4">
        <v>0.0023</v>
      </c>
      <c r="F1130" s="4">
        <v>0.0247</v>
      </c>
      <c r="G1130" s="4">
        <v>0.0023</v>
      </c>
      <c r="H1130" s="4">
        <v>0.0023</v>
      </c>
      <c r="K1130" s="6" t="b">
        <f t="shared" ref="K1130:M1130" si="1095">FALSE()</f>
        <v>0</v>
      </c>
      <c r="L1130" s="6" t="b">
        <f t="shared" si="1095"/>
        <v>0</v>
      </c>
      <c r="M1130" s="6" t="b">
        <f t="shared" si="1095"/>
        <v>0</v>
      </c>
      <c r="O1130" s="4">
        <v>0.0243998868235351</v>
      </c>
      <c r="T1130" s="4" t="str">
        <f t="shared" si="3"/>
        <v/>
      </c>
      <c r="U1130" s="4" t="str">
        <f t="shared" si="4"/>
        <v/>
      </c>
    </row>
    <row r="1131" ht="15.75" customHeight="1">
      <c r="A1131" s="4" t="s">
        <v>2512</v>
      </c>
      <c r="B1131" s="4" t="s">
        <v>13</v>
      </c>
      <c r="D1131" s="4">
        <v>0.0025</v>
      </c>
      <c r="E1131" s="4">
        <v>0.0025</v>
      </c>
      <c r="F1131" s="4">
        <v>0.0203</v>
      </c>
      <c r="G1131" s="4">
        <v>0.0025</v>
      </c>
      <c r="H1131" s="4">
        <v>0.0025</v>
      </c>
      <c r="K1131" s="6" t="b">
        <f t="shared" ref="K1131:M1131" si="1096">FALSE()</f>
        <v>0</v>
      </c>
      <c r="L1131" s="6" t="b">
        <f t="shared" si="1096"/>
        <v>0</v>
      </c>
      <c r="M1131" s="6" t="b">
        <f t="shared" si="1096"/>
        <v>0</v>
      </c>
      <c r="O1131" s="4">
        <v>0.0200967016991224</v>
      </c>
      <c r="T1131" s="4" t="str">
        <f t="shared" si="3"/>
        <v/>
      </c>
      <c r="U1131" s="4" t="str">
        <f t="shared" si="4"/>
        <v/>
      </c>
    </row>
    <row r="1132" ht="15.75" customHeight="1">
      <c r="A1132" s="4" t="s">
        <v>2513</v>
      </c>
      <c r="B1132" s="4" t="s">
        <v>13</v>
      </c>
      <c r="D1132" s="4">
        <v>0.07</v>
      </c>
      <c r="E1132" s="4">
        <v>0.07</v>
      </c>
      <c r="F1132" s="4">
        <v>1.34</v>
      </c>
      <c r="G1132" s="4">
        <v>0.07</v>
      </c>
      <c r="H1132" s="4">
        <v>0.07</v>
      </c>
      <c r="K1132" s="6" t="b">
        <f t="shared" ref="K1132:M1132" si="1097">FALSE()</f>
        <v>0</v>
      </c>
      <c r="L1132" s="6" t="b">
        <f t="shared" si="1097"/>
        <v>0</v>
      </c>
      <c r="M1132" s="6" t="b">
        <f t="shared" si="1097"/>
        <v>0</v>
      </c>
      <c r="O1132" s="4">
        <v>0.85015092936961</v>
      </c>
      <c r="T1132" s="4" t="str">
        <f t="shared" si="3"/>
        <v/>
      </c>
      <c r="U1132" s="4" t="str">
        <f t="shared" si="4"/>
        <v/>
      </c>
    </row>
    <row r="1133" ht="15.75" customHeight="1">
      <c r="A1133" s="4" t="s">
        <v>454</v>
      </c>
      <c r="B1133" s="4" t="s">
        <v>13</v>
      </c>
      <c r="C1133" s="4">
        <v>4.1641</v>
      </c>
      <c r="D1133" s="4">
        <v>0.0047</v>
      </c>
      <c r="E1133" s="4">
        <v>0.0047</v>
      </c>
      <c r="I1133" s="4">
        <v>1.032</v>
      </c>
      <c r="J1133" s="4">
        <v>0.015</v>
      </c>
      <c r="K1133" s="6" t="b">
        <f>TRUE()</f>
        <v>1</v>
      </c>
      <c r="L1133" s="6" t="b">
        <f>FALSE()</f>
        <v>0</v>
      </c>
      <c r="M1133" s="6" t="b">
        <f>TRUE()</f>
        <v>1</v>
      </c>
      <c r="N1133" s="4">
        <v>1.64173083763036</v>
      </c>
      <c r="P1133" s="4">
        <v>0.709020529716236</v>
      </c>
      <c r="T1133" s="4">
        <f t="shared" si="3"/>
        <v>248</v>
      </c>
      <c r="U1133" s="4">
        <f t="shared" si="4"/>
        <v>624</v>
      </c>
    </row>
    <row r="1134" ht="15.75" customHeight="1">
      <c r="A1134" s="4" t="s">
        <v>455</v>
      </c>
      <c r="B1134" s="4" t="s">
        <v>13</v>
      </c>
      <c r="C1134" s="4">
        <v>0.01762</v>
      </c>
      <c r="D1134" s="4">
        <v>0.00135</v>
      </c>
      <c r="E1134" s="4">
        <v>0.00135</v>
      </c>
      <c r="I1134" s="4">
        <v>0.144</v>
      </c>
      <c r="J1134" s="4">
        <v>0.006</v>
      </c>
      <c r="K1134" s="6" t="b">
        <f t="shared" ref="K1134:M1134" si="1098">FALSE()</f>
        <v>0</v>
      </c>
      <c r="L1134" s="6" t="b">
        <f t="shared" si="1098"/>
        <v>0</v>
      </c>
      <c r="M1134" s="6" t="b">
        <f t="shared" si="1098"/>
        <v>0</v>
      </c>
      <c r="N1134" s="4">
        <v>0.0174665674986319</v>
      </c>
      <c r="P1134" s="4">
        <v>0.134530892957606</v>
      </c>
      <c r="T1134" s="4">
        <f t="shared" si="3"/>
        <v>1782</v>
      </c>
      <c r="U1134" s="4">
        <f t="shared" si="4"/>
        <v>3436</v>
      </c>
    </row>
    <row r="1135" ht="15.75" customHeight="1">
      <c r="A1135" s="4" t="s">
        <v>2514</v>
      </c>
      <c r="B1135" s="4" t="s">
        <v>13</v>
      </c>
      <c r="D1135" s="4">
        <v>0.44</v>
      </c>
      <c r="E1135" s="4">
        <v>0.52</v>
      </c>
      <c r="F1135" s="4">
        <v>5.41</v>
      </c>
      <c r="G1135" s="4">
        <v>0.44</v>
      </c>
      <c r="H1135" s="4">
        <v>0.52</v>
      </c>
      <c r="K1135" s="6" t="b">
        <f t="shared" ref="K1135:M1135" si="1099">FALSE()</f>
        <v>0</v>
      </c>
      <c r="L1135" s="6" t="b">
        <f t="shared" si="1099"/>
        <v>0</v>
      </c>
      <c r="M1135" s="6" t="b">
        <f t="shared" si="1099"/>
        <v>0</v>
      </c>
      <c r="O1135" s="4">
        <v>1.85785927093258</v>
      </c>
      <c r="T1135" s="4" t="str">
        <f t="shared" si="3"/>
        <v/>
      </c>
      <c r="U1135" s="4" t="str">
        <f t="shared" si="4"/>
        <v/>
      </c>
    </row>
    <row r="1136" ht="15.75" customHeight="1">
      <c r="A1136" s="4" t="s">
        <v>2515</v>
      </c>
      <c r="B1136" s="4" t="s">
        <v>13</v>
      </c>
      <c r="D1136" s="4">
        <v>0.29</v>
      </c>
      <c r="E1136" s="4">
        <v>0.65</v>
      </c>
      <c r="F1136" s="4">
        <v>4.86</v>
      </c>
      <c r="G1136" s="4">
        <v>0.29</v>
      </c>
      <c r="H1136" s="4">
        <v>0.65</v>
      </c>
      <c r="K1136" s="6" t="b">
        <f t="shared" ref="K1136:M1136" si="1100">FALSE()</f>
        <v>0</v>
      </c>
      <c r="L1136" s="6" t="b">
        <f t="shared" si="1100"/>
        <v>0</v>
      </c>
      <c r="M1136" s="6" t="b">
        <f t="shared" si="1100"/>
        <v>0</v>
      </c>
      <c r="O1136" s="4">
        <v>1.76814960358892</v>
      </c>
      <c r="T1136" s="4" t="str">
        <f t="shared" si="3"/>
        <v/>
      </c>
      <c r="U1136" s="4" t="str">
        <f t="shared" si="4"/>
        <v/>
      </c>
    </row>
    <row r="1137" ht="15.75" customHeight="1">
      <c r="A1137" s="4" t="s">
        <v>2516</v>
      </c>
      <c r="B1137" s="4" t="s">
        <v>13</v>
      </c>
      <c r="C1137" s="4">
        <v>5.5</v>
      </c>
      <c r="D1137" s="4">
        <v>1.056</v>
      </c>
      <c r="E1137" s="4">
        <v>1.23</v>
      </c>
      <c r="K1137" s="6" t="b">
        <f t="shared" ref="K1137:K1138" si="1102">TRUE()</f>
        <v>1</v>
      </c>
      <c r="L1137" s="6" t="b">
        <f t="shared" ref="L1137:M1137" si="1101">FALSE()</f>
        <v>0</v>
      </c>
      <c r="M1137" s="6" t="b">
        <f t="shared" si="1101"/>
        <v>0</v>
      </c>
      <c r="N1137" s="4">
        <v>1.87180217690159</v>
      </c>
      <c r="T1137" s="4">
        <f t="shared" si="3"/>
        <v>190</v>
      </c>
      <c r="U1137" s="4" t="str">
        <f t="shared" si="4"/>
        <v/>
      </c>
    </row>
    <row r="1138" ht="15.75" customHeight="1">
      <c r="A1138" s="4" t="s">
        <v>2517</v>
      </c>
      <c r="B1138" s="4" t="s">
        <v>13</v>
      </c>
      <c r="C1138" s="4">
        <v>8.04</v>
      </c>
      <c r="D1138" s="4">
        <v>0.54</v>
      </c>
      <c r="E1138" s="4">
        <v>0.66</v>
      </c>
      <c r="F1138" s="4">
        <v>6.86</v>
      </c>
      <c r="G1138" s="4">
        <v>0.71</v>
      </c>
      <c r="H1138" s="4">
        <v>0.71</v>
      </c>
      <c r="K1138" s="6" t="b">
        <f t="shared" si="1102"/>
        <v>1</v>
      </c>
      <c r="L1138" s="6" t="b">
        <f>TRUE()</f>
        <v>1</v>
      </c>
      <c r="M1138" s="6" t="b">
        <f>FALSE()</f>
        <v>0</v>
      </c>
      <c r="N1138" s="4">
        <v>2.20165917440409</v>
      </c>
      <c r="O1138" s="4">
        <v>2.06178660644112</v>
      </c>
      <c r="T1138" s="4">
        <f t="shared" si="3"/>
        <v>106</v>
      </c>
      <c r="U1138" s="4" t="str">
        <f t="shared" si="4"/>
        <v/>
      </c>
    </row>
    <row r="1139" ht="15.75" customHeight="1">
      <c r="A1139" s="4" t="s">
        <v>2518</v>
      </c>
      <c r="B1139" s="4" t="s">
        <v>13</v>
      </c>
      <c r="D1139" s="4">
        <v>0.2</v>
      </c>
      <c r="E1139" s="4">
        <v>0.3</v>
      </c>
      <c r="F1139" s="4">
        <v>1.77</v>
      </c>
      <c r="G1139" s="4">
        <v>0.2</v>
      </c>
      <c r="H1139" s="4">
        <v>0.3</v>
      </c>
      <c r="K1139" s="6" t="b">
        <f t="shared" ref="K1139:M1139" si="1103">FALSE()</f>
        <v>0</v>
      </c>
      <c r="L1139" s="6" t="b">
        <f t="shared" si="1103"/>
        <v>0</v>
      </c>
      <c r="M1139" s="6" t="b">
        <f t="shared" si="1103"/>
        <v>0</v>
      </c>
      <c r="O1139" s="4">
        <v>1.01884732019925</v>
      </c>
      <c r="T1139" s="4" t="str">
        <f t="shared" si="3"/>
        <v/>
      </c>
      <c r="U1139" s="4" t="str">
        <f t="shared" si="4"/>
        <v/>
      </c>
    </row>
    <row r="1140" ht="15.75" customHeight="1">
      <c r="A1140" s="4" t="s">
        <v>2519</v>
      </c>
      <c r="B1140" s="4" t="s">
        <v>13</v>
      </c>
      <c r="D1140" s="4">
        <v>0.1</v>
      </c>
      <c r="E1140" s="4">
        <v>0.1</v>
      </c>
      <c r="F1140" s="4">
        <v>1.3</v>
      </c>
      <c r="G1140" s="4">
        <v>0.1</v>
      </c>
      <c r="H1140" s="4">
        <v>0.1</v>
      </c>
      <c r="K1140" s="6" t="b">
        <f t="shared" ref="K1140:M1140" si="1104">FALSE()</f>
        <v>0</v>
      </c>
      <c r="L1140" s="6" t="b">
        <f t="shared" si="1104"/>
        <v>0</v>
      </c>
      <c r="M1140" s="6" t="b">
        <f t="shared" si="1104"/>
        <v>0</v>
      </c>
      <c r="O1140" s="4">
        <v>0.832909122935104</v>
      </c>
      <c r="T1140" s="4" t="str">
        <f t="shared" si="3"/>
        <v/>
      </c>
      <c r="U1140" s="4" t="str">
        <f t="shared" si="4"/>
        <v/>
      </c>
    </row>
    <row r="1141" ht="15.75" customHeight="1">
      <c r="A1141" s="4" t="s">
        <v>2520</v>
      </c>
      <c r="B1141" s="4" t="s">
        <v>13</v>
      </c>
      <c r="C1141" s="4">
        <v>4.8</v>
      </c>
      <c r="F1141" s="4">
        <v>1.53</v>
      </c>
      <c r="K1141" s="6" t="b">
        <f t="shared" ref="K1141:K1142" si="1106">TRUE()</f>
        <v>1</v>
      </c>
      <c r="L1141" s="6" t="b">
        <f t="shared" ref="L1141:M1141" si="1105">FALSE()</f>
        <v>0</v>
      </c>
      <c r="M1141" s="6" t="b">
        <f t="shared" si="1105"/>
        <v>0</v>
      </c>
      <c r="N1141" s="4">
        <v>1.75785791755237</v>
      </c>
      <c r="O1141" s="4">
        <v>0.928219302739429</v>
      </c>
      <c r="T1141" s="4">
        <f t="shared" si="3"/>
        <v>220</v>
      </c>
      <c r="U1141" s="4" t="str">
        <f t="shared" si="4"/>
        <v/>
      </c>
    </row>
    <row r="1142" ht="15.75" customHeight="1">
      <c r="A1142" s="4" t="s">
        <v>2521</v>
      </c>
      <c r="B1142" s="4" t="s">
        <v>13</v>
      </c>
      <c r="C1142" s="4">
        <v>4.78</v>
      </c>
      <c r="F1142" s="4">
        <v>1.72</v>
      </c>
      <c r="K1142" s="6" t="b">
        <f t="shared" si="1106"/>
        <v>1</v>
      </c>
      <c r="L1142" s="6" t="b">
        <f t="shared" ref="L1142:M1142" si="1107">FALSE()</f>
        <v>0</v>
      </c>
      <c r="M1142" s="6" t="b">
        <f t="shared" si="1107"/>
        <v>0</v>
      </c>
      <c r="N1142" s="4">
        <v>1.75440368268429</v>
      </c>
      <c r="O1142" s="4">
        <v>1.00063188030791</v>
      </c>
      <c r="T1142" s="4">
        <f t="shared" si="3"/>
        <v>222</v>
      </c>
      <c r="U1142" s="4" t="str">
        <f t="shared" si="4"/>
        <v/>
      </c>
    </row>
    <row r="1143" ht="15.75" customHeight="1">
      <c r="A1143" s="4" t="s">
        <v>2522</v>
      </c>
      <c r="B1143" s="4" t="s">
        <v>13</v>
      </c>
      <c r="D1143" s="4">
        <v>0.031</v>
      </c>
      <c r="E1143" s="4">
        <v>0.031</v>
      </c>
      <c r="F1143" s="4">
        <v>0.29</v>
      </c>
      <c r="G1143" s="4">
        <v>0.031</v>
      </c>
      <c r="H1143" s="4">
        <v>0.031</v>
      </c>
      <c r="K1143" s="6" t="b">
        <f t="shared" ref="K1143:M1143" si="1108">FALSE()</f>
        <v>0</v>
      </c>
      <c r="L1143" s="6" t="b">
        <f t="shared" si="1108"/>
        <v>0</v>
      </c>
      <c r="M1143" s="6" t="b">
        <f t="shared" si="1108"/>
        <v>0</v>
      </c>
      <c r="O1143" s="4">
        <v>0.254642218373581</v>
      </c>
      <c r="T1143" s="4" t="str">
        <f t="shared" si="3"/>
        <v/>
      </c>
      <c r="U1143" s="4" t="str">
        <f t="shared" si="4"/>
        <v/>
      </c>
    </row>
    <row r="1144" ht="15.75" customHeight="1">
      <c r="A1144" s="4" t="s">
        <v>2523</v>
      </c>
      <c r="B1144" s="4" t="s">
        <v>13</v>
      </c>
      <c r="D1144" s="4">
        <v>0.0617</v>
      </c>
      <c r="E1144" s="4">
        <v>0.0617</v>
      </c>
      <c r="F1144" s="4">
        <v>0.2095</v>
      </c>
      <c r="G1144" s="4">
        <v>0.0617</v>
      </c>
      <c r="H1144" s="4">
        <v>0.0617</v>
      </c>
      <c r="K1144" s="6" t="b">
        <f t="shared" ref="K1144:M1144" si="1109">FALSE()</f>
        <v>0</v>
      </c>
      <c r="L1144" s="6" t="b">
        <f t="shared" si="1109"/>
        <v>0</v>
      </c>
      <c r="M1144" s="6" t="b">
        <f t="shared" si="1109"/>
        <v>0</v>
      </c>
      <c r="O1144" s="4">
        <v>0.190207051067945</v>
      </c>
      <c r="T1144" s="4" t="str">
        <f t="shared" si="3"/>
        <v/>
      </c>
      <c r="U1144" s="4" t="str">
        <f t="shared" si="4"/>
        <v/>
      </c>
    </row>
    <row r="1145" ht="15.75" customHeight="1">
      <c r="A1145" s="4" t="s">
        <v>457</v>
      </c>
      <c r="B1145" s="4" t="s">
        <v>13</v>
      </c>
      <c r="C1145" s="4">
        <v>0.4012</v>
      </c>
      <c r="D1145" s="4">
        <v>0.0208</v>
      </c>
      <c r="E1145" s="4">
        <v>0.0208</v>
      </c>
      <c r="I1145" s="4">
        <v>0.869</v>
      </c>
      <c r="J1145" s="4">
        <v>0.0196</v>
      </c>
      <c r="K1145" s="6" t="b">
        <f t="shared" ref="K1145:L1145" si="1110">FALSE()</f>
        <v>0</v>
      </c>
      <c r="L1145" s="6" t="b">
        <f t="shared" si="1110"/>
        <v>0</v>
      </c>
      <c r="M1145" s="6" t="b">
        <f t="shared" ref="M1145:M1146" si="1112">TRUE()</f>
        <v>1</v>
      </c>
      <c r="N1145" s="4">
        <v>0.337329012341195</v>
      </c>
      <c r="P1145" s="4">
        <v>0.625403528473426</v>
      </c>
      <c r="T1145" s="4">
        <f t="shared" si="3"/>
        <v>1012</v>
      </c>
      <c r="U1145" s="4">
        <f t="shared" si="4"/>
        <v>789</v>
      </c>
    </row>
    <row r="1146" ht="15.75" customHeight="1">
      <c r="A1146" s="4" t="s">
        <v>2524</v>
      </c>
      <c r="B1146" s="4" t="s">
        <v>13</v>
      </c>
      <c r="D1146" s="4">
        <v>0.008</v>
      </c>
      <c r="E1146" s="4">
        <v>0.008</v>
      </c>
      <c r="F1146" s="4">
        <v>0.402</v>
      </c>
      <c r="G1146" s="4">
        <v>0.008</v>
      </c>
      <c r="H1146" s="4">
        <v>0.008</v>
      </c>
      <c r="I1146" s="4">
        <v>1.04</v>
      </c>
      <c r="K1146" s="6" t="b">
        <f t="shared" ref="K1146:L1146" si="1111">FALSE()</f>
        <v>0</v>
      </c>
      <c r="L1146" s="6" t="b">
        <f t="shared" si="1111"/>
        <v>0</v>
      </c>
      <c r="M1146" s="6" t="b">
        <f t="shared" si="1112"/>
        <v>1</v>
      </c>
      <c r="O1146" s="4">
        <v>0.337899788612398</v>
      </c>
      <c r="P1146" s="4">
        <v>0.712949807856125</v>
      </c>
      <c r="T1146" s="4" t="str">
        <f t="shared" si="3"/>
        <v/>
      </c>
      <c r="U1146" s="4">
        <f t="shared" si="4"/>
        <v>613</v>
      </c>
    </row>
    <row r="1147" ht="15.75" customHeight="1">
      <c r="A1147" s="4" t="s">
        <v>2525</v>
      </c>
      <c r="B1147" s="4" t="s">
        <v>13</v>
      </c>
      <c r="D1147" s="4">
        <v>0.07</v>
      </c>
      <c r="E1147" s="4">
        <v>0.07</v>
      </c>
      <c r="F1147" s="4">
        <v>1.35</v>
      </c>
      <c r="G1147" s="4">
        <v>0.07</v>
      </c>
      <c r="H1147" s="4">
        <v>0.07</v>
      </c>
      <c r="K1147" s="6" t="b">
        <f t="shared" ref="K1147:M1147" si="1113">FALSE()</f>
        <v>0</v>
      </c>
      <c r="L1147" s="6" t="b">
        <f t="shared" si="1113"/>
        <v>0</v>
      </c>
      <c r="M1147" s="6" t="b">
        <f t="shared" si="1113"/>
        <v>0</v>
      </c>
      <c r="O1147" s="4">
        <v>0.854415328156068</v>
      </c>
      <c r="T1147" s="4" t="str">
        <f t="shared" si="3"/>
        <v/>
      </c>
      <c r="U1147" s="4" t="str">
        <f t="shared" si="4"/>
        <v/>
      </c>
    </row>
    <row r="1148" ht="15.75" customHeight="1">
      <c r="A1148" s="4" t="s">
        <v>2526</v>
      </c>
      <c r="B1148" s="4" t="s">
        <v>13</v>
      </c>
      <c r="D1148" s="4">
        <v>0.04</v>
      </c>
      <c r="E1148" s="4">
        <v>0.07</v>
      </c>
      <c r="F1148" s="4">
        <v>0.68</v>
      </c>
      <c r="G1148" s="4">
        <v>0.04</v>
      </c>
      <c r="H1148" s="4">
        <v>0.07</v>
      </c>
      <c r="K1148" s="6" t="b">
        <f t="shared" ref="K1148:M1148" si="1114">FALSE()</f>
        <v>0</v>
      </c>
      <c r="L1148" s="6" t="b">
        <f t="shared" si="1114"/>
        <v>0</v>
      </c>
      <c r="M1148" s="6" t="b">
        <f t="shared" si="1114"/>
        <v>0</v>
      </c>
      <c r="O1148" s="4">
        <v>0.518793793415168</v>
      </c>
      <c r="T1148" s="4" t="str">
        <f t="shared" si="3"/>
        <v/>
      </c>
      <c r="U1148" s="4" t="str">
        <f t="shared" si="4"/>
        <v/>
      </c>
    </row>
    <row r="1149" ht="15.75" customHeight="1">
      <c r="A1149" s="4" t="s">
        <v>2527</v>
      </c>
      <c r="B1149" s="4" t="s">
        <v>13</v>
      </c>
      <c r="D1149" s="4">
        <v>0.01</v>
      </c>
      <c r="E1149" s="4">
        <v>0.01</v>
      </c>
      <c r="F1149" s="4">
        <v>0.099</v>
      </c>
      <c r="G1149" s="4">
        <v>0.01</v>
      </c>
      <c r="H1149" s="4">
        <v>0.01</v>
      </c>
      <c r="K1149" s="6" t="b">
        <f t="shared" ref="K1149:M1149" si="1115">FALSE()</f>
        <v>0</v>
      </c>
      <c r="L1149" s="6" t="b">
        <f t="shared" si="1115"/>
        <v>0</v>
      </c>
      <c r="M1149" s="6" t="b">
        <f t="shared" si="1115"/>
        <v>0</v>
      </c>
      <c r="O1149" s="4">
        <v>0.0944006754214843</v>
      </c>
      <c r="T1149" s="4" t="str">
        <f t="shared" si="3"/>
        <v/>
      </c>
      <c r="U1149" s="4" t="str">
        <f t="shared" si="4"/>
        <v/>
      </c>
    </row>
    <row r="1150" ht="15.75" customHeight="1">
      <c r="A1150" s="4" t="s">
        <v>2528</v>
      </c>
      <c r="B1150" s="4" t="s">
        <v>13</v>
      </c>
      <c r="F1150" s="4">
        <v>2.11</v>
      </c>
      <c r="K1150" s="6" t="b">
        <f t="shared" ref="K1150:M1150" si="1116">FALSE()</f>
        <v>0</v>
      </c>
      <c r="L1150" s="6" t="b">
        <f t="shared" si="1116"/>
        <v>0</v>
      </c>
      <c r="M1150" s="6" t="b">
        <f t="shared" si="1116"/>
        <v>0</v>
      </c>
      <c r="O1150" s="4">
        <v>1.13462272619114</v>
      </c>
      <c r="T1150" s="4" t="str">
        <f t="shared" si="3"/>
        <v/>
      </c>
      <c r="U1150" s="4" t="str">
        <f t="shared" si="4"/>
        <v/>
      </c>
    </row>
    <row r="1151" ht="15.75" customHeight="1">
      <c r="A1151" s="4" t="s">
        <v>2529</v>
      </c>
      <c r="B1151" s="4" t="s">
        <v>13</v>
      </c>
      <c r="C1151" s="4">
        <v>9.053</v>
      </c>
      <c r="D1151" s="4">
        <v>2.567</v>
      </c>
      <c r="E1151" s="4">
        <v>2.69</v>
      </c>
      <c r="K1151" s="6" t="b">
        <f>TRUE()</f>
        <v>1</v>
      </c>
      <c r="L1151" s="6" t="b">
        <f t="shared" ref="L1151:M1151" si="1117">FALSE()</f>
        <v>0</v>
      </c>
      <c r="M1151" s="6" t="b">
        <f t="shared" si="1117"/>
        <v>0</v>
      </c>
      <c r="N1151" s="4">
        <v>2.30787109742328</v>
      </c>
      <c r="T1151" s="4">
        <f t="shared" si="3"/>
        <v>78</v>
      </c>
      <c r="U1151" s="4" t="str">
        <f t="shared" si="4"/>
        <v/>
      </c>
    </row>
    <row r="1152" ht="15.75" customHeight="1">
      <c r="A1152" s="4" t="s">
        <v>2530</v>
      </c>
      <c r="B1152" s="4" t="s">
        <v>13</v>
      </c>
      <c r="F1152" s="4">
        <v>1.5</v>
      </c>
      <c r="I1152" s="4">
        <v>1.08</v>
      </c>
      <c r="K1152" s="6" t="b">
        <f t="shared" ref="K1152:L1152" si="1118">FALSE()</f>
        <v>0</v>
      </c>
      <c r="L1152" s="6" t="b">
        <f t="shared" si="1118"/>
        <v>0</v>
      </c>
      <c r="M1152" s="6" t="b">
        <f>TRUE()</f>
        <v>1</v>
      </c>
      <c r="O1152" s="4">
        <v>0.916290731874155</v>
      </c>
      <c r="P1152" s="4">
        <v>0.732367893713227</v>
      </c>
      <c r="T1152" s="4" t="str">
        <f t="shared" si="3"/>
        <v/>
      </c>
      <c r="U1152" s="4">
        <f t="shared" si="4"/>
        <v>552</v>
      </c>
    </row>
    <row r="1153" ht="15.75" customHeight="1">
      <c r="A1153" s="4" t="s">
        <v>2531</v>
      </c>
      <c r="B1153" s="4" t="s">
        <v>13</v>
      </c>
      <c r="D1153" s="4">
        <v>0.05</v>
      </c>
      <c r="E1153" s="4">
        <v>0.05</v>
      </c>
      <c r="F1153" s="4">
        <v>0.45</v>
      </c>
      <c r="G1153" s="4">
        <v>0.05</v>
      </c>
      <c r="H1153" s="4">
        <v>0.05</v>
      </c>
      <c r="K1153" s="6" t="b">
        <f t="shared" ref="K1153:M1153" si="1119">FALSE()</f>
        <v>0</v>
      </c>
      <c r="L1153" s="6" t="b">
        <f t="shared" si="1119"/>
        <v>0</v>
      </c>
      <c r="M1153" s="6" t="b">
        <f t="shared" si="1119"/>
        <v>0</v>
      </c>
      <c r="O1153" s="4">
        <v>0.371563556432483</v>
      </c>
      <c r="T1153" s="4" t="str">
        <f t="shared" si="3"/>
        <v/>
      </c>
      <c r="U1153" s="4" t="str">
        <f t="shared" si="4"/>
        <v/>
      </c>
    </row>
    <row r="1154" ht="15.75" customHeight="1">
      <c r="A1154" s="4" t="s">
        <v>458</v>
      </c>
      <c r="B1154" s="4" t="s">
        <v>13</v>
      </c>
      <c r="C1154" s="4">
        <v>0.02281</v>
      </c>
      <c r="D1154" s="4">
        <v>0.00352</v>
      </c>
      <c r="E1154" s="4">
        <v>0.00374</v>
      </c>
      <c r="I1154" s="4">
        <v>0.1927</v>
      </c>
      <c r="J1154" s="4">
        <v>0.0071</v>
      </c>
      <c r="K1154" s="6" t="b">
        <f t="shared" ref="K1154:M1154" si="1120">FALSE()</f>
        <v>0</v>
      </c>
      <c r="L1154" s="6" t="b">
        <f t="shared" si="1120"/>
        <v>0</v>
      </c>
      <c r="M1154" s="6" t="b">
        <f t="shared" si="1120"/>
        <v>0</v>
      </c>
      <c r="N1154" s="4">
        <v>0.0225537414696177</v>
      </c>
      <c r="P1154" s="4">
        <v>0.176219644602486</v>
      </c>
      <c r="T1154" s="4">
        <f t="shared" si="3"/>
        <v>1672</v>
      </c>
      <c r="U1154" s="4">
        <f t="shared" si="4"/>
        <v>2706</v>
      </c>
    </row>
    <row r="1155" ht="15.75" customHeight="1">
      <c r="A1155" s="4" t="s">
        <v>2532</v>
      </c>
      <c r="B1155" s="4" t="s">
        <v>13</v>
      </c>
      <c r="D1155" s="4">
        <v>1.6</v>
      </c>
      <c r="E1155" s="4">
        <v>1.6</v>
      </c>
      <c r="F1155" s="4">
        <v>7.0</v>
      </c>
      <c r="G1155" s="4">
        <v>1.6</v>
      </c>
      <c r="H1155" s="4">
        <v>1.6</v>
      </c>
      <c r="K1155" s="6" t="b">
        <f t="shared" ref="K1155:K1160" si="1121">FALSE()</f>
        <v>0</v>
      </c>
      <c r="L1155" s="6" t="b">
        <f>TRUE()</f>
        <v>1</v>
      </c>
      <c r="M1155" s="6" t="b">
        <f>FALSE()</f>
        <v>0</v>
      </c>
      <c r="O1155" s="4">
        <v>2.07944154167984</v>
      </c>
      <c r="T1155" s="4" t="str">
        <f t="shared" si="3"/>
        <v/>
      </c>
      <c r="U1155" s="4" t="str">
        <f t="shared" si="4"/>
        <v/>
      </c>
    </row>
    <row r="1156" ht="15.75" customHeight="1">
      <c r="A1156" s="4" t="s">
        <v>2533</v>
      </c>
      <c r="B1156" s="4" t="s">
        <v>13</v>
      </c>
      <c r="D1156" s="4">
        <v>0.005</v>
      </c>
      <c r="E1156" s="4">
        <v>0.005</v>
      </c>
      <c r="F1156" s="4">
        <v>0.032</v>
      </c>
      <c r="G1156" s="4">
        <v>0.005</v>
      </c>
      <c r="H1156" s="4">
        <v>0.005</v>
      </c>
      <c r="K1156" s="6" t="b">
        <f t="shared" si="1121"/>
        <v>0</v>
      </c>
      <c r="L1156" s="6" t="b">
        <f t="shared" ref="L1156:M1156" si="1122">FALSE()</f>
        <v>0</v>
      </c>
      <c r="M1156" s="6" t="b">
        <f t="shared" si="1122"/>
        <v>0</v>
      </c>
      <c r="O1156" s="4">
        <v>0.0314986670593709</v>
      </c>
      <c r="T1156" s="4" t="str">
        <f t="shared" si="3"/>
        <v/>
      </c>
      <c r="U1156" s="4" t="str">
        <f t="shared" si="4"/>
        <v/>
      </c>
    </row>
    <row r="1157" ht="15.75" customHeight="1">
      <c r="A1157" s="4" t="s">
        <v>2534</v>
      </c>
      <c r="B1157" s="4" t="s">
        <v>13</v>
      </c>
      <c r="D1157" s="4">
        <v>0.7</v>
      </c>
      <c r="E1157" s="4">
        <v>0.7</v>
      </c>
      <c r="F1157" s="4">
        <v>3.6</v>
      </c>
      <c r="G1157" s="4">
        <v>0.7</v>
      </c>
      <c r="H1157" s="4">
        <v>0.7</v>
      </c>
      <c r="K1157" s="6" t="b">
        <f t="shared" si="1121"/>
        <v>0</v>
      </c>
      <c r="L1157" s="6" t="b">
        <f t="shared" ref="L1157:M1157" si="1123">FALSE()</f>
        <v>0</v>
      </c>
      <c r="M1157" s="6" t="b">
        <f t="shared" si="1123"/>
        <v>0</v>
      </c>
      <c r="O1157" s="4">
        <v>1.52605630349505</v>
      </c>
      <c r="T1157" s="4" t="str">
        <f t="shared" si="3"/>
        <v/>
      </c>
      <c r="U1157" s="4" t="str">
        <f t="shared" si="4"/>
        <v/>
      </c>
    </row>
    <row r="1158" ht="15.75" customHeight="1">
      <c r="A1158" s="4" t="s">
        <v>2535</v>
      </c>
      <c r="B1158" s="4" t="s">
        <v>13</v>
      </c>
      <c r="D1158" s="4">
        <v>0.7</v>
      </c>
      <c r="E1158" s="4">
        <v>0.7</v>
      </c>
      <c r="F1158" s="4">
        <v>12.4</v>
      </c>
      <c r="G1158" s="4">
        <v>0.7</v>
      </c>
      <c r="H1158" s="4">
        <v>0.7</v>
      </c>
      <c r="K1158" s="6" t="b">
        <f t="shared" si="1121"/>
        <v>0</v>
      </c>
      <c r="L1158" s="6" t="b">
        <f t="shared" ref="L1158:L1160" si="1124">TRUE()</f>
        <v>1</v>
      </c>
      <c r="M1158" s="6" t="b">
        <f t="shared" ref="M1158:M1160" si="1125">FALSE()</f>
        <v>0</v>
      </c>
      <c r="O1158" s="4">
        <v>2.59525470695687</v>
      </c>
      <c r="T1158" s="4" t="str">
        <f t="shared" si="3"/>
        <v/>
      </c>
      <c r="U1158" s="4" t="str">
        <f t="shared" si="4"/>
        <v/>
      </c>
    </row>
    <row r="1159" ht="15.75" customHeight="1">
      <c r="A1159" s="4" t="s">
        <v>2536</v>
      </c>
      <c r="B1159" s="4" t="s">
        <v>13</v>
      </c>
      <c r="D1159" s="4">
        <v>0.13</v>
      </c>
      <c r="E1159" s="4">
        <v>0.13</v>
      </c>
      <c r="F1159" s="4">
        <v>6.74</v>
      </c>
      <c r="G1159" s="4">
        <v>0.13</v>
      </c>
      <c r="H1159" s="4">
        <v>0.13</v>
      </c>
      <c r="K1159" s="6" t="b">
        <f t="shared" si="1121"/>
        <v>0</v>
      </c>
      <c r="L1159" s="6" t="b">
        <f t="shared" si="1124"/>
        <v>1</v>
      </c>
      <c r="M1159" s="6" t="b">
        <f t="shared" si="1125"/>
        <v>0</v>
      </c>
      <c r="O1159" s="4">
        <v>2.04640168760164</v>
      </c>
      <c r="T1159" s="4" t="str">
        <f t="shared" si="3"/>
        <v/>
      </c>
      <c r="U1159" s="4" t="str">
        <f t="shared" si="4"/>
        <v/>
      </c>
    </row>
    <row r="1160" ht="15.75" customHeight="1">
      <c r="A1160" s="4" t="s">
        <v>2537</v>
      </c>
      <c r="B1160" s="4" t="s">
        <v>13</v>
      </c>
      <c r="F1160" s="4">
        <v>12.2</v>
      </c>
      <c r="K1160" s="6" t="b">
        <f t="shared" si="1121"/>
        <v>0</v>
      </c>
      <c r="L1160" s="6" t="b">
        <f t="shared" si="1124"/>
        <v>1</v>
      </c>
      <c r="M1160" s="6" t="b">
        <f t="shared" si="1125"/>
        <v>0</v>
      </c>
      <c r="O1160" s="4">
        <v>2.58021682959233</v>
      </c>
      <c r="T1160" s="4" t="str">
        <f t="shared" si="3"/>
        <v/>
      </c>
      <c r="U1160" s="4" t="str">
        <f t="shared" si="4"/>
        <v/>
      </c>
    </row>
    <row r="1161" ht="15.75" customHeight="1">
      <c r="A1161" s="4" t="s">
        <v>2538</v>
      </c>
      <c r="B1161" s="4" t="s">
        <v>13</v>
      </c>
      <c r="C1161" s="4">
        <v>6.31</v>
      </c>
      <c r="D1161" s="4">
        <v>0.32</v>
      </c>
      <c r="E1161" s="4">
        <v>0.31</v>
      </c>
      <c r="F1161" s="4">
        <v>1.78</v>
      </c>
      <c r="G1161" s="4">
        <v>0.34</v>
      </c>
      <c r="H1161" s="4">
        <v>0.34</v>
      </c>
      <c r="K1161" s="6" t="b">
        <f t="shared" ref="K1161:K1162" si="1127">TRUE()</f>
        <v>1</v>
      </c>
      <c r="L1161" s="6" t="b">
        <f t="shared" ref="L1161:M1161" si="1126">FALSE()</f>
        <v>0</v>
      </c>
      <c r="M1161" s="6" t="b">
        <f t="shared" si="1126"/>
        <v>0</v>
      </c>
      <c r="N1161" s="4">
        <v>1.98924327376169</v>
      </c>
      <c r="O1161" s="4">
        <v>1.02245092770255</v>
      </c>
      <c r="T1161" s="4">
        <f t="shared" si="3"/>
        <v>152</v>
      </c>
      <c r="U1161" s="4" t="str">
        <f t="shared" si="4"/>
        <v/>
      </c>
    </row>
    <row r="1162" ht="15.75" customHeight="1">
      <c r="A1162" s="4" t="s">
        <v>2539</v>
      </c>
      <c r="B1162" s="4" t="s">
        <v>13</v>
      </c>
      <c r="C1162" s="4">
        <v>7.903</v>
      </c>
      <c r="D1162" s="4">
        <v>1.006</v>
      </c>
      <c r="E1162" s="4">
        <v>1.527</v>
      </c>
      <c r="K1162" s="6" t="b">
        <f t="shared" si="1127"/>
        <v>1</v>
      </c>
      <c r="L1162" s="6" t="b">
        <f t="shared" ref="L1162:M1162" si="1128">FALSE()</f>
        <v>0</v>
      </c>
      <c r="M1162" s="6" t="b">
        <f t="shared" si="1128"/>
        <v>0</v>
      </c>
      <c r="N1162" s="4">
        <v>2.18638829859153</v>
      </c>
      <c r="T1162" s="4">
        <f t="shared" si="3"/>
        <v>111</v>
      </c>
      <c r="U1162" s="4" t="str">
        <f t="shared" si="4"/>
        <v/>
      </c>
    </row>
    <row r="1163" ht="15.75" customHeight="1">
      <c r="A1163" s="4" t="s">
        <v>2540</v>
      </c>
      <c r="B1163" s="4" t="s">
        <v>13</v>
      </c>
      <c r="F1163" s="4">
        <v>0.3</v>
      </c>
      <c r="I1163" s="4">
        <v>1.0</v>
      </c>
      <c r="K1163" s="6" t="b">
        <f t="shared" ref="K1163:L1163" si="1129">FALSE()</f>
        <v>0</v>
      </c>
      <c r="L1163" s="6" t="b">
        <f t="shared" si="1129"/>
        <v>0</v>
      </c>
      <c r="M1163" s="6" t="b">
        <f>TRUE()</f>
        <v>1</v>
      </c>
      <c r="O1163" s="4">
        <v>0.262364264467491</v>
      </c>
      <c r="P1163" s="4">
        <v>0.693147180559945</v>
      </c>
      <c r="T1163" s="4" t="str">
        <f t="shared" si="3"/>
        <v/>
      </c>
      <c r="U1163" s="4">
        <f t="shared" si="4"/>
        <v>663</v>
      </c>
    </row>
    <row r="1164" ht="15.75" customHeight="1">
      <c r="A1164" s="4" t="s">
        <v>459</v>
      </c>
      <c r="B1164" s="4" t="s">
        <v>13</v>
      </c>
      <c r="C1164" s="4">
        <v>0.0541</v>
      </c>
      <c r="D1164" s="4">
        <v>0.012</v>
      </c>
      <c r="E1164" s="4">
        <v>0.013</v>
      </c>
      <c r="I1164" s="4">
        <v>0.2221</v>
      </c>
      <c r="J1164" s="4">
        <v>0.0161</v>
      </c>
      <c r="K1164" s="6" t="b">
        <f t="shared" ref="K1164:M1164" si="1130">FALSE()</f>
        <v>0</v>
      </c>
      <c r="L1164" s="6" t="b">
        <f t="shared" si="1130"/>
        <v>0</v>
      </c>
      <c r="M1164" s="6" t="b">
        <f t="shared" si="1130"/>
        <v>0</v>
      </c>
      <c r="N1164" s="4">
        <v>0.0526873222790064</v>
      </c>
      <c r="P1164" s="4">
        <v>0.200570690461818</v>
      </c>
      <c r="T1164" s="4">
        <f t="shared" si="3"/>
        <v>1381</v>
      </c>
      <c r="U1164" s="4">
        <f t="shared" si="4"/>
        <v>2227</v>
      </c>
    </row>
    <row r="1165" ht="15.75" customHeight="1">
      <c r="A1165" s="4" t="s">
        <v>2541</v>
      </c>
      <c r="B1165" s="4" t="s">
        <v>13</v>
      </c>
      <c r="D1165" s="4">
        <v>0.4</v>
      </c>
      <c r="E1165" s="4">
        <v>0.4</v>
      </c>
      <c r="F1165" s="4">
        <v>2.0</v>
      </c>
      <c r="G1165" s="4">
        <v>0.4</v>
      </c>
      <c r="H1165" s="4">
        <v>0.4</v>
      </c>
      <c r="K1165" s="6" t="b">
        <f t="shared" ref="K1165:M1165" si="1131">FALSE()</f>
        <v>0</v>
      </c>
      <c r="L1165" s="6" t="b">
        <f t="shared" si="1131"/>
        <v>0</v>
      </c>
      <c r="M1165" s="6" t="b">
        <f t="shared" si="1131"/>
        <v>0</v>
      </c>
      <c r="O1165" s="4">
        <v>1.09861228866811</v>
      </c>
      <c r="T1165" s="4" t="str">
        <f t="shared" si="3"/>
        <v/>
      </c>
      <c r="U1165" s="4" t="str">
        <f t="shared" si="4"/>
        <v/>
      </c>
    </row>
    <row r="1166" ht="15.75" customHeight="1">
      <c r="A1166" s="4" t="s">
        <v>460</v>
      </c>
      <c r="B1166" s="4" t="s">
        <v>13</v>
      </c>
      <c r="C1166" s="4">
        <v>0.1073</v>
      </c>
      <c r="D1166" s="4">
        <v>0.0107</v>
      </c>
      <c r="E1166" s="4">
        <v>0.0107</v>
      </c>
      <c r="I1166" s="4">
        <v>0.642</v>
      </c>
      <c r="J1166" s="4">
        <v>0.0134</v>
      </c>
      <c r="K1166" s="6" t="b">
        <f t="shared" ref="K1166:M1166" si="1132">FALSE()</f>
        <v>0</v>
      </c>
      <c r="L1166" s="6" t="b">
        <f t="shared" si="1132"/>
        <v>0</v>
      </c>
      <c r="M1166" s="6" t="b">
        <f t="shared" si="1132"/>
        <v>0</v>
      </c>
      <c r="N1166" s="4">
        <v>0.101924619721926</v>
      </c>
      <c r="P1166" s="4">
        <v>0.495915011030237</v>
      </c>
      <c r="T1166" s="4">
        <f t="shared" si="3"/>
        <v>1252</v>
      </c>
      <c r="U1166" s="4">
        <f t="shared" si="4"/>
        <v>921</v>
      </c>
    </row>
    <row r="1167" ht="15.75" customHeight="1">
      <c r="A1167" s="4" t="s">
        <v>2542</v>
      </c>
      <c r="B1167" s="4" t="s">
        <v>13</v>
      </c>
      <c r="C1167" s="4">
        <v>10.32</v>
      </c>
      <c r="D1167" s="4">
        <v>1.38</v>
      </c>
      <c r="E1167" s="4">
        <v>2.43</v>
      </c>
      <c r="F1167" s="4">
        <v>8.35</v>
      </c>
      <c r="G1167" s="4">
        <v>0.18</v>
      </c>
      <c r="H1167" s="4">
        <v>0.18</v>
      </c>
      <c r="K1167" s="6" t="b">
        <f t="shared" ref="K1167:L1167" si="1133">TRUE()</f>
        <v>1</v>
      </c>
      <c r="L1167" s="6" t="b">
        <f t="shared" si="1133"/>
        <v>1</v>
      </c>
      <c r="M1167" s="6" t="b">
        <f>FALSE()</f>
        <v>0</v>
      </c>
      <c r="N1167" s="4">
        <v>2.42657107277504</v>
      </c>
      <c r="O1167" s="4">
        <v>2.2353763433006</v>
      </c>
      <c r="T1167" s="4">
        <f t="shared" si="3"/>
        <v>47</v>
      </c>
      <c r="U1167" s="4" t="str">
        <f t="shared" si="4"/>
        <v/>
      </c>
    </row>
    <row r="1168" ht="15.75" customHeight="1">
      <c r="A1168" s="4" t="s">
        <v>2543</v>
      </c>
      <c r="B1168" s="4" t="s">
        <v>13</v>
      </c>
      <c r="D1168" s="4">
        <v>4.57</v>
      </c>
      <c r="E1168" s="4">
        <v>4.57</v>
      </c>
      <c r="F1168" s="4">
        <v>5.36</v>
      </c>
      <c r="G1168" s="4">
        <v>4.57</v>
      </c>
      <c r="H1168" s="4">
        <v>4.57</v>
      </c>
      <c r="K1168" s="6" t="b">
        <f t="shared" ref="K1168:M1168" si="1134">FALSE()</f>
        <v>0</v>
      </c>
      <c r="L1168" s="6" t="b">
        <f t="shared" si="1134"/>
        <v>0</v>
      </c>
      <c r="M1168" s="6" t="b">
        <f t="shared" si="1134"/>
        <v>0</v>
      </c>
      <c r="O1168" s="4">
        <v>1.85002837735203</v>
      </c>
      <c r="T1168" s="4" t="str">
        <f t="shared" si="3"/>
        <v/>
      </c>
      <c r="U1168" s="4" t="str">
        <f t="shared" si="4"/>
        <v/>
      </c>
    </row>
    <row r="1169" ht="15.75" customHeight="1">
      <c r="A1169" s="4" t="s">
        <v>2544</v>
      </c>
      <c r="B1169" s="4" t="s">
        <v>13</v>
      </c>
      <c r="C1169" s="4">
        <v>5.03</v>
      </c>
      <c r="D1169" s="4">
        <v>0.79</v>
      </c>
      <c r="E1169" s="4">
        <v>0.79</v>
      </c>
      <c r="K1169" s="6" t="b">
        <f>TRUE()</f>
        <v>1</v>
      </c>
      <c r="L1169" s="6" t="b">
        <f t="shared" ref="L1169:M1169" si="1135">FALSE()</f>
        <v>0</v>
      </c>
      <c r="M1169" s="6" t="b">
        <f t="shared" si="1135"/>
        <v>0</v>
      </c>
      <c r="N1169" s="4">
        <v>1.79674701073909</v>
      </c>
      <c r="T1169" s="4">
        <f t="shared" si="3"/>
        <v>208</v>
      </c>
      <c r="U1169" s="4" t="str">
        <f t="shared" si="4"/>
        <v/>
      </c>
    </row>
    <row r="1170" ht="15.75" customHeight="1">
      <c r="A1170" s="4" t="s">
        <v>2545</v>
      </c>
      <c r="B1170" s="4" t="s">
        <v>13</v>
      </c>
      <c r="D1170" s="4">
        <v>0.0046</v>
      </c>
      <c r="E1170" s="4">
        <v>0.0046</v>
      </c>
      <c r="F1170" s="4">
        <v>0.057</v>
      </c>
      <c r="G1170" s="4">
        <v>0.0046</v>
      </c>
      <c r="H1170" s="4">
        <v>0.0046</v>
      </c>
      <c r="K1170" s="6" t="b">
        <f t="shared" ref="K1170:M1170" si="1136">FALSE()</f>
        <v>0</v>
      </c>
      <c r="L1170" s="6" t="b">
        <f t="shared" si="1136"/>
        <v>0</v>
      </c>
      <c r="M1170" s="6" t="b">
        <f t="shared" si="1136"/>
        <v>0</v>
      </c>
      <c r="O1170" s="4">
        <v>0.0554347068881005</v>
      </c>
      <c r="T1170" s="4" t="str">
        <f t="shared" si="3"/>
        <v/>
      </c>
      <c r="U1170" s="4" t="str">
        <f t="shared" si="4"/>
        <v/>
      </c>
    </row>
    <row r="1171" ht="15.75" customHeight="1">
      <c r="A1171" s="4" t="s">
        <v>2546</v>
      </c>
      <c r="B1171" s="4" t="s">
        <v>13</v>
      </c>
      <c r="D1171" s="4">
        <v>0.14</v>
      </c>
      <c r="E1171" s="4">
        <v>0.14</v>
      </c>
      <c r="F1171" s="4">
        <v>1.11</v>
      </c>
      <c r="G1171" s="4">
        <v>0.14</v>
      </c>
      <c r="H1171" s="4">
        <v>0.14</v>
      </c>
      <c r="K1171" s="6" t="b">
        <f t="shared" ref="K1171:M1171" si="1137">FALSE()</f>
        <v>0</v>
      </c>
      <c r="L1171" s="6" t="b">
        <f t="shared" si="1137"/>
        <v>0</v>
      </c>
      <c r="M1171" s="6" t="b">
        <f t="shared" si="1137"/>
        <v>0</v>
      </c>
      <c r="O1171" s="4">
        <v>0.746687947487975</v>
      </c>
      <c r="T1171" s="4" t="str">
        <f t="shared" si="3"/>
        <v/>
      </c>
      <c r="U1171" s="4" t="str">
        <f t="shared" si="4"/>
        <v/>
      </c>
    </row>
    <row r="1172" ht="15.75" customHeight="1">
      <c r="A1172" s="4" t="s">
        <v>2547</v>
      </c>
      <c r="B1172" s="4" t="s">
        <v>13</v>
      </c>
      <c r="D1172" s="4">
        <v>0.16</v>
      </c>
      <c r="E1172" s="4">
        <v>0.16</v>
      </c>
      <c r="F1172" s="4">
        <v>3.76</v>
      </c>
      <c r="G1172" s="4">
        <v>0.16</v>
      </c>
      <c r="H1172" s="4">
        <v>0.16</v>
      </c>
      <c r="K1172" s="6" t="b">
        <f t="shared" ref="K1172:M1172" si="1138">FALSE()</f>
        <v>0</v>
      </c>
      <c r="L1172" s="6" t="b">
        <f t="shared" si="1138"/>
        <v>0</v>
      </c>
      <c r="M1172" s="6" t="b">
        <f t="shared" si="1138"/>
        <v>0</v>
      </c>
      <c r="O1172" s="4">
        <v>1.56024766824333</v>
      </c>
      <c r="T1172" s="4" t="str">
        <f t="shared" si="3"/>
        <v/>
      </c>
      <c r="U1172" s="4" t="str">
        <f t="shared" si="4"/>
        <v/>
      </c>
    </row>
    <row r="1173" ht="15.75" customHeight="1">
      <c r="A1173" s="4" t="s">
        <v>2548</v>
      </c>
      <c r="B1173" s="4" t="s">
        <v>13</v>
      </c>
      <c r="C1173" s="4">
        <v>0.7</v>
      </c>
      <c r="D1173" s="4">
        <v>0.3</v>
      </c>
      <c r="E1173" s="4">
        <v>0.3</v>
      </c>
      <c r="K1173" s="6" t="b">
        <f t="shared" ref="K1173:M1173" si="1139">FALSE()</f>
        <v>0</v>
      </c>
      <c r="L1173" s="6" t="b">
        <f t="shared" si="1139"/>
        <v>0</v>
      </c>
      <c r="M1173" s="6" t="b">
        <f t="shared" si="1139"/>
        <v>0</v>
      </c>
      <c r="N1173" s="4">
        <v>0.53062825106217</v>
      </c>
      <c r="T1173" s="4">
        <f t="shared" si="3"/>
        <v>819</v>
      </c>
      <c r="U1173" s="4" t="str">
        <f t="shared" si="4"/>
        <v/>
      </c>
    </row>
    <row r="1174" ht="15.75" customHeight="1">
      <c r="A1174" s="4" t="s">
        <v>2549</v>
      </c>
      <c r="B1174" s="4" t="s">
        <v>13</v>
      </c>
      <c r="F1174" s="4">
        <v>0.37</v>
      </c>
      <c r="K1174" s="6" t="b">
        <f t="shared" ref="K1174:M1174" si="1140">FALSE()</f>
        <v>0</v>
      </c>
      <c r="L1174" s="6" t="b">
        <f t="shared" si="1140"/>
        <v>0</v>
      </c>
      <c r="M1174" s="6" t="b">
        <f t="shared" si="1140"/>
        <v>0</v>
      </c>
      <c r="O1174" s="4">
        <v>0.314810739840034</v>
      </c>
      <c r="T1174" s="4" t="str">
        <f t="shared" si="3"/>
        <v/>
      </c>
      <c r="U1174" s="4" t="str">
        <f t="shared" si="4"/>
        <v/>
      </c>
    </row>
    <row r="1175" ht="15.75" customHeight="1">
      <c r="A1175" s="4" t="s">
        <v>2550</v>
      </c>
      <c r="B1175" s="4" t="s">
        <v>13</v>
      </c>
      <c r="D1175" s="4">
        <v>0.003</v>
      </c>
      <c r="E1175" s="4">
        <v>0.002</v>
      </c>
      <c r="F1175" s="4">
        <v>0.011</v>
      </c>
      <c r="G1175" s="4">
        <v>0.003</v>
      </c>
      <c r="H1175" s="4">
        <v>0.002</v>
      </c>
      <c r="K1175" s="6" t="b">
        <f t="shared" ref="K1175:M1175" si="1141">FALSE()</f>
        <v>0</v>
      </c>
      <c r="L1175" s="6" t="b">
        <f t="shared" si="1141"/>
        <v>0</v>
      </c>
      <c r="M1175" s="6" t="b">
        <f t="shared" si="1141"/>
        <v>0</v>
      </c>
      <c r="O1175" s="4">
        <v>0.0109399400383343</v>
      </c>
      <c r="T1175" s="4" t="str">
        <f t="shared" si="3"/>
        <v/>
      </c>
      <c r="U1175" s="4" t="str">
        <f t="shared" si="4"/>
        <v/>
      </c>
    </row>
    <row r="1176" ht="15.75" customHeight="1">
      <c r="A1176" s="4" t="s">
        <v>2551</v>
      </c>
      <c r="B1176" s="4" t="s">
        <v>13</v>
      </c>
      <c r="D1176" s="4">
        <v>0.0016</v>
      </c>
      <c r="E1176" s="4">
        <v>0.0016</v>
      </c>
      <c r="F1176" s="4">
        <v>0.0132</v>
      </c>
      <c r="G1176" s="4">
        <v>0.0016</v>
      </c>
      <c r="H1176" s="4">
        <v>0.0016</v>
      </c>
      <c r="K1176" s="6" t="b">
        <f t="shared" ref="K1176:M1176" si="1142">FALSE()</f>
        <v>0</v>
      </c>
      <c r="L1176" s="6" t="b">
        <f t="shared" si="1142"/>
        <v>0</v>
      </c>
      <c r="M1176" s="6" t="b">
        <f t="shared" si="1142"/>
        <v>0</v>
      </c>
      <c r="O1176" s="4">
        <v>0.0131136391453831</v>
      </c>
      <c r="T1176" s="4" t="str">
        <f t="shared" si="3"/>
        <v/>
      </c>
      <c r="U1176" s="4" t="str">
        <f t="shared" si="4"/>
        <v/>
      </c>
    </row>
    <row r="1177" ht="15.75" customHeight="1">
      <c r="A1177" s="4" t="s">
        <v>2552</v>
      </c>
      <c r="B1177" s="4" t="s">
        <v>13</v>
      </c>
      <c r="D1177" s="4">
        <v>0.0019</v>
      </c>
      <c r="E1177" s="4">
        <v>0.0019</v>
      </c>
      <c r="F1177" s="4">
        <v>0.0223</v>
      </c>
      <c r="G1177" s="4">
        <v>0.0019</v>
      </c>
      <c r="H1177" s="4">
        <v>0.0019</v>
      </c>
      <c r="K1177" s="6" t="b">
        <f t="shared" ref="K1177:M1177" si="1143">FALSE()</f>
        <v>0</v>
      </c>
      <c r="L1177" s="6" t="b">
        <f t="shared" si="1143"/>
        <v>0</v>
      </c>
      <c r="M1177" s="6" t="b">
        <f t="shared" si="1143"/>
        <v>0</v>
      </c>
      <c r="O1177" s="4">
        <v>0.0220549907808313</v>
      </c>
      <c r="T1177" s="4" t="str">
        <f t="shared" si="3"/>
        <v/>
      </c>
      <c r="U1177" s="4" t="str">
        <f t="shared" si="4"/>
        <v/>
      </c>
    </row>
    <row r="1178" ht="15.75" customHeight="1">
      <c r="A1178" s="4" t="s">
        <v>2553</v>
      </c>
      <c r="B1178" s="4" t="s">
        <v>13</v>
      </c>
      <c r="D1178" s="4">
        <v>0.00399</v>
      </c>
      <c r="E1178" s="4">
        <v>0.00399</v>
      </c>
      <c r="F1178" s="4">
        <v>0.0318</v>
      </c>
      <c r="G1178" s="4">
        <v>0.00399</v>
      </c>
      <c r="H1178" s="4">
        <v>0.00399</v>
      </c>
      <c r="K1178" s="6" t="b">
        <f t="shared" ref="K1178:M1178" si="1144">FALSE()</f>
        <v>0</v>
      </c>
      <c r="L1178" s="6" t="b">
        <f t="shared" si="1144"/>
        <v>0</v>
      </c>
      <c r="M1178" s="6" t="b">
        <f t="shared" si="1144"/>
        <v>0</v>
      </c>
      <c r="O1178" s="4">
        <v>0.0313048498284124</v>
      </c>
      <c r="T1178" s="4" t="str">
        <f t="shared" si="3"/>
        <v/>
      </c>
      <c r="U1178" s="4" t="str">
        <f t="shared" si="4"/>
        <v/>
      </c>
    </row>
    <row r="1179" ht="15.75" customHeight="1">
      <c r="A1179" s="4" t="s">
        <v>2554</v>
      </c>
      <c r="B1179" s="4" t="s">
        <v>13</v>
      </c>
      <c r="I1179" s="4">
        <v>0.1204</v>
      </c>
      <c r="J1179" s="4">
        <v>0.00375</v>
      </c>
      <c r="K1179" s="6" t="b">
        <f t="shared" ref="K1179:M1179" si="1145">FALSE()</f>
        <v>0</v>
      </c>
      <c r="L1179" s="6" t="b">
        <f t="shared" si="1145"/>
        <v>0</v>
      </c>
      <c r="M1179" s="6" t="b">
        <f t="shared" si="1145"/>
        <v>0</v>
      </c>
      <c r="P1179" s="4">
        <v>0.113685764403816</v>
      </c>
      <c r="T1179" s="4" t="str">
        <f t="shared" si="3"/>
        <v/>
      </c>
      <c r="U1179" s="4">
        <f t="shared" si="4"/>
        <v>3854</v>
      </c>
    </row>
    <row r="1180" ht="15.75" customHeight="1">
      <c r="A1180" s="4" t="s">
        <v>2555</v>
      </c>
      <c r="B1180" s="4" t="s">
        <v>13</v>
      </c>
      <c r="I1180" s="4">
        <v>0.28799</v>
      </c>
      <c r="J1180" s="4">
        <v>0.00526</v>
      </c>
      <c r="K1180" s="6" t="b">
        <f t="shared" ref="K1180:M1180" si="1146">FALSE()</f>
        <v>0</v>
      </c>
      <c r="L1180" s="6" t="b">
        <f t="shared" si="1146"/>
        <v>0</v>
      </c>
      <c r="M1180" s="6" t="b">
        <f t="shared" si="1146"/>
        <v>0</v>
      </c>
      <c r="P1180" s="4">
        <v>0.253082863676867</v>
      </c>
      <c r="T1180" s="4" t="str">
        <f t="shared" si="3"/>
        <v/>
      </c>
      <c r="U1180" s="4">
        <f t="shared" si="4"/>
        <v>1448</v>
      </c>
    </row>
    <row r="1181" ht="15.75" customHeight="1">
      <c r="A1181" s="4" t="s">
        <v>2556</v>
      </c>
      <c r="B1181" s="4" t="s">
        <v>13</v>
      </c>
      <c r="D1181" s="4">
        <v>0.056</v>
      </c>
      <c r="E1181" s="4">
        <v>0.056</v>
      </c>
      <c r="F1181" s="4">
        <v>0.687</v>
      </c>
      <c r="G1181" s="4">
        <v>0.056</v>
      </c>
      <c r="H1181" s="4">
        <v>0.056</v>
      </c>
      <c r="K1181" s="6" t="b">
        <f t="shared" ref="K1181:M1181" si="1147">FALSE()</f>
        <v>0</v>
      </c>
      <c r="L1181" s="6" t="b">
        <f t="shared" si="1147"/>
        <v>0</v>
      </c>
      <c r="M1181" s="6" t="b">
        <f t="shared" si="1147"/>
        <v>0</v>
      </c>
      <c r="O1181" s="4">
        <v>0.522951803563831</v>
      </c>
      <c r="T1181" s="4" t="str">
        <f t="shared" si="3"/>
        <v/>
      </c>
      <c r="U1181" s="4" t="str">
        <f t="shared" si="4"/>
        <v/>
      </c>
    </row>
    <row r="1182" ht="15.75" customHeight="1">
      <c r="A1182" s="4" t="s">
        <v>2557</v>
      </c>
      <c r="B1182" s="4" t="s">
        <v>13</v>
      </c>
      <c r="D1182" s="4">
        <v>0.13</v>
      </c>
      <c r="E1182" s="4">
        <v>0.13</v>
      </c>
      <c r="F1182" s="4">
        <v>1.7</v>
      </c>
      <c r="G1182" s="4">
        <v>0.13</v>
      </c>
      <c r="H1182" s="4">
        <v>0.13</v>
      </c>
      <c r="K1182" s="6" t="b">
        <f t="shared" ref="K1182:M1182" si="1148">FALSE()</f>
        <v>0</v>
      </c>
      <c r="L1182" s="6" t="b">
        <f t="shared" si="1148"/>
        <v>0</v>
      </c>
      <c r="M1182" s="6" t="b">
        <f t="shared" si="1148"/>
        <v>0</v>
      </c>
      <c r="O1182" s="4">
        <v>0.993251773010283</v>
      </c>
      <c r="T1182" s="4" t="str">
        <f t="shared" si="3"/>
        <v/>
      </c>
      <c r="U1182" s="4" t="str">
        <f t="shared" si="4"/>
        <v/>
      </c>
    </row>
    <row r="1183" ht="15.75" customHeight="1">
      <c r="A1183" s="4" t="s">
        <v>2558</v>
      </c>
      <c r="B1183" s="4" t="s">
        <v>13</v>
      </c>
      <c r="D1183" s="4">
        <v>0.03</v>
      </c>
      <c r="E1183" s="4">
        <v>0.03</v>
      </c>
      <c r="F1183" s="4">
        <v>0.53</v>
      </c>
      <c r="G1183" s="4">
        <v>0.03</v>
      </c>
      <c r="H1183" s="4">
        <v>0.03</v>
      </c>
      <c r="K1183" s="6" t="b">
        <f t="shared" ref="K1183:M1183" si="1149">FALSE()</f>
        <v>0</v>
      </c>
      <c r="L1183" s="6" t="b">
        <f t="shared" si="1149"/>
        <v>0</v>
      </c>
      <c r="M1183" s="6" t="b">
        <f t="shared" si="1149"/>
        <v>0</v>
      </c>
      <c r="O1183" s="4">
        <v>0.425267735404344</v>
      </c>
      <c r="T1183" s="4" t="str">
        <f t="shared" si="3"/>
        <v/>
      </c>
      <c r="U1183" s="4" t="str">
        <f t="shared" si="4"/>
        <v/>
      </c>
    </row>
    <row r="1184" ht="15.75" customHeight="1">
      <c r="A1184" s="4" t="s">
        <v>2559</v>
      </c>
      <c r="B1184" s="4" t="s">
        <v>13</v>
      </c>
      <c r="D1184" s="4">
        <v>0.17</v>
      </c>
      <c r="E1184" s="4">
        <v>0.17</v>
      </c>
      <c r="F1184" s="4">
        <v>1.26</v>
      </c>
      <c r="G1184" s="4">
        <v>0.17</v>
      </c>
      <c r="H1184" s="4">
        <v>0.17</v>
      </c>
      <c r="I1184" s="4">
        <v>1.242</v>
      </c>
      <c r="K1184" s="6" t="b">
        <f t="shared" ref="K1184:L1184" si="1150">FALSE()</f>
        <v>0</v>
      </c>
      <c r="L1184" s="6" t="b">
        <f t="shared" si="1150"/>
        <v>0</v>
      </c>
      <c r="M1184" s="6" t="b">
        <f>TRUE()</f>
        <v>1</v>
      </c>
      <c r="O1184" s="4">
        <v>0.815364813284195</v>
      </c>
      <c r="P1184" s="4">
        <v>0.807368324649968</v>
      </c>
      <c r="T1184" s="4" t="str">
        <f t="shared" si="3"/>
        <v/>
      </c>
      <c r="U1184" s="4">
        <f t="shared" si="4"/>
        <v>324</v>
      </c>
    </row>
    <row r="1185" ht="15.75" customHeight="1">
      <c r="A1185" s="4" t="s">
        <v>2560</v>
      </c>
      <c r="B1185" s="4" t="s">
        <v>13</v>
      </c>
      <c r="D1185" s="4">
        <v>0.17</v>
      </c>
      <c r="E1185" s="4">
        <v>0.17</v>
      </c>
      <c r="F1185" s="4">
        <v>2.13</v>
      </c>
      <c r="G1185" s="4">
        <v>0.17</v>
      </c>
      <c r="H1185" s="4">
        <v>0.17</v>
      </c>
      <c r="K1185" s="6" t="b">
        <f t="shared" ref="K1185:M1185" si="1151">FALSE()</f>
        <v>0</v>
      </c>
      <c r="L1185" s="6" t="b">
        <f t="shared" si="1151"/>
        <v>0</v>
      </c>
      <c r="M1185" s="6" t="b">
        <f t="shared" si="1151"/>
        <v>0</v>
      </c>
      <c r="O1185" s="4">
        <v>1.14103300455206</v>
      </c>
      <c r="T1185" s="4" t="str">
        <f t="shared" si="3"/>
        <v/>
      </c>
      <c r="U1185" s="4" t="str">
        <f t="shared" si="4"/>
        <v/>
      </c>
    </row>
    <row r="1186" ht="15.75" customHeight="1">
      <c r="A1186" s="4" t="s">
        <v>2561</v>
      </c>
      <c r="B1186" s="4" t="s">
        <v>13</v>
      </c>
      <c r="D1186" s="4">
        <v>0.25</v>
      </c>
      <c r="E1186" s="4">
        <v>0.25</v>
      </c>
      <c r="F1186" s="4">
        <v>8.9</v>
      </c>
      <c r="G1186" s="4">
        <v>0.25</v>
      </c>
      <c r="H1186" s="4">
        <v>0.25</v>
      </c>
      <c r="K1186" s="6" t="b">
        <f t="shared" ref="K1186:K1191" si="1152">FALSE()</f>
        <v>0</v>
      </c>
      <c r="L1186" s="6" t="b">
        <f>TRUE()</f>
        <v>1</v>
      </c>
      <c r="M1186" s="6" t="b">
        <f>FALSE()</f>
        <v>0</v>
      </c>
      <c r="O1186" s="4">
        <v>2.29253475714054</v>
      </c>
      <c r="T1186" s="4" t="str">
        <f t="shared" si="3"/>
        <v/>
      </c>
      <c r="U1186" s="4" t="str">
        <f t="shared" si="4"/>
        <v/>
      </c>
    </row>
    <row r="1187" ht="15.75" customHeight="1">
      <c r="A1187" s="4" t="s">
        <v>2562</v>
      </c>
      <c r="B1187" s="4" t="s">
        <v>13</v>
      </c>
      <c r="C1187" s="4">
        <v>2.6</v>
      </c>
      <c r="D1187" s="4">
        <v>0.4</v>
      </c>
      <c r="E1187" s="4">
        <v>0.4</v>
      </c>
      <c r="K1187" s="6" t="b">
        <f t="shared" si="1152"/>
        <v>0</v>
      </c>
      <c r="L1187" s="6" t="b">
        <f t="shared" ref="L1187:M1187" si="1153">FALSE()</f>
        <v>0</v>
      </c>
      <c r="M1187" s="6" t="b">
        <f t="shared" si="1153"/>
        <v>0</v>
      </c>
      <c r="N1187" s="4">
        <v>1.28093384546206</v>
      </c>
      <c r="T1187" s="4">
        <f t="shared" si="3"/>
        <v>358</v>
      </c>
      <c r="U1187" s="4" t="str">
        <f t="shared" si="4"/>
        <v/>
      </c>
    </row>
    <row r="1188" ht="15.75" customHeight="1">
      <c r="A1188" s="4" t="s">
        <v>2563</v>
      </c>
      <c r="B1188" s="4" t="s">
        <v>13</v>
      </c>
      <c r="D1188" s="4">
        <v>0.1</v>
      </c>
      <c r="E1188" s="4">
        <v>0.1</v>
      </c>
      <c r="F1188" s="4">
        <v>1.2</v>
      </c>
      <c r="G1188" s="4">
        <v>0.1</v>
      </c>
      <c r="H1188" s="4">
        <v>0.1</v>
      </c>
      <c r="K1188" s="6" t="b">
        <f t="shared" si="1152"/>
        <v>0</v>
      </c>
      <c r="L1188" s="6" t="b">
        <f t="shared" ref="L1188:M1188" si="1154">FALSE()</f>
        <v>0</v>
      </c>
      <c r="M1188" s="6" t="b">
        <f t="shared" si="1154"/>
        <v>0</v>
      </c>
      <c r="O1188" s="4">
        <v>0.78845736036427</v>
      </c>
      <c r="T1188" s="4" t="str">
        <f t="shared" si="3"/>
        <v/>
      </c>
      <c r="U1188" s="4" t="str">
        <f t="shared" si="4"/>
        <v/>
      </c>
    </row>
    <row r="1189" ht="15.75" customHeight="1">
      <c r="A1189" s="4" t="s">
        <v>2564</v>
      </c>
      <c r="B1189" s="4" t="s">
        <v>13</v>
      </c>
      <c r="D1189" s="4">
        <v>0.59</v>
      </c>
      <c r="E1189" s="4">
        <v>0.13</v>
      </c>
      <c r="F1189" s="4">
        <v>3.97</v>
      </c>
      <c r="G1189" s="4">
        <v>0.59</v>
      </c>
      <c r="H1189" s="4">
        <v>0.13</v>
      </c>
      <c r="K1189" s="6" t="b">
        <f t="shared" si="1152"/>
        <v>0</v>
      </c>
      <c r="L1189" s="6" t="b">
        <f t="shared" ref="L1189:M1189" si="1155">FALSE()</f>
        <v>0</v>
      </c>
      <c r="M1189" s="6" t="b">
        <f t="shared" si="1155"/>
        <v>0</v>
      </c>
      <c r="O1189" s="4">
        <v>1.60341984010854</v>
      </c>
      <c r="T1189" s="4" t="str">
        <f t="shared" si="3"/>
        <v/>
      </c>
      <c r="U1189" s="4" t="str">
        <f t="shared" si="4"/>
        <v/>
      </c>
    </row>
    <row r="1190" ht="15.75" customHeight="1">
      <c r="A1190" s="4" t="s">
        <v>2565</v>
      </c>
      <c r="B1190" s="4" t="s">
        <v>13</v>
      </c>
      <c r="D1190" s="4">
        <v>0.44</v>
      </c>
      <c r="E1190" s="4">
        <v>0.61</v>
      </c>
      <c r="F1190" s="4">
        <v>5.01</v>
      </c>
      <c r="G1190" s="4">
        <v>0.44</v>
      </c>
      <c r="H1190" s="4">
        <v>0.61</v>
      </c>
      <c r="K1190" s="6" t="b">
        <f t="shared" si="1152"/>
        <v>0</v>
      </c>
      <c r="L1190" s="6" t="b">
        <f t="shared" ref="L1190:M1190" si="1156">FALSE()</f>
        <v>0</v>
      </c>
      <c r="M1190" s="6" t="b">
        <f t="shared" si="1156"/>
        <v>0</v>
      </c>
      <c r="O1190" s="4">
        <v>1.79342474854712</v>
      </c>
      <c r="T1190" s="4" t="str">
        <f t="shared" si="3"/>
        <v/>
      </c>
      <c r="U1190" s="4" t="str">
        <f t="shared" si="4"/>
        <v/>
      </c>
    </row>
    <row r="1191" ht="15.75" customHeight="1">
      <c r="A1191" s="4" t="s">
        <v>461</v>
      </c>
      <c r="B1191" s="4" t="s">
        <v>13</v>
      </c>
      <c r="C1191" s="4">
        <v>0.12406</v>
      </c>
      <c r="D1191" s="4">
        <v>0.01299</v>
      </c>
      <c r="E1191" s="4">
        <v>0.019</v>
      </c>
      <c r="I1191" s="4">
        <v>0.3551</v>
      </c>
      <c r="J1191" s="4">
        <v>0.008</v>
      </c>
      <c r="K1191" s="6" t="b">
        <f t="shared" si="1152"/>
        <v>0</v>
      </c>
      <c r="L1191" s="6" t="b">
        <f t="shared" ref="L1191:M1191" si="1157">FALSE()</f>
        <v>0</v>
      </c>
      <c r="M1191" s="6" t="b">
        <f t="shared" si="1157"/>
        <v>0</v>
      </c>
      <c r="N1191" s="4">
        <v>0.116947130829714</v>
      </c>
      <c r="P1191" s="4">
        <v>0.303875252346531</v>
      </c>
      <c r="T1191" s="4">
        <f t="shared" si="3"/>
        <v>1222</v>
      </c>
      <c r="U1191" s="4">
        <f t="shared" si="4"/>
        <v>1194</v>
      </c>
    </row>
    <row r="1192" ht="15.75" customHeight="1">
      <c r="A1192" s="4" t="s">
        <v>2566</v>
      </c>
      <c r="B1192" s="4" t="s">
        <v>13</v>
      </c>
      <c r="C1192" s="4">
        <v>6.021</v>
      </c>
      <c r="D1192" s="4">
        <v>0.258</v>
      </c>
      <c r="E1192" s="4">
        <v>1.616</v>
      </c>
      <c r="F1192" s="4">
        <v>6.84</v>
      </c>
      <c r="G1192" s="4">
        <v>0.31</v>
      </c>
      <c r="H1192" s="4">
        <v>0.31</v>
      </c>
      <c r="K1192" s="6" t="b">
        <f t="shared" ref="K1192:L1192" si="1158">TRUE()</f>
        <v>1</v>
      </c>
      <c r="L1192" s="6" t="b">
        <f t="shared" si="1158"/>
        <v>1</v>
      </c>
      <c r="M1192" s="6" t="b">
        <f>FALSE()</f>
        <v>0</v>
      </c>
      <c r="N1192" s="4">
        <v>1.94890565803511</v>
      </c>
      <c r="O1192" s="4">
        <v>2.05923883436232</v>
      </c>
      <c r="T1192" s="4">
        <f t="shared" si="3"/>
        <v>161</v>
      </c>
      <c r="U1192" s="4" t="str">
        <f t="shared" si="4"/>
        <v/>
      </c>
    </row>
    <row r="1193" ht="15.75" customHeight="1">
      <c r="A1193" s="4" t="s">
        <v>2567</v>
      </c>
      <c r="B1193" s="4" t="s">
        <v>13</v>
      </c>
      <c r="F1193" s="4">
        <v>0.62</v>
      </c>
      <c r="K1193" s="6" t="b">
        <f t="shared" ref="K1193:M1193" si="1159">FALSE()</f>
        <v>0</v>
      </c>
      <c r="L1193" s="6" t="b">
        <f t="shared" si="1159"/>
        <v>0</v>
      </c>
      <c r="M1193" s="6" t="b">
        <f t="shared" si="1159"/>
        <v>0</v>
      </c>
      <c r="O1193" s="4">
        <v>0.482426149244293</v>
      </c>
      <c r="T1193" s="4" t="str">
        <f t="shared" si="3"/>
        <v/>
      </c>
      <c r="U1193" s="4" t="str">
        <f t="shared" si="4"/>
        <v/>
      </c>
    </row>
    <row r="1194" ht="15.75" customHeight="1">
      <c r="A1194" s="4" t="s">
        <v>2568</v>
      </c>
      <c r="B1194" s="4" t="s">
        <v>13</v>
      </c>
      <c r="D1194" s="4">
        <v>0.3</v>
      </c>
      <c r="E1194" s="4">
        <v>0.3</v>
      </c>
      <c r="F1194" s="4">
        <v>4.6</v>
      </c>
      <c r="G1194" s="4">
        <v>0.3</v>
      </c>
      <c r="H1194" s="4">
        <v>0.3</v>
      </c>
      <c r="K1194" s="6" t="b">
        <f t="shared" ref="K1194:M1194" si="1160">FALSE()</f>
        <v>0</v>
      </c>
      <c r="L1194" s="6" t="b">
        <f t="shared" si="1160"/>
        <v>0</v>
      </c>
      <c r="M1194" s="6" t="b">
        <f t="shared" si="1160"/>
        <v>0</v>
      </c>
      <c r="O1194" s="4">
        <v>1.7227665977411</v>
      </c>
      <c r="T1194" s="4" t="str">
        <f t="shared" si="3"/>
        <v/>
      </c>
      <c r="U1194" s="4" t="str">
        <f t="shared" si="4"/>
        <v/>
      </c>
    </row>
    <row r="1195" ht="15.75" customHeight="1">
      <c r="A1195" s="4" t="s">
        <v>2569</v>
      </c>
      <c r="B1195" s="4" t="s">
        <v>13</v>
      </c>
      <c r="D1195" s="4">
        <v>0.1</v>
      </c>
      <c r="E1195" s="4">
        <v>0.1</v>
      </c>
      <c r="F1195" s="4">
        <v>0.9</v>
      </c>
      <c r="G1195" s="4">
        <v>0.1</v>
      </c>
      <c r="H1195" s="4">
        <v>0.1</v>
      </c>
      <c r="K1195" s="6" t="b">
        <f t="shared" ref="K1195:M1195" si="1161">FALSE()</f>
        <v>0</v>
      </c>
      <c r="L1195" s="6" t="b">
        <f t="shared" si="1161"/>
        <v>0</v>
      </c>
      <c r="M1195" s="6" t="b">
        <f t="shared" si="1161"/>
        <v>0</v>
      </c>
      <c r="O1195" s="4">
        <v>0.641853886172395</v>
      </c>
      <c r="T1195" s="4" t="str">
        <f t="shared" si="3"/>
        <v/>
      </c>
      <c r="U1195" s="4" t="str">
        <f t="shared" si="4"/>
        <v/>
      </c>
    </row>
    <row r="1196" ht="15.75" customHeight="1">
      <c r="A1196" s="4" t="s">
        <v>2570</v>
      </c>
      <c r="B1196" s="4" t="s">
        <v>13</v>
      </c>
      <c r="D1196" s="4">
        <v>0.18</v>
      </c>
      <c r="E1196" s="4">
        <v>0.18</v>
      </c>
      <c r="F1196" s="4">
        <v>0.68</v>
      </c>
      <c r="G1196" s="4">
        <v>0.18</v>
      </c>
      <c r="H1196" s="4">
        <v>0.18</v>
      </c>
      <c r="K1196" s="6" t="b">
        <f t="shared" ref="K1196:M1196" si="1162">FALSE()</f>
        <v>0</v>
      </c>
      <c r="L1196" s="6" t="b">
        <f t="shared" si="1162"/>
        <v>0</v>
      </c>
      <c r="M1196" s="6" t="b">
        <f t="shared" si="1162"/>
        <v>0</v>
      </c>
      <c r="O1196" s="4">
        <v>0.518793793415168</v>
      </c>
      <c r="T1196" s="4" t="str">
        <f t="shared" si="3"/>
        <v/>
      </c>
      <c r="U1196" s="4" t="str">
        <f t="shared" si="4"/>
        <v/>
      </c>
    </row>
    <row r="1197" ht="15.75" customHeight="1">
      <c r="A1197" s="4" t="s">
        <v>2571</v>
      </c>
      <c r="B1197" s="4" t="s">
        <v>13</v>
      </c>
      <c r="D1197" s="4">
        <v>0.0013</v>
      </c>
      <c r="E1197" s="4">
        <v>0.0013</v>
      </c>
      <c r="F1197" s="4">
        <v>0.028</v>
      </c>
      <c r="G1197" s="4">
        <v>0.0013</v>
      </c>
      <c r="H1197" s="4">
        <v>0.0013</v>
      </c>
      <c r="K1197" s="6" t="b">
        <f t="shared" ref="K1197:M1197" si="1163">FALSE()</f>
        <v>0</v>
      </c>
      <c r="L1197" s="6" t="b">
        <f t="shared" si="1163"/>
        <v>0</v>
      </c>
      <c r="M1197" s="6" t="b">
        <f t="shared" si="1163"/>
        <v>0</v>
      </c>
      <c r="O1197" s="4">
        <v>0.0276151670329733</v>
      </c>
      <c r="T1197" s="4" t="str">
        <f t="shared" si="3"/>
        <v/>
      </c>
      <c r="U1197" s="4" t="str">
        <f t="shared" si="4"/>
        <v/>
      </c>
    </row>
    <row r="1198" ht="15.75" customHeight="1">
      <c r="A1198" s="4" t="s">
        <v>2572</v>
      </c>
      <c r="B1198" s="4" t="s">
        <v>13</v>
      </c>
      <c r="D1198" s="4">
        <v>0.0013</v>
      </c>
      <c r="E1198" s="4">
        <v>0.0013</v>
      </c>
      <c r="F1198" s="4">
        <v>0.011</v>
      </c>
      <c r="G1198" s="4">
        <v>0.0013</v>
      </c>
      <c r="H1198" s="4">
        <v>0.0013</v>
      </c>
      <c r="K1198" s="6" t="b">
        <f t="shared" ref="K1198:M1198" si="1164">FALSE()</f>
        <v>0</v>
      </c>
      <c r="L1198" s="6" t="b">
        <f t="shared" si="1164"/>
        <v>0</v>
      </c>
      <c r="M1198" s="6" t="b">
        <f t="shared" si="1164"/>
        <v>0</v>
      </c>
      <c r="O1198" s="4">
        <v>0.0109399400383343</v>
      </c>
      <c r="T1198" s="4" t="str">
        <f t="shared" si="3"/>
        <v/>
      </c>
      <c r="U1198" s="4" t="str">
        <f t="shared" si="4"/>
        <v/>
      </c>
    </row>
    <row r="1199" ht="15.75" customHeight="1">
      <c r="A1199" s="4" t="s">
        <v>2573</v>
      </c>
      <c r="B1199" s="4" t="s">
        <v>13</v>
      </c>
      <c r="D1199" s="4">
        <v>0.003</v>
      </c>
      <c r="E1199" s="4">
        <v>0.003</v>
      </c>
      <c r="F1199" s="4">
        <v>0.04</v>
      </c>
      <c r="G1199" s="4">
        <v>0.003</v>
      </c>
      <c r="H1199" s="4">
        <v>0.003</v>
      </c>
      <c r="K1199" s="6" t="b">
        <f t="shared" ref="K1199:M1199" si="1165">FALSE()</f>
        <v>0</v>
      </c>
      <c r="L1199" s="6" t="b">
        <f t="shared" si="1165"/>
        <v>0</v>
      </c>
      <c r="M1199" s="6" t="b">
        <f t="shared" si="1165"/>
        <v>0</v>
      </c>
      <c r="O1199" s="4">
        <v>0.0392207131532812</v>
      </c>
      <c r="T1199" s="4" t="str">
        <f t="shared" si="3"/>
        <v/>
      </c>
      <c r="U1199" s="4" t="str">
        <f t="shared" si="4"/>
        <v/>
      </c>
    </row>
    <row r="1200" ht="15.75" customHeight="1">
      <c r="A1200" s="4" t="s">
        <v>2574</v>
      </c>
      <c r="B1200" s="4" t="s">
        <v>13</v>
      </c>
      <c r="D1200" s="4">
        <v>0.31</v>
      </c>
      <c r="E1200" s="4">
        <v>0.31</v>
      </c>
      <c r="F1200" s="4">
        <v>1.14</v>
      </c>
      <c r="G1200" s="4">
        <v>0.31</v>
      </c>
      <c r="H1200" s="4">
        <v>0.31</v>
      </c>
      <c r="K1200" s="6" t="b">
        <f t="shared" ref="K1200:M1200" si="1166">FALSE()</f>
        <v>0</v>
      </c>
      <c r="L1200" s="6" t="b">
        <f t="shared" si="1166"/>
        <v>0</v>
      </c>
      <c r="M1200" s="6" t="b">
        <f t="shared" si="1166"/>
        <v>0</v>
      </c>
      <c r="O1200" s="4">
        <v>0.76080582903376</v>
      </c>
      <c r="T1200" s="4" t="str">
        <f t="shared" si="3"/>
        <v/>
      </c>
      <c r="U1200" s="4" t="str">
        <f t="shared" si="4"/>
        <v/>
      </c>
    </row>
    <row r="1201" ht="15.75" customHeight="1">
      <c r="A1201" s="4" t="s">
        <v>2575</v>
      </c>
      <c r="B1201" s="4" t="s">
        <v>13</v>
      </c>
      <c r="C1201" s="4">
        <v>2.5</v>
      </c>
      <c r="D1201" s="4">
        <v>0.5</v>
      </c>
      <c r="E1201" s="4">
        <v>0.5</v>
      </c>
      <c r="K1201" s="6" t="b">
        <f t="shared" ref="K1201:M1201" si="1167">FALSE()</f>
        <v>0</v>
      </c>
      <c r="L1201" s="6" t="b">
        <f t="shared" si="1167"/>
        <v>0</v>
      </c>
      <c r="M1201" s="6" t="b">
        <f t="shared" si="1167"/>
        <v>0</v>
      </c>
      <c r="N1201" s="4">
        <v>1.25276296849537</v>
      </c>
      <c r="T1201" s="4">
        <f t="shared" si="3"/>
        <v>369</v>
      </c>
      <c r="U1201" s="4" t="str">
        <f t="shared" si="4"/>
        <v/>
      </c>
    </row>
    <row r="1202" ht="15.75" customHeight="1">
      <c r="A1202" s="4" t="s">
        <v>2576</v>
      </c>
      <c r="B1202" s="4" t="s">
        <v>13</v>
      </c>
      <c r="D1202" s="4">
        <v>1.3</v>
      </c>
      <c r="E1202" s="4">
        <v>1.3</v>
      </c>
      <c r="F1202" s="4">
        <v>3.5</v>
      </c>
      <c r="G1202" s="4">
        <v>1.3</v>
      </c>
      <c r="H1202" s="4">
        <v>1.3</v>
      </c>
      <c r="K1202" s="6" t="b">
        <f t="shared" ref="K1202:M1202" si="1168">FALSE()</f>
        <v>0</v>
      </c>
      <c r="L1202" s="6" t="b">
        <f t="shared" si="1168"/>
        <v>0</v>
      </c>
      <c r="M1202" s="6" t="b">
        <f t="shared" si="1168"/>
        <v>0</v>
      </c>
      <c r="O1202" s="4">
        <v>1.50407739677627</v>
      </c>
      <c r="T1202" s="4" t="str">
        <f t="shared" si="3"/>
        <v/>
      </c>
      <c r="U1202" s="4" t="str">
        <f t="shared" si="4"/>
        <v/>
      </c>
    </row>
    <row r="1203" ht="15.75" customHeight="1">
      <c r="A1203" s="4" t="s">
        <v>462</v>
      </c>
      <c r="B1203" s="4" t="s">
        <v>13</v>
      </c>
      <c r="C1203" s="4">
        <v>0.02457</v>
      </c>
      <c r="D1203" s="4">
        <v>0.00138</v>
      </c>
      <c r="E1203" s="4">
        <v>0.00173</v>
      </c>
      <c r="I1203" s="4">
        <v>0.20047</v>
      </c>
      <c r="J1203" s="4">
        <v>0.00848</v>
      </c>
      <c r="K1203" s="6" t="b">
        <f t="shared" ref="K1203:M1203" si="1169">FALSE()</f>
        <v>0</v>
      </c>
      <c r="L1203" s="6" t="b">
        <f t="shared" si="1169"/>
        <v>0</v>
      </c>
      <c r="M1203" s="6" t="b">
        <f t="shared" si="1169"/>
        <v>0</v>
      </c>
      <c r="N1203" s="4">
        <v>0.0242730123753908</v>
      </c>
      <c r="P1203" s="4">
        <v>0.182713146779254</v>
      </c>
      <c r="T1203" s="4">
        <f t="shared" si="3"/>
        <v>1643</v>
      </c>
      <c r="U1203" s="4">
        <f t="shared" si="4"/>
        <v>2580</v>
      </c>
    </row>
    <row r="1204" ht="15.75" customHeight="1">
      <c r="A1204" s="4" t="s">
        <v>2577</v>
      </c>
      <c r="B1204" s="4" t="s">
        <v>13</v>
      </c>
      <c r="D1204" s="4">
        <v>0.1</v>
      </c>
      <c r="E1204" s="4">
        <v>0.1</v>
      </c>
      <c r="F1204" s="4">
        <v>1.8</v>
      </c>
      <c r="G1204" s="4">
        <v>0.1</v>
      </c>
      <c r="H1204" s="4">
        <v>0.1</v>
      </c>
      <c r="K1204" s="6" t="b">
        <f t="shared" ref="K1204:M1204" si="1170">FALSE()</f>
        <v>0</v>
      </c>
      <c r="L1204" s="6" t="b">
        <f t="shared" si="1170"/>
        <v>0</v>
      </c>
      <c r="M1204" s="6" t="b">
        <f t="shared" si="1170"/>
        <v>0</v>
      </c>
      <c r="O1204" s="4">
        <v>1.02961941718116</v>
      </c>
      <c r="T1204" s="4" t="str">
        <f t="shared" si="3"/>
        <v/>
      </c>
      <c r="U1204" s="4" t="str">
        <f t="shared" si="4"/>
        <v/>
      </c>
    </row>
    <row r="1205" ht="15.75" customHeight="1">
      <c r="A1205" s="4" t="s">
        <v>2578</v>
      </c>
      <c r="B1205" s="4" t="s">
        <v>13</v>
      </c>
      <c r="D1205" s="4">
        <v>0.3</v>
      </c>
      <c r="E1205" s="4">
        <v>0.5</v>
      </c>
      <c r="F1205" s="4">
        <v>6.79</v>
      </c>
      <c r="G1205" s="4">
        <v>0.3</v>
      </c>
      <c r="H1205" s="4">
        <v>0.5</v>
      </c>
      <c r="K1205" s="6" t="b">
        <f t="shared" ref="K1205:K1222" si="1171">FALSE()</f>
        <v>0</v>
      </c>
      <c r="L1205" s="6" t="b">
        <f>TRUE()</f>
        <v>1</v>
      </c>
      <c r="M1205" s="6" t="b">
        <f>FALSE()</f>
        <v>0</v>
      </c>
      <c r="O1205" s="4">
        <v>2.05284085988266</v>
      </c>
      <c r="T1205" s="4" t="str">
        <f t="shared" si="3"/>
        <v/>
      </c>
      <c r="U1205" s="4" t="str">
        <f t="shared" si="4"/>
        <v/>
      </c>
    </row>
    <row r="1206" ht="15.75" customHeight="1">
      <c r="A1206" s="4" t="s">
        <v>2579</v>
      </c>
      <c r="B1206" s="4" t="s">
        <v>13</v>
      </c>
      <c r="D1206" s="4">
        <v>0.78</v>
      </c>
      <c r="E1206" s="4">
        <v>0.78</v>
      </c>
      <c r="F1206" s="4">
        <v>2.33</v>
      </c>
      <c r="G1206" s="4">
        <v>0.78</v>
      </c>
      <c r="H1206" s="4">
        <v>0.78</v>
      </c>
      <c r="K1206" s="6" t="b">
        <f t="shared" si="1171"/>
        <v>0</v>
      </c>
      <c r="L1206" s="6" t="b">
        <f t="shared" ref="L1206:M1206" si="1172">FALSE()</f>
        <v>0</v>
      </c>
      <c r="M1206" s="6" t="b">
        <f t="shared" si="1172"/>
        <v>0</v>
      </c>
      <c r="O1206" s="4">
        <v>1.20297230399235</v>
      </c>
      <c r="T1206" s="4" t="str">
        <f t="shared" si="3"/>
        <v/>
      </c>
      <c r="U1206" s="4" t="str">
        <f t="shared" si="4"/>
        <v/>
      </c>
    </row>
    <row r="1207" ht="15.75" customHeight="1">
      <c r="A1207" s="4" t="s">
        <v>2580</v>
      </c>
      <c r="B1207" s="4" t="s">
        <v>13</v>
      </c>
      <c r="D1207" s="4">
        <v>0.07</v>
      </c>
      <c r="E1207" s="4">
        <v>0.07</v>
      </c>
      <c r="F1207" s="4">
        <v>0.502</v>
      </c>
      <c r="G1207" s="4">
        <v>0.07</v>
      </c>
      <c r="H1207" s="4">
        <v>0.07</v>
      </c>
      <c r="K1207" s="6" t="b">
        <f t="shared" si="1171"/>
        <v>0</v>
      </c>
      <c r="L1207" s="6" t="b">
        <f t="shared" ref="L1207:M1207" si="1173">FALSE()</f>
        <v>0</v>
      </c>
      <c r="M1207" s="6" t="b">
        <f t="shared" si="1173"/>
        <v>0</v>
      </c>
      <c r="O1207" s="4">
        <v>0.406797553341943</v>
      </c>
      <c r="T1207" s="4" t="str">
        <f t="shared" si="3"/>
        <v/>
      </c>
      <c r="U1207" s="4" t="str">
        <f t="shared" si="4"/>
        <v/>
      </c>
    </row>
    <row r="1208" ht="15.75" customHeight="1">
      <c r="A1208" s="4" t="s">
        <v>2581</v>
      </c>
      <c r="B1208" s="4" t="s">
        <v>13</v>
      </c>
      <c r="D1208" s="4">
        <v>0.25</v>
      </c>
      <c r="E1208" s="4">
        <v>0.06</v>
      </c>
      <c r="F1208" s="4">
        <v>0.97</v>
      </c>
      <c r="G1208" s="4">
        <v>0.25</v>
      </c>
      <c r="H1208" s="4">
        <v>0.06</v>
      </c>
      <c r="K1208" s="6" t="b">
        <f t="shared" si="1171"/>
        <v>0</v>
      </c>
      <c r="L1208" s="6" t="b">
        <f t="shared" ref="L1208:M1208" si="1174">FALSE()</f>
        <v>0</v>
      </c>
      <c r="M1208" s="6" t="b">
        <f t="shared" si="1174"/>
        <v>0</v>
      </c>
      <c r="O1208" s="4">
        <v>0.678033542749897</v>
      </c>
      <c r="T1208" s="4" t="str">
        <f t="shared" si="3"/>
        <v/>
      </c>
      <c r="U1208" s="4" t="str">
        <f t="shared" si="4"/>
        <v/>
      </c>
    </row>
    <row r="1209" ht="15.75" customHeight="1">
      <c r="A1209" s="4" t="s">
        <v>2582</v>
      </c>
      <c r="B1209" s="4" t="s">
        <v>13</v>
      </c>
      <c r="D1209" s="4">
        <v>0.0019</v>
      </c>
      <c r="E1209" s="4">
        <v>0.0019</v>
      </c>
      <c r="F1209" s="4">
        <v>0.0802</v>
      </c>
      <c r="G1209" s="4">
        <v>0.0019</v>
      </c>
      <c r="H1209" s="4">
        <v>0.0019</v>
      </c>
      <c r="K1209" s="6" t="b">
        <f t="shared" si="1171"/>
        <v>0</v>
      </c>
      <c r="L1209" s="6" t="b">
        <f t="shared" ref="L1209:M1209" si="1175">FALSE()</f>
        <v>0</v>
      </c>
      <c r="M1209" s="6" t="b">
        <f t="shared" si="1175"/>
        <v>0</v>
      </c>
      <c r="O1209" s="4">
        <v>0.0771462091766536</v>
      </c>
      <c r="T1209" s="4" t="str">
        <f t="shared" si="3"/>
        <v/>
      </c>
      <c r="U1209" s="4" t="str">
        <f t="shared" si="4"/>
        <v/>
      </c>
    </row>
    <row r="1210" ht="15.75" customHeight="1">
      <c r="A1210" s="4" t="s">
        <v>2583</v>
      </c>
      <c r="B1210" s="4" t="s">
        <v>13</v>
      </c>
      <c r="D1210" s="4">
        <v>0.0041</v>
      </c>
      <c r="E1210" s="4">
        <v>0.0041</v>
      </c>
      <c r="F1210" s="4">
        <v>0.0563</v>
      </c>
      <c r="G1210" s="4">
        <v>0.0041</v>
      </c>
      <c r="H1210" s="4">
        <v>0.0041</v>
      </c>
      <c r="K1210" s="6" t="b">
        <f t="shared" si="1171"/>
        <v>0</v>
      </c>
      <c r="L1210" s="6" t="b">
        <f t="shared" ref="L1210:M1210" si="1176">FALSE()</f>
        <v>0</v>
      </c>
      <c r="M1210" s="6" t="b">
        <f t="shared" si="1176"/>
        <v>0</v>
      </c>
      <c r="O1210" s="4">
        <v>0.0547722358469794</v>
      </c>
      <c r="T1210" s="4" t="str">
        <f t="shared" si="3"/>
        <v/>
      </c>
      <c r="U1210" s="4" t="str">
        <f t="shared" si="4"/>
        <v/>
      </c>
    </row>
    <row r="1211" ht="15.75" customHeight="1">
      <c r="A1211" s="4" t="s">
        <v>2584</v>
      </c>
      <c r="B1211" s="4" t="s">
        <v>13</v>
      </c>
      <c r="D1211" s="4">
        <v>0.1</v>
      </c>
      <c r="E1211" s="4">
        <v>0.1</v>
      </c>
      <c r="F1211" s="4">
        <v>1.4</v>
      </c>
      <c r="G1211" s="4">
        <v>0.1</v>
      </c>
      <c r="H1211" s="4">
        <v>0.1</v>
      </c>
      <c r="K1211" s="6" t="b">
        <f t="shared" si="1171"/>
        <v>0</v>
      </c>
      <c r="L1211" s="6" t="b">
        <f t="shared" ref="L1211:M1211" si="1177">FALSE()</f>
        <v>0</v>
      </c>
      <c r="M1211" s="6" t="b">
        <f t="shared" si="1177"/>
        <v>0</v>
      </c>
      <c r="O1211" s="4">
        <v>0.8754687373539</v>
      </c>
      <c r="T1211" s="4" t="str">
        <f t="shared" si="3"/>
        <v/>
      </c>
      <c r="U1211" s="4" t="str">
        <f t="shared" si="4"/>
        <v/>
      </c>
    </row>
    <row r="1212" ht="15.75" customHeight="1">
      <c r="A1212" s="4" t="s">
        <v>2585</v>
      </c>
      <c r="B1212" s="4" t="s">
        <v>13</v>
      </c>
      <c r="D1212" s="4">
        <v>0.96</v>
      </c>
      <c r="E1212" s="4">
        <v>1.43</v>
      </c>
      <c r="F1212" s="4">
        <v>5.69</v>
      </c>
      <c r="G1212" s="4">
        <v>0.96</v>
      </c>
      <c r="H1212" s="4">
        <v>1.43</v>
      </c>
      <c r="K1212" s="6" t="b">
        <f t="shared" si="1171"/>
        <v>0</v>
      </c>
      <c r="L1212" s="6" t="b">
        <f t="shared" ref="L1212:M1212" si="1178">FALSE()</f>
        <v>0</v>
      </c>
      <c r="M1212" s="6" t="b">
        <f t="shared" si="1178"/>
        <v>0</v>
      </c>
      <c r="O1212" s="4">
        <v>1.90061387414014</v>
      </c>
      <c r="T1212" s="4" t="str">
        <f t="shared" si="3"/>
        <v/>
      </c>
      <c r="U1212" s="4" t="str">
        <f t="shared" si="4"/>
        <v/>
      </c>
    </row>
    <row r="1213" ht="15.75" customHeight="1">
      <c r="A1213" s="4" t="s">
        <v>2586</v>
      </c>
      <c r="B1213" s="4" t="s">
        <v>13</v>
      </c>
      <c r="F1213" s="4">
        <v>8.0</v>
      </c>
      <c r="K1213" s="6" t="b">
        <f t="shared" si="1171"/>
        <v>0</v>
      </c>
      <c r="L1213" s="6" t="b">
        <f>TRUE()</f>
        <v>1</v>
      </c>
      <c r="M1213" s="6" t="b">
        <f>FALSE()</f>
        <v>0</v>
      </c>
      <c r="O1213" s="4">
        <v>2.19722457733622</v>
      </c>
      <c r="T1213" s="4" t="str">
        <f t="shared" si="3"/>
        <v/>
      </c>
      <c r="U1213" s="4" t="str">
        <f t="shared" si="4"/>
        <v/>
      </c>
    </row>
    <row r="1214" ht="15.75" customHeight="1">
      <c r="A1214" s="4" t="s">
        <v>2587</v>
      </c>
      <c r="B1214" s="4" t="s">
        <v>13</v>
      </c>
      <c r="D1214" s="4">
        <v>0.85</v>
      </c>
      <c r="E1214" s="4">
        <v>0.85</v>
      </c>
      <c r="F1214" s="4">
        <v>5.35</v>
      </c>
      <c r="G1214" s="4">
        <v>0.85</v>
      </c>
      <c r="H1214" s="4">
        <v>0.85</v>
      </c>
      <c r="K1214" s="6" t="b">
        <f t="shared" si="1171"/>
        <v>0</v>
      </c>
      <c r="L1214" s="6" t="b">
        <f t="shared" ref="L1214:M1214" si="1179">FALSE()</f>
        <v>0</v>
      </c>
      <c r="M1214" s="6" t="b">
        <f t="shared" si="1179"/>
        <v>0</v>
      </c>
      <c r="O1214" s="4">
        <v>1.8484548129046</v>
      </c>
      <c r="T1214" s="4" t="str">
        <f t="shared" si="3"/>
        <v/>
      </c>
      <c r="U1214" s="4" t="str">
        <f t="shared" si="4"/>
        <v/>
      </c>
    </row>
    <row r="1215" ht="15.75" customHeight="1">
      <c r="A1215" s="4" t="s">
        <v>2588</v>
      </c>
      <c r="B1215" s="4" t="s">
        <v>13</v>
      </c>
      <c r="D1215" s="4">
        <v>0.009</v>
      </c>
      <c r="E1215" s="4">
        <v>0.009</v>
      </c>
      <c r="F1215" s="4">
        <v>0.0406</v>
      </c>
      <c r="G1215" s="4">
        <v>0.009</v>
      </c>
      <c r="H1215" s="4">
        <v>0.009</v>
      </c>
      <c r="K1215" s="6" t="b">
        <f t="shared" si="1171"/>
        <v>0</v>
      </c>
      <c r="L1215" s="6" t="b">
        <f t="shared" ref="L1215:M1215" si="1180">FALSE()</f>
        <v>0</v>
      </c>
      <c r="M1215" s="6" t="b">
        <f t="shared" si="1180"/>
        <v>0</v>
      </c>
      <c r="O1215" s="4">
        <v>0.039797469874066</v>
      </c>
      <c r="T1215" s="4" t="str">
        <f t="shared" si="3"/>
        <v/>
      </c>
      <c r="U1215" s="4" t="str">
        <f t="shared" si="4"/>
        <v/>
      </c>
    </row>
    <row r="1216" ht="15.75" customHeight="1">
      <c r="A1216" s="4" t="s">
        <v>2589</v>
      </c>
      <c r="B1216" s="4" t="s">
        <v>13</v>
      </c>
      <c r="D1216" s="4">
        <v>0.21</v>
      </c>
      <c r="E1216" s="4">
        <v>0.21</v>
      </c>
      <c r="F1216" s="4">
        <v>1.98</v>
      </c>
      <c r="G1216" s="4">
        <v>0.21</v>
      </c>
      <c r="H1216" s="4">
        <v>0.21</v>
      </c>
      <c r="K1216" s="6" t="b">
        <f t="shared" si="1171"/>
        <v>0</v>
      </c>
      <c r="L1216" s="6" t="b">
        <f t="shared" ref="L1216:M1216" si="1181">FALSE()</f>
        <v>0</v>
      </c>
      <c r="M1216" s="6" t="b">
        <f t="shared" si="1181"/>
        <v>0</v>
      </c>
      <c r="O1216" s="4">
        <v>1.09192330051731</v>
      </c>
      <c r="T1216" s="4" t="str">
        <f t="shared" si="3"/>
        <v/>
      </c>
      <c r="U1216" s="4" t="str">
        <f t="shared" si="4"/>
        <v/>
      </c>
    </row>
    <row r="1217" ht="15.75" customHeight="1">
      <c r="A1217" s="4" t="s">
        <v>2590</v>
      </c>
      <c r="B1217" s="4" t="s">
        <v>13</v>
      </c>
      <c r="D1217" s="4">
        <v>0.08</v>
      </c>
      <c r="E1217" s="4">
        <v>0.08</v>
      </c>
      <c r="F1217" s="4">
        <v>1.56</v>
      </c>
      <c r="G1217" s="4">
        <v>0.08</v>
      </c>
      <c r="H1217" s="4">
        <v>0.08</v>
      </c>
      <c r="K1217" s="6" t="b">
        <f t="shared" si="1171"/>
        <v>0</v>
      </c>
      <c r="L1217" s="6" t="b">
        <f t="shared" ref="L1217:M1217" si="1182">FALSE()</f>
        <v>0</v>
      </c>
      <c r="M1217" s="6" t="b">
        <f t="shared" si="1182"/>
        <v>0</v>
      </c>
      <c r="O1217" s="4">
        <v>0.940007258491471</v>
      </c>
      <c r="T1217" s="4" t="str">
        <f t="shared" si="3"/>
        <v/>
      </c>
      <c r="U1217" s="4" t="str">
        <f t="shared" si="4"/>
        <v/>
      </c>
    </row>
    <row r="1218" ht="15.75" customHeight="1">
      <c r="A1218" s="4" t="s">
        <v>2591</v>
      </c>
      <c r="B1218" s="4" t="s">
        <v>13</v>
      </c>
      <c r="D1218" s="4">
        <v>0.12</v>
      </c>
      <c r="E1218" s="4">
        <v>0.12</v>
      </c>
      <c r="F1218" s="4">
        <v>2.68</v>
      </c>
      <c r="G1218" s="4">
        <v>0.12</v>
      </c>
      <c r="H1218" s="4">
        <v>0.12</v>
      </c>
      <c r="K1218" s="6" t="b">
        <f t="shared" si="1171"/>
        <v>0</v>
      </c>
      <c r="L1218" s="6" t="b">
        <f t="shared" ref="L1218:M1218" si="1183">FALSE()</f>
        <v>0</v>
      </c>
      <c r="M1218" s="6" t="b">
        <f t="shared" si="1183"/>
        <v>0</v>
      </c>
      <c r="O1218" s="4">
        <v>1.30291275218084</v>
      </c>
      <c r="T1218" s="4" t="str">
        <f t="shared" si="3"/>
        <v/>
      </c>
      <c r="U1218" s="4" t="str">
        <f t="shared" si="4"/>
        <v/>
      </c>
    </row>
    <row r="1219" ht="15.75" customHeight="1">
      <c r="A1219" s="4" t="s">
        <v>463</v>
      </c>
      <c r="B1219" s="4" t="s">
        <v>13</v>
      </c>
      <c r="C1219" s="4">
        <v>0.0186</v>
      </c>
      <c r="D1219" s="4">
        <v>0.006</v>
      </c>
      <c r="E1219" s="4">
        <v>0.006</v>
      </c>
      <c r="I1219" s="4">
        <v>0.16317</v>
      </c>
      <c r="J1219" s="4">
        <v>0.00598</v>
      </c>
      <c r="K1219" s="6" t="b">
        <f t="shared" si="1171"/>
        <v>0</v>
      </c>
      <c r="L1219" s="6" t="b">
        <f t="shared" ref="L1219:M1219" si="1184">FALSE()</f>
        <v>0</v>
      </c>
      <c r="M1219" s="6" t="b">
        <f t="shared" si="1184"/>
        <v>0</v>
      </c>
      <c r="N1219" s="4">
        <v>0.0184291354683671</v>
      </c>
      <c r="P1219" s="4">
        <v>0.151149036542931</v>
      </c>
      <c r="T1219" s="4">
        <f t="shared" si="3"/>
        <v>1761</v>
      </c>
      <c r="U1219" s="4">
        <f t="shared" si="4"/>
        <v>3136</v>
      </c>
    </row>
    <row r="1220" ht="15.75" customHeight="1">
      <c r="A1220" s="4" t="s">
        <v>464</v>
      </c>
      <c r="B1220" s="4" t="s">
        <v>13</v>
      </c>
      <c r="C1220" s="4">
        <v>0.0264</v>
      </c>
      <c r="I1220" s="4">
        <v>0.2141</v>
      </c>
      <c r="K1220" s="6" t="b">
        <f t="shared" si="1171"/>
        <v>0</v>
      </c>
      <c r="L1220" s="6" t="b">
        <f t="shared" ref="L1220:M1220" si="1185">FALSE()</f>
        <v>0</v>
      </c>
      <c r="M1220" s="6" t="b">
        <f t="shared" si="1185"/>
        <v>0</v>
      </c>
      <c r="N1220" s="4">
        <v>0.0260575343192896</v>
      </c>
      <c r="P1220" s="4">
        <v>0.194003061567793</v>
      </c>
      <c r="T1220" s="4">
        <f t="shared" si="3"/>
        <v>1612</v>
      </c>
      <c r="U1220" s="4">
        <f t="shared" si="4"/>
        <v>2343</v>
      </c>
    </row>
    <row r="1221" ht="15.75" customHeight="1">
      <c r="A1221" s="4" t="s">
        <v>2592</v>
      </c>
      <c r="B1221" s="4" t="s">
        <v>13</v>
      </c>
      <c r="D1221" s="4">
        <v>0.17</v>
      </c>
      <c r="E1221" s="4">
        <v>0.17</v>
      </c>
      <c r="F1221" s="4">
        <v>1.94</v>
      </c>
      <c r="G1221" s="4">
        <v>0.17</v>
      </c>
      <c r="H1221" s="4">
        <v>0.17</v>
      </c>
      <c r="K1221" s="6" t="b">
        <f t="shared" si="1171"/>
        <v>0</v>
      </c>
      <c r="L1221" s="6" t="b">
        <f t="shared" ref="L1221:M1221" si="1186">FALSE()</f>
        <v>0</v>
      </c>
      <c r="M1221" s="6" t="b">
        <f t="shared" si="1186"/>
        <v>0</v>
      </c>
      <c r="O1221" s="4">
        <v>1.07840958135059</v>
      </c>
      <c r="T1221" s="4" t="str">
        <f t="shared" si="3"/>
        <v/>
      </c>
      <c r="U1221" s="4" t="str">
        <f t="shared" si="4"/>
        <v/>
      </c>
    </row>
    <row r="1222" ht="15.75" customHeight="1">
      <c r="A1222" s="4" t="s">
        <v>465</v>
      </c>
      <c r="B1222" s="4" t="s">
        <v>13</v>
      </c>
      <c r="C1222" s="4">
        <v>0.0372</v>
      </c>
      <c r="D1222" s="4">
        <v>0.00419</v>
      </c>
      <c r="E1222" s="4">
        <v>0.00419</v>
      </c>
      <c r="F1222" s="4">
        <v>0.03719</v>
      </c>
      <c r="G1222" s="4">
        <v>0.00418</v>
      </c>
      <c r="H1222" s="4">
        <v>0.00418</v>
      </c>
      <c r="I1222" s="4">
        <v>0.226</v>
      </c>
      <c r="J1222" s="4">
        <v>0.016</v>
      </c>
      <c r="K1222" s="6" t="b">
        <f t="shared" si="1171"/>
        <v>0</v>
      </c>
      <c r="L1222" s="6" t="b">
        <f t="shared" ref="L1222:M1222" si="1187">FALSE()</f>
        <v>0</v>
      </c>
      <c r="M1222" s="6" t="b">
        <f t="shared" si="1187"/>
        <v>0</v>
      </c>
      <c r="N1222" s="4">
        <v>0.0365247746823722</v>
      </c>
      <c r="O1222" s="4">
        <v>0.0365151332938194</v>
      </c>
      <c r="P1222" s="4">
        <v>0.20375683751402</v>
      </c>
      <c r="Q1222" s="4">
        <v>-0.60519581187091</v>
      </c>
      <c r="R1222" s="4">
        <v>-0.628871291718872</v>
      </c>
      <c r="S1222" s="4">
        <v>-1.12125543421688</v>
      </c>
      <c r="T1222" s="4">
        <f t="shared" si="3"/>
        <v>1474</v>
      </c>
      <c r="U1222" s="4">
        <f t="shared" si="4"/>
        <v>2171</v>
      </c>
    </row>
    <row r="1223" ht="15.75" customHeight="1">
      <c r="A1223" s="4" t="s">
        <v>2593</v>
      </c>
      <c r="B1223" s="4" t="s">
        <v>13</v>
      </c>
      <c r="C1223" s="4">
        <v>10.0</v>
      </c>
      <c r="D1223" s="4">
        <v>6.0</v>
      </c>
      <c r="E1223" s="4">
        <v>6.0</v>
      </c>
      <c r="K1223" s="6" t="b">
        <f>TRUE()</f>
        <v>1</v>
      </c>
      <c r="L1223" s="6" t="b">
        <f t="shared" ref="L1223:M1223" si="1188">FALSE()</f>
        <v>0</v>
      </c>
      <c r="M1223" s="6" t="b">
        <f t="shared" si="1188"/>
        <v>0</v>
      </c>
      <c r="N1223" s="4">
        <v>2.39789527279837</v>
      </c>
      <c r="T1223" s="4">
        <f t="shared" si="3"/>
        <v>58</v>
      </c>
      <c r="U1223" s="4" t="str">
        <f t="shared" si="4"/>
        <v/>
      </c>
    </row>
    <row r="1224" ht="15.75" customHeight="1">
      <c r="A1224" s="4" t="s">
        <v>2594</v>
      </c>
      <c r="B1224" s="4" t="s">
        <v>13</v>
      </c>
      <c r="D1224" s="4">
        <v>0.06</v>
      </c>
      <c r="E1224" s="4">
        <v>0.06</v>
      </c>
      <c r="F1224" s="4">
        <v>0.99</v>
      </c>
      <c r="G1224" s="4">
        <v>0.06</v>
      </c>
      <c r="H1224" s="4">
        <v>0.06</v>
      </c>
      <c r="K1224" s="6" t="b">
        <f t="shared" ref="K1224:M1224" si="1189">FALSE()</f>
        <v>0</v>
      </c>
      <c r="L1224" s="6" t="b">
        <f t="shared" si="1189"/>
        <v>0</v>
      </c>
      <c r="M1224" s="6" t="b">
        <f t="shared" si="1189"/>
        <v>0</v>
      </c>
      <c r="O1224" s="4">
        <v>0.688134638736401</v>
      </c>
      <c r="T1224" s="4" t="str">
        <f t="shared" si="3"/>
        <v/>
      </c>
      <c r="U1224" s="4" t="str">
        <f t="shared" si="4"/>
        <v/>
      </c>
    </row>
    <row r="1225" ht="15.75" customHeight="1">
      <c r="A1225" s="4" t="s">
        <v>2595</v>
      </c>
      <c r="B1225" s="4" t="s">
        <v>13</v>
      </c>
      <c r="F1225" s="4">
        <v>0.35</v>
      </c>
      <c r="K1225" s="6" t="b">
        <f t="shared" ref="K1225:M1225" si="1190">FALSE()</f>
        <v>0</v>
      </c>
      <c r="L1225" s="6" t="b">
        <f t="shared" si="1190"/>
        <v>0</v>
      </c>
      <c r="M1225" s="6" t="b">
        <f t="shared" si="1190"/>
        <v>0</v>
      </c>
      <c r="O1225" s="4">
        <v>0.300104592450338</v>
      </c>
      <c r="T1225" s="4" t="str">
        <f t="shared" si="3"/>
        <v/>
      </c>
      <c r="U1225" s="4" t="str">
        <f t="shared" si="4"/>
        <v/>
      </c>
    </row>
    <row r="1226" ht="15.75" customHeight="1">
      <c r="A1226" s="4" t="s">
        <v>2596</v>
      </c>
      <c r="B1226" s="4" t="s">
        <v>13</v>
      </c>
      <c r="D1226" s="4">
        <v>0.32</v>
      </c>
      <c r="E1226" s="4">
        <v>0.32</v>
      </c>
      <c r="F1226" s="4">
        <v>3.88</v>
      </c>
      <c r="G1226" s="4">
        <v>0.32</v>
      </c>
      <c r="H1226" s="4">
        <v>0.32</v>
      </c>
      <c r="K1226" s="6" t="b">
        <f t="shared" ref="K1226:M1226" si="1191">FALSE()</f>
        <v>0</v>
      </c>
      <c r="L1226" s="6" t="b">
        <f t="shared" si="1191"/>
        <v>0</v>
      </c>
      <c r="M1226" s="6" t="b">
        <f t="shared" si="1191"/>
        <v>0</v>
      </c>
      <c r="O1226" s="4">
        <v>1.58514521986506</v>
      </c>
      <c r="T1226" s="4" t="str">
        <f t="shared" si="3"/>
        <v/>
      </c>
      <c r="U1226" s="4" t="str">
        <f t="shared" si="4"/>
        <v/>
      </c>
    </row>
    <row r="1227" ht="15.75" customHeight="1">
      <c r="A1227" s="4" t="s">
        <v>2597</v>
      </c>
      <c r="B1227" s="4" t="s">
        <v>13</v>
      </c>
      <c r="D1227" s="4">
        <v>0.1</v>
      </c>
      <c r="E1227" s="4">
        <v>0.1</v>
      </c>
      <c r="F1227" s="4">
        <v>1.28</v>
      </c>
      <c r="G1227" s="4">
        <v>0.1</v>
      </c>
      <c r="H1227" s="4">
        <v>0.1</v>
      </c>
      <c r="K1227" s="6" t="b">
        <f t="shared" ref="K1227:M1227" si="1192">FALSE()</f>
        <v>0</v>
      </c>
      <c r="L1227" s="6" t="b">
        <f t="shared" si="1192"/>
        <v>0</v>
      </c>
      <c r="M1227" s="6" t="b">
        <f t="shared" si="1192"/>
        <v>0</v>
      </c>
      <c r="O1227" s="4">
        <v>0.824175442966349</v>
      </c>
      <c r="T1227" s="4" t="str">
        <f t="shared" si="3"/>
        <v/>
      </c>
      <c r="U1227" s="4" t="str">
        <f t="shared" si="4"/>
        <v/>
      </c>
    </row>
    <row r="1228" ht="15.75" customHeight="1">
      <c r="A1228" s="4" t="s">
        <v>2598</v>
      </c>
      <c r="B1228" s="4" t="s">
        <v>13</v>
      </c>
      <c r="D1228" s="4">
        <v>0.052</v>
      </c>
      <c r="E1228" s="4">
        <v>0.052</v>
      </c>
      <c r="F1228" s="4">
        <v>0.57</v>
      </c>
      <c r="G1228" s="4">
        <v>0.052</v>
      </c>
      <c r="H1228" s="4">
        <v>0.052</v>
      </c>
      <c r="K1228" s="6" t="b">
        <f t="shared" ref="K1228:M1228" si="1193">FALSE()</f>
        <v>0</v>
      </c>
      <c r="L1228" s="6" t="b">
        <f t="shared" si="1193"/>
        <v>0</v>
      </c>
      <c r="M1228" s="6" t="b">
        <f t="shared" si="1193"/>
        <v>0</v>
      </c>
      <c r="O1228" s="4">
        <v>0.451075619360217</v>
      </c>
      <c r="T1228" s="4" t="str">
        <f t="shared" si="3"/>
        <v/>
      </c>
      <c r="U1228" s="4" t="str">
        <f t="shared" si="4"/>
        <v/>
      </c>
    </row>
    <row r="1229" ht="15.75" customHeight="1">
      <c r="A1229" s="4" t="s">
        <v>2599</v>
      </c>
      <c r="B1229" s="4" t="s">
        <v>13</v>
      </c>
      <c r="C1229" s="4">
        <v>1.6</v>
      </c>
      <c r="D1229" s="4">
        <v>1.1</v>
      </c>
      <c r="E1229" s="4">
        <v>1.1</v>
      </c>
      <c r="K1229" s="6" t="b">
        <f t="shared" ref="K1229:M1229" si="1194">FALSE()</f>
        <v>0</v>
      </c>
      <c r="L1229" s="6" t="b">
        <f t="shared" si="1194"/>
        <v>0</v>
      </c>
      <c r="M1229" s="6" t="b">
        <f t="shared" si="1194"/>
        <v>0</v>
      </c>
      <c r="N1229" s="4">
        <v>0.955511445027436</v>
      </c>
      <c r="T1229" s="4">
        <f t="shared" si="3"/>
        <v>498</v>
      </c>
      <c r="U1229" s="4" t="str">
        <f t="shared" si="4"/>
        <v/>
      </c>
    </row>
    <row r="1230" ht="15.75" customHeight="1">
      <c r="A1230" s="4" t="s">
        <v>2600</v>
      </c>
      <c r="B1230" s="4" t="s">
        <v>13</v>
      </c>
      <c r="D1230" s="4">
        <v>0.016</v>
      </c>
      <c r="E1230" s="4">
        <v>0.009</v>
      </c>
      <c r="F1230" s="4">
        <v>0.068</v>
      </c>
      <c r="G1230" s="4">
        <v>0.016</v>
      </c>
      <c r="H1230" s="4">
        <v>0.009</v>
      </c>
      <c r="K1230" s="6" t="b">
        <f t="shared" ref="K1230:M1230" si="1195">FALSE()</f>
        <v>0</v>
      </c>
      <c r="L1230" s="6" t="b">
        <f t="shared" si="1195"/>
        <v>0</v>
      </c>
      <c r="M1230" s="6" t="b">
        <f t="shared" si="1195"/>
        <v>0</v>
      </c>
      <c r="O1230" s="4">
        <v>0.0657877405380031</v>
      </c>
      <c r="T1230" s="4" t="str">
        <f t="shared" si="3"/>
        <v/>
      </c>
      <c r="U1230" s="4" t="str">
        <f t="shared" si="4"/>
        <v/>
      </c>
    </row>
    <row r="1231" ht="15.75" customHeight="1">
      <c r="A1231" s="4" t="s">
        <v>2601</v>
      </c>
      <c r="B1231" s="4" t="s">
        <v>13</v>
      </c>
      <c r="F1231" s="4">
        <v>0.83</v>
      </c>
      <c r="K1231" s="6" t="b">
        <f t="shared" ref="K1231:M1231" si="1196">FALSE()</f>
        <v>0</v>
      </c>
      <c r="L1231" s="6" t="b">
        <f t="shared" si="1196"/>
        <v>0</v>
      </c>
      <c r="M1231" s="6" t="b">
        <f t="shared" si="1196"/>
        <v>0</v>
      </c>
      <c r="O1231" s="4">
        <v>0.60431596685333</v>
      </c>
      <c r="T1231" s="4" t="str">
        <f t="shared" si="3"/>
        <v/>
      </c>
      <c r="U1231" s="4" t="str">
        <f t="shared" si="4"/>
        <v/>
      </c>
    </row>
    <row r="1232" ht="15.75" customHeight="1">
      <c r="A1232" s="4" t="s">
        <v>2602</v>
      </c>
      <c r="B1232" s="4" t="s">
        <v>13</v>
      </c>
      <c r="D1232" s="4">
        <v>0.0085</v>
      </c>
      <c r="E1232" s="4">
        <v>0.0085</v>
      </c>
      <c r="F1232" s="4">
        <v>0.04</v>
      </c>
      <c r="G1232" s="4">
        <v>0.0085</v>
      </c>
      <c r="H1232" s="4">
        <v>0.0085</v>
      </c>
      <c r="K1232" s="6" t="b">
        <f t="shared" ref="K1232:M1232" si="1197">FALSE()</f>
        <v>0</v>
      </c>
      <c r="L1232" s="6" t="b">
        <f t="shared" si="1197"/>
        <v>0</v>
      </c>
      <c r="M1232" s="6" t="b">
        <f t="shared" si="1197"/>
        <v>0</v>
      </c>
      <c r="O1232" s="4">
        <v>0.0392207131532812</v>
      </c>
      <c r="T1232" s="4" t="str">
        <f t="shared" si="3"/>
        <v/>
      </c>
      <c r="U1232" s="4" t="str">
        <f t="shared" si="4"/>
        <v/>
      </c>
    </row>
    <row r="1233" ht="15.75" customHeight="1">
      <c r="A1233" s="4" t="s">
        <v>2603</v>
      </c>
      <c r="B1233" s="4" t="s">
        <v>13</v>
      </c>
      <c r="C1233" s="4">
        <v>8.149</v>
      </c>
      <c r="D1233" s="4">
        <v>3.055</v>
      </c>
      <c r="E1233" s="4">
        <v>4.324</v>
      </c>
      <c r="K1233" s="6" t="b">
        <f>TRUE()</f>
        <v>1</v>
      </c>
      <c r="L1233" s="6" t="b">
        <f t="shared" ref="L1233:M1233" si="1198">FALSE()</f>
        <v>0</v>
      </c>
      <c r="M1233" s="6" t="b">
        <f t="shared" si="1198"/>
        <v>0</v>
      </c>
      <c r="N1233" s="4">
        <v>2.2136445836974</v>
      </c>
      <c r="T1233" s="4">
        <f t="shared" si="3"/>
        <v>104</v>
      </c>
      <c r="U1233" s="4" t="str">
        <f t="shared" si="4"/>
        <v/>
      </c>
    </row>
    <row r="1234" ht="15.75" customHeight="1">
      <c r="A1234" s="4" t="s">
        <v>2604</v>
      </c>
      <c r="B1234" s="4" t="s">
        <v>13</v>
      </c>
      <c r="D1234" s="4">
        <v>0.0053</v>
      </c>
      <c r="E1234" s="4">
        <v>0.0053</v>
      </c>
      <c r="F1234" s="4">
        <v>0.0255</v>
      </c>
      <c r="G1234" s="4">
        <v>0.0053</v>
      </c>
      <c r="H1234" s="4">
        <v>0.0053</v>
      </c>
      <c r="K1234" s="6" t="b">
        <f t="shared" ref="K1234:M1234" si="1199">FALSE()</f>
        <v>0</v>
      </c>
      <c r="L1234" s="6" t="b">
        <f t="shared" si="1199"/>
        <v>0</v>
      </c>
      <c r="M1234" s="6" t="b">
        <f t="shared" si="1199"/>
        <v>0</v>
      </c>
      <c r="O1234" s="4">
        <v>0.0251802985302982</v>
      </c>
      <c r="T1234" s="4" t="str">
        <f t="shared" si="3"/>
        <v/>
      </c>
      <c r="U1234" s="4" t="str">
        <f t="shared" si="4"/>
        <v/>
      </c>
    </row>
    <row r="1235" ht="15.75" customHeight="1">
      <c r="A1235" s="4" t="s">
        <v>2605</v>
      </c>
      <c r="B1235" s="4" t="s">
        <v>13</v>
      </c>
      <c r="D1235" s="4">
        <v>0.0233</v>
      </c>
      <c r="E1235" s="4">
        <v>0.0233</v>
      </c>
      <c r="F1235" s="4">
        <v>0.1523</v>
      </c>
      <c r="G1235" s="4">
        <v>0.0233</v>
      </c>
      <c r="H1235" s="4">
        <v>0.0233</v>
      </c>
      <c r="K1235" s="6" t="b">
        <f t="shared" ref="K1235:M1235" si="1200">FALSE()</f>
        <v>0</v>
      </c>
      <c r="L1235" s="6" t="b">
        <f t="shared" si="1200"/>
        <v>0</v>
      </c>
      <c r="M1235" s="6" t="b">
        <f t="shared" si="1200"/>
        <v>0</v>
      </c>
      <c r="O1235" s="4">
        <v>0.141759945037832</v>
      </c>
      <c r="T1235" s="4" t="str">
        <f t="shared" si="3"/>
        <v/>
      </c>
      <c r="U1235" s="4" t="str">
        <f t="shared" si="4"/>
        <v/>
      </c>
    </row>
    <row r="1236" ht="15.75" customHeight="1">
      <c r="A1236" s="4" t="s">
        <v>466</v>
      </c>
      <c r="B1236" s="4" t="s">
        <v>13</v>
      </c>
      <c r="C1236" s="4">
        <v>0.0217</v>
      </c>
      <c r="D1236" s="4">
        <v>0.0028</v>
      </c>
      <c r="E1236" s="4">
        <v>0.0028</v>
      </c>
      <c r="I1236" s="4">
        <v>0.054</v>
      </c>
      <c r="J1236" s="4">
        <v>0.00321</v>
      </c>
      <c r="K1236" s="6" t="b">
        <f t="shared" ref="K1236:M1236" si="1201">FALSE()</f>
        <v>0</v>
      </c>
      <c r="L1236" s="6" t="b">
        <f t="shared" si="1201"/>
        <v>0</v>
      </c>
      <c r="M1236" s="6" t="b">
        <f t="shared" si="1201"/>
        <v>0</v>
      </c>
      <c r="N1236" s="4">
        <v>0.0214679066152409</v>
      </c>
      <c r="P1236" s="4">
        <v>0.0525924501191705</v>
      </c>
      <c r="T1236" s="4">
        <f t="shared" si="3"/>
        <v>1688</v>
      </c>
      <c r="U1236" s="4">
        <f t="shared" si="4"/>
        <v>4549</v>
      </c>
    </row>
    <row r="1237" ht="15.75" customHeight="1">
      <c r="A1237" s="4" t="s">
        <v>468</v>
      </c>
      <c r="B1237" s="4" t="s">
        <v>13</v>
      </c>
      <c r="C1237" s="4">
        <v>0.0138</v>
      </c>
      <c r="D1237" s="4">
        <v>0.003</v>
      </c>
      <c r="E1237" s="4">
        <v>0.003</v>
      </c>
      <c r="I1237" s="4">
        <v>0.2436</v>
      </c>
      <c r="J1237" s="4">
        <v>0.0054</v>
      </c>
      <c r="K1237" s="6" t="b">
        <f t="shared" ref="K1237:M1237" si="1202">FALSE()</f>
        <v>0</v>
      </c>
      <c r="L1237" s="6" t="b">
        <f t="shared" si="1202"/>
        <v>0</v>
      </c>
      <c r="M1237" s="6" t="b">
        <f t="shared" si="1202"/>
        <v>0</v>
      </c>
      <c r="N1237" s="4">
        <v>0.0137056470561119</v>
      </c>
      <c r="P1237" s="4">
        <v>0.218010399202462</v>
      </c>
      <c r="T1237" s="4">
        <f t="shared" si="3"/>
        <v>1852</v>
      </c>
      <c r="U1237" s="4">
        <f t="shared" si="4"/>
        <v>1898</v>
      </c>
    </row>
    <row r="1238" ht="15.75" customHeight="1">
      <c r="A1238" s="4" t="s">
        <v>469</v>
      </c>
      <c r="B1238" s="4" t="s">
        <v>13</v>
      </c>
      <c r="C1238" s="4">
        <v>0.0145</v>
      </c>
      <c r="D1238" s="4">
        <v>0.0145</v>
      </c>
      <c r="E1238" s="4">
        <v>0.0</v>
      </c>
      <c r="I1238" s="4">
        <v>0.3158</v>
      </c>
      <c r="J1238" s="4">
        <v>0.0054</v>
      </c>
      <c r="K1238" s="6" t="b">
        <f t="shared" ref="K1238:M1238" si="1203">FALSE()</f>
        <v>0</v>
      </c>
      <c r="L1238" s="6" t="b">
        <f t="shared" si="1203"/>
        <v>0</v>
      </c>
      <c r="M1238" s="6" t="b">
        <f t="shared" si="1203"/>
        <v>0</v>
      </c>
      <c r="N1238" s="4">
        <v>0.0143958802837323</v>
      </c>
      <c r="P1238" s="4">
        <v>0.27444484566976</v>
      </c>
      <c r="T1238" s="4">
        <f t="shared" si="3"/>
        <v>1832</v>
      </c>
      <c r="U1238" s="4">
        <f t="shared" si="4"/>
        <v>1317</v>
      </c>
    </row>
    <row r="1239" ht="15.75" customHeight="1">
      <c r="A1239" s="4" t="s">
        <v>470</v>
      </c>
      <c r="B1239" s="4" t="s">
        <v>13</v>
      </c>
      <c r="C1239" s="4">
        <v>0.038</v>
      </c>
      <c r="D1239" s="4">
        <v>0.016</v>
      </c>
      <c r="E1239" s="4">
        <v>0.016</v>
      </c>
      <c r="I1239" s="4">
        <v>0.437</v>
      </c>
      <c r="J1239" s="4">
        <v>0.008</v>
      </c>
      <c r="K1239" s="6" t="b">
        <f t="shared" ref="K1239:M1239" si="1204">FALSE()</f>
        <v>0</v>
      </c>
      <c r="L1239" s="6" t="b">
        <f t="shared" si="1204"/>
        <v>0</v>
      </c>
      <c r="M1239" s="6" t="b">
        <f t="shared" si="1204"/>
        <v>0</v>
      </c>
      <c r="N1239" s="4">
        <v>0.0372957847436968</v>
      </c>
      <c r="P1239" s="4">
        <v>0.362557607096888</v>
      </c>
      <c r="T1239" s="4">
        <f t="shared" si="3"/>
        <v>1466</v>
      </c>
      <c r="U1239" s="4">
        <f t="shared" si="4"/>
        <v>1070</v>
      </c>
    </row>
    <row r="1240" ht="15.75" customHeight="1">
      <c r="A1240" s="4" t="s">
        <v>471</v>
      </c>
      <c r="B1240" s="4" t="s">
        <v>13</v>
      </c>
      <c r="C1240" s="4">
        <v>0.038</v>
      </c>
      <c r="D1240" s="4">
        <v>0.009</v>
      </c>
      <c r="E1240" s="4">
        <v>0.009</v>
      </c>
      <c r="I1240" s="4">
        <v>0.821</v>
      </c>
      <c r="J1240" s="4">
        <v>0.009</v>
      </c>
      <c r="K1240" s="6" t="b">
        <f t="shared" ref="K1240:L1240" si="1205">FALSE()</f>
        <v>0</v>
      </c>
      <c r="L1240" s="6" t="b">
        <f t="shared" si="1205"/>
        <v>0</v>
      </c>
      <c r="M1240" s="6" t="b">
        <f>TRUE()</f>
        <v>1</v>
      </c>
      <c r="N1240" s="4">
        <v>0.0372957847436968</v>
      </c>
      <c r="P1240" s="4">
        <v>0.599385800745471</v>
      </c>
      <c r="T1240" s="4">
        <f t="shared" si="3"/>
        <v>1467</v>
      </c>
      <c r="U1240" s="4">
        <f t="shared" si="4"/>
        <v>824</v>
      </c>
    </row>
    <row r="1241" ht="15.75" customHeight="1">
      <c r="A1241" s="4" t="s">
        <v>2606</v>
      </c>
      <c r="B1241" s="4" t="s">
        <v>13</v>
      </c>
      <c r="C1241" s="4">
        <v>6.0</v>
      </c>
      <c r="D1241" s="4">
        <v>4.0</v>
      </c>
      <c r="E1241" s="4">
        <v>4.0</v>
      </c>
      <c r="K1241" s="6" t="b">
        <f>TRUE()</f>
        <v>1</v>
      </c>
      <c r="L1241" s="6" t="b">
        <f t="shared" ref="L1241:M1241" si="1206">FALSE()</f>
        <v>0</v>
      </c>
      <c r="M1241" s="6" t="b">
        <f t="shared" si="1206"/>
        <v>0</v>
      </c>
      <c r="N1241" s="4">
        <v>1.94591014905531</v>
      </c>
      <c r="T1241" s="4">
        <f t="shared" si="3"/>
        <v>165</v>
      </c>
      <c r="U1241" s="4" t="str">
        <f t="shared" si="4"/>
        <v/>
      </c>
    </row>
    <row r="1242" ht="15.75" customHeight="1">
      <c r="A1242" s="4" t="s">
        <v>2607</v>
      </c>
      <c r="B1242" s="4" t="s">
        <v>13</v>
      </c>
      <c r="F1242" s="4">
        <v>0.0453</v>
      </c>
      <c r="K1242" s="6" t="b">
        <f t="shared" ref="K1242:M1242" si="1207">FALSE()</f>
        <v>0</v>
      </c>
      <c r="L1242" s="6" t="b">
        <f t="shared" si="1207"/>
        <v>0</v>
      </c>
      <c r="M1242" s="6" t="b">
        <f t="shared" si="1207"/>
        <v>0</v>
      </c>
      <c r="O1242" s="4">
        <v>0.0443039255565244</v>
      </c>
      <c r="T1242" s="4" t="str">
        <f t="shared" si="3"/>
        <v/>
      </c>
      <c r="U1242" s="4" t="str">
        <f t="shared" si="4"/>
        <v/>
      </c>
    </row>
    <row r="1243" ht="15.75" customHeight="1">
      <c r="A1243" s="4" t="s">
        <v>2608</v>
      </c>
      <c r="B1243" s="4" t="s">
        <v>13</v>
      </c>
      <c r="D1243" s="4">
        <v>0.0088</v>
      </c>
      <c r="E1243" s="4">
        <v>0.0088</v>
      </c>
      <c r="F1243" s="4">
        <v>0.0721</v>
      </c>
      <c r="G1243" s="4">
        <v>0.0088</v>
      </c>
      <c r="H1243" s="4">
        <v>0.0088</v>
      </c>
      <c r="K1243" s="6" t="b">
        <f t="shared" ref="K1243:M1243" si="1208">FALSE()</f>
        <v>0</v>
      </c>
      <c r="L1243" s="6" t="b">
        <f t="shared" si="1208"/>
        <v>0</v>
      </c>
      <c r="M1243" s="6" t="b">
        <f t="shared" si="1208"/>
        <v>0</v>
      </c>
      <c r="O1243" s="4">
        <v>0.069619341880057</v>
      </c>
      <c r="T1243" s="4" t="str">
        <f t="shared" si="3"/>
        <v/>
      </c>
      <c r="U1243" s="4" t="str">
        <f t="shared" si="4"/>
        <v/>
      </c>
    </row>
    <row r="1244" ht="15.75" customHeight="1">
      <c r="A1244" s="4" t="s">
        <v>2609</v>
      </c>
      <c r="B1244" s="4" t="s">
        <v>13</v>
      </c>
      <c r="D1244" s="4">
        <v>0.14</v>
      </c>
      <c r="E1244" s="4">
        <v>0.14</v>
      </c>
      <c r="F1244" s="4">
        <v>1.44</v>
      </c>
      <c r="G1244" s="4">
        <v>0.14</v>
      </c>
      <c r="H1244" s="4">
        <v>0.14</v>
      </c>
      <c r="K1244" s="6" t="b">
        <f t="shared" ref="K1244:M1244" si="1209">FALSE()</f>
        <v>0</v>
      </c>
      <c r="L1244" s="6" t="b">
        <f t="shared" si="1209"/>
        <v>0</v>
      </c>
      <c r="M1244" s="6" t="b">
        <f t="shared" si="1209"/>
        <v>0</v>
      </c>
      <c r="O1244" s="4">
        <v>0.891998039305111</v>
      </c>
      <c r="T1244" s="4" t="str">
        <f t="shared" si="3"/>
        <v/>
      </c>
      <c r="U1244" s="4" t="str">
        <f t="shared" si="4"/>
        <v/>
      </c>
    </row>
    <row r="1245" ht="15.75" customHeight="1">
      <c r="A1245" s="4" t="s">
        <v>2610</v>
      </c>
      <c r="B1245" s="4" t="s">
        <v>13</v>
      </c>
      <c r="D1245" s="4">
        <v>0.00579</v>
      </c>
      <c r="E1245" s="4">
        <v>0.00579</v>
      </c>
      <c r="F1245" s="4">
        <v>0.02712</v>
      </c>
      <c r="G1245" s="4">
        <v>0.00579</v>
      </c>
      <c r="H1245" s="4">
        <v>0.00579</v>
      </c>
      <c r="K1245" s="6" t="b">
        <f t="shared" ref="K1245:M1245" si="1210">FALSE()</f>
        <v>0</v>
      </c>
      <c r="L1245" s="6" t="b">
        <f t="shared" si="1210"/>
        <v>0</v>
      </c>
      <c r="M1245" s="6" t="b">
        <f t="shared" si="1210"/>
        <v>0</v>
      </c>
      <c r="O1245" s="4">
        <v>0.0267587693006911</v>
      </c>
      <c r="T1245" s="4" t="str">
        <f t="shared" si="3"/>
        <v/>
      </c>
      <c r="U1245" s="4" t="str">
        <f t="shared" si="4"/>
        <v/>
      </c>
    </row>
    <row r="1246" ht="15.75" customHeight="1">
      <c r="A1246" s="4" t="s">
        <v>2611</v>
      </c>
      <c r="B1246" s="4" t="s">
        <v>13</v>
      </c>
      <c r="D1246" s="4">
        <v>0.0066</v>
      </c>
      <c r="E1246" s="4">
        <v>0.0066</v>
      </c>
      <c r="F1246" s="4">
        <v>0.03914</v>
      </c>
      <c r="G1246" s="4">
        <v>0.0066</v>
      </c>
      <c r="H1246" s="4">
        <v>0.0066</v>
      </c>
      <c r="K1246" s="6" t="b">
        <f t="shared" ref="K1246:M1246" si="1211">FALSE()</f>
        <v>0</v>
      </c>
      <c r="L1246" s="6" t="b">
        <f t="shared" si="1211"/>
        <v>0</v>
      </c>
      <c r="M1246" s="6" t="b">
        <f t="shared" si="1211"/>
        <v>0</v>
      </c>
      <c r="O1246" s="4">
        <v>0.0383934479868698</v>
      </c>
      <c r="T1246" s="4" t="str">
        <f t="shared" si="3"/>
        <v/>
      </c>
      <c r="U1246" s="4" t="str">
        <f t="shared" si="4"/>
        <v/>
      </c>
    </row>
    <row r="1247" ht="15.75" customHeight="1">
      <c r="A1247" s="4" t="s">
        <v>2612</v>
      </c>
      <c r="B1247" s="4" t="s">
        <v>13</v>
      </c>
      <c r="C1247" s="4">
        <v>2.4</v>
      </c>
      <c r="D1247" s="4">
        <v>0.2</v>
      </c>
      <c r="E1247" s="4">
        <v>0.4</v>
      </c>
      <c r="F1247" s="4">
        <v>2.01</v>
      </c>
      <c r="G1247" s="4">
        <v>0.03</v>
      </c>
      <c r="H1247" s="4">
        <v>0.03</v>
      </c>
      <c r="K1247" s="6" t="b">
        <f t="shared" ref="K1247:M1247" si="1212">FALSE()</f>
        <v>0</v>
      </c>
      <c r="L1247" s="6" t="b">
        <f t="shared" si="1212"/>
        <v>0</v>
      </c>
      <c r="M1247" s="6" t="b">
        <f t="shared" si="1212"/>
        <v>0</v>
      </c>
      <c r="N1247" s="4">
        <v>1.22377543162212</v>
      </c>
      <c r="O1247" s="4">
        <v>1.10194007876078</v>
      </c>
      <c r="T1247" s="4">
        <f t="shared" si="3"/>
        <v>383</v>
      </c>
      <c r="U1247" s="4" t="str">
        <f t="shared" si="4"/>
        <v/>
      </c>
    </row>
    <row r="1248" ht="15.75" customHeight="1">
      <c r="A1248" s="4" t="s">
        <v>2613</v>
      </c>
      <c r="B1248" s="4" t="s">
        <v>13</v>
      </c>
      <c r="C1248" s="4">
        <v>8.135</v>
      </c>
      <c r="D1248" s="4">
        <v>1.719</v>
      </c>
      <c r="E1248" s="4">
        <v>2.492</v>
      </c>
      <c r="K1248" s="6" t="b">
        <f>TRUE()</f>
        <v>1</v>
      </c>
      <c r="L1248" s="6" t="b">
        <f t="shared" ref="L1248:M1248" si="1213">FALSE()</f>
        <v>0</v>
      </c>
      <c r="M1248" s="6" t="b">
        <f t="shared" si="1213"/>
        <v>0</v>
      </c>
      <c r="N1248" s="4">
        <v>2.21211318982997</v>
      </c>
      <c r="T1248" s="4">
        <f t="shared" si="3"/>
        <v>105</v>
      </c>
      <c r="U1248" s="4" t="str">
        <f t="shared" si="4"/>
        <v/>
      </c>
    </row>
    <row r="1249" ht="15.75" customHeight="1">
      <c r="A1249" s="4" t="s">
        <v>2614</v>
      </c>
      <c r="B1249" s="4" t="s">
        <v>13</v>
      </c>
      <c r="C1249" s="4">
        <v>1.7</v>
      </c>
      <c r="D1249" s="4">
        <v>0.9</v>
      </c>
      <c r="E1249" s="4">
        <v>0.9</v>
      </c>
      <c r="K1249" s="6" t="b">
        <f t="shared" ref="K1249:M1249" si="1214">FALSE()</f>
        <v>0</v>
      </c>
      <c r="L1249" s="6" t="b">
        <f t="shared" si="1214"/>
        <v>0</v>
      </c>
      <c r="M1249" s="6" t="b">
        <f t="shared" si="1214"/>
        <v>0</v>
      </c>
      <c r="N1249" s="4">
        <v>0.993251773010283</v>
      </c>
      <c r="T1249" s="4">
        <f t="shared" si="3"/>
        <v>482</v>
      </c>
      <c r="U1249" s="4" t="str">
        <f t="shared" si="4"/>
        <v/>
      </c>
    </row>
    <row r="1250" ht="15.75" customHeight="1">
      <c r="A1250" s="4" t="s">
        <v>2615</v>
      </c>
      <c r="B1250" s="4" t="s">
        <v>13</v>
      </c>
      <c r="C1250" s="4">
        <v>6.77</v>
      </c>
      <c r="D1250" s="4">
        <v>1.213</v>
      </c>
      <c r="E1250" s="4">
        <v>1.859</v>
      </c>
      <c r="F1250" s="4">
        <v>3.67</v>
      </c>
      <c r="K1250" s="6" t="b">
        <f>TRUE()</f>
        <v>1</v>
      </c>
      <c r="L1250" s="6" t="b">
        <f t="shared" ref="L1250:M1250" si="1215">FALSE()</f>
        <v>0</v>
      </c>
      <c r="M1250" s="6" t="b">
        <f t="shared" si="1215"/>
        <v>0</v>
      </c>
      <c r="N1250" s="4">
        <v>2.05027016437956</v>
      </c>
      <c r="O1250" s="4">
        <v>1.54115907168081</v>
      </c>
      <c r="T1250" s="4">
        <f t="shared" si="3"/>
        <v>140</v>
      </c>
      <c r="U1250" s="4" t="str">
        <f t="shared" si="4"/>
        <v/>
      </c>
    </row>
    <row r="1251" ht="15.75" customHeight="1">
      <c r="A1251" s="4" t="s">
        <v>2616</v>
      </c>
      <c r="B1251" s="4" t="s">
        <v>13</v>
      </c>
      <c r="D1251" s="4">
        <v>0.004</v>
      </c>
      <c r="E1251" s="4">
        <v>0.003</v>
      </c>
      <c r="F1251" s="4">
        <v>0.304</v>
      </c>
      <c r="G1251" s="4">
        <v>0.004</v>
      </c>
      <c r="H1251" s="4">
        <v>0.003</v>
      </c>
      <c r="K1251" s="6" t="b">
        <f t="shared" ref="K1251:M1251" si="1216">FALSE()</f>
        <v>0</v>
      </c>
      <c r="L1251" s="6" t="b">
        <f t="shared" si="1216"/>
        <v>0</v>
      </c>
      <c r="M1251" s="6" t="b">
        <f t="shared" si="1216"/>
        <v>0</v>
      </c>
      <c r="O1251" s="4">
        <v>0.265436463504461</v>
      </c>
      <c r="T1251" s="4" t="str">
        <f t="shared" si="3"/>
        <v/>
      </c>
      <c r="U1251" s="4" t="str">
        <f t="shared" si="4"/>
        <v/>
      </c>
    </row>
    <row r="1252" ht="15.75" customHeight="1">
      <c r="A1252" s="4" t="s">
        <v>2617</v>
      </c>
      <c r="B1252" s="4" t="s">
        <v>13</v>
      </c>
      <c r="D1252" s="4">
        <v>0.022</v>
      </c>
      <c r="E1252" s="4">
        <v>0.001</v>
      </c>
      <c r="F1252" s="4">
        <v>0.227</v>
      </c>
      <c r="G1252" s="4">
        <v>0.022</v>
      </c>
      <c r="H1252" s="4">
        <v>0.001</v>
      </c>
      <c r="K1252" s="6" t="b">
        <f t="shared" ref="K1252:M1252" si="1217">FALSE()</f>
        <v>0</v>
      </c>
      <c r="L1252" s="6" t="b">
        <f t="shared" si="1217"/>
        <v>0</v>
      </c>
      <c r="M1252" s="6" t="b">
        <f t="shared" si="1217"/>
        <v>0</v>
      </c>
      <c r="O1252" s="4">
        <v>0.204572165728774</v>
      </c>
      <c r="T1252" s="4" t="str">
        <f t="shared" si="3"/>
        <v/>
      </c>
      <c r="U1252" s="4" t="str">
        <f t="shared" si="4"/>
        <v/>
      </c>
    </row>
    <row r="1253" ht="15.75" customHeight="1">
      <c r="A1253" s="4" t="s">
        <v>2618</v>
      </c>
      <c r="B1253" s="4" t="s">
        <v>13</v>
      </c>
      <c r="D1253" s="4">
        <v>0.004</v>
      </c>
      <c r="E1253" s="4">
        <v>0.004</v>
      </c>
      <c r="F1253" s="4">
        <v>0.036</v>
      </c>
      <c r="G1253" s="4">
        <v>0.004</v>
      </c>
      <c r="H1253" s="4">
        <v>0.004</v>
      </c>
      <c r="K1253" s="6" t="b">
        <f t="shared" ref="K1253:M1253" si="1218">FALSE()</f>
        <v>0</v>
      </c>
      <c r="L1253" s="6" t="b">
        <f t="shared" si="1218"/>
        <v>0</v>
      </c>
      <c r="M1253" s="6" t="b">
        <f t="shared" si="1218"/>
        <v>0</v>
      </c>
      <c r="O1253" s="4">
        <v>0.0353671438372913</v>
      </c>
      <c r="T1253" s="4" t="str">
        <f t="shared" si="3"/>
        <v/>
      </c>
      <c r="U1253" s="4" t="str">
        <f t="shared" si="4"/>
        <v/>
      </c>
    </row>
    <row r="1254" ht="15.75" customHeight="1">
      <c r="A1254" s="4" t="s">
        <v>2619</v>
      </c>
      <c r="B1254" s="4" t="s">
        <v>13</v>
      </c>
      <c r="D1254" s="4">
        <v>0.01</v>
      </c>
      <c r="E1254" s="4">
        <v>0.01</v>
      </c>
      <c r="F1254" s="4">
        <v>0.41</v>
      </c>
      <c r="G1254" s="4">
        <v>0.01</v>
      </c>
      <c r="H1254" s="4">
        <v>0.01</v>
      </c>
      <c r="K1254" s="6" t="b">
        <f t="shared" ref="K1254:M1254" si="1219">FALSE()</f>
        <v>0</v>
      </c>
      <c r="L1254" s="6" t="b">
        <f t="shared" si="1219"/>
        <v>0</v>
      </c>
      <c r="M1254" s="6" t="b">
        <f t="shared" si="1219"/>
        <v>0</v>
      </c>
      <c r="O1254" s="4">
        <v>0.343589704390077</v>
      </c>
      <c r="T1254" s="4" t="str">
        <f t="shared" si="3"/>
        <v/>
      </c>
      <c r="U1254" s="4" t="str">
        <f t="shared" si="4"/>
        <v/>
      </c>
    </row>
    <row r="1255" ht="15.75" customHeight="1">
      <c r="A1255" s="4" t="s">
        <v>2620</v>
      </c>
      <c r="B1255" s="4" t="s">
        <v>13</v>
      </c>
      <c r="D1255" s="4">
        <v>0.025</v>
      </c>
      <c r="E1255" s="4">
        <v>0.025</v>
      </c>
      <c r="F1255" s="4">
        <v>0.527</v>
      </c>
      <c r="G1255" s="4">
        <v>0.025</v>
      </c>
      <c r="H1255" s="4">
        <v>0.025</v>
      </c>
      <c r="K1255" s="6" t="b">
        <f t="shared" ref="K1255:M1255" si="1220">FALSE()</f>
        <v>0</v>
      </c>
      <c r="L1255" s="6" t="b">
        <f t="shared" si="1220"/>
        <v>0</v>
      </c>
      <c r="M1255" s="6" t="b">
        <f t="shared" si="1220"/>
        <v>0</v>
      </c>
      <c r="O1255" s="4">
        <v>0.423305026236495</v>
      </c>
      <c r="T1255" s="4" t="str">
        <f t="shared" si="3"/>
        <v/>
      </c>
      <c r="U1255" s="4" t="str">
        <f t="shared" si="4"/>
        <v/>
      </c>
    </row>
    <row r="1256" ht="15.75" customHeight="1">
      <c r="A1256" s="4" t="s">
        <v>2621</v>
      </c>
      <c r="B1256" s="4" t="s">
        <v>13</v>
      </c>
      <c r="F1256" s="4">
        <v>0.51</v>
      </c>
      <c r="K1256" s="6" t="b">
        <f t="shared" ref="K1256:M1256" si="1221">FALSE()</f>
        <v>0</v>
      </c>
      <c r="L1256" s="6" t="b">
        <f t="shared" si="1221"/>
        <v>0</v>
      </c>
      <c r="M1256" s="6" t="b">
        <f t="shared" si="1221"/>
        <v>0</v>
      </c>
      <c r="O1256" s="4">
        <v>0.412109650826833</v>
      </c>
      <c r="T1256" s="4" t="str">
        <f t="shared" si="3"/>
        <v/>
      </c>
      <c r="U1256" s="4" t="str">
        <f t="shared" si="4"/>
        <v/>
      </c>
    </row>
    <row r="1257" ht="15.75" customHeight="1">
      <c r="A1257" s="4" t="s">
        <v>2622</v>
      </c>
      <c r="B1257" s="4" t="s">
        <v>13</v>
      </c>
      <c r="F1257" s="4">
        <v>9.18</v>
      </c>
      <c r="K1257" s="6" t="b">
        <f>FALSE()</f>
        <v>0</v>
      </c>
      <c r="L1257" s="6" t="b">
        <f>TRUE()</f>
        <v>1</v>
      </c>
      <c r="M1257" s="6" t="b">
        <f>FALSE()</f>
        <v>0</v>
      </c>
      <c r="O1257" s="4">
        <v>2.32042501112238</v>
      </c>
      <c r="T1257" s="4" t="str">
        <f t="shared" si="3"/>
        <v/>
      </c>
      <c r="U1257" s="4" t="str">
        <f t="shared" si="4"/>
        <v/>
      </c>
    </row>
    <row r="1258" ht="15.75" customHeight="1">
      <c r="A1258" s="4" t="s">
        <v>2623</v>
      </c>
      <c r="B1258" s="4" t="s">
        <v>13</v>
      </c>
      <c r="C1258" s="4">
        <v>11.0</v>
      </c>
      <c r="D1258" s="4">
        <v>3.0</v>
      </c>
      <c r="E1258" s="4">
        <v>3.0</v>
      </c>
      <c r="K1258" s="6" t="b">
        <f>TRUE()</f>
        <v>1</v>
      </c>
      <c r="L1258" s="6" t="b">
        <f t="shared" ref="L1258:M1258" si="1222">FALSE()</f>
        <v>0</v>
      </c>
      <c r="M1258" s="6" t="b">
        <f t="shared" si="1222"/>
        <v>0</v>
      </c>
      <c r="N1258" s="4">
        <v>2.484906649788</v>
      </c>
      <c r="T1258" s="4">
        <f t="shared" si="3"/>
        <v>36</v>
      </c>
      <c r="U1258" s="4" t="str">
        <f t="shared" si="4"/>
        <v/>
      </c>
    </row>
    <row r="1259" ht="15.75" customHeight="1">
      <c r="A1259" s="4" t="s">
        <v>2624</v>
      </c>
      <c r="B1259" s="4" t="s">
        <v>13</v>
      </c>
      <c r="D1259" s="4">
        <v>0.032</v>
      </c>
      <c r="E1259" s="4">
        <v>0.032</v>
      </c>
      <c r="F1259" s="4">
        <v>0.428</v>
      </c>
      <c r="G1259" s="4">
        <v>0.032</v>
      </c>
      <c r="H1259" s="4">
        <v>0.032</v>
      </c>
      <c r="K1259" s="6" t="b">
        <f t="shared" ref="K1259:M1259" si="1223">FALSE()</f>
        <v>0</v>
      </c>
      <c r="L1259" s="6" t="b">
        <f t="shared" si="1223"/>
        <v>0</v>
      </c>
      <c r="M1259" s="6" t="b">
        <f t="shared" si="1223"/>
        <v>0</v>
      </c>
      <c r="O1259" s="4">
        <v>0.356274863917393</v>
      </c>
      <c r="T1259" s="4" t="str">
        <f t="shared" si="3"/>
        <v/>
      </c>
      <c r="U1259" s="4" t="str">
        <f t="shared" si="4"/>
        <v/>
      </c>
    </row>
    <row r="1260" ht="15.75" customHeight="1">
      <c r="A1260" s="4" t="s">
        <v>2625</v>
      </c>
      <c r="B1260" s="4" t="s">
        <v>13</v>
      </c>
      <c r="D1260" s="4">
        <v>0.054</v>
      </c>
      <c r="E1260" s="4">
        <v>0.054</v>
      </c>
      <c r="F1260" s="4">
        <v>0.784</v>
      </c>
      <c r="G1260" s="4">
        <v>0.054</v>
      </c>
      <c r="H1260" s="4">
        <v>0.054</v>
      </c>
      <c r="K1260" s="6" t="b">
        <f t="shared" ref="K1260:M1260" si="1224">FALSE()</f>
        <v>0</v>
      </c>
      <c r="L1260" s="6" t="b">
        <f t="shared" si="1224"/>
        <v>0</v>
      </c>
      <c r="M1260" s="6" t="b">
        <f t="shared" si="1224"/>
        <v>0</v>
      </c>
      <c r="O1260" s="4">
        <v>0.578858034157818</v>
      </c>
      <c r="T1260" s="4" t="str">
        <f t="shared" si="3"/>
        <v/>
      </c>
      <c r="U1260" s="4" t="str">
        <f t="shared" si="4"/>
        <v/>
      </c>
    </row>
    <row r="1261" ht="15.75" customHeight="1">
      <c r="A1261" s="4" t="s">
        <v>472</v>
      </c>
      <c r="B1261" s="4" t="s">
        <v>13</v>
      </c>
      <c r="C1261" s="4">
        <v>7.1</v>
      </c>
      <c r="D1261" s="4">
        <v>1.1</v>
      </c>
      <c r="E1261" s="4">
        <v>1.1</v>
      </c>
      <c r="I1261" s="4">
        <v>1.5</v>
      </c>
      <c r="J1261" s="4">
        <v>0.1</v>
      </c>
      <c r="K1261" s="6" t="b">
        <f t="shared" ref="K1261:K1262" si="1225">TRUE()</f>
        <v>1</v>
      </c>
      <c r="L1261" s="6" t="b">
        <f>FALSE()</f>
        <v>0</v>
      </c>
      <c r="M1261" s="6" t="b">
        <f>TRUE()</f>
        <v>1</v>
      </c>
      <c r="N1261" s="4">
        <v>2.09186406167839</v>
      </c>
      <c r="P1261" s="4">
        <v>0.916290731874155</v>
      </c>
      <c r="T1261" s="4">
        <f t="shared" si="3"/>
        <v>130</v>
      </c>
      <c r="U1261" s="4">
        <f t="shared" si="4"/>
        <v>114</v>
      </c>
    </row>
    <row r="1262" ht="15.75" customHeight="1">
      <c r="A1262" s="4" t="s">
        <v>2626</v>
      </c>
      <c r="B1262" s="4" t="s">
        <v>13</v>
      </c>
      <c r="C1262" s="4">
        <v>5.888</v>
      </c>
      <c r="D1262" s="4">
        <v>0.283</v>
      </c>
      <c r="E1262" s="4">
        <v>0.757</v>
      </c>
      <c r="F1262" s="4">
        <v>6.0</v>
      </c>
      <c r="G1262" s="4">
        <v>0.5</v>
      </c>
      <c r="H1262" s="4">
        <v>0.5</v>
      </c>
      <c r="K1262" s="6" t="b">
        <f t="shared" si="1225"/>
        <v>1</v>
      </c>
      <c r="L1262" s="6" t="b">
        <f>TRUE()</f>
        <v>1</v>
      </c>
      <c r="M1262" s="6" t="b">
        <f>FALSE()</f>
        <v>0</v>
      </c>
      <c r="N1262" s="4">
        <v>1.92978076712543</v>
      </c>
      <c r="O1262" s="4">
        <v>1.94591014905531</v>
      </c>
      <c r="T1262" s="4">
        <f t="shared" si="3"/>
        <v>177</v>
      </c>
      <c r="U1262" s="4" t="str">
        <f t="shared" si="4"/>
        <v/>
      </c>
    </row>
    <row r="1263" ht="15.75" customHeight="1">
      <c r="A1263" s="4" t="s">
        <v>473</v>
      </c>
      <c r="B1263" s="4" t="s">
        <v>13</v>
      </c>
      <c r="C1263" s="4">
        <v>3.213</v>
      </c>
      <c r="D1263" s="4">
        <v>0.078</v>
      </c>
      <c r="E1263" s="4">
        <v>0.078</v>
      </c>
      <c r="I1263" s="4">
        <v>2.03</v>
      </c>
      <c r="J1263" s="4">
        <v>0.49</v>
      </c>
      <c r="K1263" s="6" t="b">
        <f t="shared" ref="K1263:L1263" si="1226">FALSE()</f>
        <v>0</v>
      </c>
      <c r="L1263" s="6" t="b">
        <f t="shared" si="1226"/>
        <v>0</v>
      </c>
      <c r="M1263" s="6" t="b">
        <f t="shared" ref="M1263:M1264" si="1228">TRUE()</f>
        <v>1</v>
      </c>
      <c r="N1263" s="4">
        <v>1.43817498299688</v>
      </c>
      <c r="P1263" s="4">
        <v>1.10856261952128</v>
      </c>
      <c r="T1263" s="4">
        <f t="shared" si="3"/>
        <v>308</v>
      </c>
      <c r="U1263" s="4">
        <f t="shared" si="4"/>
        <v>9</v>
      </c>
    </row>
    <row r="1264" ht="15.75" customHeight="1">
      <c r="A1264" s="4" t="s">
        <v>475</v>
      </c>
      <c r="B1264" s="4" t="s">
        <v>13</v>
      </c>
      <c r="C1264" s="4">
        <v>0.0434</v>
      </c>
      <c r="D1264" s="4">
        <v>0.003</v>
      </c>
      <c r="E1264" s="4">
        <v>0.003</v>
      </c>
      <c r="I1264" s="4">
        <v>0.897</v>
      </c>
      <c r="J1264" s="4">
        <v>0.049</v>
      </c>
      <c r="K1264" s="6" t="b">
        <f t="shared" ref="K1264:L1264" si="1227">FALSE()</f>
        <v>0</v>
      </c>
      <c r="L1264" s="6" t="b">
        <f t="shared" si="1227"/>
        <v>0</v>
      </c>
      <c r="M1264" s="6" t="b">
        <f t="shared" si="1228"/>
        <v>1</v>
      </c>
      <c r="N1264" s="4">
        <v>0.0424846116061553</v>
      </c>
      <c r="P1264" s="4">
        <v>0.640273690952877</v>
      </c>
      <c r="T1264" s="4">
        <f t="shared" si="3"/>
        <v>1437</v>
      </c>
      <c r="U1264" s="4">
        <f t="shared" si="4"/>
        <v>768</v>
      </c>
    </row>
    <row r="1265" ht="15.75" customHeight="1">
      <c r="A1265" s="4" t="s">
        <v>2627</v>
      </c>
      <c r="B1265" s="4" t="s">
        <v>13</v>
      </c>
      <c r="I1265" s="4">
        <v>0.731</v>
      </c>
      <c r="J1265" s="4">
        <v>0.057</v>
      </c>
      <c r="K1265" s="6" t="b">
        <f t="shared" ref="K1265:M1265" si="1229">FALSE()</f>
        <v>0</v>
      </c>
      <c r="L1265" s="6" t="b">
        <f t="shared" si="1229"/>
        <v>0</v>
      </c>
      <c r="M1265" s="6" t="b">
        <f t="shared" si="1229"/>
        <v>0</v>
      </c>
      <c r="P1265" s="4">
        <v>0.548699276194072</v>
      </c>
      <c r="T1265" s="4" t="str">
        <f t="shared" si="3"/>
        <v/>
      </c>
      <c r="U1265" s="4">
        <f t="shared" si="4"/>
        <v>884</v>
      </c>
    </row>
    <row r="1266" ht="15.75" customHeight="1">
      <c r="A1266" s="4" t="s">
        <v>2628</v>
      </c>
      <c r="B1266" s="4" t="s">
        <v>13</v>
      </c>
      <c r="D1266" s="4">
        <v>0.6</v>
      </c>
      <c r="E1266" s="4">
        <v>0.6</v>
      </c>
      <c r="F1266" s="4">
        <v>11.1</v>
      </c>
      <c r="G1266" s="4">
        <v>0.6</v>
      </c>
      <c r="H1266" s="4">
        <v>0.6</v>
      </c>
      <c r="K1266" s="6" t="b">
        <f t="shared" ref="K1266:K1267" si="1230">FALSE()</f>
        <v>0</v>
      </c>
      <c r="L1266" s="6" t="b">
        <f>TRUE()</f>
        <v>1</v>
      </c>
      <c r="M1266" s="6" t="b">
        <f>FALSE()</f>
        <v>0</v>
      </c>
      <c r="O1266" s="4">
        <v>2.4932054526027</v>
      </c>
      <c r="T1266" s="4" t="str">
        <f t="shared" si="3"/>
        <v/>
      </c>
      <c r="U1266" s="4" t="str">
        <f t="shared" si="4"/>
        <v/>
      </c>
    </row>
    <row r="1267" ht="15.75" customHeight="1">
      <c r="A1267" s="4" t="s">
        <v>2629</v>
      </c>
      <c r="B1267" s="4" t="s">
        <v>13</v>
      </c>
      <c r="D1267" s="4">
        <v>0.04</v>
      </c>
      <c r="E1267" s="4">
        <v>0.04</v>
      </c>
      <c r="F1267" s="4">
        <v>1.15</v>
      </c>
      <c r="G1267" s="4">
        <v>0.04</v>
      </c>
      <c r="H1267" s="4">
        <v>0.04</v>
      </c>
      <c r="J1267" s="4">
        <v>0.04</v>
      </c>
      <c r="K1267" s="6" t="b">
        <f t="shared" si="1230"/>
        <v>0</v>
      </c>
      <c r="L1267" s="6" t="b">
        <f t="shared" ref="L1267:M1267" si="1231">FALSE()</f>
        <v>0</v>
      </c>
      <c r="M1267" s="6" t="b">
        <f t="shared" si="1231"/>
        <v>0</v>
      </c>
      <c r="O1267" s="4">
        <v>0.765467842139571</v>
      </c>
      <c r="T1267" s="4" t="str">
        <f t="shared" si="3"/>
        <v/>
      </c>
      <c r="U1267" s="4" t="str">
        <f t="shared" si="4"/>
        <v/>
      </c>
    </row>
    <row r="1268" ht="15.75" customHeight="1">
      <c r="A1268" s="4" t="s">
        <v>2630</v>
      </c>
      <c r="B1268" s="4" t="s">
        <v>13</v>
      </c>
      <c r="C1268" s="4">
        <v>4.97</v>
      </c>
      <c r="D1268" s="4">
        <v>0.22</v>
      </c>
      <c r="E1268" s="4">
        <v>0.92</v>
      </c>
      <c r="F1268" s="4">
        <v>4.97</v>
      </c>
      <c r="G1268" s="4">
        <v>0.22</v>
      </c>
      <c r="H1268" s="4">
        <v>0.22</v>
      </c>
      <c r="K1268" s="6" t="b">
        <f>TRUE()</f>
        <v>1</v>
      </c>
      <c r="L1268" s="6" t="b">
        <f t="shared" ref="L1268:M1268" si="1232">FALSE()</f>
        <v>0</v>
      </c>
      <c r="M1268" s="6" t="b">
        <f t="shared" si="1232"/>
        <v>0</v>
      </c>
      <c r="N1268" s="4">
        <v>1.78674692740451</v>
      </c>
      <c r="O1268" s="4">
        <v>1.78674692740451</v>
      </c>
      <c r="T1268" s="4">
        <f t="shared" si="3"/>
        <v>214</v>
      </c>
      <c r="U1268" s="4" t="str">
        <f t="shared" si="4"/>
        <v/>
      </c>
    </row>
    <row r="1269" ht="15.75" customHeight="1">
      <c r="A1269" s="4" t="s">
        <v>2631</v>
      </c>
      <c r="B1269" s="4" t="s">
        <v>13</v>
      </c>
      <c r="F1269" s="4">
        <v>0.011</v>
      </c>
      <c r="K1269" s="6" t="b">
        <f t="shared" ref="K1269:M1269" si="1233">FALSE()</f>
        <v>0</v>
      </c>
      <c r="L1269" s="6" t="b">
        <f t="shared" si="1233"/>
        <v>0</v>
      </c>
      <c r="M1269" s="6" t="b">
        <f t="shared" si="1233"/>
        <v>0</v>
      </c>
      <c r="O1269" s="4">
        <v>0.0109399400383343</v>
      </c>
      <c r="T1269" s="4" t="str">
        <f t="shared" si="3"/>
        <v/>
      </c>
      <c r="U1269" s="4" t="str">
        <f t="shared" si="4"/>
        <v/>
      </c>
    </row>
    <row r="1270" ht="15.75" customHeight="1">
      <c r="A1270" s="4" t="s">
        <v>2632</v>
      </c>
      <c r="B1270" s="4" t="s">
        <v>13</v>
      </c>
      <c r="F1270" s="4">
        <v>0.094</v>
      </c>
      <c r="K1270" s="6" t="b">
        <f t="shared" ref="K1270:M1270" si="1234">FALSE()</f>
        <v>0</v>
      </c>
      <c r="L1270" s="6" t="b">
        <f t="shared" si="1234"/>
        <v>0</v>
      </c>
      <c r="M1270" s="6" t="b">
        <f t="shared" si="1234"/>
        <v>0</v>
      </c>
      <c r="O1270" s="4">
        <v>0.0898407039997894</v>
      </c>
      <c r="T1270" s="4" t="str">
        <f t="shared" si="3"/>
        <v/>
      </c>
      <c r="U1270" s="4" t="str">
        <f t="shared" si="4"/>
        <v/>
      </c>
    </row>
    <row r="1271" ht="15.75" customHeight="1">
      <c r="A1271" s="4" t="s">
        <v>2633</v>
      </c>
      <c r="B1271" s="4" t="s">
        <v>13</v>
      </c>
      <c r="C1271" s="4">
        <v>4.58</v>
      </c>
      <c r="D1271" s="4">
        <v>0.09</v>
      </c>
      <c r="E1271" s="4">
        <v>0.53</v>
      </c>
      <c r="F1271" s="4">
        <v>4.58</v>
      </c>
      <c r="G1271" s="4">
        <v>0.09</v>
      </c>
      <c r="H1271" s="4">
        <v>0.09</v>
      </c>
      <c r="K1271" s="6" t="b">
        <f>TRUE()</f>
        <v>1</v>
      </c>
      <c r="L1271" s="6" t="b">
        <f t="shared" ref="L1271:M1271" si="1235">FALSE()</f>
        <v>0</v>
      </c>
      <c r="M1271" s="6" t="b">
        <f t="shared" si="1235"/>
        <v>0</v>
      </c>
      <c r="N1271" s="4">
        <v>1.71918877639322</v>
      </c>
      <c r="O1271" s="4">
        <v>1.71918877639322</v>
      </c>
      <c r="T1271" s="4">
        <f t="shared" si="3"/>
        <v>227</v>
      </c>
      <c r="U1271" s="4" t="str">
        <f t="shared" si="4"/>
        <v/>
      </c>
    </row>
    <row r="1272" ht="15.75" customHeight="1">
      <c r="A1272" s="4" t="s">
        <v>2634</v>
      </c>
      <c r="B1272" s="4" t="s">
        <v>13</v>
      </c>
      <c r="D1272" s="4">
        <v>0.0129</v>
      </c>
      <c r="E1272" s="4">
        <v>0.0129</v>
      </c>
      <c r="F1272" s="4">
        <v>0.0592</v>
      </c>
      <c r="G1272" s="4">
        <v>0.0129</v>
      </c>
      <c r="H1272" s="4">
        <v>0.0129</v>
      </c>
      <c r="K1272" s="6" t="b">
        <f t="shared" ref="K1272:M1272" si="1236">FALSE()</f>
        <v>0</v>
      </c>
      <c r="L1272" s="6" t="b">
        <f t="shared" si="1236"/>
        <v>0</v>
      </c>
      <c r="M1272" s="6" t="b">
        <f t="shared" si="1236"/>
        <v>0</v>
      </c>
      <c r="O1272" s="4">
        <v>0.0575139062006067</v>
      </c>
      <c r="T1272" s="4" t="str">
        <f t="shared" si="3"/>
        <v/>
      </c>
      <c r="U1272" s="4" t="str">
        <f t="shared" si="4"/>
        <v/>
      </c>
    </row>
    <row r="1273" ht="15.75" customHeight="1">
      <c r="A1273" s="4" t="s">
        <v>2635</v>
      </c>
      <c r="B1273" s="4" t="s">
        <v>13</v>
      </c>
      <c r="D1273" s="4">
        <v>0.3</v>
      </c>
      <c r="E1273" s="4">
        <v>0.3</v>
      </c>
      <c r="F1273" s="4">
        <v>2.4</v>
      </c>
      <c r="G1273" s="4">
        <v>0.3</v>
      </c>
      <c r="H1273" s="4">
        <v>0.3</v>
      </c>
      <c r="K1273" s="6" t="b">
        <f t="shared" ref="K1273:M1273" si="1237">FALSE()</f>
        <v>0</v>
      </c>
      <c r="L1273" s="6" t="b">
        <f t="shared" si="1237"/>
        <v>0</v>
      </c>
      <c r="M1273" s="6" t="b">
        <f t="shared" si="1237"/>
        <v>0</v>
      </c>
      <c r="O1273" s="4">
        <v>1.22377543162212</v>
      </c>
      <c r="T1273" s="4" t="str">
        <f t="shared" si="3"/>
        <v/>
      </c>
      <c r="U1273" s="4" t="str">
        <f t="shared" si="4"/>
        <v/>
      </c>
    </row>
    <row r="1274" ht="15.75" customHeight="1">
      <c r="A1274" s="4" t="s">
        <v>2636</v>
      </c>
      <c r="B1274" s="4" t="s">
        <v>13</v>
      </c>
      <c r="D1274" s="4">
        <v>0.16</v>
      </c>
      <c r="E1274" s="4">
        <v>0.16</v>
      </c>
      <c r="F1274" s="4">
        <v>1.79</v>
      </c>
      <c r="G1274" s="4">
        <v>0.16</v>
      </c>
      <c r="H1274" s="4">
        <v>0.16</v>
      </c>
      <c r="K1274" s="6" t="b">
        <f t="shared" ref="K1274:M1274" si="1238">FALSE()</f>
        <v>0</v>
      </c>
      <c r="L1274" s="6" t="b">
        <f t="shared" si="1238"/>
        <v>0</v>
      </c>
      <c r="M1274" s="6" t="b">
        <f t="shared" si="1238"/>
        <v>0</v>
      </c>
      <c r="O1274" s="4">
        <v>1.02604159583327</v>
      </c>
      <c r="T1274" s="4" t="str">
        <f t="shared" si="3"/>
        <v/>
      </c>
      <c r="U1274" s="4" t="str">
        <f t="shared" si="4"/>
        <v/>
      </c>
    </row>
    <row r="1275" ht="15.75" customHeight="1">
      <c r="A1275" s="4" t="s">
        <v>2637</v>
      </c>
      <c r="B1275" s="4" t="s">
        <v>13</v>
      </c>
      <c r="F1275" s="4">
        <v>2.1</v>
      </c>
      <c r="K1275" s="6" t="b">
        <f t="shared" ref="K1275:M1275" si="1239">FALSE()</f>
        <v>0</v>
      </c>
      <c r="L1275" s="6" t="b">
        <f t="shared" si="1239"/>
        <v>0</v>
      </c>
      <c r="M1275" s="6" t="b">
        <f t="shared" si="1239"/>
        <v>0</v>
      </c>
      <c r="O1275" s="4">
        <v>1.1314021114911</v>
      </c>
      <c r="T1275" s="4" t="str">
        <f t="shared" si="3"/>
        <v/>
      </c>
      <c r="U1275" s="4" t="str">
        <f t="shared" si="4"/>
        <v/>
      </c>
    </row>
    <row r="1276" ht="15.75" customHeight="1">
      <c r="A1276" s="4" t="s">
        <v>2638</v>
      </c>
      <c r="B1276" s="4" t="s">
        <v>13</v>
      </c>
      <c r="C1276" s="4">
        <v>7.714</v>
      </c>
      <c r="D1276" s="4">
        <v>0.103</v>
      </c>
      <c r="E1276" s="4">
        <v>1.895</v>
      </c>
      <c r="F1276" s="4">
        <v>5.59</v>
      </c>
      <c r="G1276" s="4">
        <v>1.0</v>
      </c>
      <c r="H1276" s="4">
        <v>1.0</v>
      </c>
      <c r="K1276" s="6" t="b">
        <f>TRUE()</f>
        <v>1</v>
      </c>
      <c r="L1276" s="6" t="b">
        <f t="shared" ref="L1276:M1276" si="1240">FALSE()</f>
        <v>0</v>
      </c>
      <c r="M1276" s="6" t="b">
        <f t="shared" si="1240"/>
        <v>0</v>
      </c>
      <c r="N1276" s="4">
        <v>2.16493092769525</v>
      </c>
      <c r="O1276" s="4">
        <v>1.88555334851442</v>
      </c>
      <c r="T1276" s="4">
        <f t="shared" si="3"/>
        <v>118</v>
      </c>
      <c r="U1276" s="4" t="str">
        <f t="shared" si="4"/>
        <v/>
      </c>
    </row>
    <row r="1277" ht="15.75" customHeight="1">
      <c r="A1277" s="4" t="s">
        <v>2639</v>
      </c>
      <c r="B1277" s="4" t="s">
        <v>13</v>
      </c>
      <c r="D1277" s="4">
        <v>0.16</v>
      </c>
      <c r="E1277" s="4">
        <v>0.166</v>
      </c>
      <c r="F1277" s="4">
        <v>0.804</v>
      </c>
      <c r="G1277" s="4">
        <v>0.16</v>
      </c>
      <c r="H1277" s="4">
        <v>0.166</v>
      </c>
      <c r="K1277" s="6" t="b">
        <f t="shared" ref="K1277:M1277" si="1241">FALSE()</f>
        <v>0</v>
      </c>
      <c r="L1277" s="6" t="b">
        <f t="shared" si="1241"/>
        <v>0</v>
      </c>
      <c r="M1277" s="6" t="b">
        <f t="shared" si="1241"/>
        <v>0</v>
      </c>
      <c r="O1277" s="4">
        <v>0.590006421640432</v>
      </c>
      <c r="T1277" s="4" t="str">
        <f t="shared" si="3"/>
        <v/>
      </c>
      <c r="U1277" s="4" t="str">
        <f t="shared" si="4"/>
        <v/>
      </c>
    </row>
    <row r="1278" ht="15.75" customHeight="1">
      <c r="A1278" s="4" t="s">
        <v>2640</v>
      </c>
      <c r="B1278" s="4" t="s">
        <v>13</v>
      </c>
      <c r="F1278" s="4">
        <v>0.71</v>
      </c>
      <c r="K1278" s="6" t="b">
        <f t="shared" ref="K1278:M1278" si="1242">FALSE()</f>
        <v>0</v>
      </c>
      <c r="L1278" s="6" t="b">
        <f t="shared" si="1242"/>
        <v>0</v>
      </c>
      <c r="M1278" s="6" t="b">
        <f t="shared" si="1242"/>
        <v>0</v>
      </c>
      <c r="O1278" s="4">
        <v>0.536493370514569</v>
      </c>
      <c r="T1278" s="4" t="str">
        <f t="shared" si="3"/>
        <v/>
      </c>
      <c r="U1278" s="4" t="str">
        <f t="shared" si="4"/>
        <v/>
      </c>
    </row>
    <row r="1279" ht="15.75" customHeight="1">
      <c r="A1279" s="4" t="s">
        <v>2641</v>
      </c>
      <c r="B1279" s="4" t="s">
        <v>13</v>
      </c>
      <c r="D1279" s="4">
        <v>0.09</v>
      </c>
      <c r="E1279" s="4">
        <v>0.09</v>
      </c>
      <c r="F1279" s="4">
        <v>1.96</v>
      </c>
      <c r="G1279" s="4">
        <v>0.09</v>
      </c>
      <c r="H1279" s="4">
        <v>0.09</v>
      </c>
      <c r="K1279" s="6" t="b">
        <f t="shared" ref="K1279:M1279" si="1243">FALSE()</f>
        <v>0</v>
      </c>
      <c r="L1279" s="6" t="b">
        <f t="shared" si="1243"/>
        <v>0</v>
      </c>
      <c r="M1279" s="6" t="b">
        <f t="shared" si="1243"/>
        <v>0</v>
      </c>
      <c r="O1279" s="4">
        <v>1.08518926833597</v>
      </c>
      <c r="T1279" s="4" t="str">
        <f t="shared" si="3"/>
        <v/>
      </c>
      <c r="U1279" s="4" t="str">
        <f t="shared" si="4"/>
        <v/>
      </c>
    </row>
    <row r="1280" ht="15.75" customHeight="1">
      <c r="A1280" s="4" t="s">
        <v>2642</v>
      </c>
      <c r="B1280" s="4" t="s">
        <v>13</v>
      </c>
      <c r="D1280" s="4">
        <v>0.038</v>
      </c>
      <c r="E1280" s="4">
        <v>0.038</v>
      </c>
      <c r="F1280" s="4">
        <v>1.068</v>
      </c>
      <c r="G1280" s="4">
        <v>0.038</v>
      </c>
      <c r="H1280" s="4">
        <v>0.038</v>
      </c>
      <c r="K1280" s="6" t="b">
        <f t="shared" ref="K1280:M1280" si="1244">FALSE()</f>
        <v>0</v>
      </c>
      <c r="L1280" s="6" t="b">
        <f t="shared" si="1244"/>
        <v>0</v>
      </c>
      <c r="M1280" s="6" t="b">
        <f t="shared" si="1244"/>
        <v>0</v>
      </c>
      <c r="O1280" s="4">
        <v>0.726581956646183</v>
      </c>
      <c r="T1280" s="4" t="str">
        <f t="shared" si="3"/>
        <v/>
      </c>
      <c r="U1280" s="4" t="str">
        <f t="shared" si="4"/>
        <v/>
      </c>
    </row>
    <row r="1281" ht="15.75" customHeight="1">
      <c r="A1281" s="4" t="s">
        <v>476</v>
      </c>
      <c r="B1281" s="4" t="s">
        <v>13</v>
      </c>
      <c r="C1281" s="4">
        <v>1.192</v>
      </c>
      <c r="D1281" s="4">
        <v>1.192</v>
      </c>
      <c r="E1281" s="4">
        <v>0.0</v>
      </c>
      <c r="I1281" s="4">
        <v>0.2862</v>
      </c>
      <c r="K1281" s="6" t="b">
        <f t="shared" ref="K1281:M1281" si="1245">FALSE()</f>
        <v>0</v>
      </c>
      <c r="L1281" s="6" t="b">
        <f t="shared" si="1245"/>
        <v>0</v>
      </c>
      <c r="M1281" s="6" t="b">
        <f t="shared" si="1245"/>
        <v>0</v>
      </c>
      <c r="N1281" s="4">
        <v>0.784814369085769</v>
      </c>
      <c r="P1281" s="4">
        <v>0.251692134718626</v>
      </c>
      <c r="T1281" s="4">
        <f t="shared" si="3"/>
        <v>591</v>
      </c>
      <c r="U1281" s="4">
        <f t="shared" si="4"/>
        <v>1458</v>
      </c>
    </row>
    <row r="1282" ht="15.75" customHeight="1">
      <c r="A1282" s="4" t="s">
        <v>2643</v>
      </c>
      <c r="B1282" s="4" t="s">
        <v>13</v>
      </c>
      <c r="C1282" s="4">
        <v>3.7</v>
      </c>
      <c r="D1282" s="4">
        <v>2.3</v>
      </c>
      <c r="E1282" s="4">
        <v>2.3</v>
      </c>
      <c r="K1282" s="6" t="b">
        <f>TRUE()</f>
        <v>1</v>
      </c>
      <c r="L1282" s="6" t="b">
        <f t="shared" ref="L1282:M1282" si="1246">FALSE()</f>
        <v>0</v>
      </c>
      <c r="M1282" s="6" t="b">
        <f t="shared" si="1246"/>
        <v>0</v>
      </c>
      <c r="N1282" s="4">
        <v>1.54756250871601</v>
      </c>
      <c r="T1282" s="4">
        <f t="shared" si="3"/>
        <v>272</v>
      </c>
      <c r="U1282" s="4" t="str">
        <f t="shared" si="4"/>
        <v/>
      </c>
    </row>
    <row r="1283" ht="15.75" customHeight="1">
      <c r="A1283" s="4" t="s">
        <v>477</v>
      </c>
      <c r="B1283" s="4" t="s">
        <v>13</v>
      </c>
      <c r="C1283" s="4">
        <v>0.063</v>
      </c>
      <c r="D1283" s="4">
        <v>0.0047</v>
      </c>
      <c r="E1283" s="4">
        <v>0.0047</v>
      </c>
      <c r="I1283" s="4">
        <v>0.2444</v>
      </c>
      <c r="J1283" s="4">
        <v>0.0116</v>
      </c>
      <c r="K1283" s="6" t="b">
        <f t="shared" ref="K1283:M1283" si="1247">FALSE()</f>
        <v>0</v>
      </c>
      <c r="L1283" s="6" t="b">
        <f t="shared" si="1247"/>
        <v>0</v>
      </c>
      <c r="M1283" s="6" t="b">
        <f t="shared" si="1247"/>
        <v>0</v>
      </c>
      <c r="N1283" s="4">
        <v>0.0610950993598108</v>
      </c>
      <c r="P1283" s="4">
        <v>0.218653486041345</v>
      </c>
      <c r="T1283" s="4">
        <f t="shared" si="3"/>
        <v>1348</v>
      </c>
      <c r="U1283" s="4">
        <f t="shared" si="4"/>
        <v>1878</v>
      </c>
    </row>
    <row r="1284" ht="15.75" customHeight="1">
      <c r="A1284" s="4" t="s">
        <v>2644</v>
      </c>
      <c r="B1284" s="4" t="s">
        <v>13</v>
      </c>
      <c r="D1284" s="4">
        <v>1.8</v>
      </c>
      <c r="E1284" s="4">
        <v>1.8</v>
      </c>
      <c r="F1284" s="4">
        <v>9.9</v>
      </c>
      <c r="G1284" s="4">
        <v>1.8</v>
      </c>
      <c r="H1284" s="4">
        <v>1.8</v>
      </c>
      <c r="K1284" s="6" t="b">
        <f t="shared" ref="K1284:K1285" si="1248">FALSE()</f>
        <v>0</v>
      </c>
      <c r="L1284" s="6" t="b">
        <f>TRUE()</f>
        <v>1</v>
      </c>
      <c r="M1284" s="6" t="b">
        <f>FALSE()</f>
        <v>0</v>
      </c>
      <c r="O1284" s="4">
        <v>2.3887627892351</v>
      </c>
      <c r="T1284" s="4" t="str">
        <f t="shared" si="3"/>
        <v/>
      </c>
      <c r="U1284" s="4" t="str">
        <f t="shared" si="4"/>
        <v/>
      </c>
    </row>
    <row r="1285" ht="15.75" customHeight="1">
      <c r="A1285" s="4" t="s">
        <v>2645</v>
      </c>
      <c r="B1285" s="4" t="s">
        <v>13</v>
      </c>
      <c r="D1285" s="4">
        <v>0.00236</v>
      </c>
      <c r="E1285" s="4">
        <v>0.00236</v>
      </c>
      <c r="F1285" s="4">
        <v>0.01749</v>
      </c>
      <c r="G1285" s="4">
        <v>0.00236</v>
      </c>
      <c r="H1285" s="4">
        <v>0.00236</v>
      </c>
      <c r="K1285" s="6" t="b">
        <f t="shared" si="1248"/>
        <v>0</v>
      </c>
      <c r="L1285" s="6" t="b">
        <f t="shared" ref="L1285:M1285" si="1249">FALSE()</f>
        <v>0</v>
      </c>
      <c r="M1285" s="6" t="b">
        <f t="shared" si="1249"/>
        <v>0</v>
      </c>
      <c r="O1285" s="4">
        <v>0.0173388102764897</v>
      </c>
      <c r="T1285" s="4" t="str">
        <f t="shared" si="3"/>
        <v/>
      </c>
      <c r="U1285" s="4" t="str">
        <f t="shared" si="4"/>
        <v/>
      </c>
    </row>
    <row r="1286" ht="15.75" customHeight="1">
      <c r="A1286" s="4" t="s">
        <v>2646</v>
      </c>
      <c r="B1286" s="4" t="s">
        <v>13</v>
      </c>
      <c r="C1286" s="4">
        <v>10.28</v>
      </c>
      <c r="K1286" s="6" t="b">
        <f>TRUE()</f>
        <v>1</v>
      </c>
      <c r="L1286" s="6" t="b">
        <f t="shared" ref="L1286:M1286" si="1250">FALSE()</f>
        <v>0</v>
      </c>
      <c r="M1286" s="6" t="b">
        <f t="shared" si="1250"/>
        <v>0</v>
      </c>
      <c r="N1286" s="4">
        <v>2.42303124606991</v>
      </c>
      <c r="T1286" s="4">
        <f t="shared" si="3"/>
        <v>50</v>
      </c>
      <c r="U1286" s="4" t="str">
        <f t="shared" si="4"/>
        <v/>
      </c>
    </row>
    <row r="1287" ht="15.75" customHeight="1">
      <c r="A1287" s="4" t="s">
        <v>2647</v>
      </c>
      <c r="B1287" s="4" t="s">
        <v>13</v>
      </c>
      <c r="D1287" s="4">
        <v>0.14</v>
      </c>
      <c r="E1287" s="4">
        <v>0.14</v>
      </c>
      <c r="F1287" s="4">
        <v>3.23</v>
      </c>
      <c r="G1287" s="4">
        <v>0.14</v>
      </c>
      <c r="H1287" s="4">
        <v>0.14</v>
      </c>
      <c r="K1287" s="6" t="b">
        <f t="shared" ref="K1287:M1287" si="1251">FALSE()</f>
        <v>0</v>
      </c>
      <c r="L1287" s="6" t="b">
        <f t="shared" si="1251"/>
        <v>0</v>
      </c>
      <c r="M1287" s="6" t="b">
        <f t="shared" si="1251"/>
        <v>0</v>
      </c>
      <c r="O1287" s="4">
        <v>1.44220199305819</v>
      </c>
      <c r="T1287" s="4" t="str">
        <f t="shared" si="3"/>
        <v/>
      </c>
      <c r="U1287" s="4" t="str">
        <f t="shared" si="4"/>
        <v/>
      </c>
    </row>
    <row r="1288" ht="15.75" customHeight="1">
      <c r="A1288" s="4" t="s">
        <v>478</v>
      </c>
      <c r="B1288" s="4" t="s">
        <v>13</v>
      </c>
      <c r="C1288" s="4">
        <v>7.0</v>
      </c>
      <c r="D1288" s="4">
        <v>2.0</v>
      </c>
      <c r="E1288" s="4">
        <v>4.0</v>
      </c>
      <c r="I1288" s="4">
        <v>1.2</v>
      </c>
      <c r="J1288" s="4">
        <v>0.1</v>
      </c>
      <c r="K1288" s="6" t="b">
        <f t="shared" ref="K1288:K1291" si="1252">TRUE()</f>
        <v>1</v>
      </c>
      <c r="L1288" s="6" t="b">
        <f t="shared" ref="L1288:L1291" si="1253">FALSE()</f>
        <v>0</v>
      </c>
      <c r="M1288" s="6" t="b">
        <f t="shared" ref="M1288:M1291" si="1254">TRUE()</f>
        <v>1</v>
      </c>
      <c r="N1288" s="4">
        <v>2.07944154167984</v>
      </c>
      <c r="P1288" s="4">
        <v>0.78845736036427</v>
      </c>
      <c r="T1288" s="4">
        <f t="shared" si="3"/>
        <v>131</v>
      </c>
      <c r="U1288" s="4">
        <f t="shared" si="4"/>
        <v>381</v>
      </c>
    </row>
    <row r="1289" ht="15.75" customHeight="1">
      <c r="A1289" s="4" t="s">
        <v>479</v>
      </c>
      <c r="B1289" s="4" t="s">
        <v>13</v>
      </c>
      <c r="C1289" s="4">
        <v>8.3</v>
      </c>
      <c r="D1289" s="4">
        <v>0.6</v>
      </c>
      <c r="E1289" s="4">
        <v>0.6</v>
      </c>
      <c r="I1289" s="4">
        <v>1.3</v>
      </c>
      <c r="J1289" s="4">
        <v>0.0</v>
      </c>
      <c r="K1289" s="6" t="b">
        <f t="shared" si="1252"/>
        <v>1</v>
      </c>
      <c r="L1289" s="6" t="b">
        <f t="shared" si="1253"/>
        <v>0</v>
      </c>
      <c r="M1289" s="6" t="b">
        <f t="shared" si="1254"/>
        <v>1</v>
      </c>
      <c r="N1289" s="4">
        <v>2.23001440015921</v>
      </c>
      <c r="P1289" s="4">
        <v>0.832909122935104</v>
      </c>
      <c r="T1289" s="4">
        <f t="shared" si="3"/>
        <v>100</v>
      </c>
      <c r="U1289" s="4">
        <f t="shared" si="4"/>
        <v>252</v>
      </c>
    </row>
    <row r="1290" ht="15.75" customHeight="1">
      <c r="A1290" s="4" t="s">
        <v>480</v>
      </c>
      <c r="B1290" s="4" t="s">
        <v>13</v>
      </c>
      <c r="C1290" s="4">
        <v>8.3</v>
      </c>
      <c r="D1290" s="4">
        <v>0.6</v>
      </c>
      <c r="E1290" s="4">
        <v>0.6</v>
      </c>
      <c r="I1290" s="4">
        <v>1.2</v>
      </c>
      <c r="J1290" s="4">
        <v>0.0</v>
      </c>
      <c r="K1290" s="6" t="b">
        <f t="shared" si="1252"/>
        <v>1</v>
      </c>
      <c r="L1290" s="6" t="b">
        <f t="shared" si="1253"/>
        <v>0</v>
      </c>
      <c r="M1290" s="6" t="b">
        <f t="shared" si="1254"/>
        <v>1</v>
      </c>
      <c r="N1290" s="4">
        <v>2.23001440015921</v>
      </c>
      <c r="P1290" s="4">
        <v>0.78845736036427</v>
      </c>
      <c r="T1290" s="4">
        <f t="shared" si="3"/>
        <v>101</v>
      </c>
      <c r="U1290" s="4">
        <f t="shared" si="4"/>
        <v>382</v>
      </c>
    </row>
    <row r="1291" ht="15.75" customHeight="1">
      <c r="A1291" s="4" t="s">
        <v>481</v>
      </c>
      <c r="B1291" s="4" t="s">
        <v>13</v>
      </c>
      <c r="C1291" s="4">
        <v>9.6</v>
      </c>
      <c r="D1291" s="4">
        <v>1.9</v>
      </c>
      <c r="E1291" s="4">
        <v>1.9</v>
      </c>
      <c r="I1291" s="4">
        <v>1.17</v>
      </c>
      <c r="J1291" s="4">
        <v>0.13</v>
      </c>
      <c r="K1291" s="6" t="b">
        <f t="shared" si="1252"/>
        <v>1</v>
      </c>
      <c r="L1291" s="6" t="b">
        <f t="shared" si="1253"/>
        <v>0</v>
      </c>
      <c r="M1291" s="6" t="b">
        <f t="shared" si="1254"/>
        <v>1</v>
      </c>
      <c r="N1291" s="4">
        <v>2.36085400111802</v>
      </c>
      <c r="P1291" s="4">
        <v>0.774727167552368</v>
      </c>
      <c r="T1291" s="4">
        <f t="shared" si="3"/>
        <v>66</v>
      </c>
      <c r="U1291" s="4">
        <f t="shared" si="4"/>
        <v>426</v>
      </c>
    </row>
    <row r="1292" ht="15.75" customHeight="1">
      <c r="A1292" s="4" t="s">
        <v>2648</v>
      </c>
      <c r="B1292" s="4" t="s">
        <v>13</v>
      </c>
      <c r="F1292" s="4">
        <v>11.8</v>
      </c>
      <c r="K1292" s="6" t="b">
        <f t="shared" ref="K1292:K1296" si="1255">FALSE()</f>
        <v>0</v>
      </c>
      <c r="L1292" s="6" t="b">
        <f>TRUE()</f>
        <v>1</v>
      </c>
      <c r="M1292" s="6" t="b">
        <f>FALSE()</f>
        <v>0</v>
      </c>
      <c r="O1292" s="4">
        <v>2.54944517092557</v>
      </c>
      <c r="T1292" s="4" t="str">
        <f t="shared" si="3"/>
        <v/>
      </c>
      <c r="U1292" s="4" t="str">
        <f t="shared" si="4"/>
        <v/>
      </c>
    </row>
    <row r="1293" ht="15.75" customHeight="1">
      <c r="A1293" s="4" t="s">
        <v>2649</v>
      </c>
      <c r="B1293" s="4" t="s">
        <v>13</v>
      </c>
      <c r="D1293" s="4">
        <v>0.44</v>
      </c>
      <c r="E1293" s="4">
        <v>0.56</v>
      </c>
      <c r="F1293" s="4">
        <v>1.46</v>
      </c>
      <c r="G1293" s="4">
        <v>0.44</v>
      </c>
      <c r="H1293" s="4">
        <v>0.56</v>
      </c>
      <c r="K1293" s="6" t="b">
        <f t="shared" si="1255"/>
        <v>0</v>
      </c>
      <c r="L1293" s="6" t="b">
        <f t="shared" ref="L1293:M1293" si="1256">FALSE()</f>
        <v>0</v>
      </c>
      <c r="M1293" s="6" t="b">
        <f t="shared" si="1256"/>
        <v>0</v>
      </c>
      <c r="O1293" s="4">
        <v>0.900161349944271</v>
      </c>
      <c r="T1293" s="4" t="str">
        <f t="shared" si="3"/>
        <v/>
      </c>
      <c r="U1293" s="4" t="str">
        <f t="shared" si="4"/>
        <v/>
      </c>
    </row>
    <row r="1294" ht="15.75" customHeight="1">
      <c r="A1294" s="4" t="s">
        <v>2650</v>
      </c>
      <c r="B1294" s="4" t="s">
        <v>13</v>
      </c>
      <c r="D1294" s="4">
        <v>0.5</v>
      </c>
      <c r="E1294" s="4">
        <v>0.5</v>
      </c>
      <c r="F1294" s="4">
        <v>6.3</v>
      </c>
      <c r="G1294" s="4">
        <v>0.5</v>
      </c>
      <c r="H1294" s="4">
        <v>0.5</v>
      </c>
      <c r="K1294" s="6" t="b">
        <f t="shared" si="1255"/>
        <v>0</v>
      </c>
      <c r="L1294" s="6" t="b">
        <f>TRUE()</f>
        <v>1</v>
      </c>
      <c r="M1294" s="6" t="b">
        <f>FALSE()</f>
        <v>0</v>
      </c>
      <c r="O1294" s="4">
        <v>1.98787434815435</v>
      </c>
      <c r="T1294" s="4" t="str">
        <f t="shared" si="3"/>
        <v/>
      </c>
      <c r="U1294" s="4" t="str">
        <f t="shared" si="4"/>
        <v/>
      </c>
    </row>
    <row r="1295" ht="15.75" customHeight="1">
      <c r="A1295" s="4" t="s">
        <v>2651</v>
      </c>
      <c r="B1295" s="4" t="s">
        <v>13</v>
      </c>
      <c r="D1295" s="4">
        <v>0.00588</v>
      </c>
      <c r="E1295" s="4">
        <v>0.00733</v>
      </c>
      <c r="F1295" s="4">
        <v>0.03285</v>
      </c>
      <c r="G1295" s="4">
        <v>0.00588</v>
      </c>
      <c r="H1295" s="4">
        <v>0.00733</v>
      </c>
      <c r="K1295" s="6" t="b">
        <f t="shared" si="1255"/>
        <v>0</v>
      </c>
      <c r="L1295" s="6" t="b">
        <f t="shared" ref="L1295:M1295" si="1257">FALSE()</f>
        <v>0</v>
      </c>
      <c r="M1295" s="6" t="b">
        <f t="shared" si="1257"/>
        <v>0</v>
      </c>
      <c r="O1295" s="4">
        <v>0.0323219714621246</v>
      </c>
      <c r="T1295" s="4" t="str">
        <f t="shared" si="3"/>
        <v/>
      </c>
      <c r="U1295" s="4" t="str">
        <f t="shared" si="4"/>
        <v/>
      </c>
    </row>
    <row r="1296" ht="15.75" customHeight="1">
      <c r="A1296" s="4" t="s">
        <v>2652</v>
      </c>
      <c r="B1296" s="4" t="s">
        <v>13</v>
      </c>
      <c r="D1296" s="4">
        <v>0.531</v>
      </c>
      <c r="E1296" s="4">
        <v>0.589</v>
      </c>
      <c r="F1296" s="4">
        <v>3.48</v>
      </c>
      <c r="G1296" s="4">
        <v>0.531</v>
      </c>
      <c r="H1296" s="4">
        <v>0.589</v>
      </c>
      <c r="K1296" s="6" t="b">
        <f t="shared" si="1255"/>
        <v>0</v>
      </c>
      <c r="L1296" s="6" t="b">
        <f t="shared" ref="L1296:M1296" si="1258">FALSE()</f>
        <v>0</v>
      </c>
      <c r="M1296" s="6" t="b">
        <f t="shared" si="1258"/>
        <v>0</v>
      </c>
      <c r="O1296" s="4">
        <v>1.49962304642689</v>
      </c>
      <c r="T1296" s="4" t="str">
        <f t="shared" si="3"/>
        <v/>
      </c>
      <c r="U1296" s="4" t="str">
        <f t="shared" si="4"/>
        <v/>
      </c>
    </row>
    <row r="1297" ht="15.75" customHeight="1">
      <c r="A1297" s="4" t="s">
        <v>2653</v>
      </c>
      <c r="B1297" s="4" t="s">
        <v>13</v>
      </c>
      <c r="C1297" s="4">
        <v>7.485</v>
      </c>
      <c r="D1297" s="4">
        <v>2.21</v>
      </c>
      <c r="E1297" s="4">
        <v>3.395</v>
      </c>
      <c r="K1297" s="6" t="b">
        <f>TRUE()</f>
        <v>1</v>
      </c>
      <c r="L1297" s="6" t="b">
        <f t="shared" ref="L1297:M1297" si="1259">FALSE()</f>
        <v>0</v>
      </c>
      <c r="M1297" s="6" t="b">
        <f t="shared" si="1259"/>
        <v>0</v>
      </c>
      <c r="N1297" s="4">
        <v>2.13829989868619</v>
      </c>
      <c r="T1297" s="4">
        <f t="shared" si="3"/>
        <v>123</v>
      </c>
      <c r="U1297" s="4" t="str">
        <f t="shared" si="4"/>
        <v/>
      </c>
    </row>
    <row r="1298" ht="15.75" customHeight="1">
      <c r="A1298" s="4" t="s">
        <v>2654</v>
      </c>
      <c r="B1298" s="4" t="s">
        <v>13</v>
      </c>
      <c r="D1298" s="4">
        <v>0.18</v>
      </c>
      <c r="E1298" s="4">
        <v>0.18</v>
      </c>
      <c r="F1298" s="4">
        <v>2.26</v>
      </c>
      <c r="G1298" s="4">
        <v>0.18</v>
      </c>
      <c r="H1298" s="4">
        <v>0.18</v>
      </c>
      <c r="K1298" s="6" t="b">
        <f t="shared" ref="K1298:M1298" si="1260">FALSE()</f>
        <v>0</v>
      </c>
      <c r="L1298" s="6" t="b">
        <f t="shared" si="1260"/>
        <v>0</v>
      </c>
      <c r="M1298" s="6" t="b">
        <f t="shared" si="1260"/>
        <v>0</v>
      </c>
      <c r="O1298" s="4">
        <v>1.18172719537862</v>
      </c>
      <c r="T1298" s="4" t="str">
        <f t="shared" si="3"/>
        <v/>
      </c>
      <c r="U1298" s="4" t="str">
        <f t="shared" si="4"/>
        <v/>
      </c>
    </row>
    <row r="1299" ht="15.75" customHeight="1">
      <c r="A1299" s="4" t="s">
        <v>482</v>
      </c>
      <c r="B1299" s="4" t="s">
        <v>13</v>
      </c>
      <c r="C1299" s="4">
        <v>0.3</v>
      </c>
      <c r="I1299" s="4">
        <v>0.955</v>
      </c>
      <c r="K1299" s="6" t="b">
        <f t="shared" ref="K1299:L1299" si="1261">FALSE()</f>
        <v>0</v>
      </c>
      <c r="L1299" s="6" t="b">
        <f t="shared" si="1261"/>
        <v>0</v>
      </c>
      <c r="M1299" s="6" t="b">
        <f>TRUE()</f>
        <v>1</v>
      </c>
      <c r="N1299" s="4">
        <v>0.262364264467491</v>
      </c>
      <c r="P1299" s="4">
        <v>0.670390193437329</v>
      </c>
      <c r="T1299" s="4">
        <f t="shared" si="3"/>
        <v>1068</v>
      </c>
      <c r="U1299" s="4">
        <f t="shared" si="4"/>
        <v>723</v>
      </c>
    </row>
    <row r="1300" ht="15.75" customHeight="1">
      <c r="A1300" s="4" t="s">
        <v>2655</v>
      </c>
      <c r="B1300" s="4" t="s">
        <v>13</v>
      </c>
      <c r="I1300" s="4">
        <v>0.32</v>
      </c>
      <c r="J1300" s="4">
        <v>0.012</v>
      </c>
      <c r="K1300" s="6" t="b">
        <f t="shared" ref="K1300:M1300" si="1262">FALSE()</f>
        <v>0</v>
      </c>
      <c r="L1300" s="6" t="b">
        <f t="shared" si="1262"/>
        <v>0</v>
      </c>
      <c r="M1300" s="6" t="b">
        <f t="shared" si="1262"/>
        <v>0</v>
      </c>
      <c r="P1300" s="4">
        <v>0.27763173659828</v>
      </c>
      <c r="T1300" s="4" t="str">
        <f t="shared" si="3"/>
        <v/>
      </c>
      <c r="U1300" s="4">
        <f t="shared" si="4"/>
        <v>1300</v>
      </c>
    </row>
    <row r="1301" ht="15.75" customHeight="1">
      <c r="A1301" s="4" t="s">
        <v>2656</v>
      </c>
      <c r="B1301" s="4" t="s">
        <v>13</v>
      </c>
      <c r="I1301" s="4">
        <v>0.178</v>
      </c>
      <c r="J1301" s="4">
        <v>0.009</v>
      </c>
      <c r="K1301" s="6" t="b">
        <f t="shared" ref="K1301:M1301" si="1263">FALSE()</f>
        <v>0</v>
      </c>
      <c r="L1301" s="6" t="b">
        <f t="shared" si="1263"/>
        <v>0</v>
      </c>
      <c r="M1301" s="6" t="b">
        <f t="shared" si="1263"/>
        <v>0</v>
      </c>
      <c r="P1301" s="4">
        <v>0.163818085229395</v>
      </c>
      <c r="T1301" s="4" t="str">
        <f t="shared" si="3"/>
        <v/>
      </c>
      <c r="U1301" s="4">
        <f t="shared" si="4"/>
        <v>2906</v>
      </c>
    </row>
    <row r="1302" ht="15.75" customHeight="1">
      <c r="A1302" s="4" t="s">
        <v>2657</v>
      </c>
      <c r="B1302" s="4" t="s">
        <v>13</v>
      </c>
      <c r="I1302" s="4">
        <v>0.116</v>
      </c>
      <c r="J1302" s="4">
        <v>0.009</v>
      </c>
      <c r="K1302" s="6" t="b">
        <f t="shared" ref="K1302:M1302" si="1264">FALSE()</f>
        <v>0</v>
      </c>
      <c r="L1302" s="6" t="b">
        <f t="shared" si="1264"/>
        <v>0</v>
      </c>
      <c r="M1302" s="6" t="b">
        <f t="shared" si="1264"/>
        <v>0</v>
      </c>
      <c r="P1302" s="4">
        <v>0.109750863959119</v>
      </c>
      <c r="T1302" s="4" t="str">
        <f t="shared" si="3"/>
        <v/>
      </c>
      <c r="U1302" s="4">
        <f t="shared" si="4"/>
        <v>3947</v>
      </c>
    </row>
    <row r="1303" ht="15.75" customHeight="1">
      <c r="A1303" s="4" t="s">
        <v>2658</v>
      </c>
      <c r="B1303" s="4" t="s">
        <v>13</v>
      </c>
      <c r="I1303" s="4">
        <v>0.177</v>
      </c>
      <c r="J1303" s="4">
        <v>0.01</v>
      </c>
      <c r="K1303" s="6" t="b">
        <f t="shared" ref="K1303:M1303" si="1265">FALSE()</f>
        <v>0</v>
      </c>
      <c r="L1303" s="6" t="b">
        <f t="shared" si="1265"/>
        <v>0</v>
      </c>
      <c r="M1303" s="6" t="b">
        <f t="shared" si="1265"/>
        <v>0</v>
      </c>
      <c r="P1303" s="4">
        <v>0.16296882827814</v>
      </c>
      <c r="T1303" s="4" t="str">
        <f t="shared" si="3"/>
        <v/>
      </c>
      <c r="U1303" s="4">
        <f t="shared" si="4"/>
        <v>2945</v>
      </c>
    </row>
    <row r="1304" ht="15.75" customHeight="1">
      <c r="A1304" s="4" t="s">
        <v>2659</v>
      </c>
      <c r="B1304" s="4" t="s">
        <v>13</v>
      </c>
      <c r="I1304" s="4">
        <v>0.175</v>
      </c>
      <c r="J1304" s="4">
        <v>0.013</v>
      </c>
      <c r="K1304" s="6" t="b">
        <f t="shared" ref="K1304:M1304" si="1266">FALSE()</f>
        <v>0</v>
      </c>
      <c r="L1304" s="6" t="b">
        <f t="shared" si="1266"/>
        <v>0</v>
      </c>
      <c r="M1304" s="6" t="b">
        <f t="shared" si="1266"/>
        <v>0</v>
      </c>
      <c r="P1304" s="4">
        <v>0.161268147596122</v>
      </c>
      <c r="T1304" s="4" t="str">
        <f t="shared" si="3"/>
        <v/>
      </c>
      <c r="U1304" s="4">
        <f t="shared" si="4"/>
        <v>2967</v>
      </c>
    </row>
    <row r="1305" ht="15.75" customHeight="1">
      <c r="A1305" s="4" t="s">
        <v>483</v>
      </c>
      <c r="B1305" s="4" t="s">
        <v>13</v>
      </c>
      <c r="C1305" s="4">
        <v>0.094</v>
      </c>
      <c r="D1305" s="4">
        <v>0.06</v>
      </c>
      <c r="E1305" s="4">
        <v>0.06</v>
      </c>
      <c r="I1305" s="4">
        <v>0.301</v>
      </c>
      <c r="J1305" s="4">
        <v>0.011</v>
      </c>
      <c r="K1305" s="6" t="b">
        <f t="shared" ref="K1305:M1305" si="1267">FALSE()</f>
        <v>0</v>
      </c>
      <c r="L1305" s="6" t="b">
        <f t="shared" si="1267"/>
        <v>0</v>
      </c>
      <c r="M1305" s="6" t="b">
        <f t="shared" si="1267"/>
        <v>0</v>
      </c>
      <c r="N1305" s="4">
        <v>0.0898407039997894</v>
      </c>
      <c r="P1305" s="4">
        <v>0.263133199530368</v>
      </c>
      <c r="T1305" s="4">
        <f t="shared" si="3"/>
        <v>1270</v>
      </c>
      <c r="U1305" s="4">
        <f t="shared" si="4"/>
        <v>1374</v>
      </c>
    </row>
    <row r="1306" ht="15.75" customHeight="1">
      <c r="A1306" s="4" t="s">
        <v>484</v>
      </c>
      <c r="B1306" s="4" t="s">
        <v>13</v>
      </c>
      <c r="C1306" s="4">
        <v>0.0245</v>
      </c>
      <c r="D1306" s="4">
        <v>0.0022</v>
      </c>
      <c r="E1306" s="4">
        <v>0.0022</v>
      </c>
      <c r="I1306" s="4">
        <v>0.14952</v>
      </c>
      <c r="J1306" s="4">
        <v>0.0033</v>
      </c>
      <c r="K1306" s="6" t="b">
        <f t="shared" ref="K1306:M1306" si="1268">FALSE()</f>
        <v>0</v>
      </c>
      <c r="L1306" s="6" t="b">
        <f t="shared" si="1268"/>
        <v>0</v>
      </c>
      <c r="M1306" s="6" t="b">
        <f t="shared" si="1268"/>
        <v>0</v>
      </c>
      <c r="N1306" s="4">
        <v>0.0242046886968173</v>
      </c>
      <c r="P1306" s="4">
        <v>0.139344463938814</v>
      </c>
      <c r="T1306" s="4">
        <f t="shared" si="3"/>
        <v>1646</v>
      </c>
      <c r="U1306" s="4">
        <f t="shared" si="4"/>
        <v>3338</v>
      </c>
    </row>
    <row r="1307" ht="15.75" customHeight="1">
      <c r="A1307" s="4" t="s">
        <v>485</v>
      </c>
      <c r="B1307" s="4" t="s">
        <v>13</v>
      </c>
      <c r="C1307" s="4">
        <v>0.018</v>
      </c>
      <c r="D1307" s="4">
        <v>0.0094</v>
      </c>
      <c r="E1307" s="4">
        <v>0.01</v>
      </c>
      <c r="I1307" s="4">
        <v>0.2534</v>
      </c>
      <c r="J1307" s="4">
        <v>0.009</v>
      </c>
      <c r="K1307" s="6" t="b">
        <f t="shared" ref="K1307:M1307" si="1269">FALSE()</f>
        <v>0</v>
      </c>
      <c r="L1307" s="6" t="b">
        <f t="shared" si="1269"/>
        <v>0</v>
      </c>
      <c r="M1307" s="6" t="b">
        <f t="shared" si="1269"/>
        <v>0</v>
      </c>
      <c r="N1307" s="4">
        <v>0.017839918128331</v>
      </c>
      <c r="P1307" s="4">
        <v>0.225859858808438</v>
      </c>
      <c r="T1307" s="4">
        <f t="shared" si="3"/>
        <v>1773</v>
      </c>
      <c r="U1307" s="4">
        <f t="shared" si="4"/>
        <v>1764</v>
      </c>
    </row>
    <row r="1308" ht="15.75" customHeight="1">
      <c r="A1308" s="4" t="s">
        <v>486</v>
      </c>
      <c r="B1308" s="4" t="s">
        <v>13</v>
      </c>
      <c r="C1308" s="4">
        <v>0.84</v>
      </c>
      <c r="D1308" s="4">
        <v>0.08</v>
      </c>
      <c r="E1308" s="4">
        <v>0.08</v>
      </c>
      <c r="I1308" s="4">
        <v>1.426</v>
      </c>
      <c r="J1308" s="4">
        <v>0.049</v>
      </c>
      <c r="K1308" s="6" t="b">
        <f t="shared" ref="K1308:L1308" si="1270">FALSE()</f>
        <v>0</v>
      </c>
      <c r="L1308" s="6" t="b">
        <f t="shared" si="1270"/>
        <v>0</v>
      </c>
      <c r="M1308" s="6" t="b">
        <f>TRUE()</f>
        <v>1</v>
      </c>
      <c r="N1308" s="4">
        <v>0.609765571620894</v>
      </c>
      <c r="P1308" s="4">
        <v>0.886243810521858</v>
      </c>
      <c r="T1308" s="4">
        <f t="shared" si="3"/>
        <v>746</v>
      </c>
      <c r="U1308" s="4">
        <f t="shared" si="4"/>
        <v>162</v>
      </c>
    </row>
    <row r="1309" ht="15.75" customHeight="1">
      <c r="A1309" s="4" t="s">
        <v>487</v>
      </c>
      <c r="B1309" s="4" t="s">
        <v>13</v>
      </c>
      <c r="C1309" s="4">
        <v>0.187</v>
      </c>
      <c r="D1309" s="4">
        <v>0.014</v>
      </c>
      <c r="E1309" s="4">
        <v>0.014</v>
      </c>
      <c r="I1309" s="4">
        <v>0.476</v>
      </c>
      <c r="J1309" s="4">
        <v>0.019</v>
      </c>
      <c r="K1309" s="6" t="b">
        <f t="shared" ref="K1309:M1309" si="1271">FALSE()</f>
        <v>0</v>
      </c>
      <c r="L1309" s="6" t="b">
        <f t="shared" si="1271"/>
        <v>0</v>
      </c>
      <c r="M1309" s="6" t="b">
        <f t="shared" si="1271"/>
        <v>0</v>
      </c>
      <c r="N1309" s="4">
        <v>0.171429115627531</v>
      </c>
      <c r="P1309" s="4">
        <v>0.389335726178281</v>
      </c>
      <c r="T1309" s="4">
        <f t="shared" si="3"/>
        <v>1165</v>
      </c>
      <c r="U1309" s="4">
        <f t="shared" si="4"/>
        <v>1032</v>
      </c>
    </row>
    <row r="1310" ht="15.75" customHeight="1">
      <c r="A1310" s="4" t="s">
        <v>489</v>
      </c>
      <c r="B1310" s="4" t="s">
        <v>13</v>
      </c>
      <c r="C1310" s="4">
        <v>0.08495</v>
      </c>
      <c r="D1310" s="4">
        <v>0.05034</v>
      </c>
      <c r="E1310" s="4">
        <v>0.05349</v>
      </c>
      <c r="F1310" s="4">
        <v>0.085</v>
      </c>
      <c r="G1310" s="4">
        <v>0.053</v>
      </c>
      <c r="H1310" s="4">
        <v>0.053</v>
      </c>
      <c r="I1310" s="4">
        <v>0.343</v>
      </c>
      <c r="J1310" s="4">
        <v>0.031</v>
      </c>
      <c r="K1310" s="6" t="b">
        <f t="shared" ref="K1310:M1310" si="1272">FALSE()</f>
        <v>0</v>
      </c>
      <c r="L1310" s="6" t="b">
        <f t="shared" si="1272"/>
        <v>0</v>
      </c>
      <c r="M1310" s="6" t="b">
        <f t="shared" si="1272"/>
        <v>0</v>
      </c>
      <c r="N1310" s="4">
        <v>0.0815339029812623</v>
      </c>
      <c r="O1310" s="4">
        <v>0.0815799869924228</v>
      </c>
      <c r="P1310" s="4">
        <v>0.294905917541101</v>
      </c>
      <c r="Q1310" s="4">
        <v>-0.575866891994503</v>
      </c>
      <c r="R1310" s="4">
        <v>-0.598538855782598</v>
      </c>
      <c r="S1310" s="4">
        <v>-0.902346225075183</v>
      </c>
      <c r="T1310" s="4">
        <f t="shared" si="3"/>
        <v>1286</v>
      </c>
      <c r="U1310" s="4">
        <f t="shared" si="4"/>
        <v>1228</v>
      </c>
    </row>
    <row r="1311" ht="15.75" customHeight="1">
      <c r="A1311" s="4" t="s">
        <v>490</v>
      </c>
      <c r="B1311" s="4" t="s">
        <v>13</v>
      </c>
      <c r="C1311" s="4">
        <v>0.0525</v>
      </c>
      <c r="D1311" s="4">
        <v>0.01</v>
      </c>
      <c r="E1311" s="4">
        <v>0.01</v>
      </c>
      <c r="I1311" s="4">
        <v>0.228</v>
      </c>
      <c r="J1311" s="4">
        <v>0.006</v>
      </c>
      <c r="K1311" s="6" t="b">
        <f t="shared" ref="K1311:M1311" si="1273">FALSE()</f>
        <v>0</v>
      </c>
      <c r="L1311" s="6" t="b">
        <f t="shared" si="1273"/>
        <v>0</v>
      </c>
      <c r="M1311" s="6" t="b">
        <f t="shared" si="1273"/>
        <v>0</v>
      </c>
      <c r="N1311" s="4">
        <v>0.0511682865743994</v>
      </c>
      <c r="P1311" s="4">
        <v>0.205386829724951</v>
      </c>
      <c r="T1311" s="4">
        <f t="shared" si="3"/>
        <v>1388</v>
      </c>
      <c r="U1311" s="4">
        <f t="shared" si="4"/>
        <v>2136</v>
      </c>
    </row>
    <row r="1312" ht="15.75" customHeight="1">
      <c r="A1312" s="4" t="s">
        <v>491</v>
      </c>
      <c r="B1312" s="4" t="s">
        <v>13</v>
      </c>
      <c r="C1312" s="4">
        <v>0.01664</v>
      </c>
      <c r="D1312" s="4">
        <v>0.00242</v>
      </c>
      <c r="E1312" s="4">
        <v>0.00239</v>
      </c>
      <c r="I1312" s="4">
        <v>0.162</v>
      </c>
      <c r="J1312" s="4">
        <v>0.008</v>
      </c>
      <c r="K1312" s="6" t="b">
        <f t="shared" ref="K1312:M1312" si="1274">FALSE()</f>
        <v>0</v>
      </c>
      <c r="L1312" s="6" t="b">
        <f t="shared" si="1274"/>
        <v>0</v>
      </c>
      <c r="M1312" s="6" t="b">
        <f t="shared" si="1274"/>
        <v>0</v>
      </c>
      <c r="N1312" s="4">
        <v>0.0165030720990142</v>
      </c>
      <c r="P1312" s="4">
        <v>0.15014265842972</v>
      </c>
      <c r="T1312" s="4">
        <f t="shared" si="3"/>
        <v>1795</v>
      </c>
      <c r="U1312" s="4">
        <f t="shared" si="4"/>
        <v>3146</v>
      </c>
    </row>
    <row r="1313" ht="15.75" customHeight="1">
      <c r="A1313" s="4" t="s">
        <v>2660</v>
      </c>
      <c r="B1313" s="4" t="s">
        <v>13</v>
      </c>
      <c r="D1313" s="4">
        <v>0.003</v>
      </c>
      <c r="E1313" s="4">
        <v>0.003</v>
      </c>
      <c r="F1313" s="4">
        <v>0.0349</v>
      </c>
      <c r="G1313" s="4">
        <v>0.003</v>
      </c>
      <c r="H1313" s="4">
        <v>0.003</v>
      </c>
      <c r="K1313" s="6" t="b">
        <f t="shared" ref="K1313:M1313" si="1275">FALSE()</f>
        <v>0</v>
      </c>
      <c r="L1313" s="6" t="b">
        <f t="shared" si="1275"/>
        <v>0</v>
      </c>
      <c r="M1313" s="6" t="b">
        <f t="shared" si="1275"/>
        <v>0</v>
      </c>
      <c r="O1313" s="4">
        <v>0.0343048036919903</v>
      </c>
      <c r="T1313" s="4" t="str">
        <f t="shared" si="3"/>
        <v/>
      </c>
      <c r="U1313" s="4" t="str">
        <f t="shared" si="4"/>
        <v/>
      </c>
    </row>
    <row r="1314" ht="15.75" customHeight="1">
      <c r="A1314" s="4" t="s">
        <v>492</v>
      </c>
      <c r="B1314" s="4" t="s">
        <v>13</v>
      </c>
      <c r="C1314" s="4">
        <v>1.28</v>
      </c>
      <c r="D1314" s="4">
        <v>0.12</v>
      </c>
      <c r="E1314" s="4">
        <v>0.12</v>
      </c>
      <c r="I1314" s="4">
        <v>1.083</v>
      </c>
      <c r="J1314" s="4">
        <v>0.031</v>
      </c>
      <c r="K1314" s="6" t="b">
        <f t="shared" ref="K1314:L1314" si="1276">FALSE()</f>
        <v>0</v>
      </c>
      <c r="L1314" s="6" t="b">
        <f t="shared" si="1276"/>
        <v>0</v>
      </c>
      <c r="M1314" s="6" t="b">
        <f t="shared" ref="M1314:M1316" si="1278">TRUE()</f>
        <v>1</v>
      </c>
      <c r="N1314" s="4">
        <v>0.824175442966349</v>
      </c>
      <c r="P1314" s="4">
        <v>0.733809162278835</v>
      </c>
      <c r="T1314" s="4">
        <f t="shared" si="3"/>
        <v>566</v>
      </c>
      <c r="U1314" s="4">
        <f t="shared" si="4"/>
        <v>545</v>
      </c>
    </row>
    <row r="1315" ht="15.75" customHeight="1">
      <c r="A1315" s="4" t="s">
        <v>494</v>
      </c>
      <c r="B1315" s="4" t="s">
        <v>13</v>
      </c>
      <c r="C1315" s="4">
        <v>1.85</v>
      </c>
      <c r="D1315" s="4">
        <v>0.23</v>
      </c>
      <c r="E1315" s="4">
        <v>0.22</v>
      </c>
      <c r="I1315" s="4">
        <v>0.952</v>
      </c>
      <c r="J1315" s="4">
        <v>0.032</v>
      </c>
      <c r="K1315" s="6" t="b">
        <f t="shared" ref="K1315:L1315" si="1277">FALSE()</f>
        <v>0</v>
      </c>
      <c r="L1315" s="6" t="b">
        <f t="shared" si="1277"/>
        <v>0</v>
      </c>
      <c r="M1315" s="6" t="b">
        <f t="shared" si="1278"/>
        <v>1</v>
      </c>
      <c r="N1315" s="4">
        <v>1.04731899428056</v>
      </c>
      <c r="P1315" s="4">
        <v>0.668854487990901</v>
      </c>
      <c r="T1315" s="4">
        <f t="shared" si="3"/>
        <v>462</v>
      </c>
      <c r="U1315" s="4">
        <f t="shared" si="4"/>
        <v>725</v>
      </c>
    </row>
    <row r="1316" ht="15.75" customHeight="1">
      <c r="A1316" s="4" t="s">
        <v>495</v>
      </c>
      <c r="B1316" s="4" t="s">
        <v>13</v>
      </c>
      <c r="C1316" s="4">
        <v>0.84</v>
      </c>
      <c r="D1316" s="4">
        <v>0.18</v>
      </c>
      <c r="E1316" s="4">
        <v>0.2</v>
      </c>
      <c r="I1316" s="4">
        <v>1.115</v>
      </c>
      <c r="J1316" s="4">
        <v>0.057</v>
      </c>
      <c r="K1316" s="6" t="b">
        <f t="shared" ref="K1316:L1316" si="1279">FALSE()</f>
        <v>0</v>
      </c>
      <c r="L1316" s="6" t="b">
        <f t="shared" si="1279"/>
        <v>0</v>
      </c>
      <c r="M1316" s="6" t="b">
        <f t="shared" si="1278"/>
        <v>1</v>
      </c>
      <c r="N1316" s="4">
        <v>0.609765571620894</v>
      </c>
      <c r="P1316" s="4">
        <v>0.749054812498241</v>
      </c>
      <c r="T1316" s="4">
        <f t="shared" si="3"/>
        <v>747</v>
      </c>
      <c r="U1316" s="4">
        <f t="shared" si="4"/>
        <v>496</v>
      </c>
    </row>
    <row r="1317" ht="15.75" customHeight="1">
      <c r="A1317" s="4" t="s">
        <v>2661</v>
      </c>
      <c r="B1317" s="4" t="s">
        <v>13</v>
      </c>
      <c r="I1317" s="4">
        <v>0.062</v>
      </c>
      <c r="J1317" s="4">
        <v>0.004</v>
      </c>
      <c r="K1317" s="6" t="b">
        <f t="shared" ref="K1317:M1317" si="1280">FALSE()</f>
        <v>0</v>
      </c>
      <c r="L1317" s="6" t="b">
        <f t="shared" si="1280"/>
        <v>0</v>
      </c>
      <c r="M1317" s="6" t="b">
        <f t="shared" si="1280"/>
        <v>0</v>
      </c>
      <c r="P1317" s="4">
        <v>0.060153922819747</v>
      </c>
      <c r="T1317" s="4" t="str">
        <f t="shared" si="3"/>
        <v/>
      </c>
      <c r="U1317" s="4">
        <f t="shared" si="4"/>
        <v>4525</v>
      </c>
    </row>
    <row r="1318" ht="15.75" customHeight="1">
      <c r="A1318" s="4" t="s">
        <v>2662</v>
      </c>
      <c r="B1318" s="4" t="s">
        <v>13</v>
      </c>
      <c r="I1318" s="4">
        <v>0.181</v>
      </c>
      <c r="J1318" s="4">
        <v>0.009</v>
      </c>
      <c r="K1318" s="6" t="b">
        <f t="shared" ref="K1318:M1318" si="1281">FALSE()</f>
        <v>0</v>
      </c>
      <c r="L1318" s="6" t="b">
        <f t="shared" si="1281"/>
        <v>0</v>
      </c>
      <c r="M1318" s="6" t="b">
        <f t="shared" si="1281"/>
        <v>0</v>
      </c>
      <c r="P1318" s="4">
        <v>0.166361537215225</v>
      </c>
      <c r="T1318" s="4" t="str">
        <f t="shared" si="3"/>
        <v/>
      </c>
      <c r="U1318" s="4">
        <f t="shared" si="4"/>
        <v>2875</v>
      </c>
    </row>
    <row r="1319" ht="15.75" customHeight="1">
      <c r="A1319" s="4" t="s">
        <v>2663</v>
      </c>
      <c r="B1319" s="4" t="s">
        <v>13</v>
      </c>
      <c r="I1319" s="4">
        <v>0.184</v>
      </c>
      <c r="J1319" s="4">
        <v>0.011</v>
      </c>
      <c r="K1319" s="6" t="b">
        <f t="shared" ref="K1319:M1319" si="1282">FALSE()</f>
        <v>0</v>
      </c>
      <c r="L1319" s="6" t="b">
        <f t="shared" si="1282"/>
        <v>0</v>
      </c>
      <c r="M1319" s="6" t="b">
        <f t="shared" si="1282"/>
        <v>0</v>
      </c>
      <c r="P1319" s="4">
        <v>0.168898536461814</v>
      </c>
      <c r="T1319" s="4" t="str">
        <f t="shared" si="3"/>
        <v/>
      </c>
      <c r="U1319" s="4">
        <f t="shared" si="4"/>
        <v>2835</v>
      </c>
    </row>
    <row r="1320" ht="15.75" customHeight="1">
      <c r="A1320" s="4" t="s">
        <v>2664</v>
      </c>
      <c r="B1320" s="4" t="s">
        <v>13</v>
      </c>
      <c r="I1320" s="4">
        <v>0.227</v>
      </c>
      <c r="J1320" s="4">
        <v>0.018</v>
      </c>
      <c r="K1320" s="6" t="b">
        <f t="shared" ref="K1320:M1320" si="1283">FALSE()</f>
        <v>0</v>
      </c>
      <c r="L1320" s="6" t="b">
        <f t="shared" si="1283"/>
        <v>0</v>
      </c>
      <c r="M1320" s="6" t="b">
        <f t="shared" si="1283"/>
        <v>0</v>
      </c>
      <c r="P1320" s="4">
        <v>0.204572165728774</v>
      </c>
      <c r="T1320" s="4" t="str">
        <f t="shared" si="3"/>
        <v/>
      </c>
      <c r="U1320" s="4">
        <f t="shared" si="4"/>
        <v>2148</v>
      </c>
    </row>
    <row r="1321" ht="15.75" customHeight="1">
      <c r="A1321" s="4" t="s">
        <v>2665</v>
      </c>
      <c r="B1321" s="4" t="s">
        <v>13</v>
      </c>
      <c r="I1321" s="4">
        <v>0.226</v>
      </c>
      <c r="J1321" s="4">
        <v>0.018</v>
      </c>
      <c r="K1321" s="6" t="b">
        <f t="shared" ref="K1321:M1321" si="1284">FALSE()</f>
        <v>0</v>
      </c>
      <c r="L1321" s="6" t="b">
        <f t="shared" si="1284"/>
        <v>0</v>
      </c>
      <c r="M1321" s="6" t="b">
        <f t="shared" si="1284"/>
        <v>0</v>
      </c>
      <c r="P1321" s="4">
        <v>0.20375683751402</v>
      </c>
      <c r="T1321" s="4" t="str">
        <f t="shared" si="3"/>
        <v/>
      </c>
      <c r="U1321" s="4">
        <f t="shared" si="4"/>
        <v>2172</v>
      </c>
    </row>
    <row r="1322" ht="15.75" customHeight="1">
      <c r="A1322" s="4" t="s">
        <v>2666</v>
      </c>
      <c r="B1322" s="4" t="s">
        <v>13</v>
      </c>
      <c r="I1322" s="4">
        <v>0.674</v>
      </c>
      <c r="J1322" s="4">
        <v>0.832</v>
      </c>
      <c r="K1322" s="6" t="b">
        <f t="shared" ref="K1322:M1322" si="1285">FALSE()</f>
        <v>0</v>
      </c>
      <c r="L1322" s="6" t="b">
        <f t="shared" si="1285"/>
        <v>0</v>
      </c>
      <c r="M1322" s="6" t="b">
        <f t="shared" si="1285"/>
        <v>0</v>
      </c>
      <c r="P1322" s="4">
        <v>0.515215972067284</v>
      </c>
      <c r="T1322" s="4" t="str">
        <f t="shared" si="3"/>
        <v/>
      </c>
      <c r="U1322" s="4">
        <f t="shared" si="4"/>
        <v>908</v>
      </c>
    </row>
    <row r="1323" ht="15.75" customHeight="1">
      <c r="A1323" s="4" t="s">
        <v>2667</v>
      </c>
      <c r="B1323" s="4" t="s">
        <v>13</v>
      </c>
      <c r="I1323" s="4">
        <v>0.179</v>
      </c>
      <c r="J1323" s="4">
        <v>0.011</v>
      </c>
      <c r="K1323" s="6" t="b">
        <f t="shared" ref="K1323:M1323" si="1286">FALSE()</f>
        <v>0</v>
      </c>
      <c r="L1323" s="6" t="b">
        <f t="shared" si="1286"/>
        <v>0</v>
      </c>
      <c r="M1323" s="6" t="b">
        <f t="shared" si="1286"/>
        <v>0</v>
      </c>
      <c r="P1323" s="4">
        <v>0.164666621555234</v>
      </c>
      <c r="T1323" s="4" t="str">
        <f t="shared" si="3"/>
        <v/>
      </c>
      <c r="U1323" s="4">
        <f t="shared" si="4"/>
        <v>2895</v>
      </c>
    </row>
    <row r="1324" ht="15.75" customHeight="1">
      <c r="A1324" s="4" t="s">
        <v>2668</v>
      </c>
      <c r="B1324" s="4" t="s">
        <v>13</v>
      </c>
      <c r="I1324" s="4">
        <v>0.669</v>
      </c>
      <c r="J1324" s="4">
        <v>0.012</v>
      </c>
      <c r="K1324" s="6" t="b">
        <f t="shared" ref="K1324:M1324" si="1287">FALSE()</f>
        <v>0</v>
      </c>
      <c r="L1324" s="6" t="b">
        <f t="shared" si="1287"/>
        <v>0</v>
      </c>
      <c r="M1324" s="6" t="b">
        <f t="shared" si="1287"/>
        <v>0</v>
      </c>
      <c r="P1324" s="4">
        <v>0.512224644679698</v>
      </c>
      <c r="T1324" s="4" t="str">
        <f t="shared" si="3"/>
        <v/>
      </c>
      <c r="U1324" s="4">
        <f t="shared" si="4"/>
        <v>910</v>
      </c>
    </row>
    <row r="1325" ht="15.75" customHeight="1">
      <c r="A1325" s="4" t="s">
        <v>2669</v>
      </c>
      <c r="B1325" s="4" t="s">
        <v>13</v>
      </c>
      <c r="I1325" s="4">
        <v>0.108</v>
      </c>
      <c r="J1325" s="4">
        <v>0.007</v>
      </c>
      <c r="K1325" s="6" t="b">
        <f t="shared" ref="K1325:M1325" si="1288">FALSE()</f>
        <v>0</v>
      </c>
      <c r="L1325" s="6" t="b">
        <f t="shared" si="1288"/>
        <v>0</v>
      </c>
      <c r="M1325" s="6" t="b">
        <f t="shared" si="1288"/>
        <v>0</v>
      </c>
      <c r="P1325" s="4">
        <v>0.102556588325092</v>
      </c>
      <c r="T1325" s="4" t="str">
        <f t="shared" si="3"/>
        <v/>
      </c>
      <c r="U1325" s="4">
        <f t="shared" si="4"/>
        <v>4075</v>
      </c>
    </row>
    <row r="1326" ht="15.75" customHeight="1">
      <c r="A1326" s="4" t="s">
        <v>2670</v>
      </c>
      <c r="B1326" s="4" t="s">
        <v>13</v>
      </c>
      <c r="I1326" s="4">
        <v>0.246</v>
      </c>
      <c r="J1326" s="4">
        <v>0.014</v>
      </c>
      <c r="K1326" s="6" t="b">
        <f t="shared" ref="K1326:M1326" si="1289">FALSE()</f>
        <v>0</v>
      </c>
      <c r="L1326" s="6" t="b">
        <f t="shared" si="1289"/>
        <v>0</v>
      </c>
      <c r="M1326" s="6" t="b">
        <f t="shared" si="1289"/>
        <v>0</v>
      </c>
      <c r="P1326" s="4">
        <v>0.219938420365261</v>
      </c>
      <c r="T1326" s="4" t="str">
        <f t="shared" si="3"/>
        <v/>
      </c>
      <c r="U1326" s="4">
        <f t="shared" si="4"/>
        <v>1862</v>
      </c>
    </row>
    <row r="1327" ht="15.75" customHeight="1">
      <c r="A1327" s="4" t="s">
        <v>496</v>
      </c>
      <c r="B1327" s="4" t="s">
        <v>13</v>
      </c>
      <c r="C1327" s="4">
        <v>0.033</v>
      </c>
      <c r="D1327" s="4">
        <v>0.0082</v>
      </c>
      <c r="E1327" s="4">
        <v>0.0082</v>
      </c>
      <c r="I1327" s="4">
        <v>0.259</v>
      </c>
      <c r="J1327" s="4">
        <v>0.009</v>
      </c>
      <c r="K1327" s="6" t="b">
        <f t="shared" ref="K1327:M1327" si="1290">FALSE()</f>
        <v>0</v>
      </c>
      <c r="L1327" s="6" t="b">
        <f t="shared" si="1290"/>
        <v>0</v>
      </c>
      <c r="M1327" s="6" t="b">
        <f t="shared" si="1290"/>
        <v>0</v>
      </c>
      <c r="N1327" s="4">
        <v>0.0324671901375014</v>
      </c>
      <c r="P1327" s="4">
        <v>0.23031775506221</v>
      </c>
      <c r="T1327" s="4">
        <f t="shared" si="3"/>
        <v>1512</v>
      </c>
      <c r="U1327" s="4">
        <f t="shared" si="4"/>
        <v>1690</v>
      </c>
    </row>
    <row r="1328" ht="15.75" customHeight="1">
      <c r="A1328" s="4" t="s">
        <v>2671</v>
      </c>
      <c r="B1328" s="4" t="s">
        <v>13</v>
      </c>
      <c r="I1328" s="4">
        <v>0.194</v>
      </c>
      <c r="J1328" s="4">
        <v>0.016</v>
      </c>
      <c r="K1328" s="6" t="b">
        <f t="shared" ref="K1328:M1328" si="1291">FALSE()</f>
        <v>0</v>
      </c>
      <c r="L1328" s="6" t="b">
        <f t="shared" si="1291"/>
        <v>0</v>
      </c>
      <c r="M1328" s="6" t="b">
        <f t="shared" si="1291"/>
        <v>0</v>
      </c>
      <c r="P1328" s="4">
        <v>0.17730901497041</v>
      </c>
      <c r="T1328" s="4" t="str">
        <f t="shared" si="3"/>
        <v/>
      </c>
      <c r="U1328" s="4">
        <f t="shared" si="4"/>
        <v>2676</v>
      </c>
    </row>
    <row r="1329" ht="15.75" customHeight="1">
      <c r="A1329" s="4" t="s">
        <v>2672</v>
      </c>
      <c r="B1329" s="4" t="s">
        <v>13</v>
      </c>
      <c r="I1329" s="4">
        <v>0.176</v>
      </c>
      <c r="J1329" s="4">
        <v>0.011</v>
      </c>
      <c r="K1329" s="6" t="b">
        <f t="shared" ref="K1329:M1329" si="1292">FALSE()</f>
        <v>0</v>
      </c>
      <c r="L1329" s="6" t="b">
        <f t="shared" si="1292"/>
        <v>0</v>
      </c>
      <c r="M1329" s="6" t="b">
        <f t="shared" si="1292"/>
        <v>0</v>
      </c>
      <c r="P1329" s="4">
        <v>0.162118849476435</v>
      </c>
      <c r="T1329" s="4" t="str">
        <f t="shared" si="3"/>
        <v/>
      </c>
      <c r="U1329" s="4">
        <f t="shared" si="4"/>
        <v>2955</v>
      </c>
    </row>
    <row r="1330" ht="15.75" customHeight="1">
      <c r="A1330" s="4" t="s">
        <v>2673</v>
      </c>
      <c r="B1330" s="4" t="s">
        <v>13</v>
      </c>
      <c r="I1330" s="4">
        <v>0.747</v>
      </c>
      <c r="J1330" s="4">
        <v>0.029</v>
      </c>
      <c r="K1330" s="6" t="b">
        <f t="shared" ref="K1330:L1330" si="1293">FALSE()</f>
        <v>0</v>
      </c>
      <c r="L1330" s="6" t="b">
        <f t="shared" si="1293"/>
        <v>0</v>
      </c>
      <c r="M1330" s="6" t="b">
        <f>TRUE()</f>
        <v>1</v>
      </c>
      <c r="P1330" s="4">
        <v>0.55790003115192</v>
      </c>
      <c r="T1330" s="4" t="str">
        <f t="shared" si="3"/>
        <v/>
      </c>
      <c r="U1330" s="4">
        <f t="shared" si="4"/>
        <v>873</v>
      </c>
    </row>
    <row r="1331" ht="15.75" customHeight="1">
      <c r="A1331" s="4" t="s">
        <v>2674</v>
      </c>
      <c r="B1331" s="4" t="s">
        <v>13</v>
      </c>
      <c r="I1331" s="4">
        <v>0.127</v>
      </c>
      <c r="J1331" s="4">
        <v>0.012</v>
      </c>
      <c r="K1331" s="6" t="b">
        <f t="shared" ref="K1331:M1331" si="1294">FALSE()</f>
        <v>0</v>
      </c>
      <c r="L1331" s="6" t="b">
        <f t="shared" si="1294"/>
        <v>0</v>
      </c>
      <c r="M1331" s="6" t="b">
        <f t="shared" si="1294"/>
        <v>0</v>
      </c>
      <c r="P1331" s="4">
        <v>0.119559235057639</v>
      </c>
      <c r="T1331" s="4" t="str">
        <f t="shared" si="3"/>
        <v/>
      </c>
      <c r="U1331" s="4">
        <f t="shared" si="4"/>
        <v>3739</v>
      </c>
    </row>
    <row r="1332" ht="15.75" customHeight="1">
      <c r="A1332" s="4" t="s">
        <v>2675</v>
      </c>
      <c r="B1332" s="4" t="s">
        <v>13</v>
      </c>
      <c r="I1332" s="4">
        <v>0.093</v>
      </c>
      <c r="J1332" s="4">
        <v>0.008</v>
      </c>
      <c r="K1332" s="6" t="b">
        <f t="shared" ref="K1332:M1332" si="1295">FALSE()</f>
        <v>0</v>
      </c>
      <c r="L1332" s="6" t="b">
        <f t="shared" si="1295"/>
        <v>0</v>
      </c>
      <c r="M1332" s="6" t="b">
        <f t="shared" si="1295"/>
        <v>0</v>
      </c>
      <c r="P1332" s="4">
        <v>0.0889262091944015</v>
      </c>
      <c r="T1332" s="4" t="str">
        <f t="shared" si="3"/>
        <v/>
      </c>
      <c r="U1332" s="4">
        <f t="shared" si="4"/>
        <v>4295</v>
      </c>
    </row>
    <row r="1333" ht="15.75" customHeight="1">
      <c r="A1333" s="4" t="s">
        <v>2676</v>
      </c>
      <c r="B1333" s="4" t="s">
        <v>13</v>
      </c>
      <c r="I1333" s="4">
        <v>0.208</v>
      </c>
      <c r="J1333" s="4">
        <v>0.052</v>
      </c>
      <c r="K1333" s="6" t="b">
        <f t="shared" ref="K1333:M1333" si="1296">FALSE()</f>
        <v>0</v>
      </c>
      <c r="L1333" s="6" t="b">
        <f t="shared" si="1296"/>
        <v>0</v>
      </c>
      <c r="M1333" s="6" t="b">
        <f t="shared" si="1296"/>
        <v>0</v>
      </c>
      <c r="P1333" s="4">
        <v>0.188966099512623</v>
      </c>
      <c r="T1333" s="4" t="str">
        <f t="shared" si="3"/>
        <v/>
      </c>
      <c r="U1333" s="4">
        <f t="shared" si="4"/>
        <v>2444</v>
      </c>
    </row>
    <row r="1334" ht="15.75" customHeight="1">
      <c r="A1334" s="4" t="s">
        <v>2677</v>
      </c>
      <c r="B1334" s="4" t="s">
        <v>13</v>
      </c>
      <c r="I1334" s="4">
        <v>0.112</v>
      </c>
      <c r="J1334" s="4">
        <v>0.012</v>
      </c>
      <c r="K1334" s="6" t="b">
        <f t="shared" ref="K1334:M1334" si="1297">FALSE()</f>
        <v>0</v>
      </c>
      <c r="L1334" s="6" t="b">
        <f t="shared" si="1297"/>
        <v>0</v>
      </c>
      <c r="M1334" s="6" t="b">
        <f t="shared" si="1297"/>
        <v>0</v>
      </c>
      <c r="P1334" s="4">
        <v>0.106160195828391</v>
      </c>
      <c r="T1334" s="4" t="str">
        <f t="shared" si="3"/>
        <v/>
      </c>
      <c r="U1334" s="4">
        <f t="shared" si="4"/>
        <v>4001</v>
      </c>
    </row>
    <row r="1335" ht="15.75" customHeight="1">
      <c r="A1335" s="4" t="s">
        <v>2678</v>
      </c>
      <c r="B1335" s="4" t="s">
        <v>13</v>
      </c>
      <c r="I1335" s="4">
        <v>0.152</v>
      </c>
      <c r="J1335" s="4">
        <v>0.004</v>
      </c>
      <c r="K1335" s="6" t="b">
        <f t="shared" ref="K1335:M1335" si="1298">FALSE()</f>
        <v>0</v>
      </c>
      <c r="L1335" s="6" t="b">
        <f t="shared" si="1298"/>
        <v>0</v>
      </c>
      <c r="M1335" s="6" t="b">
        <f t="shared" si="1298"/>
        <v>0</v>
      </c>
      <c r="P1335" s="4">
        <v>0.1414995622737</v>
      </c>
      <c r="T1335" s="4" t="str">
        <f t="shared" si="3"/>
        <v/>
      </c>
      <c r="U1335" s="4">
        <f t="shared" si="4"/>
        <v>3291</v>
      </c>
    </row>
    <row r="1336" ht="15.75" customHeight="1">
      <c r="A1336" s="4" t="s">
        <v>497</v>
      </c>
      <c r="B1336" s="4" t="s">
        <v>13</v>
      </c>
      <c r="C1336" s="4">
        <v>0.49</v>
      </c>
      <c r="D1336" s="4">
        <v>0.06</v>
      </c>
      <c r="E1336" s="4">
        <v>0.06</v>
      </c>
      <c r="I1336" s="4">
        <v>1.3</v>
      </c>
      <c r="J1336" s="4">
        <v>0.07</v>
      </c>
      <c r="K1336" s="6" t="b">
        <f t="shared" ref="K1336:L1336" si="1299">FALSE()</f>
        <v>0</v>
      </c>
      <c r="L1336" s="6" t="b">
        <f t="shared" si="1299"/>
        <v>0</v>
      </c>
      <c r="M1336" s="6" t="b">
        <f>TRUE()</f>
        <v>1</v>
      </c>
      <c r="N1336" s="4">
        <v>0.398776119957368</v>
      </c>
      <c r="P1336" s="4">
        <v>0.832909122935104</v>
      </c>
      <c r="T1336" s="4">
        <f t="shared" si="3"/>
        <v>963</v>
      </c>
      <c r="U1336" s="4">
        <f t="shared" si="4"/>
        <v>253</v>
      </c>
    </row>
    <row r="1337" ht="15.75" customHeight="1">
      <c r="A1337" s="4" t="s">
        <v>498</v>
      </c>
      <c r="B1337" s="4" t="s">
        <v>13</v>
      </c>
      <c r="C1337" s="4">
        <v>0.0069</v>
      </c>
      <c r="I1337" s="4">
        <v>0.12</v>
      </c>
      <c r="J1337" s="4">
        <v>0.007</v>
      </c>
      <c r="K1337" s="6" t="b">
        <f t="shared" ref="K1337:M1337" si="1300">FALSE()</f>
        <v>0</v>
      </c>
      <c r="L1337" s="6" t="b">
        <f t="shared" si="1300"/>
        <v>0</v>
      </c>
      <c r="M1337" s="6" t="b">
        <f t="shared" si="1300"/>
        <v>0</v>
      </c>
      <c r="N1337" s="4">
        <v>0.0068763039394321</v>
      </c>
      <c r="P1337" s="4">
        <v>0.113328685307003</v>
      </c>
      <c r="T1337" s="4">
        <f t="shared" si="3"/>
        <v>1988</v>
      </c>
      <c r="U1337" s="4">
        <f t="shared" si="4"/>
        <v>3855</v>
      </c>
    </row>
    <row r="1338" ht="15.75" customHeight="1">
      <c r="A1338" s="4" t="s">
        <v>499</v>
      </c>
      <c r="B1338" s="4" t="s">
        <v>13</v>
      </c>
      <c r="C1338" s="4">
        <v>0.01</v>
      </c>
      <c r="I1338" s="4">
        <v>0.143</v>
      </c>
      <c r="J1338" s="4">
        <v>0.008</v>
      </c>
      <c r="K1338" s="6" t="b">
        <f t="shared" ref="K1338:M1338" si="1301">FALSE()</f>
        <v>0</v>
      </c>
      <c r="L1338" s="6" t="b">
        <f t="shared" si="1301"/>
        <v>0</v>
      </c>
      <c r="M1338" s="6" t="b">
        <f t="shared" si="1301"/>
        <v>0</v>
      </c>
      <c r="N1338" s="4">
        <v>0.009950330853168</v>
      </c>
      <c r="P1338" s="4">
        <v>0.133656384812674</v>
      </c>
      <c r="T1338" s="4">
        <f t="shared" si="3"/>
        <v>1939</v>
      </c>
      <c r="U1338" s="4">
        <f t="shared" si="4"/>
        <v>3449</v>
      </c>
    </row>
    <row r="1339" ht="15.75" customHeight="1">
      <c r="A1339" s="4" t="s">
        <v>501</v>
      </c>
      <c r="B1339" s="4" t="s">
        <v>13</v>
      </c>
      <c r="C1339" s="4">
        <v>0.026</v>
      </c>
      <c r="I1339" s="4">
        <v>0.179</v>
      </c>
      <c r="J1339" s="4">
        <v>0.01</v>
      </c>
      <c r="K1339" s="6" t="b">
        <f t="shared" ref="K1339:M1339" si="1302">FALSE()</f>
        <v>0</v>
      </c>
      <c r="L1339" s="6" t="b">
        <f t="shared" si="1302"/>
        <v>0</v>
      </c>
      <c r="M1339" s="6" t="b">
        <f t="shared" si="1302"/>
        <v>0</v>
      </c>
      <c r="N1339" s="4">
        <v>0.0256677467485777</v>
      </c>
      <c r="P1339" s="4">
        <v>0.164666621555234</v>
      </c>
      <c r="T1339" s="4">
        <f t="shared" si="3"/>
        <v>1621</v>
      </c>
      <c r="U1339" s="4">
        <f t="shared" si="4"/>
        <v>2896</v>
      </c>
    </row>
    <row r="1340" ht="15.75" customHeight="1">
      <c r="A1340" s="4" t="s">
        <v>2679</v>
      </c>
      <c r="B1340" s="4" t="s">
        <v>13</v>
      </c>
      <c r="I1340" s="4">
        <v>0.154</v>
      </c>
      <c r="J1340" s="4">
        <v>0.012</v>
      </c>
      <c r="K1340" s="6" t="b">
        <f t="shared" ref="K1340:M1340" si="1303">FALSE()</f>
        <v>0</v>
      </c>
      <c r="L1340" s="6" t="b">
        <f t="shared" si="1303"/>
        <v>0</v>
      </c>
      <c r="M1340" s="6" t="b">
        <f t="shared" si="1303"/>
        <v>0</v>
      </c>
      <c r="P1340" s="4">
        <v>0.143234168085908</v>
      </c>
      <c r="T1340" s="4" t="str">
        <f t="shared" si="3"/>
        <v/>
      </c>
      <c r="U1340" s="4">
        <f t="shared" si="4"/>
        <v>3250</v>
      </c>
    </row>
    <row r="1341" ht="15.75" customHeight="1">
      <c r="A1341" s="4" t="s">
        <v>2680</v>
      </c>
      <c r="B1341" s="4" t="s">
        <v>13</v>
      </c>
      <c r="I1341" s="4">
        <v>0.088</v>
      </c>
      <c r="J1341" s="4">
        <v>0.0036</v>
      </c>
      <c r="K1341" s="6" t="b">
        <f t="shared" ref="K1341:M1341" si="1304">FALSE()</f>
        <v>0</v>
      </c>
      <c r="L1341" s="6" t="b">
        <f t="shared" si="1304"/>
        <v>0</v>
      </c>
      <c r="M1341" s="6" t="b">
        <f t="shared" si="1304"/>
        <v>0</v>
      </c>
      <c r="P1341" s="4">
        <v>0.0843411484337508</v>
      </c>
      <c r="T1341" s="4" t="str">
        <f t="shared" si="3"/>
        <v/>
      </c>
      <c r="U1341" s="4">
        <f t="shared" si="4"/>
        <v>4349</v>
      </c>
    </row>
    <row r="1342" ht="15.75" customHeight="1">
      <c r="A1342" s="4" t="s">
        <v>2681</v>
      </c>
      <c r="B1342" s="4" t="s">
        <v>13</v>
      </c>
      <c r="I1342" s="4">
        <v>0.26</v>
      </c>
      <c r="J1342" s="4">
        <v>0.009</v>
      </c>
      <c r="K1342" s="6" t="b">
        <f t="shared" ref="K1342:M1342" si="1305">FALSE()</f>
        <v>0</v>
      </c>
      <c r="L1342" s="6" t="b">
        <f t="shared" si="1305"/>
        <v>0</v>
      </c>
      <c r="M1342" s="6" t="b">
        <f t="shared" si="1305"/>
        <v>0</v>
      </c>
      <c r="P1342" s="4">
        <v>0.231111720963387</v>
      </c>
      <c r="T1342" s="4" t="str">
        <f t="shared" si="3"/>
        <v/>
      </c>
      <c r="U1342" s="4">
        <f t="shared" si="4"/>
        <v>1682</v>
      </c>
    </row>
    <row r="1343" ht="15.75" customHeight="1">
      <c r="A1343" s="4" t="s">
        <v>2682</v>
      </c>
      <c r="B1343" s="4" t="s">
        <v>13</v>
      </c>
      <c r="I1343" s="4">
        <v>0.129</v>
      </c>
      <c r="J1343" s="4">
        <v>0.007</v>
      </c>
      <c r="K1343" s="6" t="b">
        <f t="shared" ref="K1343:M1343" si="1306">FALSE()</f>
        <v>0</v>
      </c>
      <c r="L1343" s="6" t="b">
        <f t="shared" si="1306"/>
        <v>0</v>
      </c>
      <c r="M1343" s="6" t="b">
        <f t="shared" si="1306"/>
        <v>0</v>
      </c>
      <c r="P1343" s="4">
        <v>0.121332285167525</v>
      </c>
      <c r="T1343" s="4" t="str">
        <f t="shared" si="3"/>
        <v/>
      </c>
      <c r="U1343" s="4">
        <f t="shared" si="4"/>
        <v>3702</v>
      </c>
    </row>
    <row r="1344" ht="15.75" customHeight="1">
      <c r="A1344" s="4" t="s">
        <v>502</v>
      </c>
      <c r="B1344" s="4" t="s">
        <v>13</v>
      </c>
      <c r="C1344" s="4">
        <v>0.5</v>
      </c>
      <c r="D1344" s="4">
        <v>0.4999</v>
      </c>
      <c r="E1344" s="4">
        <v>0.0</v>
      </c>
      <c r="I1344" s="4">
        <v>0.079</v>
      </c>
      <c r="J1344" s="4">
        <v>0.008</v>
      </c>
      <c r="K1344" s="6" t="b">
        <f t="shared" ref="K1344:M1344" si="1307">FALSE()</f>
        <v>0</v>
      </c>
      <c r="L1344" s="6" t="b">
        <f t="shared" si="1307"/>
        <v>0</v>
      </c>
      <c r="M1344" s="6" t="b">
        <f t="shared" si="1307"/>
        <v>0</v>
      </c>
      <c r="N1344" s="4">
        <v>0.405465108108164</v>
      </c>
      <c r="P1344" s="4">
        <v>0.0760346862759976</v>
      </c>
      <c r="T1344" s="4">
        <f t="shared" si="3"/>
        <v>956</v>
      </c>
      <c r="U1344" s="4">
        <f t="shared" si="4"/>
        <v>4415</v>
      </c>
    </row>
    <row r="1345" ht="15.75" customHeight="1">
      <c r="A1345" s="4" t="s">
        <v>503</v>
      </c>
      <c r="B1345" s="4" t="s">
        <v>13</v>
      </c>
      <c r="C1345" s="4">
        <v>0.0098</v>
      </c>
      <c r="D1345" s="4">
        <v>0.0035</v>
      </c>
      <c r="E1345" s="4">
        <v>0.0035</v>
      </c>
      <c r="I1345" s="4">
        <v>0.14</v>
      </c>
      <c r="J1345" s="4">
        <v>0.015</v>
      </c>
      <c r="K1345" s="6" t="b">
        <f t="shared" ref="K1345:M1345" si="1308">FALSE()</f>
        <v>0</v>
      </c>
      <c r="L1345" s="6" t="b">
        <f t="shared" si="1308"/>
        <v>0</v>
      </c>
      <c r="M1345" s="6" t="b">
        <f t="shared" si="1308"/>
        <v>0</v>
      </c>
      <c r="N1345" s="4">
        <v>0.0097522914426782</v>
      </c>
      <c r="P1345" s="4">
        <v>0.131028262406404</v>
      </c>
      <c r="T1345" s="4">
        <f t="shared" si="3"/>
        <v>1943</v>
      </c>
      <c r="U1345" s="4">
        <f t="shared" si="4"/>
        <v>3499</v>
      </c>
    </row>
    <row r="1346" ht="15.75" customHeight="1">
      <c r="A1346" s="4" t="s">
        <v>504</v>
      </c>
      <c r="B1346" s="4" t="s">
        <v>13</v>
      </c>
      <c r="C1346" s="4">
        <v>0.0198</v>
      </c>
      <c r="D1346" s="4">
        <v>0.0038</v>
      </c>
      <c r="E1346" s="4">
        <v>0.0038</v>
      </c>
      <c r="I1346" s="4">
        <v>0.225</v>
      </c>
      <c r="J1346" s="4">
        <v>0.014</v>
      </c>
      <c r="K1346" s="6" t="b">
        <f t="shared" ref="K1346:M1346" si="1309">FALSE()</f>
        <v>0</v>
      </c>
      <c r="L1346" s="6" t="b">
        <f t="shared" si="1309"/>
        <v>0</v>
      </c>
      <c r="M1346" s="6" t="b">
        <f t="shared" si="1309"/>
        <v>0</v>
      </c>
      <c r="N1346" s="4">
        <v>0.0196065296389183</v>
      </c>
      <c r="P1346" s="4">
        <v>0.20294084399669</v>
      </c>
      <c r="T1346" s="4">
        <f t="shared" si="3"/>
        <v>1738</v>
      </c>
      <c r="U1346" s="4">
        <f t="shared" si="4"/>
        <v>2184</v>
      </c>
    </row>
    <row r="1347" ht="15.75" customHeight="1">
      <c r="A1347" s="4" t="s">
        <v>505</v>
      </c>
      <c r="B1347" s="4" t="s">
        <v>13</v>
      </c>
      <c r="C1347" s="4">
        <v>0.0249</v>
      </c>
      <c r="D1347" s="4">
        <v>0.0044</v>
      </c>
      <c r="E1347" s="4">
        <v>0.0044</v>
      </c>
      <c r="I1347" s="4">
        <v>0.237</v>
      </c>
      <c r="J1347" s="4">
        <v>0.016</v>
      </c>
      <c r="K1347" s="6" t="b">
        <f t="shared" ref="K1347:M1347" si="1310">FALSE()</f>
        <v>0</v>
      </c>
      <c r="L1347" s="6" t="b">
        <f t="shared" si="1310"/>
        <v>0</v>
      </c>
      <c r="M1347" s="6" t="b">
        <f t="shared" si="1310"/>
        <v>0</v>
      </c>
      <c r="N1347" s="4">
        <v>0.0245950468553802</v>
      </c>
      <c r="P1347" s="4">
        <v>0.212689093410351</v>
      </c>
      <c r="T1347" s="4">
        <f t="shared" si="3"/>
        <v>1641</v>
      </c>
      <c r="U1347" s="4">
        <f t="shared" si="4"/>
        <v>1988</v>
      </c>
    </row>
    <row r="1348" ht="15.75" customHeight="1">
      <c r="A1348" s="4" t="s">
        <v>507</v>
      </c>
      <c r="B1348" s="4" t="s">
        <v>13</v>
      </c>
      <c r="C1348" s="4">
        <v>0.0409</v>
      </c>
      <c r="D1348" s="4">
        <v>0.006</v>
      </c>
      <c r="E1348" s="4">
        <v>0.006</v>
      </c>
      <c r="I1348" s="4">
        <v>0.294</v>
      </c>
      <c r="J1348" s="4">
        <v>0.016</v>
      </c>
      <c r="K1348" s="6" t="b">
        <f t="shared" ref="K1348:M1348" si="1311">FALSE()</f>
        <v>0</v>
      </c>
      <c r="L1348" s="6" t="b">
        <f t="shared" si="1311"/>
        <v>0</v>
      </c>
      <c r="M1348" s="6" t="b">
        <f t="shared" si="1311"/>
        <v>0</v>
      </c>
      <c r="N1348" s="4">
        <v>0.0400857235392856</v>
      </c>
      <c r="P1348" s="4">
        <v>0.257738196078709</v>
      </c>
      <c r="T1348" s="4">
        <f t="shared" si="3"/>
        <v>1453</v>
      </c>
      <c r="U1348" s="4">
        <f t="shared" si="4"/>
        <v>1410</v>
      </c>
    </row>
    <row r="1349" ht="15.75" customHeight="1">
      <c r="A1349" s="4" t="s">
        <v>508</v>
      </c>
      <c r="B1349" s="4" t="s">
        <v>13</v>
      </c>
      <c r="C1349" s="4">
        <v>0.005</v>
      </c>
      <c r="D1349" s="4">
        <v>0.0038</v>
      </c>
      <c r="E1349" s="4">
        <v>0.0066</v>
      </c>
      <c r="I1349" s="4">
        <v>0.251</v>
      </c>
      <c r="J1349" s="4">
        <v>0.017</v>
      </c>
      <c r="K1349" s="6" t="b">
        <f t="shared" ref="K1349:M1349" si="1312">FALSE()</f>
        <v>0</v>
      </c>
      <c r="L1349" s="6" t="b">
        <f t="shared" si="1312"/>
        <v>0</v>
      </c>
      <c r="M1349" s="6" t="b">
        <f t="shared" si="1312"/>
        <v>0</v>
      </c>
      <c r="N1349" s="4">
        <v>0.004987541511039</v>
      </c>
      <c r="P1349" s="4">
        <v>0.223943231484774</v>
      </c>
      <c r="T1349" s="4">
        <f t="shared" si="3"/>
        <v>2024</v>
      </c>
      <c r="U1349" s="4">
        <f t="shared" si="4"/>
        <v>1794</v>
      </c>
    </row>
    <row r="1350" ht="15.75" customHeight="1">
      <c r="A1350" s="4" t="s">
        <v>509</v>
      </c>
      <c r="B1350" s="4" t="s">
        <v>13</v>
      </c>
      <c r="C1350" s="4">
        <v>0.0135</v>
      </c>
      <c r="D1350" s="4">
        <v>0.009</v>
      </c>
      <c r="E1350" s="4">
        <v>0.0167</v>
      </c>
      <c r="I1350" s="4">
        <v>0.2688</v>
      </c>
      <c r="J1350" s="4">
        <v>0.0223</v>
      </c>
      <c r="K1350" s="6" t="b">
        <f t="shared" ref="K1350:M1350" si="1313">FALSE()</f>
        <v>0</v>
      </c>
      <c r="L1350" s="6" t="b">
        <f t="shared" si="1313"/>
        <v>0</v>
      </c>
      <c r="M1350" s="6" t="b">
        <f t="shared" si="1313"/>
        <v>0</v>
      </c>
      <c r="N1350" s="4">
        <v>0.0134096869099176</v>
      </c>
      <c r="P1350" s="4">
        <v>0.238071571898446</v>
      </c>
      <c r="T1350" s="4">
        <f t="shared" si="3"/>
        <v>1855</v>
      </c>
      <c r="U1350" s="4">
        <f t="shared" si="4"/>
        <v>1609</v>
      </c>
    </row>
    <row r="1351" ht="15.75" customHeight="1">
      <c r="A1351" s="4" t="s">
        <v>510</v>
      </c>
      <c r="B1351" s="4" t="s">
        <v>13</v>
      </c>
      <c r="C1351" s="4">
        <v>0.381</v>
      </c>
      <c r="D1351" s="4">
        <v>0.045</v>
      </c>
      <c r="E1351" s="4">
        <v>0.045</v>
      </c>
      <c r="I1351" s="4">
        <v>0.813</v>
      </c>
      <c r="J1351" s="4">
        <v>0.015</v>
      </c>
      <c r="K1351" s="6" t="b">
        <f t="shared" ref="K1351:L1351" si="1314">FALSE()</f>
        <v>0</v>
      </c>
      <c r="L1351" s="6" t="b">
        <f t="shared" si="1314"/>
        <v>0</v>
      </c>
      <c r="M1351" s="6" t="b">
        <f>TRUE()</f>
        <v>1</v>
      </c>
      <c r="N1351" s="4">
        <v>0.322807874427155</v>
      </c>
      <c r="P1351" s="4">
        <v>0.594982931772714</v>
      </c>
      <c r="T1351" s="4">
        <f t="shared" si="3"/>
        <v>1026</v>
      </c>
      <c r="U1351" s="4">
        <f t="shared" si="4"/>
        <v>830</v>
      </c>
    </row>
    <row r="1352" ht="15.75" customHeight="1">
      <c r="A1352" s="4" t="s">
        <v>2683</v>
      </c>
      <c r="B1352" s="4" t="s">
        <v>13</v>
      </c>
      <c r="I1352" s="4">
        <v>0.169</v>
      </c>
      <c r="J1352" s="4">
        <v>0.085</v>
      </c>
      <c r="K1352" s="6" t="b">
        <f t="shared" ref="K1352:M1352" si="1315">FALSE()</f>
        <v>0</v>
      </c>
      <c r="L1352" s="6" t="b">
        <f t="shared" si="1315"/>
        <v>0</v>
      </c>
      <c r="M1352" s="6" t="b">
        <f t="shared" si="1315"/>
        <v>0</v>
      </c>
      <c r="P1352" s="4">
        <v>0.156148682489931</v>
      </c>
      <c r="T1352" s="4" t="str">
        <f t="shared" si="3"/>
        <v/>
      </c>
      <c r="U1352" s="4">
        <f t="shared" si="4"/>
        <v>3061</v>
      </c>
    </row>
    <row r="1353" ht="15.75" customHeight="1">
      <c r="A1353" s="4" t="s">
        <v>511</v>
      </c>
      <c r="B1353" s="4" t="s">
        <v>13</v>
      </c>
      <c r="C1353" s="4">
        <v>0.93</v>
      </c>
      <c r="D1353" s="4">
        <v>0.04</v>
      </c>
      <c r="E1353" s="4">
        <v>0.04</v>
      </c>
      <c r="I1353" s="4">
        <v>1.093</v>
      </c>
      <c r="J1353" s="4">
        <v>0.015</v>
      </c>
      <c r="K1353" s="6" t="b">
        <f t="shared" ref="K1353:L1353" si="1316">FALSE()</f>
        <v>0</v>
      </c>
      <c r="L1353" s="6" t="b">
        <f t="shared" si="1316"/>
        <v>0</v>
      </c>
      <c r="M1353" s="6" t="b">
        <f>TRUE()</f>
        <v>1</v>
      </c>
      <c r="N1353" s="4">
        <v>0.657520002916794</v>
      </c>
      <c r="P1353" s="4">
        <v>0.738598443463863</v>
      </c>
      <c r="T1353" s="4">
        <f t="shared" si="3"/>
        <v>697</v>
      </c>
      <c r="U1353" s="4">
        <f t="shared" si="4"/>
        <v>528</v>
      </c>
    </row>
    <row r="1354" ht="15.75" customHeight="1">
      <c r="A1354" s="4" t="s">
        <v>512</v>
      </c>
      <c r="B1354" s="4" t="s">
        <v>13</v>
      </c>
      <c r="C1354" s="4">
        <v>0.01598</v>
      </c>
      <c r="D1354" s="4">
        <v>0.00129</v>
      </c>
      <c r="E1354" s="4">
        <v>0.00129</v>
      </c>
      <c r="I1354" s="4">
        <v>0.135</v>
      </c>
      <c r="J1354" s="4">
        <v>0.0045</v>
      </c>
      <c r="K1354" s="6" t="b">
        <f t="shared" ref="K1354:M1354" si="1317">FALSE()</f>
        <v>0</v>
      </c>
      <c r="L1354" s="6" t="b">
        <f t="shared" si="1317"/>
        <v>0</v>
      </c>
      <c r="M1354" s="6" t="b">
        <f t="shared" si="1317"/>
        <v>0</v>
      </c>
      <c r="N1354" s="4">
        <v>0.0158536639231671</v>
      </c>
      <c r="P1354" s="4">
        <v>0.126632650933366</v>
      </c>
      <c r="T1354" s="4">
        <f t="shared" si="3"/>
        <v>1809</v>
      </c>
      <c r="U1354" s="4">
        <f t="shared" si="4"/>
        <v>3606</v>
      </c>
    </row>
    <row r="1355" ht="15.75" customHeight="1">
      <c r="A1355" s="4" t="s">
        <v>513</v>
      </c>
      <c r="B1355" s="4" t="s">
        <v>13</v>
      </c>
      <c r="C1355" s="4">
        <v>0.02328</v>
      </c>
      <c r="I1355" s="4">
        <v>0.624</v>
      </c>
      <c r="J1355" s="4">
        <v>0.25</v>
      </c>
      <c r="K1355" s="6" t="b">
        <f t="shared" ref="K1355:M1355" si="1318">FALSE()</f>
        <v>0</v>
      </c>
      <c r="L1355" s="6" t="b">
        <f t="shared" si="1318"/>
        <v>0</v>
      </c>
      <c r="M1355" s="6" t="b">
        <f t="shared" si="1318"/>
        <v>0</v>
      </c>
      <c r="N1355" s="4">
        <v>0.0230131543090006</v>
      </c>
      <c r="P1355" s="4">
        <v>0.484892241739486</v>
      </c>
      <c r="T1355" s="4">
        <f t="shared" si="3"/>
        <v>1662</v>
      </c>
      <c r="U1355" s="4">
        <f t="shared" si="4"/>
        <v>930</v>
      </c>
    </row>
    <row r="1356" ht="15.75" customHeight="1">
      <c r="A1356" s="4" t="s">
        <v>514</v>
      </c>
      <c r="B1356" s="4" t="s">
        <v>13</v>
      </c>
      <c r="C1356" s="4">
        <v>0.01816</v>
      </c>
      <c r="D1356" s="4">
        <v>2.4E-4</v>
      </c>
      <c r="E1356" s="4">
        <v>2.4E-4</v>
      </c>
      <c r="I1356" s="4">
        <v>0.183</v>
      </c>
      <c r="J1356" s="4">
        <v>0.005</v>
      </c>
      <c r="K1356" s="6" t="b">
        <f t="shared" ref="K1356:M1356" si="1319">FALSE()</f>
        <v>0</v>
      </c>
      <c r="L1356" s="6" t="b">
        <f t="shared" si="1319"/>
        <v>0</v>
      </c>
      <c r="M1356" s="6" t="b">
        <f t="shared" si="1319"/>
        <v>0</v>
      </c>
      <c r="N1356" s="4">
        <v>0.0179970767016546</v>
      </c>
      <c r="P1356" s="4">
        <v>0.16805358499625</v>
      </c>
      <c r="T1356" s="4">
        <f t="shared" si="3"/>
        <v>1770</v>
      </c>
      <c r="U1356" s="4">
        <f t="shared" si="4"/>
        <v>2848</v>
      </c>
    </row>
    <row r="1357" ht="15.75" customHeight="1">
      <c r="A1357" s="4" t="s">
        <v>516</v>
      </c>
      <c r="B1357" s="4" t="s">
        <v>13</v>
      </c>
      <c r="C1357" s="4">
        <v>0.02358</v>
      </c>
      <c r="D1357" s="4">
        <v>3.1E-4</v>
      </c>
      <c r="E1357" s="4">
        <v>3.1E-4</v>
      </c>
      <c r="I1357" s="4">
        <v>0.195</v>
      </c>
      <c r="J1357" s="4">
        <v>0.006</v>
      </c>
      <c r="K1357" s="6" t="b">
        <f t="shared" ref="K1357:M1357" si="1320">FALSE()</f>
        <v>0</v>
      </c>
      <c r="L1357" s="6" t="b">
        <f t="shared" si="1320"/>
        <v>0</v>
      </c>
      <c r="M1357" s="6" t="b">
        <f t="shared" si="1320"/>
        <v>0</v>
      </c>
      <c r="N1357" s="4">
        <v>0.0233062862302343</v>
      </c>
      <c r="P1357" s="4">
        <v>0.178146185383474</v>
      </c>
      <c r="T1357" s="4">
        <f t="shared" si="3"/>
        <v>1657</v>
      </c>
      <c r="U1357" s="4">
        <f t="shared" si="4"/>
        <v>2662</v>
      </c>
    </row>
    <row r="1358" ht="15.75" customHeight="1">
      <c r="A1358" s="4" t="s">
        <v>2684</v>
      </c>
      <c r="B1358" s="4" t="s">
        <v>13</v>
      </c>
      <c r="I1358" s="4">
        <v>0.123</v>
      </c>
      <c r="J1358" s="4">
        <v>0.013</v>
      </c>
      <c r="K1358" s="6" t="b">
        <f t="shared" ref="K1358:M1358" si="1321">FALSE()</f>
        <v>0</v>
      </c>
      <c r="L1358" s="6" t="b">
        <f t="shared" si="1321"/>
        <v>0</v>
      </c>
      <c r="M1358" s="6" t="b">
        <f t="shared" si="1321"/>
        <v>0</v>
      </c>
      <c r="P1358" s="4">
        <v>0.116003675756306</v>
      </c>
      <c r="T1358" s="4" t="str">
        <f t="shared" si="3"/>
        <v/>
      </c>
      <c r="U1358" s="4">
        <f t="shared" si="4"/>
        <v>3811</v>
      </c>
    </row>
    <row r="1359" ht="15.75" customHeight="1">
      <c r="A1359" s="4" t="s">
        <v>2685</v>
      </c>
      <c r="B1359" s="4" t="s">
        <v>13</v>
      </c>
      <c r="I1359" s="4">
        <v>0.119</v>
      </c>
      <c r="J1359" s="4">
        <v>0.016</v>
      </c>
      <c r="K1359" s="6" t="b">
        <f t="shared" ref="K1359:M1359" si="1322">FALSE()</f>
        <v>0</v>
      </c>
      <c r="L1359" s="6" t="b">
        <f t="shared" si="1322"/>
        <v>0</v>
      </c>
      <c r="M1359" s="6" t="b">
        <f t="shared" si="1322"/>
        <v>0</v>
      </c>
      <c r="P1359" s="4">
        <v>0.112435429329788</v>
      </c>
      <c r="T1359" s="4" t="str">
        <f t="shared" si="3"/>
        <v/>
      </c>
      <c r="U1359" s="4">
        <f t="shared" si="4"/>
        <v>3878</v>
      </c>
    </row>
    <row r="1360" ht="15.75" customHeight="1">
      <c r="A1360" s="4" t="s">
        <v>2686</v>
      </c>
      <c r="B1360" s="4" t="s">
        <v>13</v>
      </c>
      <c r="I1360" s="4">
        <v>0.154</v>
      </c>
      <c r="J1360" s="4">
        <v>0.019</v>
      </c>
      <c r="K1360" s="6" t="b">
        <f t="shared" ref="K1360:M1360" si="1323">FALSE()</f>
        <v>0</v>
      </c>
      <c r="L1360" s="6" t="b">
        <f t="shared" si="1323"/>
        <v>0</v>
      </c>
      <c r="M1360" s="6" t="b">
        <f t="shared" si="1323"/>
        <v>0</v>
      </c>
      <c r="P1360" s="4">
        <v>0.143234168085908</v>
      </c>
      <c r="T1360" s="4" t="str">
        <f t="shared" si="3"/>
        <v/>
      </c>
      <c r="U1360" s="4">
        <f t="shared" si="4"/>
        <v>3251</v>
      </c>
    </row>
    <row r="1361" ht="15.75" customHeight="1">
      <c r="A1361" s="4" t="s">
        <v>2687</v>
      </c>
      <c r="B1361" s="4" t="s">
        <v>13</v>
      </c>
      <c r="I1361" s="4">
        <v>0.146</v>
      </c>
      <c r="J1361" s="4">
        <v>0.019</v>
      </c>
      <c r="K1361" s="6" t="b">
        <f t="shared" ref="K1361:M1361" si="1324">FALSE()</f>
        <v>0</v>
      </c>
      <c r="L1361" s="6" t="b">
        <f t="shared" si="1324"/>
        <v>0</v>
      </c>
      <c r="M1361" s="6" t="b">
        <f t="shared" si="1324"/>
        <v>0</v>
      </c>
      <c r="P1361" s="4">
        <v>0.136277618292548</v>
      </c>
      <c r="T1361" s="4" t="str">
        <f t="shared" si="3"/>
        <v/>
      </c>
      <c r="U1361" s="4">
        <f t="shared" si="4"/>
        <v>3386</v>
      </c>
    </row>
    <row r="1362" ht="15.75" customHeight="1">
      <c r="A1362" s="4" t="s">
        <v>2688</v>
      </c>
      <c r="B1362" s="4" t="s">
        <v>13</v>
      </c>
      <c r="I1362" s="4">
        <v>0.146</v>
      </c>
      <c r="J1362" s="4">
        <v>0.016</v>
      </c>
      <c r="K1362" s="6" t="b">
        <f t="shared" ref="K1362:M1362" si="1325">FALSE()</f>
        <v>0</v>
      </c>
      <c r="L1362" s="6" t="b">
        <f t="shared" si="1325"/>
        <v>0</v>
      </c>
      <c r="M1362" s="6" t="b">
        <f t="shared" si="1325"/>
        <v>0</v>
      </c>
      <c r="P1362" s="4">
        <v>0.136277618292548</v>
      </c>
      <c r="T1362" s="4" t="str">
        <f t="shared" si="3"/>
        <v/>
      </c>
      <c r="U1362" s="4">
        <f t="shared" si="4"/>
        <v>3387</v>
      </c>
    </row>
    <row r="1363" ht="15.75" customHeight="1">
      <c r="A1363" s="4" t="s">
        <v>2689</v>
      </c>
      <c r="B1363" s="4" t="s">
        <v>13</v>
      </c>
      <c r="I1363" s="4">
        <v>0.429</v>
      </c>
      <c r="J1363" s="4">
        <v>0.037</v>
      </c>
      <c r="K1363" s="6" t="b">
        <f t="shared" ref="K1363:M1363" si="1326">FALSE()</f>
        <v>0</v>
      </c>
      <c r="L1363" s="6" t="b">
        <f t="shared" si="1326"/>
        <v>0</v>
      </c>
      <c r="M1363" s="6" t="b">
        <f t="shared" si="1326"/>
        <v>0</v>
      </c>
      <c r="P1363" s="4">
        <v>0.35697489894773</v>
      </c>
      <c r="T1363" s="4" t="str">
        <f t="shared" si="3"/>
        <v/>
      </c>
      <c r="U1363" s="4">
        <f t="shared" si="4"/>
        <v>1079</v>
      </c>
    </row>
    <row r="1364" ht="15.75" customHeight="1">
      <c r="A1364" s="4" t="s">
        <v>2690</v>
      </c>
      <c r="B1364" s="4" t="s">
        <v>13</v>
      </c>
      <c r="I1364" s="4">
        <v>0.178</v>
      </c>
      <c r="J1364" s="4">
        <v>0.019</v>
      </c>
      <c r="K1364" s="6" t="b">
        <f t="shared" ref="K1364:M1364" si="1327">FALSE()</f>
        <v>0</v>
      </c>
      <c r="L1364" s="6" t="b">
        <f t="shared" si="1327"/>
        <v>0</v>
      </c>
      <c r="M1364" s="6" t="b">
        <f t="shared" si="1327"/>
        <v>0</v>
      </c>
      <c r="P1364" s="4">
        <v>0.163818085229395</v>
      </c>
      <c r="T1364" s="4" t="str">
        <f t="shared" si="3"/>
        <v/>
      </c>
      <c r="U1364" s="4">
        <f t="shared" si="4"/>
        <v>2907</v>
      </c>
    </row>
    <row r="1365" ht="15.75" customHeight="1">
      <c r="A1365" s="4" t="s">
        <v>2691</v>
      </c>
      <c r="B1365" s="4" t="s">
        <v>13</v>
      </c>
      <c r="I1365" s="4">
        <v>0.133</v>
      </c>
      <c r="J1365" s="4">
        <v>0.007</v>
      </c>
      <c r="K1365" s="6" t="b">
        <f t="shared" ref="K1365:M1365" si="1328">FALSE()</f>
        <v>0</v>
      </c>
      <c r="L1365" s="6" t="b">
        <f t="shared" si="1328"/>
        <v>0</v>
      </c>
      <c r="M1365" s="6" t="b">
        <f t="shared" si="1328"/>
        <v>0</v>
      </c>
      <c r="P1365" s="4">
        <v>0.124868982045869</v>
      </c>
      <c r="T1365" s="4" t="str">
        <f t="shared" si="3"/>
        <v/>
      </c>
      <c r="U1365" s="4">
        <f t="shared" si="4"/>
        <v>3641</v>
      </c>
    </row>
    <row r="1366" ht="15.75" customHeight="1">
      <c r="A1366" s="4" t="s">
        <v>2692</v>
      </c>
      <c r="B1366" s="4" t="s">
        <v>13</v>
      </c>
      <c r="I1366" s="4">
        <v>0.204</v>
      </c>
      <c r="J1366" s="4">
        <v>0.021</v>
      </c>
      <c r="K1366" s="6" t="b">
        <f t="shared" ref="K1366:M1366" si="1329">FALSE()</f>
        <v>0</v>
      </c>
      <c r="L1366" s="6" t="b">
        <f t="shared" si="1329"/>
        <v>0</v>
      </c>
      <c r="M1366" s="6" t="b">
        <f t="shared" si="1329"/>
        <v>0</v>
      </c>
      <c r="P1366" s="4">
        <v>0.185649346886629</v>
      </c>
      <c r="T1366" s="4" t="str">
        <f t="shared" si="3"/>
        <v/>
      </c>
      <c r="U1366" s="4">
        <f t="shared" si="4"/>
        <v>2506</v>
      </c>
    </row>
    <row r="1367" ht="15.75" customHeight="1">
      <c r="A1367" s="4" t="s">
        <v>2693</v>
      </c>
      <c r="B1367" s="4" t="s">
        <v>13</v>
      </c>
      <c r="I1367" s="4">
        <v>0.178</v>
      </c>
      <c r="J1367" s="4">
        <v>0.02</v>
      </c>
      <c r="K1367" s="6" t="b">
        <f t="shared" ref="K1367:M1367" si="1330">FALSE()</f>
        <v>0</v>
      </c>
      <c r="L1367" s="6" t="b">
        <f t="shared" si="1330"/>
        <v>0</v>
      </c>
      <c r="M1367" s="6" t="b">
        <f t="shared" si="1330"/>
        <v>0</v>
      </c>
      <c r="P1367" s="4">
        <v>0.163818085229395</v>
      </c>
      <c r="T1367" s="4" t="str">
        <f t="shared" si="3"/>
        <v/>
      </c>
      <c r="U1367" s="4">
        <f t="shared" si="4"/>
        <v>2908</v>
      </c>
    </row>
    <row r="1368" ht="15.75" customHeight="1">
      <c r="A1368" s="4" t="s">
        <v>2694</v>
      </c>
      <c r="B1368" s="4" t="s">
        <v>13</v>
      </c>
      <c r="I1368" s="4">
        <v>0.178</v>
      </c>
      <c r="J1368" s="4">
        <v>0.01</v>
      </c>
      <c r="K1368" s="6" t="b">
        <f t="shared" ref="K1368:M1368" si="1331">FALSE()</f>
        <v>0</v>
      </c>
      <c r="L1368" s="6" t="b">
        <f t="shared" si="1331"/>
        <v>0</v>
      </c>
      <c r="M1368" s="6" t="b">
        <f t="shared" si="1331"/>
        <v>0</v>
      </c>
      <c r="P1368" s="4">
        <v>0.163818085229395</v>
      </c>
      <c r="T1368" s="4" t="str">
        <f t="shared" si="3"/>
        <v/>
      </c>
      <c r="U1368" s="4">
        <f t="shared" si="4"/>
        <v>2909</v>
      </c>
    </row>
    <row r="1369" ht="15.75" customHeight="1">
      <c r="A1369" s="4" t="s">
        <v>2695</v>
      </c>
      <c r="B1369" s="4" t="s">
        <v>13</v>
      </c>
      <c r="I1369" s="4">
        <v>0.185</v>
      </c>
      <c r="J1369" s="4">
        <v>0.012</v>
      </c>
      <c r="K1369" s="6" t="b">
        <f t="shared" ref="K1369:M1369" si="1332">FALSE()</f>
        <v>0</v>
      </c>
      <c r="L1369" s="6" t="b">
        <f t="shared" si="1332"/>
        <v>0</v>
      </c>
      <c r="M1369" s="6" t="b">
        <f t="shared" si="1332"/>
        <v>0</v>
      </c>
      <c r="P1369" s="4">
        <v>0.169742774587095</v>
      </c>
      <c r="T1369" s="4" t="str">
        <f t="shared" si="3"/>
        <v/>
      </c>
      <c r="U1369" s="4">
        <f t="shared" si="4"/>
        <v>2820</v>
      </c>
    </row>
    <row r="1370" ht="15.75" customHeight="1">
      <c r="A1370" s="4" t="s">
        <v>517</v>
      </c>
      <c r="B1370" s="4" t="s">
        <v>13</v>
      </c>
      <c r="C1370" s="4">
        <v>0.0148</v>
      </c>
      <c r="D1370" s="4">
        <v>9.0E-4</v>
      </c>
      <c r="E1370" s="4">
        <v>0.0016</v>
      </c>
      <c r="I1370" s="4">
        <v>0.161</v>
      </c>
      <c r="J1370" s="4">
        <v>0.009</v>
      </c>
      <c r="K1370" s="6" t="b">
        <f t="shared" ref="K1370:M1370" si="1333">FALSE()</f>
        <v>0</v>
      </c>
      <c r="L1370" s="6" t="b">
        <f t="shared" si="1333"/>
        <v>0</v>
      </c>
      <c r="M1370" s="6" t="b">
        <f t="shared" si="1333"/>
        <v>0</v>
      </c>
      <c r="N1370" s="4">
        <v>0.0146915487429897</v>
      </c>
      <c r="P1370" s="4">
        <v>0.149281702715754</v>
      </c>
      <c r="T1370" s="4">
        <f t="shared" si="3"/>
        <v>1825</v>
      </c>
      <c r="U1370" s="4">
        <f t="shared" si="4"/>
        <v>3159</v>
      </c>
    </row>
    <row r="1371" ht="15.75" customHeight="1">
      <c r="A1371" s="4" t="s">
        <v>518</v>
      </c>
      <c r="B1371" s="4" t="s">
        <v>13</v>
      </c>
      <c r="C1371" s="4">
        <v>0.0205</v>
      </c>
      <c r="D1371" s="4">
        <v>0.0016</v>
      </c>
      <c r="E1371" s="4">
        <v>0.0047</v>
      </c>
      <c r="I1371" s="4">
        <v>0.232</v>
      </c>
      <c r="J1371" s="4">
        <v>0.018</v>
      </c>
      <c r="K1371" s="6" t="b">
        <f t="shared" ref="K1371:M1371" si="1334">FALSE()</f>
        <v>0</v>
      </c>
      <c r="L1371" s="6" t="b">
        <f t="shared" si="1334"/>
        <v>0</v>
      </c>
      <c r="M1371" s="6" t="b">
        <f t="shared" si="1334"/>
        <v>0</v>
      </c>
      <c r="N1371" s="4">
        <v>0.0202927032677624</v>
      </c>
      <c r="P1371" s="4">
        <v>0.208638865111328</v>
      </c>
      <c r="T1371" s="4">
        <f t="shared" si="3"/>
        <v>1719</v>
      </c>
      <c r="U1371" s="4">
        <f t="shared" si="4"/>
        <v>2068</v>
      </c>
    </row>
    <row r="1372" ht="15.75" customHeight="1">
      <c r="A1372" s="4" t="s">
        <v>519</v>
      </c>
      <c r="B1372" s="4" t="s">
        <v>13</v>
      </c>
      <c r="C1372" s="4">
        <v>0.0154</v>
      </c>
      <c r="D1372" s="4">
        <v>0.0019</v>
      </c>
      <c r="E1372" s="4">
        <v>0.0053</v>
      </c>
      <c r="I1372" s="4">
        <v>0.17</v>
      </c>
      <c r="J1372" s="4">
        <v>0.018</v>
      </c>
      <c r="K1372" s="6" t="b">
        <f t="shared" ref="K1372:M1372" si="1335">FALSE()</f>
        <v>0</v>
      </c>
      <c r="L1372" s="6" t="b">
        <f t="shared" si="1335"/>
        <v>0</v>
      </c>
      <c r="M1372" s="6" t="b">
        <f t="shared" si="1335"/>
        <v>0</v>
      </c>
      <c r="N1372" s="4">
        <v>0.0152826235311569</v>
      </c>
      <c r="P1372" s="4">
        <v>0.157003748809665</v>
      </c>
      <c r="T1372" s="4">
        <f t="shared" si="3"/>
        <v>1818</v>
      </c>
      <c r="U1372" s="4">
        <f t="shared" si="4"/>
        <v>3033</v>
      </c>
    </row>
    <row r="1373" ht="15.75" customHeight="1">
      <c r="A1373" s="4" t="s">
        <v>2696</v>
      </c>
      <c r="B1373" s="4" t="s">
        <v>13</v>
      </c>
      <c r="I1373" s="4">
        <v>0.103</v>
      </c>
      <c r="J1373" s="4">
        <v>0.006</v>
      </c>
      <c r="K1373" s="6" t="b">
        <f t="shared" ref="K1373:M1373" si="1336">FALSE()</f>
        <v>0</v>
      </c>
      <c r="L1373" s="6" t="b">
        <f t="shared" si="1336"/>
        <v>0</v>
      </c>
      <c r="M1373" s="6" t="b">
        <f t="shared" si="1336"/>
        <v>0</v>
      </c>
      <c r="P1373" s="4">
        <v>0.0980337402713654</v>
      </c>
      <c r="T1373" s="4" t="str">
        <f t="shared" si="3"/>
        <v/>
      </c>
      <c r="U1373" s="4">
        <f t="shared" si="4"/>
        <v>4168</v>
      </c>
    </row>
    <row r="1374" ht="15.75" customHeight="1">
      <c r="A1374" s="4" t="s">
        <v>520</v>
      </c>
      <c r="B1374" s="4" t="s">
        <v>13</v>
      </c>
      <c r="C1374" s="4">
        <v>0.00359</v>
      </c>
      <c r="D1374" s="4">
        <v>0.00129</v>
      </c>
      <c r="E1374" s="4">
        <v>0.00123</v>
      </c>
      <c r="I1374" s="4">
        <v>0.08342</v>
      </c>
      <c r="J1374" s="4">
        <v>0.008</v>
      </c>
      <c r="K1374" s="6" t="b">
        <f t="shared" ref="K1374:M1374" si="1337">FALSE()</f>
        <v>0</v>
      </c>
      <c r="L1374" s="6" t="b">
        <f t="shared" si="1337"/>
        <v>0</v>
      </c>
      <c r="M1374" s="6" t="b">
        <f t="shared" si="1337"/>
        <v>0</v>
      </c>
      <c r="N1374" s="4">
        <v>0.0035835713313527</v>
      </c>
      <c r="P1374" s="4">
        <v>0.080122704473707</v>
      </c>
      <c r="T1374" s="4">
        <f t="shared" si="3"/>
        <v>2048</v>
      </c>
      <c r="U1374" s="4">
        <f t="shared" si="4"/>
        <v>4388</v>
      </c>
    </row>
    <row r="1375" ht="15.75" customHeight="1">
      <c r="A1375" s="4" t="s">
        <v>2697</v>
      </c>
      <c r="B1375" s="4" t="s">
        <v>13</v>
      </c>
      <c r="C1375" s="4">
        <v>0.0969</v>
      </c>
      <c r="D1375" s="4">
        <v>0.006</v>
      </c>
      <c r="E1375" s="4">
        <v>0.006</v>
      </c>
      <c r="K1375" s="6" t="b">
        <f t="shared" ref="K1375:M1375" si="1338">FALSE()</f>
        <v>0</v>
      </c>
      <c r="L1375" s="6" t="b">
        <f t="shared" si="1338"/>
        <v>0</v>
      </c>
      <c r="M1375" s="6" t="b">
        <f t="shared" si="1338"/>
        <v>0</v>
      </c>
      <c r="N1375" s="4">
        <v>0.0924880194351513</v>
      </c>
      <c r="T1375" s="4">
        <f t="shared" si="3"/>
        <v>1265</v>
      </c>
      <c r="U1375" s="4" t="str">
        <f t="shared" si="4"/>
        <v/>
      </c>
    </row>
    <row r="1376" ht="15.75" customHeight="1">
      <c r="A1376" s="4" t="s">
        <v>2698</v>
      </c>
      <c r="B1376" s="4" t="s">
        <v>13</v>
      </c>
      <c r="C1376" s="4">
        <v>0.0733</v>
      </c>
      <c r="D1376" s="4">
        <v>0.0079</v>
      </c>
      <c r="E1376" s="4">
        <v>0.0079</v>
      </c>
      <c r="K1376" s="6" t="b">
        <f t="shared" ref="K1376:M1376" si="1339">FALSE()</f>
        <v>0</v>
      </c>
      <c r="L1376" s="6" t="b">
        <f t="shared" si="1339"/>
        <v>0</v>
      </c>
      <c r="M1376" s="6" t="b">
        <f t="shared" si="1339"/>
        <v>0</v>
      </c>
      <c r="N1376" s="4">
        <v>0.0707380145053416</v>
      </c>
      <c r="T1376" s="4">
        <f t="shared" si="3"/>
        <v>1317</v>
      </c>
      <c r="U1376" s="4" t="str">
        <f t="shared" si="4"/>
        <v/>
      </c>
    </row>
    <row r="1377" ht="15.75" customHeight="1">
      <c r="A1377" s="4" t="s">
        <v>2699</v>
      </c>
      <c r="B1377" s="4" t="s">
        <v>13</v>
      </c>
      <c r="I1377" s="4">
        <v>0.236</v>
      </c>
      <c r="J1377" s="4">
        <v>0.009</v>
      </c>
      <c r="K1377" s="6" t="b">
        <f t="shared" ref="K1377:M1377" si="1340">FALSE()</f>
        <v>0</v>
      </c>
      <c r="L1377" s="6" t="b">
        <f t="shared" si="1340"/>
        <v>0</v>
      </c>
      <c r="M1377" s="6" t="b">
        <f t="shared" si="1340"/>
        <v>0</v>
      </c>
      <c r="P1377" s="4">
        <v>0.211880359035499</v>
      </c>
      <c r="T1377" s="4" t="str">
        <f t="shared" si="3"/>
        <v/>
      </c>
      <c r="U1377" s="4">
        <f t="shared" si="4"/>
        <v>2009</v>
      </c>
    </row>
    <row r="1378" ht="15.75" customHeight="1">
      <c r="A1378" s="4" t="s">
        <v>2700</v>
      </c>
      <c r="B1378" s="4" t="s">
        <v>13</v>
      </c>
      <c r="I1378" s="4">
        <v>0.114</v>
      </c>
      <c r="J1378" s="4">
        <v>0.009</v>
      </c>
      <c r="K1378" s="6" t="b">
        <f t="shared" ref="K1378:M1378" si="1341">FALSE()</f>
        <v>0</v>
      </c>
      <c r="L1378" s="6" t="b">
        <f t="shared" si="1341"/>
        <v>0</v>
      </c>
      <c r="M1378" s="6" t="b">
        <f t="shared" si="1341"/>
        <v>0</v>
      </c>
      <c r="P1378" s="4">
        <v>0.107957141505092</v>
      </c>
      <c r="T1378" s="4" t="str">
        <f t="shared" si="3"/>
        <v/>
      </c>
      <c r="U1378" s="4">
        <f t="shared" si="4"/>
        <v>3978</v>
      </c>
    </row>
    <row r="1379" ht="15.75" customHeight="1">
      <c r="A1379" s="4" t="s">
        <v>2701</v>
      </c>
      <c r="B1379" s="4" t="s">
        <v>13</v>
      </c>
      <c r="I1379" s="4">
        <v>0.202</v>
      </c>
      <c r="J1379" s="4">
        <v>0.01</v>
      </c>
      <c r="K1379" s="6" t="b">
        <f t="shared" ref="K1379:M1379" si="1342">FALSE()</f>
        <v>0</v>
      </c>
      <c r="L1379" s="6" t="b">
        <f t="shared" si="1342"/>
        <v>0</v>
      </c>
      <c r="M1379" s="6" t="b">
        <f t="shared" si="1342"/>
        <v>0</v>
      </c>
      <c r="P1379" s="4">
        <v>0.183986836113016</v>
      </c>
      <c r="T1379" s="4" t="str">
        <f t="shared" si="3"/>
        <v/>
      </c>
      <c r="U1379" s="4">
        <f t="shared" si="4"/>
        <v>2548</v>
      </c>
    </row>
    <row r="1380" ht="15.75" customHeight="1">
      <c r="A1380" s="4" t="s">
        <v>2702</v>
      </c>
      <c r="B1380" s="4" t="s">
        <v>13</v>
      </c>
      <c r="I1380" s="4">
        <v>0.221</v>
      </c>
      <c r="J1380" s="4">
        <v>0.027</v>
      </c>
      <c r="K1380" s="6" t="b">
        <f t="shared" ref="K1380:M1380" si="1343">FALSE()</f>
        <v>0</v>
      </c>
      <c r="L1380" s="6" t="b">
        <f t="shared" si="1343"/>
        <v>0</v>
      </c>
      <c r="M1380" s="6" t="b">
        <f t="shared" si="1343"/>
        <v>0</v>
      </c>
      <c r="P1380" s="4">
        <v>0.199670195128568</v>
      </c>
      <c r="T1380" s="4" t="str">
        <f t="shared" si="3"/>
        <v/>
      </c>
      <c r="U1380" s="4">
        <f t="shared" si="4"/>
        <v>2243</v>
      </c>
    </row>
    <row r="1381" ht="15.75" customHeight="1">
      <c r="A1381" s="4" t="s">
        <v>2703</v>
      </c>
      <c r="B1381" s="4" t="s">
        <v>13</v>
      </c>
      <c r="I1381" s="4">
        <v>0.284</v>
      </c>
      <c r="J1381" s="4">
        <v>0.013</v>
      </c>
      <c r="K1381" s="6" t="b">
        <f t="shared" ref="K1381:M1381" si="1344">FALSE()</f>
        <v>0</v>
      </c>
      <c r="L1381" s="6" t="b">
        <f t="shared" si="1344"/>
        <v>0</v>
      </c>
      <c r="M1381" s="6" t="b">
        <f t="shared" si="1344"/>
        <v>0</v>
      </c>
      <c r="P1381" s="4">
        <v>0.249980205267769</v>
      </c>
      <c r="T1381" s="4" t="str">
        <f t="shared" si="3"/>
        <v/>
      </c>
      <c r="U1381" s="4">
        <f t="shared" si="4"/>
        <v>1477</v>
      </c>
    </row>
    <row r="1382" ht="15.75" customHeight="1">
      <c r="A1382" s="4" t="s">
        <v>2704</v>
      </c>
      <c r="B1382" s="4" t="s">
        <v>13</v>
      </c>
      <c r="I1382" s="4">
        <v>0.546</v>
      </c>
      <c r="J1382" s="4">
        <v>0.07</v>
      </c>
      <c r="K1382" s="6" t="b">
        <f t="shared" ref="K1382:M1382" si="1345">FALSE()</f>
        <v>0</v>
      </c>
      <c r="L1382" s="6" t="b">
        <f t="shared" si="1345"/>
        <v>0</v>
      </c>
      <c r="M1382" s="6" t="b">
        <f t="shared" si="1345"/>
        <v>0</v>
      </c>
      <c r="P1382" s="4">
        <v>0.43567095016523</v>
      </c>
      <c r="T1382" s="4" t="str">
        <f t="shared" si="3"/>
        <v/>
      </c>
      <c r="U1382" s="4">
        <f t="shared" si="4"/>
        <v>980</v>
      </c>
    </row>
    <row r="1383" ht="15.75" customHeight="1">
      <c r="A1383" s="4" t="s">
        <v>2705</v>
      </c>
      <c r="B1383" s="4" t="s">
        <v>13</v>
      </c>
      <c r="I1383" s="4">
        <v>0.128</v>
      </c>
      <c r="J1383" s="4">
        <v>0.006</v>
      </c>
      <c r="K1383" s="6" t="b">
        <f t="shared" ref="K1383:M1383" si="1346">FALSE()</f>
        <v>0</v>
      </c>
      <c r="L1383" s="6" t="b">
        <f t="shared" si="1346"/>
        <v>0</v>
      </c>
      <c r="M1383" s="6" t="b">
        <f t="shared" si="1346"/>
        <v>0</v>
      </c>
      <c r="P1383" s="4">
        <v>0.120446153075867</v>
      </c>
      <c r="T1383" s="4" t="str">
        <f t="shared" si="3"/>
        <v/>
      </c>
      <c r="U1383" s="4">
        <f t="shared" si="4"/>
        <v>3714</v>
      </c>
    </row>
    <row r="1384" ht="15.75" customHeight="1">
      <c r="A1384" s="4" t="s">
        <v>2706</v>
      </c>
      <c r="B1384" s="4" t="s">
        <v>13</v>
      </c>
      <c r="I1384" s="4">
        <v>0.22</v>
      </c>
      <c r="J1384" s="4">
        <v>0.011</v>
      </c>
      <c r="K1384" s="6" t="b">
        <f t="shared" ref="K1384:M1384" si="1347">FALSE()</f>
        <v>0</v>
      </c>
      <c r="L1384" s="6" t="b">
        <f t="shared" si="1347"/>
        <v>0</v>
      </c>
      <c r="M1384" s="6" t="b">
        <f t="shared" si="1347"/>
        <v>0</v>
      </c>
      <c r="P1384" s="4">
        <v>0.198850858745165</v>
      </c>
      <c r="T1384" s="4" t="str">
        <f t="shared" si="3"/>
        <v/>
      </c>
      <c r="U1384" s="4">
        <f t="shared" si="4"/>
        <v>2256</v>
      </c>
    </row>
    <row r="1385" ht="15.75" customHeight="1">
      <c r="A1385" s="4" t="s">
        <v>2707</v>
      </c>
      <c r="B1385" s="4" t="s">
        <v>13</v>
      </c>
      <c r="I1385" s="4">
        <v>0.29</v>
      </c>
      <c r="J1385" s="4">
        <v>0.037</v>
      </c>
      <c r="K1385" s="6" t="b">
        <f t="shared" ref="K1385:M1385" si="1348">FALSE()</f>
        <v>0</v>
      </c>
      <c r="L1385" s="6" t="b">
        <f t="shared" si="1348"/>
        <v>0</v>
      </c>
      <c r="M1385" s="6" t="b">
        <f t="shared" si="1348"/>
        <v>0</v>
      </c>
      <c r="P1385" s="4">
        <v>0.254642218373581</v>
      </c>
      <c r="T1385" s="4" t="str">
        <f t="shared" si="3"/>
        <v/>
      </c>
      <c r="U1385" s="4">
        <f t="shared" si="4"/>
        <v>1436</v>
      </c>
    </row>
    <row r="1386" ht="15.75" customHeight="1">
      <c r="A1386" s="4" t="s">
        <v>2708</v>
      </c>
      <c r="B1386" s="4" t="s">
        <v>13</v>
      </c>
      <c r="I1386" s="4">
        <v>0.114</v>
      </c>
      <c r="J1386" s="4">
        <v>0.009</v>
      </c>
      <c r="K1386" s="6" t="b">
        <f t="shared" ref="K1386:M1386" si="1349">FALSE()</f>
        <v>0</v>
      </c>
      <c r="L1386" s="6" t="b">
        <f t="shared" si="1349"/>
        <v>0</v>
      </c>
      <c r="M1386" s="6" t="b">
        <f t="shared" si="1349"/>
        <v>0</v>
      </c>
      <c r="P1386" s="4">
        <v>0.107957141505092</v>
      </c>
      <c r="T1386" s="4" t="str">
        <f t="shared" si="3"/>
        <v/>
      </c>
      <c r="U1386" s="4">
        <f t="shared" si="4"/>
        <v>3979</v>
      </c>
    </row>
    <row r="1387" ht="15.75" customHeight="1">
      <c r="A1387" s="4" t="s">
        <v>2709</v>
      </c>
      <c r="B1387" s="4" t="s">
        <v>13</v>
      </c>
      <c r="I1387" s="4">
        <v>0.139</v>
      </c>
      <c r="J1387" s="4">
        <v>0.01</v>
      </c>
      <c r="K1387" s="6" t="b">
        <f t="shared" ref="K1387:M1387" si="1350">FALSE()</f>
        <v>0</v>
      </c>
      <c r="L1387" s="6" t="b">
        <f t="shared" si="1350"/>
        <v>0</v>
      </c>
      <c r="M1387" s="6" t="b">
        <f t="shared" si="1350"/>
        <v>0</v>
      </c>
      <c r="P1387" s="4">
        <v>0.130150684465045</v>
      </c>
      <c r="T1387" s="4" t="str">
        <f t="shared" si="3"/>
        <v/>
      </c>
      <c r="U1387" s="4">
        <f t="shared" si="4"/>
        <v>3520</v>
      </c>
    </row>
    <row r="1388" ht="15.75" customHeight="1">
      <c r="A1388" s="4" t="s">
        <v>2710</v>
      </c>
      <c r="B1388" s="4" t="s">
        <v>13</v>
      </c>
      <c r="I1388" s="4">
        <v>0.236</v>
      </c>
      <c r="J1388" s="4">
        <v>0.013</v>
      </c>
      <c r="K1388" s="6" t="b">
        <f t="shared" ref="K1388:M1388" si="1351">FALSE()</f>
        <v>0</v>
      </c>
      <c r="L1388" s="6" t="b">
        <f t="shared" si="1351"/>
        <v>0</v>
      </c>
      <c r="M1388" s="6" t="b">
        <f t="shared" si="1351"/>
        <v>0</v>
      </c>
      <c r="P1388" s="4">
        <v>0.211880359035499</v>
      </c>
      <c r="T1388" s="4" t="str">
        <f t="shared" si="3"/>
        <v/>
      </c>
      <c r="U1388" s="4">
        <f t="shared" si="4"/>
        <v>2010</v>
      </c>
    </row>
    <row r="1389" ht="15.75" customHeight="1">
      <c r="A1389" s="4" t="s">
        <v>2711</v>
      </c>
      <c r="B1389" s="4" t="s">
        <v>13</v>
      </c>
      <c r="I1389" s="4">
        <v>0.195</v>
      </c>
      <c r="J1389" s="4">
        <v>0.017</v>
      </c>
      <c r="K1389" s="6" t="b">
        <f t="shared" ref="K1389:M1389" si="1352">FALSE()</f>
        <v>0</v>
      </c>
      <c r="L1389" s="6" t="b">
        <f t="shared" si="1352"/>
        <v>0</v>
      </c>
      <c r="M1389" s="6" t="b">
        <f t="shared" si="1352"/>
        <v>0</v>
      </c>
      <c r="P1389" s="4">
        <v>0.178146185383474</v>
      </c>
      <c r="T1389" s="4" t="str">
        <f t="shared" si="3"/>
        <v/>
      </c>
      <c r="U1389" s="4">
        <f t="shared" si="4"/>
        <v>2663</v>
      </c>
    </row>
    <row r="1390" ht="15.75" customHeight="1">
      <c r="A1390" s="4" t="s">
        <v>521</v>
      </c>
      <c r="B1390" s="4" t="s">
        <v>13</v>
      </c>
      <c r="C1390" s="4">
        <v>6.0</v>
      </c>
      <c r="D1390" s="4">
        <v>1.0</v>
      </c>
      <c r="E1390" s="4">
        <v>1.0</v>
      </c>
      <c r="I1390" s="4">
        <v>0.109</v>
      </c>
      <c r="J1390" s="4">
        <v>0.015</v>
      </c>
      <c r="K1390" s="6" t="b">
        <f>TRUE()</f>
        <v>1</v>
      </c>
      <c r="L1390" s="6" t="b">
        <f t="shared" ref="L1390:M1390" si="1353">FALSE()</f>
        <v>0</v>
      </c>
      <c r="M1390" s="6" t="b">
        <f t="shared" si="1353"/>
        <v>0</v>
      </c>
      <c r="N1390" s="4">
        <v>1.94591014905531</v>
      </c>
      <c r="P1390" s="4">
        <v>0.10345870836823</v>
      </c>
      <c r="T1390" s="4">
        <f t="shared" si="3"/>
        <v>166</v>
      </c>
      <c r="U1390" s="4">
        <f t="shared" si="4"/>
        <v>4059</v>
      </c>
    </row>
    <row r="1391" ht="15.75" customHeight="1">
      <c r="A1391" s="4" t="s">
        <v>2712</v>
      </c>
      <c r="B1391" s="4" t="s">
        <v>13</v>
      </c>
      <c r="I1391" s="4">
        <v>0.2088</v>
      </c>
      <c r="J1391" s="4">
        <v>0.0125</v>
      </c>
      <c r="K1391" s="6" t="b">
        <f t="shared" ref="K1391:M1391" si="1354">FALSE()</f>
        <v>0</v>
      </c>
      <c r="L1391" s="6" t="b">
        <f t="shared" si="1354"/>
        <v>0</v>
      </c>
      <c r="M1391" s="6" t="b">
        <f t="shared" si="1354"/>
        <v>0</v>
      </c>
      <c r="P1391" s="4">
        <v>0.189628131976393</v>
      </c>
      <c r="T1391" s="4" t="str">
        <f t="shared" si="3"/>
        <v/>
      </c>
      <c r="U1391" s="4">
        <f t="shared" si="4"/>
        <v>2441</v>
      </c>
    </row>
    <row r="1392" ht="15.75" customHeight="1">
      <c r="A1392" s="4" t="s">
        <v>2713</v>
      </c>
      <c r="B1392" s="4" t="s">
        <v>13</v>
      </c>
      <c r="I1392" s="4">
        <v>0.166</v>
      </c>
      <c r="J1392" s="4">
        <v>0.01</v>
      </c>
      <c r="K1392" s="6" t="b">
        <f t="shared" ref="K1392:M1392" si="1355">FALSE()</f>
        <v>0</v>
      </c>
      <c r="L1392" s="6" t="b">
        <f t="shared" si="1355"/>
        <v>0</v>
      </c>
      <c r="M1392" s="6" t="b">
        <f t="shared" si="1355"/>
        <v>0</v>
      </c>
      <c r="P1392" s="4">
        <v>0.153579087928301</v>
      </c>
      <c r="T1392" s="4" t="str">
        <f t="shared" si="3"/>
        <v/>
      </c>
      <c r="U1392" s="4">
        <f t="shared" si="4"/>
        <v>3094</v>
      </c>
    </row>
    <row r="1393" ht="15.75" customHeight="1">
      <c r="A1393" s="4" t="s">
        <v>2714</v>
      </c>
      <c r="B1393" s="4" t="s">
        <v>13</v>
      </c>
      <c r="I1393" s="4">
        <v>0.117</v>
      </c>
      <c r="J1393" s="4">
        <v>0.006</v>
      </c>
      <c r="K1393" s="6" t="b">
        <f t="shared" ref="K1393:M1393" si="1356">FALSE()</f>
        <v>0</v>
      </c>
      <c r="L1393" s="6" t="b">
        <f t="shared" si="1356"/>
        <v>0</v>
      </c>
      <c r="M1393" s="6" t="b">
        <f t="shared" si="1356"/>
        <v>0</v>
      </c>
      <c r="P1393" s="4">
        <v>0.110646520087064</v>
      </c>
      <c r="T1393" s="4" t="str">
        <f t="shared" si="3"/>
        <v/>
      </c>
      <c r="U1393" s="4">
        <f t="shared" si="4"/>
        <v>3926</v>
      </c>
    </row>
    <row r="1394" ht="15.75" customHeight="1">
      <c r="A1394" s="4" t="s">
        <v>2715</v>
      </c>
      <c r="B1394" s="4" t="s">
        <v>13</v>
      </c>
      <c r="I1394" s="4">
        <v>0.114</v>
      </c>
      <c r="J1394" s="4">
        <v>0.007</v>
      </c>
      <c r="K1394" s="6" t="b">
        <f t="shared" ref="K1394:M1394" si="1357">FALSE()</f>
        <v>0</v>
      </c>
      <c r="L1394" s="6" t="b">
        <f t="shared" si="1357"/>
        <v>0</v>
      </c>
      <c r="M1394" s="6" t="b">
        <f t="shared" si="1357"/>
        <v>0</v>
      </c>
      <c r="P1394" s="4">
        <v>0.107957141505092</v>
      </c>
      <c r="T1394" s="4" t="str">
        <f t="shared" si="3"/>
        <v/>
      </c>
      <c r="U1394" s="4">
        <f t="shared" si="4"/>
        <v>3980</v>
      </c>
    </row>
    <row r="1395" ht="15.75" customHeight="1">
      <c r="A1395" s="4" t="s">
        <v>2716</v>
      </c>
      <c r="B1395" s="4" t="s">
        <v>13</v>
      </c>
      <c r="I1395" s="4">
        <v>0.18</v>
      </c>
      <c r="J1395" s="4">
        <v>0.021</v>
      </c>
      <c r="K1395" s="6" t="b">
        <f t="shared" ref="K1395:M1395" si="1358">FALSE()</f>
        <v>0</v>
      </c>
      <c r="L1395" s="6" t="b">
        <f t="shared" si="1358"/>
        <v>0</v>
      </c>
      <c r="M1395" s="6" t="b">
        <f t="shared" si="1358"/>
        <v>0</v>
      </c>
      <c r="P1395" s="4">
        <v>0.165514438477573</v>
      </c>
      <c r="T1395" s="4" t="str">
        <f t="shared" si="3"/>
        <v/>
      </c>
      <c r="U1395" s="4">
        <f t="shared" si="4"/>
        <v>2885</v>
      </c>
    </row>
    <row r="1396" ht="15.75" customHeight="1">
      <c r="A1396" s="4" t="s">
        <v>2717</v>
      </c>
      <c r="B1396" s="4" t="s">
        <v>13</v>
      </c>
      <c r="I1396" s="4">
        <v>0.227</v>
      </c>
      <c r="J1396" s="4">
        <v>0.042</v>
      </c>
      <c r="K1396" s="6" t="b">
        <f t="shared" ref="K1396:M1396" si="1359">FALSE()</f>
        <v>0</v>
      </c>
      <c r="L1396" s="6" t="b">
        <f t="shared" si="1359"/>
        <v>0</v>
      </c>
      <c r="M1396" s="6" t="b">
        <f t="shared" si="1359"/>
        <v>0</v>
      </c>
      <c r="P1396" s="4">
        <v>0.204572165728774</v>
      </c>
      <c r="T1396" s="4" t="str">
        <f t="shared" si="3"/>
        <v/>
      </c>
      <c r="U1396" s="4">
        <f t="shared" si="4"/>
        <v>2149</v>
      </c>
    </row>
    <row r="1397" ht="15.75" customHeight="1">
      <c r="A1397" s="4" t="s">
        <v>2718</v>
      </c>
      <c r="B1397" s="4" t="s">
        <v>13</v>
      </c>
      <c r="I1397" s="4">
        <v>0.092</v>
      </c>
      <c r="J1397" s="4">
        <v>0.008</v>
      </c>
      <c r="K1397" s="6" t="b">
        <f t="shared" ref="K1397:M1397" si="1360">FALSE()</f>
        <v>0</v>
      </c>
      <c r="L1397" s="6" t="b">
        <f t="shared" si="1360"/>
        <v>0</v>
      </c>
      <c r="M1397" s="6" t="b">
        <f t="shared" si="1360"/>
        <v>0</v>
      </c>
      <c r="P1397" s="4">
        <v>0.0880108773227133</v>
      </c>
      <c r="T1397" s="4" t="str">
        <f t="shared" si="3"/>
        <v/>
      </c>
      <c r="U1397" s="4">
        <f t="shared" si="4"/>
        <v>4305</v>
      </c>
    </row>
    <row r="1398" ht="15.75" customHeight="1">
      <c r="A1398" s="4" t="s">
        <v>2719</v>
      </c>
      <c r="B1398" s="4" t="s">
        <v>13</v>
      </c>
      <c r="I1398" s="4">
        <v>0.127</v>
      </c>
      <c r="J1398" s="4">
        <v>0.012</v>
      </c>
      <c r="K1398" s="6" t="b">
        <f t="shared" ref="K1398:M1398" si="1361">FALSE()</f>
        <v>0</v>
      </c>
      <c r="L1398" s="6" t="b">
        <f t="shared" si="1361"/>
        <v>0</v>
      </c>
      <c r="M1398" s="6" t="b">
        <f t="shared" si="1361"/>
        <v>0</v>
      </c>
      <c r="P1398" s="4">
        <v>0.119559235057639</v>
      </c>
      <c r="T1398" s="4" t="str">
        <f t="shared" si="3"/>
        <v/>
      </c>
      <c r="U1398" s="4">
        <f t="shared" si="4"/>
        <v>3740</v>
      </c>
    </row>
    <row r="1399" ht="15.75" customHeight="1">
      <c r="A1399" s="4" t="s">
        <v>2720</v>
      </c>
      <c r="B1399" s="4" t="s">
        <v>13</v>
      </c>
      <c r="I1399" s="4">
        <v>0.161</v>
      </c>
      <c r="J1399" s="4">
        <v>0.014</v>
      </c>
      <c r="K1399" s="6" t="b">
        <f t="shared" ref="K1399:M1399" si="1362">FALSE()</f>
        <v>0</v>
      </c>
      <c r="L1399" s="6" t="b">
        <f t="shared" si="1362"/>
        <v>0</v>
      </c>
      <c r="M1399" s="6" t="b">
        <f t="shared" si="1362"/>
        <v>0</v>
      </c>
      <c r="P1399" s="4">
        <v>0.149281702715754</v>
      </c>
      <c r="T1399" s="4" t="str">
        <f t="shared" si="3"/>
        <v/>
      </c>
      <c r="U1399" s="4">
        <f t="shared" si="4"/>
        <v>3160</v>
      </c>
    </row>
    <row r="1400" ht="15.75" customHeight="1">
      <c r="A1400" s="4" t="s">
        <v>2721</v>
      </c>
      <c r="B1400" s="4" t="s">
        <v>13</v>
      </c>
      <c r="I1400" s="4">
        <v>0.24</v>
      </c>
      <c r="J1400" s="4">
        <v>0.03</v>
      </c>
      <c r="K1400" s="6" t="b">
        <f t="shared" ref="K1400:M1400" si="1363">FALSE()</f>
        <v>0</v>
      </c>
      <c r="L1400" s="6" t="b">
        <f t="shared" si="1363"/>
        <v>0</v>
      </c>
      <c r="M1400" s="6" t="b">
        <f t="shared" si="1363"/>
        <v>0</v>
      </c>
      <c r="P1400" s="4">
        <v>0.215111379616946</v>
      </c>
      <c r="T1400" s="4" t="str">
        <f t="shared" si="3"/>
        <v/>
      </c>
      <c r="U1400" s="4">
        <f t="shared" si="4"/>
        <v>1942</v>
      </c>
    </row>
    <row r="1401" ht="15.75" customHeight="1">
      <c r="A1401" s="4" t="s">
        <v>2722</v>
      </c>
      <c r="B1401" s="4" t="s">
        <v>13</v>
      </c>
      <c r="I1401" s="4">
        <v>0.149</v>
      </c>
      <c r="J1401" s="4">
        <v>0.008</v>
      </c>
      <c r="K1401" s="6" t="b">
        <f t="shared" ref="K1401:M1401" si="1364">FALSE()</f>
        <v>0</v>
      </c>
      <c r="L1401" s="6" t="b">
        <f t="shared" si="1364"/>
        <v>0</v>
      </c>
      <c r="M1401" s="6" t="b">
        <f t="shared" si="1364"/>
        <v>0</v>
      </c>
      <c r="P1401" s="4">
        <v>0.138891998866619</v>
      </c>
      <c r="T1401" s="4" t="str">
        <f t="shared" si="3"/>
        <v/>
      </c>
      <c r="U1401" s="4">
        <f t="shared" si="4"/>
        <v>3341</v>
      </c>
    </row>
    <row r="1402" ht="15.75" customHeight="1">
      <c r="A1402" s="4" t="s">
        <v>2723</v>
      </c>
      <c r="B1402" s="4" t="s">
        <v>13</v>
      </c>
      <c r="I1402" s="4">
        <v>0.286</v>
      </c>
      <c r="J1402" s="4">
        <v>0.012</v>
      </c>
      <c r="K1402" s="6" t="b">
        <f t="shared" ref="K1402:M1402" si="1365">FALSE()</f>
        <v>0</v>
      </c>
      <c r="L1402" s="6" t="b">
        <f t="shared" si="1365"/>
        <v>0</v>
      </c>
      <c r="M1402" s="6" t="b">
        <f t="shared" si="1365"/>
        <v>0</v>
      </c>
      <c r="P1402" s="4">
        <v>0.251536625815428</v>
      </c>
      <c r="T1402" s="4" t="str">
        <f t="shared" si="3"/>
        <v/>
      </c>
      <c r="U1402" s="4">
        <f t="shared" si="4"/>
        <v>1459</v>
      </c>
    </row>
    <row r="1403" ht="15.75" customHeight="1">
      <c r="A1403" s="4" t="s">
        <v>2724</v>
      </c>
      <c r="B1403" s="4" t="s">
        <v>13</v>
      </c>
      <c r="I1403" s="4">
        <v>0.143</v>
      </c>
      <c r="J1403" s="4">
        <v>0.009</v>
      </c>
      <c r="K1403" s="6" t="b">
        <f t="shared" ref="K1403:M1403" si="1366">FALSE()</f>
        <v>0</v>
      </c>
      <c r="L1403" s="6" t="b">
        <f t="shared" si="1366"/>
        <v>0</v>
      </c>
      <c r="M1403" s="6" t="b">
        <f t="shared" si="1366"/>
        <v>0</v>
      </c>
      <c r="P1403" s="4">
        <v>0.133656384812674</v>
      </c>
      <c r="T1403" s="4" t="str">
        <f t="shared" si="3"/>
        <v/>
      </c>
      <c r="U1403" s="4">
        <f t="shared" si="4"/>
        <v>3450</v>
      </c>
    </row>
    <row r="1404" ht="15.75" customHeight="1">
      <c r="A1404" s="4" t="s">
        <v>523</v>
      </c>
      <c r="B1404" s="4" t="s">
        <v>13</v>
      </c>
      <c r="C1404" s="4">
        <v>0.0289</v>
      </c>
      <c r="D1404" s="4">
        <v>0.0079</v>
      </c>
      <c r="E1404" s="4">
        <v>0.0079</v>
      </c>
      <c r="I1404" s="4">
        <v>0.232</v>
      </c>
      <c r="J1404" s="4">
        <v>0.009</v>
      </c>
      <c r="K1404" s="6" t="b">
        <f t="shared" ref="K1404:M1404" si="1367">FALSE()</f>
        <v>0</v>
      </c>
      <c r="L1404" s="6" t="b">
        <f t="shared" si="1367"/>
        <v>0</v>
      </c>
      <c r="M1404" s="6" t="b">
        <f t="shared" si="1367"/>
        <v>0</v>
      </c>
      <c r="N1404" s="4">
        <v>0.0284902703996274</v>
      </c>
      <c r="P1404" s="4">
        <v>0.208638865111328</v>
      </c>
      <c r="T1404" s="4">
        <f t="shared" si="3"/>
        <v>1566</v>
      </c>
      <c r="U1404" s="4">
        <f t="shared" si="4"/>
        <v>2069</v>
      </c>
    </row>
    <row r="1405" ht="15.75" customHeight="1">
      <c r="A1405" s="4" t="s">
        <v>2725</v>
      </c>
      <c r="B1405" s="4" t="s">
        <v>13</v>
      </c>
      <c r="I1405" s="4">
        <v>0.182</v>
      </c>
      <c r="J1405" s="4">
        <v>0.024</v>
      </c>
      <c r="K1405" s="6" t="b">
        <f t="shared" ref="K1405:M1405" si="1368">FALSE()</f>
        <v>0</v>
      </c>
      <c r="L1405" s="6" t="b">
        <f t="shared" si="1368"/>
        <v>0</v>
      </c>
      <c r="M1405" s="6" t="b">
        <f t="shared" si="1368"/>
        <v>0</v>
      </c>
      <c r="P1405" s="4">
        <v>0.167207918983906</v>
      </c>
      <c r="T1405" s="4" t="str">
        <f t="shared" si="3"/>
        <v/>
      </c>
      <c r="U1405" s="4">
        <f t="shared" si="4"/>
        <v>2863</v>
      </c>
    </row>
    <row r="1406" ht="15.75" customHeight="1">
      <c r="A1406" s="4" t="s">
        <v>2726</v>
      </c>
      <c r="B1406" s="4" t="s">
        <v>13</v>
      </c>
      <c r="I1406" s="4">
        <v>0.133</v>
      </c>
      <c r="J1406" s="4">
        <v>0.008</v>
      </c>
      <c r="K1406" s="6" t="b">
        <f t="shared" ref="K1406:M1406" si="1369">FALSE()</f>
        <v>0</v>
      </c>
      <c r="L1406" s="6" t="b">
        <f t="shared" si="1369"/>
        <v>0</v>
      </c>
      <c r="M1406" s="6" t="b">
        <f t="shared" si="1369"/>
        <v>0</v>
      </c>
      <c r="P1406" s="4">
        <v>0.124868982045869</v>
      </c>
      <c r="T1406" s="4" t="str">
        <f t="shared" si="3"/>
        <v/>
      </c>
      <c r="U1406" s="4">
        <f t="shared" si="4"/>
        <v>3642</v>
      </c>
    </row>
    <row r="1407" ht="15.75" customHeight="1">
      <c r="A1407" s="4" t="s">
        <v>2727</v>
      </c>
      <c r="B1407" s="4" t="s">
        <v>13</v>
      </c>
      <c r="I1407" s="4">
        <v>0.189</v>
      </c>
      <c r="J1407" s="4">
        <v>0.014</v>
      </c>
      <c r="K1407" s="6" t="b">
        <f t="shared" ref="K1407:M1407" si="1370">FALSE()</f>
        <v>0</v>
      </c>
      <c r="L1407" s="6" t="b">
        <f t="shared" si="1370"/>
        <v>0</v>
      </c>
      <c r="M1407" s="6" t="b">
        <f t="shared" si="1370"/>
        <v>0</v>
      </c>
      <c r="P1407" s="4">
        <v>0.173112617708645</v>
      </c>
      <c r="T1407" s="4" t="str">
        <f t="shared" si="3"/>
        <v/>
      </c>
      <c r="U1407" s="4">
        <f t="shared" si="4"/>
        <v>2751</v>
      </c>
    </row>
    <row r="1408" ht="15.75" customHeight="1">
      <c r="A1408" s="4" t="s">
        <v>2728</v>
      </c>
      <c r="B1408" s="4" t="s">
        <v>13</v>
      </c>
      <c r="I1408" s="4">
        <v>0.317</v>
      </c>
      <c r="J1408" s="4">
        <v>0.012</v>
      </c>
      <c r="K1408" s="6" t="b">
        <f t="shared" ref="K1408:M1408" si="1371">FALSE()</f>
        <v>0</v>
      </c>
      <c r="L1408" s="6" t="b">
        <f t="shared" si="1371"/>
        <v>0</v>
      </c>
      <c r="M1408" s="6" t="b">
        <f t="shared" si="1371"/>
        <v>0</v>
      </c>
      <c r="P1408" s="4">
        <v>0.275356422761144</v>
      </c>
      <c r="T1408" s="4" t="str">
        <f t="shared" si="3"/>
        <v/>
      </c>
      <c r="U1408" s="4">
        <f t="shared" si="4"/>
        <v>1308</v>
      </c>
    </row>
    <row r="1409" ht="15.75" customHeight="1">
      <c r="A1409" s="4" t="s">
        <v>2729</v>
      </c>
      <c r="B1409" s="4" t="s">
        <v>13</v>
      </c>
      <c r="I1409" s="4">
        <v>0.224</v>
      </c>
      <c r="J1409" s="4">
        <v>0.011</v>
      </c>
      <c r="K1409" s="6" t="b">
        <f t="shared" ref="K1409:M1409" si="1372">FALSE()</f>
        <v>0</v>
      </c>
      <c r="L1409" s="6" t="b">
        <f t="shared" si="1372"/>
        <v>0</v>
      </c>
      <c r="M1409" s="6" t="b">
        <f t="shared" si="1372"/>
        <v>0</v>
      </c>
      <c r="P1409" s="4">
        <v>0.202124184090134</v>
      </c>
      <c r="T1409" s="4" t="str">
        <f t="shared" si="3"/>
        <v/>
      </c>
      <c r="U1409" s="4">
        <f t="shared" si="4"/>
        <v>2195</v>
      </c>
    </row>
    <row r="1410" ht="15.75" customHeight="1">
      <c r="A1410" s="4" t="s">
        <v>2730</v>
      </c>
      <c r="B1410" s="4" t="s">
        <v>13</v>
      </c>
      <c r="I1410" s="4">
        <v>0.199</v>
      </c>
      <c r="J1410" s="4">
        <v>0.018</v>
      </c>
      <c r="K1410" s="6" t="b">
        <f t="shared" ref="K1410:M1410" si="1373">FALSE()</f>
        <v>0</v>
      </c>
      <c r="L1410" s="6" t="b">
        <f t="shared" si="1373"/>
        <v>0</v>
      </c>
      <c r="M1410" s="6" t="b">
        <f t="shared" si="1373"/>
        <v>0</v>
      </c>
      <c r="P1410" s="4">
        <v>0.181487876045377</v>
      </c>
      <c r="T1410" s="4" t="str">
        <f t="shared" si="3"/>
        <v/>
      </c>
      <c r="U1410" s="4">
        <f t="shared" si="4"/>
        <v>2595</v>
      </c>
    </row>
    <row r="1411" ht="15.75" customHeight="1">
      <c r="A1411" s="4" t="s">
        <v>524</v>
      </c>
      <c r="B1411" s="4" t="s">
        <v>13</v>
      </c>
      <c r="C1411" s="4">
        <v>0.036</v>
      </c>
      <c r="D1411" s="4">
        <v>0.006</v>
      </c>
      <c r="E1411" s="4">
        <v>0.006</v>
      </c>
      <c r="I1411" s="4">
        <v>0.206</v>
      </c>
      <c r="J1411" s="4">
        <v>0.014</v>
      </c>
      <c r="K1411" s="6" t="b">
        <f t="shared" ref="K1411:M1411" si="1374">FALSE()</f>
        <v>0</v>
      </c>
      <c r="L1411" s="6" t="b">
        <f t="shared" si="1374"/>
        <v>0</v>
      </c>
      <c r="M1411" s="6" t="b">
        <f t="shared" si="1374"/>
        <v>0</v>
      </c>
      <c r="N1411" s="4">
        <v>0.0353671438372913</v>
      </c>
      <c r="P1411" s="4">
        <v>0.187309098304994</v>
      </c>
      <c r="T1411" s="4">
        <f t="shared" si="3"/>
        <v>1479</v>
      </c>
      <c r="U1411" s="4">
        <f t="shared" si="4"/>
        <v>2478</v>
      </c>
    </row>
    <row r="1412" ht="15.75" customHeight="1">
      <c r="A1412" s="4" t="s">
        <v>2731</v>
      </c>
      <c r="B1412" s="4" t="s">
        <v>13</v>
      </c>
      <c r="I1412" s="4">
        <v>0.253</v>
      </c>
      <c r="J1412" s="4">
        <v>0.018</v>
      </c>
      <c r="K1412" s="6" t="b">
        <f t="shared" ref="K1412:M1412" si="1375">FALSE()</f>
        <v>0</v>
      </c>
      <c r="L1412" s="6" t="b">
        <f t="shared" si="1375"/>
        <v>0</v>
      </c>
      <c r="M1412" s="6" t="b">
        <f t="shared" si="1375"/>
        <v>0</v>
      </c>
      <c r="P1412" s="4">
        <v>0.225540675913931</v>
      </c>
      <c r="T1412" s="4" t="str">
        <f t="shared" si="3"/>
        <v/>
      </c>
      <c r="U1412" s="4">
        <f t="shared" si="4"/>
        <v>1766</v>
      </c>
    </row>
    <row r="1413" ht="15.75" customHeight="1">
      <c r="A1413" s="4" t="s">
        <v>525</v>
      </c>
      <c r="B1413" s="4" t="s">
        <v>13</v>
      </c>
      <c r="C1413" s="4">
        <v>0.063</v>
      </c>
      <c r="D1413" s="4">
        <v>0.016</v>
      </c>
      <c r="E1413" s="4">
        <v>0.016</v>
      </c>
      <c r="I1413" s="4">
        <v>0.24</v>
      </c>
      <c r="J1413" s="4">
        <v>0.0062</v>
      </c>
      <c r="K1413" s="6" t="b">
        <f t="shared" ref="K1413:M1413" si="1376">FALSE()</f>
        <v>0</v>
      </c>
      <c r="L1413" s="6" t="b">
        <f t="shared" si="1376"/>
        <v>0</v>
      </c>
      <c r="M1413" s="6" t="b">
        <f t="shared" si="1376"/>
        <v>0</v>
      </c>
      <c r="N1413" s="4">
        <v>0.0610950993598108</v>
      </c>
      <c r="P1413" s="4">
        <v>0.215111379616946</v>
      </c>
      <c r="T1413" s="4">
        <f t="shared" si="3"/>
        <v>1349</v>
      </c>
      <c r="U1413" s="4">
        <f t="shared" si="4"/>
        <v>1943</v>
      </c>
    </row>
    <row r="1414" ht="15.75" customHeight="1">
      <c r="A1414" s="4" t="s">
        <v>2732</v>
      </c>
      <c r="B1414" s="4" t="s">
        <v>13</v>
      </c>
      <c r="I1414" s="4">
        <v>0.232</v>
      </c>
      <c r="J1414" s="4">
        <v>0.124</v>
      </c>
      <c r="K1414" s="6" t="b">
        <f t="shared" ref="K1414:M1414" si="1377">FALSE()</f>
        <v>0</v>
      </c>
      <c r="L1414" s="6" t="b">
        <f t="shared" si="1377"/>
        <v>0</v>
      </c>
      <c r="M1414" s="6" t="b">
        <f t="shared" si="1377"/>
        <v>0</v>
      </c>
      <c r="P1414" s="4">
        <v>0.208638865111328</v>
      </c>
      <c r="T1414" s="4" t="str">
        <f t="shared" si="3"/>
        <v/>
      </c>
      <c r="U1414" s="4">
        <f t="shared" si="4"/>
        <v>2070</v>
      </c>
    </row>
    <row r="1415" ht="15.75" customHeight="1">
      <c r="A1415" s="4" t="s">
        <v>2733</v>
      </c>
      <c r="B1415" s="4" t="s">
        <v>13</v>
      </c>
      <c r="I1415" s="4">
        <v>0.256</v>
      </c>
      <c r="J1415" s="4">
        <v>0.019</v>
      </c>
      <c r="K1415" s="6" t="b">
        <f t="shared" ref="K1415:M1415" si="1378">FALSE()</f>
        <v>0</v>
      </c>
      <c r="L1415" s="6" t="b">
        <f t="shared" si="1378"/>
        <v>0</v>
      </c>
      <c r="M1415" s="6" t="b">
        <f t="shared" si="1378"/>
        <v>0</v>
      </c>
      <c r="P1415" s="4">
        <v>0.227932068046007</v>
      </c>
      <c r="T1415" s="4" t="str">
        <f t="shared" si="3"/>
        <v/>
      </c>
      <c r="U1415" s="4">
        <f t="shared" si="4"/>
        <v>1727</v>
      </c>
    </row>
    <row r="1416" ht="15.75" customHeight="1">
      <c r="A1416" s="4" t="s">
        <v>2734</v>
      </c>
      <c r="B1416" s="4" t="s">
        <v>13</v>
      </c>
      <c r="I1416" s="4">
        <v>0.255</v>
      </c>
      <c r="J1416" s="4">
        <v>0.024</v>
      </c>
      <c r="K1416" s="6" t="b">
        <f t="shared" ref="K1416:M1416" si="1379">FALSE()</f>
        <v>0</v>
      </c>
      <c r="L1416" s="6" t="b">
        <f t="shared" si="1379"/>
        <v>0</v>
      </c>
      <c r="M1416" s="6" t="b">
        <f t="shared" si="1379"/>
        <v>0</v>
      </c>
      <c r="P1416" s="4">
        <v>0.227135572583747</v>
      </c>
      <c r="T1416" s="4" t="str">
        <f t="shared" si="3"/>
        <v/>
      </c>
      <c r="U1416" s="4">
        <f t="shared" si="4"/>
        <v>1744</v>
      </c>
    </row>
    <row r="1417" ht="15.75" customHeight="1">
      <c r="A1417" s="4" t="s">
        <v>2735</v>
      </c>
      <c r="B1417" s="4" t="s">
        <v>13</v>
      </c>
      <c r="I1417" s="4">
        <v>0.1097</v>
      </c>
      <c r="J1417" s="4">
        <v>0.0098</v>
      </c>
      <c r="K1417" s="6" t="b">
        <f t="shared" ref="K1417:M1417" si="1380">FALSE()</f>
        <v>0</v>
      </c>
      <c r="L1417" s="6" t="b">
        <f t="shared" si="1380"/>
        <v>0</v>
      </c>
      <c r="M1417" s="6" t="b">
        <f t="shared" si="1380"/>
        <v>0</v>
      </c>
      <c r="P1417" s="4">
        <v>0.104089708524381</v>
      </c>
      <c r="T1417" s="4" t="str">
        <f t="shared" si="3"/>
        <v/>
      </c>
      <c r="U1417" s="4">
        <f t="shared" si="4"/>
        <v>4056</v>
      </c>
    </row>
    <row r="1418" ht="15.75" customHeight="1">
      <c r="A1418" s="4" t="s">
        <v>2736</v>
      </c>
      <c r="B1418" s="4" t="s">
        <v>13</v>
      </c>
      <c r="I1418" s="4">
        <v>0.138</v>
      </c>
      <c r="J1418" s="4">
        <v>0.008</v>
      </c>
      <c r="K1418" s="6" t="b">
        <f t="shared" ref="K1418:M1418" si="1381">FALSE()</f>
        <v>0</v>
      </c>
      <c r="L1418" s="6" t="b">
        <f t="shared" si="1381"/>
        <v>0</v>
      </c>
      <c r="M1418" s="6" t="b">
        <f t="shared" si="1381"/>
        <v>0</v>
      </c>
      <c r="P1418" s="4">
        <v>0.129272335704139</v>
      </c>
      <c r="T1418" s="4" t="str">
        <f t="shared" si="3"/>
        <v/>
      </c>
      <c r="U1418" s="4">
        <f t="shared" si="4"/>
        <v>3538</v>
      </c>
    </row>
    <row r="1419" ht="15.75" customHeight="1">
      <c r="A1419" s="4" t="s">
        <v>2737</v>
      </c>
      <c r="B1419" s="4" t="s">
        <v>13</v>
      </c>
      <c r="I1419" s="4">
        <v>0.117</v>
      </c>
      <c r="J1419" s="4">
        <v>0.01</v>
      </c>
      <c r="K1419" s="6" t="b">
        <f t="shared" ref="K1419:M1419" si="1382">FALSE()</f>
        <v>0</v>
      </c>
      <c r="L1419" s="6" t="b">
        <f t="shared" si="1382"/>
        <v>0</v>
      </c>
      <c r="M1419" s="6" t="b">
        <f t="shared" si="1382"/>
        <v>0</v>
      </c>
      <c r="P1419" s="4">
        <v>0.110646520087064</v>
      </c>
      <c r="T1419" s="4" t="str">
        <f t="shared" si="3"/>
        <v/>
      </c>
      <c r="U1419" s="4">
        <f t="shared" si="4"/>
        <v>3927</v>
      </c>
    </row>
    <row r="1420" ht="15.75" customHeight="1">
      <c r="A1420" s="4" t="s">
        <v>2738</v>
      </c>
      <c r="B1420" s="4" t="s">
        <v>13</v>
      </c>
      <c r="I1420" s="4">
        <v>0.2132</v>
      </c>
      <c r="J1420" s="4">
        <v>0.008</v>
      </c>
      <c r="K1420" s="6" t="b">
        <f t="shared" ref="K1420:M1420" si="1383">FALSE()</f>
        <v>0</v>
      </c>
      <c r="L1420" s="6" t="b">
        <f t="shared" si="1383"/>
        <v>0</v>
      </c>
      <c r="M1420" s="6" t="b">
        <f t="shared" si="1383"/>
        <v>0</v>
      </c>
      <c r="P1420" s="4">
        <v>0.193261496832289</v>
      </c>
      <c r="T1420" s="4" t="str">
        <f t="shared" si="3"/>
        <v/>
      </c>
      <c r="U1420" s="4">
        <f t="shared" si="4"/>
        <v>2354</v>
      </c>
    </row>
    <row r="1421" ht="15.75" customHeight="1">
      <c r="A1421" s="4" t="s">
        <v>2739</v>
      </c>
      <c r="B1421" s="4" t="s">
        <v>13</v>
      </c>
      <c r="I1421" s="4">
        <v>0.283</v>
      </c>
      <c r="J1421" s="4">
        <v>0.015</v>
      </c>
      <c r="K1421" s="6" t="b">
        <f t="shared" ref="K1421:M1421" si="1384">FALSE()</f>
        <v>0</v>
      </c>
      <c r="L1421" s="6" t="b">
        <f t="shared" si="1384"/>
        <v>0</v>
      </c>
      <c r="M1421" s="6" t="b">
        <f t="shared" si="1384"/>
        <v>0</v>
      </c>
      <c r="P1421" s="4">
        <v>0.249201085633499</v>
      </c>
      <c r="T1421" s="4" t="str">
        <f t="shared" si="3"/>
        <v/>
      </c>
      <c r="U1421" s="4">
        <f t="shared" si="4"/>
        <v>1486</v>
      </c>
    </row>
    <row r="1422" ht="15.75" customHeight="1">
      <c r="A1422" s="4" t="s">
        <v>2740</v>
      </c>
      <c r="B1422" s="4" t="s">
        <v>13</v>
      </c>
      <c r="I1422" s="4">
        <v>0.116</v>
      </c>
      <c r="J1422" s="4">
        <v>0.012</v>
      </c>
      <c r="K1422" s="6" t="b">
        <f t="shared" ref="K1422:M1422" si="1385">FALSE()</f>
        <v>0</v>
      </c>
      <c r="L1422" s="6" t="b">
        <f t="shared" si="1385"/>
        <v>0</v>
      </c>
      <c r="M1422" s="6" t="b">
        <f t="shared" si="1385"/>
        <v>0</v>
      </c>
      <c r="P1422" s="4">
        <v>0.109750863959119</v>
      </c>
      <c r="T1422" s="4" t="str">
        <f t="shared" si="3"/>
        <v/>
      </c>
      <c r="U1422" s="4">
        <f t="shared" si="4"/>
        <v>3948</v>
      </c>
    </row>
    <row r="1423" ht="15.75" customHeight="1">
      <c r="A1423" s="4" t="s">
        <v>2741</v>
      </c>
      <c r="B1423" s="4" t="s">
        <v>13</v>
      </c>
      <c r="I1423" s="4">
        <v>0.161</v>
      </c>
      <c r="J1423" s="4">
        <v>0.012</v>
      </c>
      <c r="K1423" s="6" t="b">
        <f t="shared" ref="K1423:M1423" si="1386">FALSE()</f>
        <v>0</v>
      </c>
      <c r="L1423" s="6" t="b">
        <f t="shared" si="1386"/>
        <v>0</v>
      </c>
      <c r="M1423" s="6" t="b">
        <f t="shared" si="1386"/>
        <v>0</v>
      </c>
      <c r="P1423" s="4">
        <v>0.149281702715754</v>
      </c>
      <c r="T1423" s="4" t="str">
        <f t="shared" si="3"/>
        <v/>
      </c>
      <c r="U1423" s="4">
        <f t="shared" si="4"/>
        <v>3161</v>
      </c>
    </row>
    <row r="1424" ht="15.75" customHeight="1">
      <c r="A1424" s="4" t="s">
        <v>2742</v>
      </c>
      <c r="B1424" s="4" t="s">
        <v>13</v>
      </c>
      <c r="I1424" s="4">
        <v>0.283</v>
      </c>
      <c r="J1424" s="4">
        <v>0.016</v>
      </c>
      <c r="K1424" s="6" t="b">
        <f t="shared" ref="K1424:M1424" si="1387">FALSE()</f>
        <v>0</v>
      </c>
      <c r="L1424" s="6" t="b">
        <f t="shared" si="1387"/>
        <v>0</v>
      </c>
      <c r="M1424" s="6" t="b">
        <f t="shared" si="1387"/>
        <v>0</v>
      </c>
      <c r="P1424" s="4">
        <v>0.249201085633499</v>
      </c>
      <c r="T1424" s="4" t="str">
        <f t="shared" si="3"/>
        <v/>
      </c>
      <c r="U1424" s="4">
        <f t="shared" si="4"/>
        <v>1487</v>
      </c>
    </row>
    <row r="1425" ht="15.75" customHeight="1">
      <c r="A1425" s="4" t="s">
        <v>2743</v>
      </c>
      <c r="B1425" s="4" t="s">
        <v>13</v>
      </c>
      <c r="I1425" s="4">
        <v>0.212</v>
      </c>
      <c r="J1425" s="4">
        <v>0.016</v>
      </c>
      <c r="K1425" s="6" t="b">
        <f t="shared" ref="K1425:M1425" si="1388">FALSE()</f>
        <v>0</v>
      </c>
      <c r="L1425" s="6" t="b">
        <f t="shared" si="1388"/>
        <v>0</v>
      </c>
      <c r="M1425" s="6" t="b">
        <f t="shared" si="1388"/>
        <v>0</v>
      </c>
      <c r="P1425" s="4">
        <v>0.192271887647123</v>
      </c>
      <c r="T1425" s="4" t="str">
        <f t="shared" si="3"/>
        <v/>
      </c>
      <c r="U1425" s="4">
        <f t="shared" si="4"/>
        <v>2374</v>
      </c>
    </row>
    <row r="1426" ht="15.75" customHeight="1">
      <c r="A1426" s="4" t="s">
        <v>2744</v>
      </c>
      <c r="B1426" s="4" t="s">
        <v>13</v>
      </c>
      <c r="I1426" s="4">
        <v>0.12</v>
      </c>
      <c r="J1426" s="4">
        <v>0.01</v>
      </c>
      <c r="K1426" s="6" t="b">
        <f t="shared" ref="K1426:M1426" si="1389">FALSE()</f>
        <v>0</v>
      </c>
      <c r="L1426" s="6" t="b">
        <f t="shared" si="1389"/>
        <v>0</v>
      </c>
      <c r="M1426" s="6" t="b">
        <f t="shared" si="1389"/>
        <v>0</v>
      </c>
      <c r="P1426" s="4">
        <v>0.113328685307003</v>
      </c>
      <c r="T1426" s="4" t="str">
        <f t="shared" si="3"/>
        <v/>
      </c>
      <c r="U1426" s="4">
        <f t="shared" si="4"/>
        <v>3856</v>
      </c>
    </row>
    <row r="1427" ht="15.75" customHeight="1">
      <c r="A1427" s="4" t="s">
        <v>2745</v>
      </c>
      <c r="B1427" s="4" t="s">
        <v>13</v>
      </c>
      <c r="I1427" s="4">
        <v>0.252</v>
      </c>
      <c r="J1427" s="4">
        <v>0.013</v>
      </c>
      <c r="K1427" s="6" t="b">
        <f t="shared" ref="K1427:M1427" si="1390">FALSE()</f>
        <v>0</v>
      </c>
      <c r="L1427" s="6" t="b">
        <f t="shared" si="1390"/>
        <v>0</v>
      </c>
      <c r="M1427" s="6" t="b">
        <f t="shared" si="1390"/>
        <v>0</v>
      </c>
      <c r="P1427" s="4">
        <v>0.224742272677907</v>
      </c>
      <c r="T1427" s="4" t="str">
        <f t="shared" si="3"/>
        <v/>
      </c>
      <c r="U1427" s="4">
        <f t="shared" si="4"/>
        <v>1777</v>
      </c>
    </row>
    <row r="1428" ht="15.75" customHeight="1">
      <c r="A1428" s="4" t="s">
        <v>2746</v>
      </c>
      <c r="B1428" s="4" t="s">
        <v>13</v>
      </c>
      <c r="I1428" s="4">
        <v>0.136</v>
      </c>
      <c r="J1428" s="4">
        <v>0.008</v>
      </c>
      <c r="K1428" s="6" t="b">
        <f t="shared" ref="K1428:M1428" si="1391">FALSE()</f>
        <v>0</v>
      </c>
      <c r="L1428" s="6" t="b">
        <f t="shared" si="1391"/>
        <v>0</v>
      </c>
      <c r="M1428" s="6" t="b">
        <f t="shared" si="1391"/>
        <v>0</v>
      </c>
      <c r="P1428" s="4">
        <v>0.12751332029896</v>
      </c>
      <c r="T1428" s="4" t="str">
        <f t="shared" si="3"/>
        <v/>
      </c>
      <c r="U1428" s="4">
        <f t="shared" si="4"/>
        <v>3570</v>
      </c>
    </row>
    <row r="1429" ht="15.75" customHeight="1">
      <c r="A1429" s="4" t="s">
        <v>2747</v>
      </c>
      <c r="B1429" s="4" t="s">
        <v>13</v>
      </c>
      <c r="I1429" s="4">
        <v>0.223</v>
      </c>
      <c r="J1429" s="4">
        <v>0.011</v>
      </c>
      <c r="K1429" s="6" t="b">
        <f t="shared" ref="K1429:M1429" si="1392">FALSE()</f>
        <v>0</v>
      </c>
      <c r="L1429" s="6" t="b">
        <f t="shared" si="1392"/>
        <v>0</v>
      </c>
      <c r="M1429" s="6" t="b">
        <f t="shared" si="1392"/>
        <v>0</v>
      </c>
      <c r="P1429" s="4">
        <v>0.201306856705035</v>
      </c>
      <c r="T1429" s="4" t="str">
        <f t="shared" si="3"/>
        <v/>
      </c>
      <c r="U1429" s="4">
        <f t="shared" si="4"/>
        <v>2206</v>
      </c>
    </row>
    <row r="1430" ht="15.75" customHeight="1">
      <c r="A1430" s="4" t="s">
        <v>527</v>
      </c>
      <c r="B1430" s="4" t="s">
        <v>13</v>
      </c>
      <c r="C1430" s="4">
        <v>0.02807</v>
      </c>
      <c r="D1430" s="4">
        <v>0.00503</v>
      </c>
      <c r="E1430" s="4">
        <v>0.00535</v>
      </c>
      <c r="I1430" s="4">
        <v>0.211</v>
      </c>
      <c r="J1430" s="4">
        <v>0.02</v>
      </c>
      <c r="K1430" s="6" t="b">
        <f t="shared" ref="K1430:M1430" si="1393">FALSE()</f>
        <v>0</v>
      </c>
      <c r="L1430" s="6" t="b">
        <f t="shared" si="1393"/>
        <v>0</v>
      </c>
      <c r="M1430" s="6" t="b">
        <f t="shared" si="1393"/>
        <v>0</v>
      </c>
      <c r="N1430" s="4">
        <v>0.027683258099938</v>
      </c>
      <c r="P1430" s="4">
        <v>0.191446464570955</v>
      </c>
      <c r="T1430" s="4">
        <f t="shared" si="3"/>
        <v>1582</v>
      </c>
      <c r="U1430" s="4">
        <f t="shared" si="4"/>
        <v>2385</v>
      </c>
    </row>
    <row r="1431" ht="15.75" customHeight="1">
      <c r="A1431" s="4" t="s">
        <v>2748</v>
      </c>
      <c r="B1431" s="4" t="s">
        <v>13</v>
      </c>
      <c r="D1431" s="4">
        <v>0.00418</v>
      </c>
      <c r="E1431" s="4">
        <v>0.00418</v>
      </c>
      <c r="F1431" s="4">
        <v>0.02363</v>
      </c>
      <c r="G1431" s="4">
        <v>0.00418</v>
      </c>
      <c r="H1431" s="4">
        <v>0.00418</v>
      </c>
      <c r="K1431" s="6" t="b">
        <f t="shared" ref="K1431:M1431" si="1394">FALSE()</f>
        <v>0</v>
      </c>
      <c r="L1431" s="6" t="b">
        <f t="shared" si="1394"/>
        <v>0</v>
      </c>
      <c r="M1431" s="6" t="b">
        <f t="shared" si="1394"/>
        <v>0</v>
      </c>
      <c r="O1431" s="4">
        <v>0.02335513319758</v>
      </c>
      <c r="T1431" s="4" t="str">
        <f t="shared" si="3"/>
        <v/>
      </c>
      <c r="U1431" s="4" t="str">
        <f t="shared" si="4"/>
        <v/>
      </c>
    </row>
    <row r="1432" ht="15.75" customHeight="1">
      <c r="A1432" s="4" t="s">
        <v>2749</v>
      </c>
      <c r="B1432" s="4" t="s">
        <v>13</v>
      </c>
      <c r="I1432" s="4">
        <v>0.121</v>
      </c>
      <c r="J1432" s="4">
        <v>0.009</v>
      </c>
      <c r="K1432" s="6" t="b">
        <f t="shared" ref="K1432:M1432" si="1395">FALSE()</f>
        <v>0</v>
      </c>
      <c r="L1432" s="6" t="b">
        <f t="shared" si="1395"/>
        <v>0</v>
      </c>
      <c r="M1432" s="6" t="b">
        <f t="shared" si="1395"/>
        <v>0</v>
      </c>
      <c r="P1432" s="4">
        <v>0.114221144090023</v>
      </c>
      <c r="T1432" s="4" t="str">
        <f t="shared" si="3"/>
        <v/>
      </c>
      <c r="U1432" s="4">
        <f t="shared" si="4"/>
        <v>3842</v>
      </c>
    </row>
    <row r="1433" ht="15.75" customHeight="1">
      <c r="A1433" s="4" t="s">
        <v>2750</v>
      </c>
      <c r="B1433" s="4" t="s">
        <v>13</v>
      </c>
      <c r="I1433" s="4">
        <v>0.098</v>
      </c>
      <c r="J1433" s="4">
        <v>0.008</v>
      </c>
      <c r="K1433" s="6" t="b">
        <f t="shared" ref="K1433:M1433" si="1396">FALSE()</f>
        <v>0</v>
      </c>
      <c r="L1433" s="6" t="b">
        <f t="shared" si="1396"/>
        <v>0</v>
      </c>
      <c r="M1433" s="6" t="b">
        <f t="shared" si="1396"/>
        <v>0</v>
      </c>
      <c r="P1433" s="4">
        <v>0.0934903430873388</v>
      </c>
      <c r="T1433" s="4" t="str">
        <f t="shared" si="3"/>
        <v/>
      </c>
      <c r="U1433" s="4">
        <f t="shared" si="4"/>
        <v>4240</v>
      </c>
    </row>
    <row r="1434" ht="15.75" customHeight="1">
      <c r="A1434" s="4" t="s">
        <v>2751</v>
      </c>
      <c r="B1434" s="4" t="s">
        <v>13</v>
      </c>
      <c r="I1434" s="4">
        <v>0.141</v>
      </c>
      <c r="J1434" s="4">
        <v>0.012</v>
      </c>
      <c r="K1434" s="6" t="b">
        <f t="shared" ref="K1434:M1434" si="1397">FALSE()</f>
        <v>0</v>
      </c>
      <c r="L1434" s="6" t="b">
        <f t="shared" si="1397"/>
        <v>0</v>
      </c>
      <c r="M1434" s="6" t="b">
        <f t="shared" si="1397"/>
        <v>0</v>
      </c>
      <c r="P1434" s="4">
        <v>0.131905070879939</v>
      </c>
      <c r="T1434" s="4" t="str">
        <f t="shared" si="3"/>
        <v/>
      </c>
      <c r="U1434" s="4">
        <f t="shared" si="4"/>
        <v>3483</v>
      </c>
    </row>
    <row r="1435" ht="15.75" customHeight="1">
      <c r="A1435" s="4" t="s">
        <v>2752</v>
      </c>
      <c r="B1435" s="4" t="s">
        <v>13</v>
      </c>
      <c r="I1435" s="4">
        <v>0.136</v>
      </c>
      <c r="J1435" s="4">
        <v>0.012</v>
      </c>
      <c r="K1435" s="6" t="b">
        <f t="shared" ref="K1435:M1435" si="1398">FALSE()</f>
        <v>0</v>
      </c>
      <c r="L1435" s="6" t="b">
        <f t="shared" si="1398"/>
        <v>0</v>
      </c>
      <c r="M1435" s="6" t="b">
        <f t="shared" si="1398"/>
        <v>0</v>
      </c>
      <c r="P1435" s="4">
        <v>0.12751332029896</v>
      </c>
      <c r="T1435" s="4" t="str">
        <f t="shared" si="3"/>
        <v/>
      </c>
      <c r="U1435" s="4">
        <f t="shared" si="4"/>
        <v>3571</v>
      </c>
    </row>
    <row r="1436" ht="15.75" customHeight="1">
      <c r="A1436" s="4" t="s">
        <v>2753</v>
      </c>
      <c r="B1436" s="4" t="s">
        <v>13</v>
      </c>
      <c r="I1436" s="4">
        <v>0.352</v>
      </c>
      <c r="J1436" s="4">
        <v>0.011</v>
      </c>
      <c r="K1436" s="6" t="b">
        <f t="shared" ref="K1436:M1436" si="1399">FALSE()</f>
        <v>0</v>
      </c>
      <c r="L1436" s="6" t="b">
        <f t="shared" si="1399"/>
        <v>0</v>
      </c>
      <c r="M1436" s="6" t="b">
        <f t="shared" si="1399"/>
        <v>0</v>
      </c>
      <c r="P1436" s="4">
        <v>0.301584977620772</v>
      </c>
      <c r="T1436" s="4" t="str">
        <f t="shared" si="3"/>
        <v/>
      </c>
      <c r="U1436" s="4">
        <f t="shared" si="4"/>
        <v>1200</v>
      </c>
    </row>
    <row r="1437" ht="15.75" customHeight="1">
      <c r="A1437" s="4" t="s">
        <v>2754</v>
      </c>
      <c r="B1437" s="4" t="s">
        <v>13</v>
      </c>
      <c r="I1437" s="4">
        <v>0.325</v>
      </c>
      <c r="J1437" s="4">
        <v>0.045</v>
      </c>
      <c r="K1437" s="6" t="b">
        <f t="shared" ref="K1437:M1437" si="1400">FALSE()</f>
        <v>0</v>
      </c>
      <c r="L1437" s="6" t="b">
        <f t="shared" si="1400"/>
        <v>0</v>
      </c>
      <c r="M1437" s="6" t="b">
        <f t="shared" si="1400"/>
        <v>0</v>
      </c>
      <c r="P1437" s="4">
        <v>0.281412459438186</v>
      </c>
      <c r="T1437" s="4" t="str">
        <f t="shared" si="3"/>
        <v/>
      </c>
      <c r="U1437" s="4">
        <f t="shared" si="4"/>
        <v>1279</v>
      </c>
    </row>
    <row r="1438" ht="15.75" customHeight="1">
      <c r="A1438" s="4" t="s">
        <v>2755</v>
      </c>
      <c r="B1438" s="4" t="s">
        <v>13</v>
      </c>
      <c r="I1438" s="4">
        <v>0.279</v>
      </c>
      <c r="J1438" s="4">
        <v>0.011</v>
      </c>
      <c r="K1438" s="6" t="b">
        <f t="shared" ref="K1438:M1438" si="1401">FALSE()</f>
        <v>0</v>
      </c>
      <c r="L1438" s="6" t="b">
        <f t="shared" si="1401"/>
        <v>0</v>
      </c>
      <c r="M1438" s="6" t="b">
        <f t="shared" si="1401"/>
        <v>0</v>
      </c>
      <c r="P1438" s="4">
        <v>0.246078522596706</v>
      </c>
      <c r="T1438" s="4" t="str">
        <f t="shared" si="3"/>
        <v/>
      </c>
      <c r="U1438" s="4">
        <f t="shared" si="4"/>
        <v>1508</v>
      </c>
    </row>
    <row r="1439" ht="15.75" customHeight="1">
      <c r="A1439" s="4" t="s">
        <v>2756</v>
      </c>
      <c r="B1439" s="4" t="s">
        <v>13</v>
      </c>
      <c r="I1439" s="4">
        <v>0.23</v>
      </c>
      <c r="J1439" s="4">
        <v>0.013</v>
      </c>
      <c r="K1439" s="6" t="b">
        <f t="shared" ref="K1439:M1439" si="1402">FALSE()</f>
        <v>0</v>
      </c>
      <c r="L1439" s="6" t="b">
        <f t="shared" si="1402"/>
        <v>0</v>
      </c>
      <c r="M1439" s="6" t="b">
        <f t="shared" si="1402"/>
        <v>0</v>
      </c>
      <c r="P1439" s="4">
        <v>0.207014169384326</v>
      </c>
      <c r="T1439" s="4" t="str">
        <f t="shared" si="3"/>
        <v/>
      </c>
      <c r="U1439" s="4">
        <f t="shared" si="4"/>
        <v>2107</v>
      </c>
    </row>
    <row r="1440" ht="15.75" customHeight="1">
      <c r="A1440" s="4" t="s">
        <v>2757</v>
      </c>
      <c r="B1440" s="4" t="s">
        <v>13</v>
      </c>
      <c r="I1440" s="4">
        <v>0.321</v>
      </c>
      <c r="J1440" s="4">
        <v>0.045</v>
      </c>
      <c r="K1440" s="6" t="b">
        <f t="shared" ref="K1440:M1440" si="1403">FALSE()</f>
        <v>0</v>
      </c>
      <c r="L1440" s="6" t="b">
        <f t="shared" si="1403"/>
        <v>0</v>
      </c>
      <c r="M1440" s="6" t="b">
        <f t="shared" si="1403"/>
        <v>0</v>
      </c>
      <c r="P1440" s="4">
        <v>0.278389025540188</v>
      </c>
      <c r="T1440" s="4" t="str">
        <f t="shared" si="3"/>
        <v/>
      </c>
      <c r="U1440" s="4">
        <f t="shared" si="4"/>
        <v>1294</v>
      </c>
    </row>
    <row r="1441" ht="15.75" customHeight="1">
      <c r="A1441" s="4" t="s">
        <v>2758</v>
      </c>
      <c r="B1441" s="4" t="s">
        <v>13</v>
      </c>
      <c r="I1441" s="4">
        <v>0.228</v>
      </c>
      <c r="J1441" s="4">
        <v>0.014</v>
      </c>
      <c r="K1441" s="6" t="b">
        <f t="shared" ref="K1441:M1441" si="1404">FALSE()</f>
        <v>0</v>
      </c>
      <c r="L1441" s="6" t="b">
        <f t="shared" si="1404"/>
        <v>0</v>
      </c>
      <c r="M1441" s="6" t="b">
        <f t="shared" si="1404"/>
        <v>0</v>
      </c>
      <c r="P1441" s="4">
        <v>0.205386829724951</v>
      </c>
      <c r="T1441" s="4" t="str">
        <f t="shared" si="3"/>
        <v/>
      </c>
      <c r="U1441" s="4">
        <f t="shared" si="4"/>
        <v>2137</v>
      </c>
    </row>
    <row r="1442" ht="15.75" customHeight="1">
      <c r="A1442" s="4" t="s">
        <v>2759</v>
      </c>
      <c r="B1442" s="4" t="s">
        <v>13</v>
      </c>
      <c r="I1442" s="4">
        <v>0.374</v>
      </c>
      <c r="J1442" s="4">
        <v>0.009</v>
      </c>
      <c r="K1442" s="6" t="b">
        <f t="shared" ref="K1442:M1442" si="1405">FALSE()</f>
        <v>0</v>
      </c>
      <c r="L1442" s="6" t="b">
        <f t="shared" si="1405"/>
        <v>0</v>
      </c>
      <c r="M1442" s="6" t="b">
        <f t="shared" si="1405"/>
        <v>0</v>
      </c>
      <c r="P1442" s="4">
        <v>0.317726193800158</v>
      </c>
      <c r="T1442" s="4" t="str">
        <f t="shared" si="3"/>
        <v/>
      </c>
      <c r="U1442" s="4">
        <f t="shared" si="4"/>
        <v>1155</v>
      </c>
    </row>
    <row r="1443" ht="15.75" customHeight="1">
      <c r="A1443" s="4" t="s">
        <v>2760</v>
      </c>
      <c r="B1443" s="4" t="s">
        <v>13</v>
      </c>
      <c r="I1443" s="4">
        <v>0.127</v>
      </c>
      <c r="J1443" s="4">
        <v>0.003</v>
      </c>
      <c r="K1443" s="6" t="b">
        <f t="shared" ref="K1443:M1443" si="1406">FALSE()</f>
        <v>0</v>
      </c>
      <c r="L1443" s="6" t="b">
        <f t="shared" si="1406"/>
        <v>0</v>
      </c>
      <c r="M1443" s="6" t="b">
        <f t="shared" si="1406"/>
        <v>0</v>
      </c>
      <c r="P1443" s="4">
        <v>0.119559235057639</v>
      </c>
      <c r="T1443" s="4" t="str">
        <f t="shared" si="3"/>
        <v/>
      </c>
      <c r="U1443" s="4">
        <f t="shared" si="4"/>
        <v>3741</v>
      </c>
    </row>
    <row r="1444" ht="15.75" customHeight="1">
      <c r="A1444" s="4" t="s">
        <v>2761</v>
      </c>
      <c r="B1444" s="4" t="s">
        <v>13</v>
      </c>
      <c r="I1444" s="4">
        <v>0.218</v>
      </c>
      <c r="J1444" s="4">
        <v>0.005</v>
      </c>
      <c r="K1444" s="6" t="b">
        <f t="shared" ref="K1444:M1444" si="1407">FALSE()</f>
        <v>0</v>
      </c>
      <c r="L1444" s="6" t="b">
        <f t="shared" si="1407"/>
        <v>0</v>
      </c>
      <c r="M1444" s="6" t="b">
        <f t="shared" si="1407"/>
        <v>0</v>
      </c>
      <c r="P1444" s="4">
        <v>0.197210169287705</v>
      </c>
      <c r="T1444" s="4" t="str">
        <f t="shared" si="3"/>
        <v/>
      </c>
      <c r="U1444" s="4">
        <f t="shared" si="4"/>
        <v>2291</v>
      </c>
    </row>
    <row r="1445" ht="15.75" customHeight="1">
      <c r="A1445" s="4" t="s">
        <v>528</v>
      </c>
      <c r="B1445" s="4" t="s">
        <v>13</v>
      </c>
      <c r="C1445" s="4">
        <v>0.0217</v>
      </c>
      <c r="D1445" s="4">
        <v>0.0057</v>
      </c>
      <c r="E1445" s="4">
        <v>0.0057</v>
      </c>
      <c r="I1445" s="4">
        <v>0.1543</v>
      </c>
      <c r="J1445" s="4">
        <v>0.0045</v>
      </c>
      <c r="K1445" s="6" t="b">
        <f t="shared" ref="K1445:M1445" si="1408">FALSE()</f>
        <v>0</v>
      </c>
      <c r="L1445" s="6" t="b">
        <f t="shared" si="1408"/>
        <v>0</v>
      </c>
      <c r="M1445" s="6" t="b">
        <f t="shared" si="1408"/>
        <v>0</v>
      </c>
      <c r="N1445" s="4">
        <v>0.0214679066152409</v>
      </c>
      <c r="P1445" s="4">
        <v>0.143494099638729</v>
      </c>
      <c r="T1445" s="4">
        <f t="shared" si="3"/>
        <v>1689</v>
      </c>
      <c r="U1445" s="4">
        <f t="shared" si="4"/>
        <v>3248</v>
      </c>
    </row>
    <row r="1446" ht="15.75" customHeight="1">
      <c r="A1446" s="4" t="s">
        <v>529</v>
      </c>
      <c r="B1446" s="4" t="s">
        <v>13</v>
      </c>
      <c r="C1446" s="4">
        <v>0.039</v>
      </c>
      <c r="D1446" s="4">
        <v>0.0072</v>
      </c>
      <c r="E1446" s="4">
        <v>0.0072</v>
      </c>
      <c r="I1446" s="4">
        <v>0.2543</v>
      </c>
      <c r="J1446" s="4">
        <v>0.009</v>
      </c>
      <c r="K1446" s="6" t="b">
        <f t="shared" ref="K1446:M1446" si="1409">FALSE()</f>
        <v>0</v>
      </c>
      <c r="L1446" s="6" t="b">
        <f t="shared" si="1409"/>
        <v>0</v>
      </c>
      <c r="M1446" s="6" t="b">
        <f t="shared" si="1409"/>
        <v>0</v>
      </c>
      <c r="N1446" s="4">
        <v>0.0382587121170903</v>
      </c>
      <c r="P1446" s="4">
        <v>0.226577648048492</v>
      </c>
      <c r="T1446" s="4">
        <f t="shared" si="3"/>
        <v>1458</v>
      </c>
      <c r="U1446" s="4">
        <f t="shared" si="4"/>
        <v>1757</v>
      </c>
    </row>
    <row r="1447" ht="15.75" customHeight="1">
      <c r="A1447" s="4" t="s">
        <v>530</v>
      </c>
      <c r="B1447" s="4" t="s">
        <v>13</v>
      </c>
      <c r="C1447" s="4">
        <v>0.1019</v>
      </c>
      <c r="D1447" s="4">
        <v>0.0053</v>
      </c>
      <c r="E1447" s="4">
        <v>0.0053</v>
      </c>
      <c r="I1447" s="4">
        <v>0.691</v>
      </c>
      <c r="J1447" s="4">
        <v>0.035</v>
      </c>
      <c r="K1447" s="6" t="b">
        <f t="shared" ref="K1447:M1447" si="1410">FALSE()</f>
        <v>0</v>
      </c>
      <c r="L1447" s="6" t="b">
        <f t="shared" si="1410"/>
        <v>0</v>
      </c>
      <c r="M1447" s="6" t="b">
        <f t="shared" si="1410"/>
        <v>0</v>
      </c>
      <c r="N1447" s="4">
        <v>0.0970359625115942</v>
      </c>
      <c r="P1447" s="4">
        <v>0.525320069916443</v>
      </c>
      <c r="T1447" s="4">
        <f t="shared" si="3"/>
        <v>1257</v>
      </c>
      <c r="U1447" s="4">
        <f t="shared" si="4"/>
        <v>900</v>
      </c>
    </row>
    <row r="1448" ht="15.75" customHeight="1">
      <c r="A1448" s="4" t="s">
        <v>531</v>
      </c>
      <c r="B1448" s="4" t="s">
        <v>13</v>
      </c>
      <c r="C1448" s="4">
        <v>0.034</v>
      </c>
      <c r="D1448" s="4">
        <v>0.0019</v>
      </c>
      <c r="E1448" s="4">
        <v>0.0019</v>
      </c>
      <c r="I1448" s="4">
        <v>0.434</v>
      </c>
      <c r="J1448" s="4">
        <v>0.039</v>
      </c>
      <c r="K1448" s="6" t="b">
        <f t="shared" ref="K1448:M1448" si="1411">FALSE()</f>
        <v>0</v>
      </c>
      <c r="L1448" s="6" t="b">
        <f t="shared" si="1411"/>
        <v>0</v>
      </c>
      <c r="M1448" s="6" t="b">
        <f t="shared" si="1411"/>
        <v>0</v>
      </c>
      <c r="N1448" s="4">
        <v>0.0334347760862373</v>
      </c>
      <c r="P1448" s="4">
        <v>0.360467742177429</v>
      </c>
      <c r="T1448" s="4">
        <f t="shared" si="3"/>
        <v>1497</v>
      </c>
      <c r="U1448" s="4">
        <f t="shared" si="4"/>
        <v>1073</v>
      </c>
    </row>
    <row r="1449" ht="15.75" customHeight="1">
      <c r="A1449" s="4" t="s">
        <v>532</v>
      </c>
      <c r="B1449" s="4" t="s">
        <v>13</v>
      </c>
      <c r="C1449" s="4">
        <v>0.031</v>
      </c>
      <c r="D1449" s="4">
        <v>0.031</v>
      </c>
      <c r="E1449" s="4">
        <v>0.0</v>
      </c>
      <c r="I1449" s="4">
        <v>0.102</v>
      </c>
      <c r="J1449" s="4">
        <v>0.012</v>
      </c>
      <c r="K1449" s="6" t="b">
        <f t="shared" ref="K1449:M1449" si="1412">FALSE()</f>
        <v>0</v>
      </c>
      <c r="L1449" s="6" t="b">
        <f t="shared" si="1412"/>
        <v>0</v>
      </c>
      <c r="M1449" s="6" t="b">
        <f t="shared" si="1412"/>
        <v>0</v>
      </c>
      <c r="N1449" s="4">
        <v>0.0305292050348228</v>
      </c>
      <c r="P1449" s="4">
        <v>0.0971267107307227</v>
      </c>
      <c r="T1449" s="4">
        <f t="shared" si="3"/>
        <v>1535</v>
      </c>
      <c r="U1449" s="4">
        <f t="shared" si="4"/>
        <v>4186</v>
      </c>
    </row>
    <row r="1450" ht="15.75" customHeight="1">
      <c r="A1450" s="4" t="s">
        <v>2762</v>
      </c>
      <c r="B1450" s="4" t="s">
        <v>13</v>
      </c>
      <c r="I1450" s="4">
        <v>0.122</v>
      </c>
      <c r="J1450" s="4">
        <v>0.009</v>
      </c>
      <c r="K1450" s="6" t="b">
        <f t="shared" ref="K1450:M1450" si="1413">FALSE()</f>
        <v>0</v>
      </c>
      <c r="L1450" s="6" t="b">
        <f t="shared" si="1413"/>
        <v>0</v>
      </c>
      <c r="M1450" s="6" t="b">
        <f t="shared" si="1413"/>
        <v>0</v>
      </c>
      <c r="P1450" s="4">
        <v>0.115112807100505</v>
      </c>
      <c r="T1450" s="4" t="str">
        <f t="shared" si="3"/>
        <v/>
      </c>
      <c r="U1450" s="4">
        <f t="shared" si="4"/>
        <v>3824</v>
      </c>
    </row>
    <row r="1451" ht="15.75" customHeight="1">
      <c r="A1451" s="4" t="s">
        <v>2763</v>
      </c>
      <c r="B1451" s="4" t="s">
        <v>13</v>
      </c>
      <c r="C1451" s="4">
        <v>1.1</v>
      </c>
      <c r="D1451" s="4">
        <v>0.08</v>
      </c>
      <c r="E1451" s="4">
        <v>0.08</v>
      </c>
      <c r="K1451" s="6" t="b">
        <f t="shared" ref="K1451:M1451" si="1414">FALSE()</f>
        <v>0</v>
      </c>
      <c r="L1451" s="6" t="b">
        <f t="shared" si="1414"/>
        <v>0</v>
      </c>
      <c r="M1451" s="6" t="b">
        <f t="shared" si="1414"/>
        <v>0</v>
      </c>
      <c r="N1451" s="4">
        <v>0.741937344729377</v>
      </c>
      <c r="T1451" s="4">
        <f t="shared" si="3"/>
        <v>626</v>
      </c>
      <c r="U1451" s="4" t="str">
        <f t="shared" si="4"/>
        <v/>
      </c>
    </row>
    <row r="1452" ht="15.75" customHeight="1">
      <c r="A1452" s="4" t="s">
        <v>2764</v>
      </c>
      <c r="B1452" s="4" t="s">
        <v>13</v>
      </c>
      <c r="I1452" s="4">
        <v>0.125</v>
      </c>
      <c r="J1452" s="4">
        <v>0.007</v>
      </c>
      <c r="K1452" s="6" t="b">
        <f t="shared" ref="K1452:M1452" si="1415">FALSE()</f>
        <v>0</v>
      </c>
      <c r="L1452" s="6" t="b">
        <f t="shared" si="1415"/>
        <v>0</v>
      </c>
      <c r="M1452" s="6" t="b">
        <f t="shared" si="1415"/>
        <v>0</v>
      </c>
      <c r="P1452" s="4">
        <v>0.117783035656383</v>
      </c>
      <c r="T1452" s="4" t="str">
        <f t="shared" si="3"/>
        <v/>
      </c>
      <c r="U1452" s="4">
        <f t="shared" si="4"/>
        <v>3780</v>
      </c>
    </row>
    <row r="1453" ht="15.75" customHeight="1">
      <c r="A1453" s="4" t="s">
        <v>2765</v>
      </c>
      <c r="B1453" s="4" t="s">
        <v>13</v>
      </c>
      <c r="I1453" s="4">
        <v>0.293</v>
      </c>
      <c r="J1453" s="4">
        <v>0.016</v>
      </c>
      <c r="K1453" s="6" t="b">
        <f t="shared" ref="K1453:M1453" si="1416">FALSE()</f>
        <v>0</v>
      </c>
      <c r="L1453" s="6" t="b">
        <f t="shared" si="1416"/>
        <v>0</v>
      </c>
      <c r="M1453" s="6" t="b">
        <f t="shared" si="1416"/>
        <v>0</v>
      </c>
      <c r="P1453" s="4">
        <v>0.25696509978972</v>
      </c>
      <c r="T1453" s="4" t="str">
        <f t="shared" si="3"/>
        <v/>
      </c>
      <c r="U1453" s="4">
        <f t="shared" si="4"/>
        <v>1420</v>
      </c>
    </row>
    <row r="1454" ht="15.75" customHeight="1">
      <c r="A1454" s="4" t="s">
        <v>2766</v>
      </c>
      <c r="B1454" s="4" t="s">
        <v>13</v>
      </c>
      <c r="I1454" s="4">
        <v>0.205</v>
      </c>
      <c r="J1454" s="4">
        <v>0.012</v>
      </c>
      <c r="K1454" s="6" t="b">
        <f t="shared" ref="K1454:M1454" si="1417">FALSE()</f>
        <v>0</v>
      </c>
      <c r="L1454" s="6" t="b">
        <f t="shared" si="1417"/>
        <v>0</v>
      </c>
      <c r="M1454" s="6" t="b">
        <f t="shared" si="1417"/>
        <v>0</v>
      </c>
      <c r="P1454" s="4">
        <v>0.186479566942618</v>
      </c>
      <c r="T1454" s="4" t="str">
        <f t="shared" si="3"/>
        <v/>
      </c>
      <c r="U1454" s="4">
        <f t="shared" si="4"/>
        <v>2486</v>
      </c>
    </row>
    <row r="1455" ht="15.75" customHeight="1">
      <c r="A1455" s="4" t="s">
        <v>2767</v>
      </c>
      <c r="B1455" s="4" t="s">
        <v>13</v>
      </c>
      <c r="I1455" s="4">
        <v>0.122</v>
      </c>
      <c r="J1455" s="4">
        <v>0.011</v>
      </c>
      <c r="K1455" s="6" t="b">
        <f t="shared" ref="K1455:M1455" si="1418">FALSE()</f>
        <v>0</v>
      </c>
      <c r="L1455" s="6" t="b">
        <f t="shared" si="1418"/>
        <v>0</v>
      </c>
      <c r="M1455" s="6" t="b">
        <f t="shared" si="1418"/>
        <v>0</v>
      </c>
      <c r="P1455" s="4">
        <v>0.115112807100505</v>
      </c>
      <c r="T1455" s="4" t="str">
        <f t="shared" si="3"/>
        <v/>
      </c>
      <c r="U1455" s="4">
        <f t="shared" si="4"/>
        <v>3825</v>
      </c>
    </row>
    <row r="1456" ht="15.75" customHeight="1">
      <c r="A1456" s="4" t="s">
        <v>2768</v>
      </c>
      <c r="B1456" s="4" t="s">
        <v>13</v>
      </c>
      <c r="I1456" s="4">
        <v>0.272</v>
      </c>
      <c r="J1456" s="4">
        <v>0.033</v>
      </c>
      <c r="K1456" s="6" t="b">
        <f t="shared" ref="K1456:M1456" si="1419">FALSE()</f>
        <v>0</v>
      </c>
      <c r="L1456" s="6" t="b">
        <f t="shared" si="1419"/>
        <v>0</v>
      </c>
      <c r="M1456" s="6" t="b">
        <f t="shared" si="1419"/>
        <v>0</v>
      </c>
      <c r="P1456" s="4">
        <v>0.24059046491793</v>
      </c>
      <c r="T1456" s="4" t="str">
        <f t="shared" si="3"/>
        <v/>
      </c>
      <c r="U1456" s="4">
        <f t="shared" si="4"/>
        <v>1570</v>
      </c>
    </row>
    <row r="1457" ht="15.75" customHeight="1">
      <c r="A1457" s="4" t="s">
        <v>2769</v>
      </c>
      <c r="B1457" s="4" t="s">
        <v>13</v>
      </c>
      <c r="I1457" s="4">
        <v>0.178</v>
      </c>
      <c r="J1457" s="4">
        <v>0.021</v>
      </c>
      <c r="K1457" s="6" t="b">
        <f t="shared" ref="K1457:M1457" si="1420">FALSE()</f>
        <v>0</v>
      </c>
      <c r="L1457" s="6" t="b">
        <f t="shared" si="1420"/>
        <v>0</v>
      </c>
      <c r="M1457" s="6" t="b">
        <f t="shared" si="1420"/>
        <v>0</v>
      </c>
      <c r="P1457" s="4">
        <v>0.163818085229395</v>
      </c>
      <c r="T1457" s="4" t="str">
        <f t="shared" si="3"/>
        <v/>
      </c>
      <c r="U1457" s="4">
        <f t="shared" si="4"/>
        <v>2910</v>
      </c>
    </row>
    <row r="1458" ht="15.75" customHeight="1">
      <c r="A1458" s="4" t="s">
        <v>2770</v>
      </c>
      <c r="B1458" s="4" t="s">
        <v>13</v>
      </c>
      <c r="I1458" s="4">
        <v>0.249</v>
      </c>
      <c r="J1458" s="4">
        <v>0.014</v>
      </c>
      <c r="K1458" s="6" t="b">
        <f t="shared" ref="K1458:M1458" si="1421">FALSE()</f>
        <v>0</v>
      </c>
      <c r="L1458" s="6" t="b">
        <f t="shared" si="1421"/>
        <v>0</v>
      </c>
      <c r="M1458" s="6" t="b">
        <f t="shared" si="1421"/>
        <v>0</v>
      </c>
      <c r="P1458" s="4">
        <v>0.222343231143441</v>
      </c>
      <c r="T1458" s="4" t="str">
        <f t="shared" si="3"/>
        <v/>
      </c>
      <c r="U1458" s="4">
        <f t="shared" si="4"/>
        <v>1817</v>
      </c>
    </row>
    <row r="1459" ht="15.75" customHeight="1">
      <c r="A1459" s="4" t="s">
        <v>2771</v>
      </c>
      <c r="B1459" s="4" t="s">
        <v>13</v>
      </c>
      <c r="I1459" s="4">
        <v>0.232</v>
      </c>
      <c r="J1459" s="4">
        <v>0.019</v>
      </c>
      <c r="K1459" s="6" t="b">
        <f t="shared" ref="K1459:M1459" si="1422">FALSE()</f>
        <v>0</v>
      </c>
      <c r="L1459" s="6" t="b">
        <f t="shared" si="1422"/>
        <v>0</v>
      </c>
      <c r="M1459" s="6" t="b">
        <f t="shared" si="1422"/>
        <v>0</v>
      </c>
      <c r="P1459" s="4">
        <v>0.208638865111328</v>
      </c>
      <c r="T1459" s="4" t="str">
        <f t="shared" si="3"/>
        <v/>
      </c>
      <c r="U1459" s="4">
        <f t="shared" si="4"/>
        <v>2071</v>
      </c>
    </row>
    <row r="1460" ht="15.75" customHeight="1">
      <c r="A1460" s="4" t="s">
        <v>2772</v>
      </c>
      <c r="B1460" s="4" t="s">
        <v>13</v>
      </c>
      <c r="I1460" s="4">
        <v>0.15</v>
      </c>
      <c r="J1460" s="4">
        <v>0.011</v>
      </c>
      <c r="K1460" s="6" t="b">
        <f t="shared" ref="K1460:M1460" si="1423">FALSE()</f>
        <v>0</v>
      </c>
      <c r="L1460" s="6" t="b">
        <f t="shared" si="1423"/>
        <v>0</v>
      </c>
      <c r="M1460" s="6" t="b">
        <f t="shared" si="1423"/>
        <v>0</v>
      </c>
      <c r="P1460" s="4">
        <v>0.139761942375159</v>
      </c>
      <c r="T1460" s="4" t="str">
        <f t="shared" si="3"/>
        <v/>
      </c>
      <c r="U1460" s="4">
        <f t="shared" si="4"/>
        <v>3320</v>
      </c>
    </row>
    <row r="1461" ht="15.75" customHeight="1">
      <c r="A1461" s="4" t="s">
        <v>2773</v>
      </c>
      <c r="B1461" s="4" t="s">
        <v>13</v>
      </c>
      <c r="I1461" s="4">
        <v>0.077</v>
      </c>
      <c r="J1461" s="4">
        <v>0.006</v>
      </c>
      <c r="K1461" s="6" t="b">
        <f t="shared" ref="K1461:M1461" si="1424">FALSE()</f>
        <v>0</v>
      </c>
      <c r="L1461" s="6" t="b">
        <f t="shared" si="1424"/>
        <v>0</v>
      </c>
      <c r="M1461" s="6" t="b">
        <f t="shared" si="1424"/>
        <v>0</v>
      </c>
      <c r="P1461" s="4">
        <v>0.0741793981742515</v>
      </c>
      <c r="T1461" s="4" t="str">
        <f t="shared" si="3"/>
        <v/>
      </c>
      <c r="U1461" s="4">
        <f t="shared" si="4"/>
        <v>4439</v>
      </c>
    </row>
    <row r="1462" ht="15.75" customHeight="1">
      <c r="A1462" s="4" t="s">
        <v>2774</v>
      </c>
      <c r="B1462" s="4" t="s">
        <v>13</v>
      </c>
      <c r="I1462" s="4">
        <v>0.073</v>
      </c>
      <c r="J1462" s="4">
        <v>0.006</v>
      </c>
      <c r="K1462" s="6" t="b">
        <f t="shared" ref="K1462:M1462" si="1425">FALSE()</f>
        <v>0</v>
      </c>
      <c r="L1462" s="6" t="b">
        <f t="shared" si="1425"/>
        <v>0</v>
      </c>
      <c r="M1462" s="6" t="b">
        <f t="shared" si="1425"/>
        <v>0</v>
      </c>
      <c r="P1462" s="4">
        <v>0.0704584636485614</v>
      </c>
      <c r="T1462" s="4" t="str">
        <f t="shared" si="3"/>
        <v/>
      </c>
      <c r="U1462" s="4">
        <f t="shared" si="4"/>
        <v>4463</v>
      </c>
    </row>
    <row r="1463" ht="15.75" customHeight="1">
      <c r="A1463" s="4" t="s">
        <v>2775</v>
      </c>
      <c r="B1463" s="4" t="s">
        <v>13</v>
      </c>
      <c r="I1463" s="4">
        <v>0.123</v>
      </c>
      <c r="J1463" s="4">
        <v>0.009</v>
      </c>
      <c r="K1463" s="6" t="b">
        <f t="shared" ref="K1463:M1463" si="1426">FALSE()</f>
        <v>0</v>
      </c>
      <c r="L1463" s="6" t="b">
        <f t="shared" si="1426"/>
        <v>0</v>
      </c>
      <c r="M1463" s="6" t="b">
        <f t="shared" si="1426"/>
        <v>0</v>
      </c>
      <c r="P1463" s="4">
        <v>0.116003675756306</v>
      </c>
      <c r="T1463" s="4" t="str">
        <f t="shared" si="3"/>
        <v/>
      </c>
      <c r="U1463" s="4">
        <f t="shared" si="4"/>
        <v>3812</v>
      </c>
    </row>
    <row r="1464" ht="15.75" customHeight="1">
      <c r="A1464" s="4" t="s">
        <v>2776</v>
      </c>
      <c r="B1464" s="4" t="s">
        <v>13</v>
      </c>
      <c r="I1464" s="4">
        <v>0.2364</v>
      </c>
      <c r="J1464" s="4">
        <v>0.018</v>
      </c>
      <c r="K1464" s="6" t="b">
        <f t="shared" ref="K1464:M1464" si="1427">FALSE()</f>
        <v>0</v>
      </c>
      <c r="L1464" s="6" t="b">
        <f t="shared" si="1427"/>
        <v>0</v>
      </c>
      <c r="M1464" s="6" t="b">
        <f t="shared" si="1427"/>
        <v>0</v>
      </c>
      <c r="P1464" s="4">
        <v>0.212203931275824</v>
      </c>
      <c r="T1464" s="4" t="str">
        <f t="shared" si="3"/>
        <v/>
      </c>
      <c r="U1464" s="4">
        <f t="shared" si="4"/>
        <v>2004</v>
      </c>
    </row>
    <row r="1465" ht="15.75" customHeight="1">
      <c r="A1465" s="4" t="s">
        <v>2777</v>
      </c>
      <c r="B1465" s="4" t="s">
        <v>13</v>
      </c>
      <c r="I1465" s="4">
        <v>0.135</v>
      </c>
      <c r="J1465" s="4">
        <v>0.019</v>
      </c>
      <c r="K1465" s="6" t="b">
        <f t="shared" ref="K1465:M1465" si="1428">FALSE()</f>
        <v>0</v>
      </c>
      <c r="L1465" s="6" t="b">
        <f t="shared" si="1428"/>
        <v>0</v>
      </c>
      <c r="M1465" s="6" t="b">
        <f t="shared" si="1428"/>
        <v>0</v>
      </c>
      <c r="P1465" s="4">
        <v>0.126632650933366</v>
      </c>
      <c r="T1465" s="4" t="str">
        <f t="shared" si="3"/>
        <v/>
      </c>
      <c r="U1465" s="4">
        <f t="shared" si="4"/>
        <v>3607</v>
      </c>
    </row>
    <row r="1466" ht="15.75" customHeight="1">
      <c r="A1466" s="4" t="s">
        <v>2778</v>
      </c>
      <c r="B1466" s="4" t="s">
        <v>13</v>
      </c>
      <c r="I1466" s="4">
        <v>0.217</v>
      </c>
      <c r="J1466" s="4">
        <v>0.012</v>
      </c>
      <c r="K1466" s="6" t="b">
        <f t="shared" ref="K1466:M1466" si="1429">FALSE()</f>
        <v>0</v>
      </c>
      <c r="L1466" s="6" t="b">
        <f t="shared" si="1429"/>
        <v>0</v>
      </c>
      <c r="M1466" s="6" t="b">
        <f t="shared" si="1429"/>
        <v>0</v>
      </c>
      <c r="P1466" s="4">
        <v>0.19638881400539</v>
      </c>
      <c r="T1466" s="4" t="str">
        <f t="shared" si="3"/>
        <v/>
      </c>
      <c r="U1466" s="4">
        <f t="shared" si="4"/>
        <v>2299</v>
      </c>
    </row>
    <row r="1467" ht="15.75" customHeight="1">
      <c r="A1467" s="4" t="s">
        <v>2779</v>
      </c>
      <c r="B1467" s="4" t="s">
        <v>13</v>
      </c>
      <c r="I1467" s="4">
        <v>0.189</v>
      </c>
      <c r="J1467" s="4">
        <v>0.014</v>
      </c>
      <c r="K1467" s="6" t="b">
        <f t="shared" ref="K1467:M1467" si="1430">FALSE()</f>
        <v>0</v>
      </c>
      <c r="L1467" s="6" t="b">
        <f t="shared" si="1430"/>
        <v>0</v>
      </c>
      <c r="M1467" s="6" t="b">
        <f t="shared" si="1430"/>
        <v>0</v>
      </c>
      <c r="P1467" s="4">
        <v>0.173112617708645</v>
      </c>
      <c r="T1467" s="4" t="str">
        <f t="shared" si="3"/>
        <v/>
      </c>
      <c r="U1467" s="4">
        <f t="shared" si="4"/>
        <v>2752</v>
      </c>
    </row>
    <row r="1468" ht="15.75" customHeight="1">
      <c r="A1468" s="4" t="s">
        <v>534</v>
      </c>
      <c r="B1468" s="4" t="s">
        <v>13</v>
      </c>
      <c r="C1468" s="4">
        <v>0.02517</v>
      </c>
      <c r="D1468" s="4">
        <v>0.00503</v>
      </c>
      <c r="E1468" s="4">
        <v>0.00503</v>
      </c>
      <c r="I1468" s="4">
        <v>0.156</v>
      </c>
      <c r="J1468" s="4">
        <v>0.009</v>
      </c>
      <c r="K1468" s="6" t="b">
        <f t="shared" ref="K1468:M1468" si="1431">FALSE()</f>
        <v>0</v>
      </c>
      <c r="L1468" s="6" t="b">
        <f t="shared" si="1431"/>
        <v>0</v>
      </c>
      <c r="M1468" s="6" t="b">
        <f t="shared" si="1431"/>
        <v>0</v>
      </c>
      <c r="N1468" s="4">
        <v>0.0248584524967106</v>
      </c>
      <c r="P1468" s="4">
        <v>0.144965770250186</v>
      </c>
      <c r="T1468" s="4">
        <f t="shared" si="3"/>
        <v>1630</v>
      </c>
      <c r="U1468" s="4">
        <f t="shared" si="4"/>
        <v>3222</v>
      </c>
    </row>
    <row r="1469" ht="15.75" customHeight="1">
      <c r="A1469" s="4" t="s">
        <v>2780</v>
      </c>
      <c r="B1469" s="4" t="s">
        <v>13</v>
      </c>
      <c r="I1469" s="4">
        <v>0.319</v>
      </c>
      <c r="J1469" s="4">
        <v>0.043</v>
      </c>
      <c r="K1469" s="6" t="b">
        <f t="shared" ref="K1469:M1469" si="1432">FALSE()</f>
        <v>0</v>
      </c>
      <c r="L1469" s="6" t="b">
        <f t="shared" si="1432"/>
        <v>0</v>
      </c>
      <c r="M1469" s="6" t="b">
        <f t="shared" si="1432"/>
        <v>0</v>
      </c>
      <c r="P1469" s="4">
        <v>0.276873873735178</v>
      </c>
      <c r="T1469" s="4" t="str">
        <f t="shared" si="3"/>
        <v/>
      </c>
      <c r="U1469" s="4">
        <f t="shared" si="4"/>
        <v>1302</v>
      </c>
    </row>
    <row r="1470" ht="15.75" customHeight="1">
      <c r="A1470" s="4" t="s">
        <v>2781</v>
      </c>
      <c r="B1470" s="4" t="s">
        <v>13</v>
      </c>
      <c r="I1470" s="4">
        <v>0.229</v>
      </c>
      <c r="J1470" s="4">
        <v>0.014</v>
      </c>
      <c r="K1470" s="6" t="b">
        <f t="shared" ref="K1470:M1470" si="1433">FALSE()</f>
        <v>0</v>
      </c>
      <c r="L1470" s="6" t="b">
        <f t="shared" si="1433"/>
        <v>0</v>
      </c>
      <c r="M1470" s="6" t="b">
        <f t="shared" si="1433"/>
        <v>0</v>
      </c>
      <c r="P1470" s="4">
        <v>0.206200830583898</v>
      </c>
      <c r="T1470" s="4" t="str">
        <f t="shared" si="3"/>
        <v/>
      </c>
      <c r="U1470" s="4">
        <f t="shared" si="4"/>
        <v>2122</v>
      </c>
    </row>
    <row r="1471" ht="15.75" customHeight="1">
      <c r="A1471" s="4" t="s">
        <v>2782</v>
      </c>
      <c r="B1471" s="4" t="s">
        <v>13</v>
      </c>
      <c r="I1471" s="4">
        <v>0.12</v>
      </c>
      <c r="J1471" s="4">
        <v>0.016</v>
      </c>
      <c r="K1471" s="6" t="b">
        <f t="shared" ref="K1471:M1471" si="1434">FALSE()</f>
        <v>0</v>
      </c>
      <c r="L1471" s="6" t="b">
        <f t="shared" si="1434"/>
        <v>0</v>
      </c>
      <c r="M1471" s="6" t="b">
        <f t="shared" si="1434"/>
        <v>0</v>
      </c>
      <c r="P1471" s="4">
        <v>0.113328685307003</v>
      </c>
      <c r="T1471" s="4" t="str">
        <f t="shared" si="3"/>
        <v/>
      </c>
      <c r="U1471" s="4">
        <f t="shared" si="4"/>
        <v>3857</v>
      </c>
    </row>
    <row r="1472" ht="15.75" customHeight="1">
      <c r="A1472" s="4" t="s">
        <v>2783</v>
      </c>
      <c r="B1472" s="4" t="s">
        <v>13</v>
      </c>
      <c r="I1472" s="4">
        <v>0.128</v>
      </c>
      <c r="J1472" s="4">
        <v>0.017</v>
      </c>
      <c r="K1472" s="6" t="b">
        <f t="shared" ref="K1472:M1472" si="1435">FALSE()</f>
        <v>0</v>
      </c>
      <c r="L1472" s="6" t="b">
        <f t="shared" si="1435"/>
        <v>0</v>
      </c>
      <c r="M1472" s="6" t="b">
        <f t="shared" si="1435"/>
        <v>0</v>
      </c>
      <c r="P1472" s="4">
        <v>0.120446153075867</v>
      </c>
      <c r="T1472" s="4" t="str">
        <f t="shared" si="3"/>
        <v/>
      </c>
      <c r="U1472" s="4">
        <f t="shared" si="4"/>
        <v>3715</v>
      </c>
    </row>
    <row r="1473" ht="15.75" customHeight="1">
      <c r="A1473" s="4" t="s">
        <v>2784</v>
      </c>
      <c r="B1473" s="4" t="s">
        <v>13</v>
      </c>
      <c r="I1473" s="4">
        <v>0.23</v>
      </c>
      <c r="J1473" s="4">
        <v>0.029</v>
      </c>
      <c r="K1473" s="6" t="b">
        <f t="shared" ref="K1473:M1473" si="1436">FALSE()</f>
        <v>0</v>
      </c>
      <c r="L1473" s="6" t="b">
        <f t="shared" si="1436"/>
        <v>0</v>
      </c>
      <c r="M1473" s="6" t="b">
        <f t="shared" si="1436"/>
        <v>0</v>
      </c>
      <c r="P1473" s="4">
        <v>0.207014169384326</v>
      </c>
      <c r="T1473" s="4" t="str">
        <f t="shared" si="3"/>
        <v/>
      </c>
      <c r="U1473" s="4">
        <f t="shared" si="4"/>
        <v>2108</v>
      </c>
    </row>
    <row r="1474" ht="15.75" customHeight="1">
      <c r="A1474" s="4" t="s">
        <v>535</v>
      </c>
      <c r="B1474" s="4" t="s">
        <v>13</v>
      </c>
      <c r="C1474" s="4">
        <v>0.00623</v>
      </c>
      <c r="D1474" s="4">
        <v>0.0012</v>
      </c>
      <c r="E1474" s="4">
        <v>0.0012</v>
      </c>
      <c r="I1474" s="4">
        <v>0.164</v>
      </c>
      <c r="J1474" s="4">
        <v>0.009</v>
      </c>
      <c r="K1474" s="6" t="b">
        <f t="shared" ref="K1474:M1474" si="1437">FALSE()</f>
        <v>0</v>
      </c>
      <c r="L1474" s="6" t="b">
        <f t="shared" si="1437"/>
        <v>0</v>
      </c>
      <c r="M1474" s="6" t="b">
        <f t="shared" si="1437"/>
        <v>0</v>
      </c>
      <c r="N1474" s="4">
        <v>0.0062106737767126</v>
      </c>
      <c r="P1474" s="4">
        <v>0.151862349309246</v>
      </c>
      <c r="T1474" s="4">
        <f t="shared" si="3"/>
        <v>2004</v>
      </c>
      <c r="U1474" s="4">
        <f t="shared" si="4"/>
        <v>3118</v>
      </c>
    </row>
    <row r="1475" ht="15.75" customHeight="1">
      <c r="A1475" s="4" t="s">
        <v>536</v>
      </c>
      <c r="B1475" s="4" t="s">
        <v>13</v>
      </c>
      <c r="C1475" s="4">
        <v>0.01561</v>
      </c>
      <c r="D1475" s="4">
        <v>0.0012</v>
      </c>
      <c r="E1475" s="4">
        <v>0.0012</v>
      </c>
      <c r="I1475" s="4">
        <v>0.222</v>
      </c>
      <c r="J1475" s="4">
        <v>0.017</v>
      </c>
      <c r="K1475" s="6" t="b">
        <f t="shared" ref="K1475:M1475" si="1438">FALSE()</f>
        <v>0</v>
      </c>
      <c r="L1475" s="6" t="b">
        <f t="shared" si="1438"/>
        <v>0</v>
      </c>
      <c r="M1475" s="6" t="b">
        <f t="shared" si="1438"/>
        <v>0</v>
      </c>
      <c r="N1475" s="4">
        <v>0.0154894171961298</v>
      </c>
      <c r="P1475" s="4">
        <v>0.200488860749404</v>
      </c>
      <c r="T1475" s="4">
        <f t="shared" si="3"/>
        <v>1816</v>
      </c>
      <c r="U1475" s="4">
        <f t="shared" si="4"/>
        <v>2228</v>
      </c>
    </row>
    <row r="1476" ht="15.75" customHeight="1">
      <c r="A1476" s="4" t="s">
        <v>2785</v>
      </c>
      <c r="B1476" s="4" t="s">
        <v>13</v>
      </c>
      <c r="I1476" s="4">
        <v>0.213</v>
      </c>
      <c r="J1476" s="4">
        <v>0.011</v>
      </c>
      <c r="K1476" s="6" t="b">
        <f t="shared" ref="K1476:M1476" si="1439">FALSE()</f>
        <v>0</v>
      </c>
      <c r="L1476" s="6" t="b">
        <f t="shared" si="1439"/>
        <v>0</v>
      </c>
      <c r="M1476" s="6" t="b">
        <f t="shared" si="1439"/>
        <v>0</v>
      </c>
      <c r="P1476" s="4">
        <v>0.193096629961913</v>
      </c>
      <c r="T1476" s="4" t="str">
        <f t="shared" si="3"/>
        <v/>
      </c>
      <c r="U1476" s="4">
        <f t="shared" si="4"/>
        <v>2356</v>
      </c>
    </row>
    <row r="1477" ht="15.75" customHeight="1">
      <c r="A1477" s="4" t="s">
        <v>2786</v>
      </c>
      <c r="B1477" s="4" t="s">
        <v>13</v>
      </c>
      <c r="I1477" s="4">
        <v>0.15</v>
      </c>
      <c r="J1477" s="4">
        <v>0.009</v>
      </c>
      <c r="K1477" s="6" t="b">
        <f t="shared" ref="K1477:M1477" si="1440">FALSE()</f>
        <v>0</v>
      </c>
      <c r="L1477" s="6" t="b">
        <f t="shared" si="1440"/>
        <v>0</v>
      </c>
      <c r="M1477" s="6" t="b">
        <f t="shared" si="1440"/>
        <v>0</v>
      </c>
      <c r="P1477" s="4">
        <v>0.139761942375159</v>
      </c>
      <c r="T1477" s="4" t="str">
        <f t="shared" si="3"/>
        <v/>
      </c>
      <c r="U1477" s="4">
        <f t="shared" si="4"/>
        <v>3321</v>
      </c>
    </row>
    <row r="1478" ht="15.75" customHeight="1">
      <c r="A1478" s="4" t="s">
        <v>537</v>
      </c>
      <c r="B1478" s="4" t="s">
        <v>13</v>
      </c>
      <c r="C1478" s="4">
        <v>0.0179</v>
      </c>
      <c r="D1478" s="4">
        <v>0.0082</v>
      </c>
      <c r="E1478" s="4">
        <v>0.0082</v>
      </c>
      <c r="I1478" s="4">
        <v>0.215</v>
      </c>
      <c r="J1478" s="4">
        <v>0.0071</v>
      </c>
      <c r="K1478" s="6" t="b">
        <f t="shared" ref="K1478:M1478" si="1441">FALSE()</f>
        <v>0</v>
      </c>
      <c r="L1478" s="6" t="b">
        <f t="shared" si="1441"/>
        <v>0</v>
      </c>
      <c r="M1478" s="6" t="b">
        <f t="shared" si="1441"/>
        <v>0</v>
      </c>
      <c r="N1478" s="4">
        <v>0.0177416814761571</v>
      </c>
      <c r="P1478" s="4">
        <v>0.194744076792512</v>
      </c>
      <c r="T1478" s="4">
        <f t="shared" si="3"/>
        <v>1777</v>
      </c>
      <c r="U1478" s="4">
        <f t="shared" si="4"/>
        <v>2327</v>
      </c>
    </row>
    <row r="1479" ht="15.75" customHeight="1">
      <c r="A1479" s="4" t="s">
        <v>2787</v>
      </c>
      <c r="B1479" s="4" t="s">
        <v>13</v>
      </c>
      <c r="I1479" s="4">
        <v>0.079</v>
      </c>
      <c r="J1479" s="4">
        <v>0.007</v>
      </c>
      <c r="K1479" s="6" t="b">
        <f t="shared" ref="K1479:M1479" si="1442">FALSE()</f>
        <v>0</v>
      </c>
      <c r="L1479" s="6" t="b">
        <f t="shared" si="1442"/>
        <v>0</v>
      </c>
      <c r="M1479" s="6" t="b">
        <f t="shared" si="1442"/>
        <v>0</v>
      </c>
      <c r="P1479" s="4">
        <v>0.0760346862759976</v>
      </c>
      <c r="T1479" s="4" t="str">
        <f t="shared" si="3"/>
        <v/>
      </c>
      <c r="U1479" s="4">
        <f t="shared" si="4"/>
        <v>4416</v>
      </c>
    </row>
    <row r="1480" ht="15.75" customHeight="1">
      <c r="A1480" s="4" t="s">
        <v>2788</v>
      </c>
      <c r="B1480" s="4" t="s">
        <v>13</v>
      </c>
      <c r="I1480" s="4">
        <v>0.14</v>
      </c>
      <c r="J1480" s="4">
        <v>0.006</v>
      </c>
      <c r="K1480" s="6" t="b">
        <f t="shared" ref="K1480:M1480" si="1443">FALSE()</f>
        <v>0</v>
      </c>
      <c r="L1480" s="6" t="b">
        <f t="shared" si="1443"/>
        <v>0</v>
      </c>
      <c r="M1480" s="6" t="b">
        <f t="shared" si="1443"/>
        <v>0</v>
      </c>
      <c r="P1480" s="4">
        <v>0.131028262406404</v>
      </c>
      <c r="T1480" s="4" t="str">
        <f t="shared" si="3"/>
        <v/>
      </c>
      <c r="U1480" s="4">
        <f t="shared" si="4"/>
        <v>3500</v>
      </c>
    </row>
    <row r="1481" ht="15.75" customHeight="1">
      <c r="A1481" s="4" t="s">
        <v>2789</v>
      </c>
      <c r="B1481" s="4" t="s">
        <v>13</v>
      </c>
      <c r="I1481" s="4">
        <v>0.139</v>
      </c>
      <c r="J1481" s="4">
        <v>0.012</v>
      </c>
      <c r="K1481" s="6" t="b">
        <f t="shared" ref="K1481:M1481" si="1444">FALSE()</f>
        <v>0</v>
      </c>
      <c r="L1481" s="6" t="b">
        <f t="shared" si="1444"/>
        <v>0</v>
      </c>
      <c r="M1481" s="6" t="b">
        <f t="shared" si="1444"/>
        <v>0</v>
      </c>
      <c r="P1481" s="4">
        <v>0.130150684465045</v>
      </c>
      <c r="T1481" s="4" t="str">
        <f t="shared" si="3"/>
        <v/>
      </c>
      <c r="U1481" s="4">
        <f t="shared" si="4"/>
        <v>3521</v>
      </c>
    </row>
    <row r="1482" ht="15.75" customHeight="1">
      <c r="A1482" s="4" t="s">
        <v>2790</v>
      </c>
      <c r="B1482" s="4" t="s">
        <v>13</v>
      </c>
      <c r="I1482" s="4">
        <v>0.215</v>
      </c>
      <c r="J1482" s="4">
        <v>0.011</v>
      </c>
      <c r="K1482" s="6" t="b">
        <f t="shared" ref="K1482:M1482" si="1445">FALSE()</f>
        <v>0</v>
      </c>
      <c r="L1482" s="6" t="b">
        <f t="shared" si="1445"/>
        <v>0</v>
      </c>
      <c r="M1482" s="6" t="b">
        <f t="shared" si="1445"/>
        <v>0</v>
      </c>
      <c r="P1482" s="4">
        <v>0.194744076792512</v>
      </c>
      <c r="T1482" s="4" t="str">
        <f t="shared" si="3"/>
        <v/>
      </c>
      <c r="U1482" s="4">
        <f t="shared" si="4"/>
        <v>2328</v>
      </c>
    </row>
    <row r="1483" ht="15.75" customHeight="1">
      <c r="A1483" s="4" t="s">
        <v>2791</v>
      </c>
      <c r="B1483" s="4" t="s">
        <v>13</v>
      </c>
      <c r="I1483" s="4">
        <v>0.311</v>
      </c>
      <c r="J1483" s="4">
        <v>0.018</v>
      </c>
      <c r="K1483" s="6" t="b">
        <f t="shared" ref="K1483:M1483" si="1446">FALSE()</f>
        <v>0</v>
      </c>
      <c r="L1483" s="6" t="b">
        <f t="shared" si="1446"/>
        <v>0</v>
      </c>
      <c r="M1483" s="6" t="b">
        <f t="shared" si="1446"/>
        <v>0</v>
      </c>
      <c r="P1483" s="4">
        <v>0.270790204781563</v>
      </c>
      <c r="T1483" s="4" t="str">
        <f t="shared" si="3"/>
        <v/>
      </c>
      <c r="U1483" s="4">
        <f t="shared" si="4"/>
        <v>1336</v>
      </c>
    </row>
    <row r="1484" ht="15.75" customHeight="1">
      <c r="A1484" s="4" t="s">
        <v>2792</v>
      </c>
      <c r="B1484" s="4" t="s">
        <v>13</v>
      </c>
      <c r="I1484" s="4">
        <v>0.137</v>
      </c>
      <c r="J1484" s="4">
        <v>0.008</v>
      </c>
      <c r="K1484" s="6" t="b">
        <f t="shared" ref="K1484:M1484" si="1447">FALSE()</f>
        <v>0</v>
      </c>
      <c r="L1484" s="6" t="b">
        <f t="shared" si="1447"/>
        <v>0</v>
      </c>
      <c r="M1484" s="6" t="b">
        <f t="shared" si="1447"/>
        <v>0</v>
      </c>
      <c r="P1484" s="4">
        <v>0.128393214768399</v>
      </c>
      <c r="T1484" s="4" t="str">
        <f t="shared" si="3"/>
        <v/>
      </c>
      <c r="U1484" s="4">
        <f t="shared" si="4"/>
        <v>3556</v>
      </c>
    </row>
    <row r="1485" ht="15.75" customHeight="1">
      <c r="A1485" s="4" t="s">
        <v>2793</v>
      </c>
      <c r="B1485" s="4" t="s">
        <v>13</v>
      </c>
      <c r="I1485" s="4">
        <v>0.149</v>
      </c>
      <c r="J1485" s="4">
        <v>0.016</v>
      </c>
      <c r="K1485" s="6" t="b">
        <f t="shared" ref="K1485:M1485" si="1448">FALSE()</f>
        <v>0</v>
      </c>
      <c r="L1485" s="6" t="b">
        <f t="shared" si="1448"/>
        <v>0</v>
      </c>
      <c r="M1485" s="6" t="b">
        <f t="shared" si="1448"/>
        <v>0</v>
      </c>
      <c r="P1485" s="4">
        <v>0.138891998866619</v>
      </c>
      <c r="T1485" s="4" t="str">
        <f t="shared" si="3"/>
        <v/>
      </c>
      <c r="U1485" s="4">
        <f t="shared" si="4"/>
        <v>3342</v>
      </c>
    </row>
    <row r="1486" ht="15.75" customHeight="1">
      <c r="A1486" s="4" t="s">
        <v>2794</v>
      </c>
      <c r="B1486" s="4" t="s">
        <v>13</v>
      </c>
      <c r="I1486" s="4">
        <v>0.108</v>
      </c>
      <c r="J1486" s="4">
        <v>0.005</v>
      </c>
      <c r="K1486" s="6" t="b">
        <f t="shared" ref="K1486:M1486" si="1449">FALSE()</f>
        <v>0</v>
      </c>
      <c r="L1486" s="6" t="b">
        <f t="shared" si="1449"/>
        <v>0</v>
      </c>
      <c r="M1486" s="6" t="b">
        <f t="shared" si="1449"/>
        <v>0</v>
      </c>
      <c r="P1486" s="4">
        <v>0.102556588325092</v>
      </c>
      <c r="T1486" s="4" t="str">
        <f t="shared" si="3"/>
        <v/>
      </c>
      <c r="U1486" s="4">
        <f t="shared" si="4"/>
        <v>4076</v>
      </c>
    </row>
    <row r="1487" ht="15.75" customHeight="1">
      <c r="A1487" s="4" t="s">
        <v>538</v>
      </c>
      <c r="B1487" s="4" t="s">
        <v>13</v>
      </c>
      <c r="C1487" s="4">
        <v>0.00815</v>
      </c>
      <c r="D1487" s="4">
        <v>0.00135</v>
      </c>
      <c r="E1487" s="4">
        <v>0.00135</v>
      </c>
      <c r="I1487" s="4">
        <v>0.102</v>
      </c>
      <c r="J1487" s="4">
        <v>0.003</v>
      </c>
      <c r="K1487" s="6" t="b">
        <f t="shared" ref="K1487:M1487" si="1450">FALSE()</f>
        <v>0</v>
      </c>
      <c r="L1487" s="6" t="b">
        <f t="shared" si="1450"/>
        <v>0</v>
      </c>
      <c r="M1487" s="6" t="b">
        <f t="shared" si="1450"/>
        <v>0</v>
      </c>
      <c r="N1487" s="4">
        <v>0.0081169681019475</v>
      </c>
      <c r="P1487" s="4">
        <v>0.0971267107307227</v>
      </c>
      <c r="T1487" s="4">
        <f t="shared" si="3"/>
        <v>1971</v>
      </c>
      <c r="U1487" s="4">
        <f t="shared" si="4"/>
        <v>4187</v>
      </c>
    </row>
    <row r="1488" ht="15.75" customHeight="1">
      <c r="A1488" s="4" t="s">
        <v>540</v>
      </c>
      <c r="B1488" s="4" t="s">
        <v>13</v>
      </c>
      <c r="C1488" s="4">
        <v>0.067</v>
      </c>
      <c r="D1488" s="4">
        <v>0.067</v>
      </c>
      <c r="E1488" s="4">
        <v>0.0</v>
      </c>
      <c r="I1488" s="4">
        <v>0.181</v>
      </c>
      <c r="J1488" s="4">
        <v>0.005</v>
      </c>
      <c r="K1488" s="6" t="b">
        <f t="shared" ref="K1488:M1488" si="1451">FALSE()</f>
        <v>0</v>
      </c>
      <c r="L1488" s="6" t="b">
        <f t="shared" si="1451"/>
        <v>0</v>
      </c>
      <c r="M1488" s="6" t="b">
        <f t="shared" si="1451"/>
        <v>0</v>
      </c>
      <c r="N1488" s="4">
        <v>0.0648509723196163</v>
      </c>
      <c r="P1488" s="4">
        <v>0.166361537215225</v>
      </c>
      <c r="T1488" s="4">
        <f t="shared" si="3"/>
        <v>1333</v>
      </c>
      <c r="U1488" s="4">
        <f t="shared" si="4"/>
        <v>2876</v>
      </c>
    </row>
    <row r="1489" ht="15.75" customHeight="1">
      <c r="A1489" s="4" t="s">
        <v>541</v>
      </c>
      <c r="B1489" s="4" t="s">
        <v>13</v>
      </c>
      <c r="C1489" s="4">
        <v>0.079</v>
      </c>
      <c r="D1489" s="4">
        <v>0.079</v>
      </c>
      <c r="E1489" s="4">
        <v>0.0</v>
      </c>
      <c r="I1489" s="4">
        <v>0.2364</v>
      </c>
      <c r="J1489" s="4">
        <v>0.0214</v>
      </c>
      <c r="K1489" s="6" t="b">
        <f t="shared" ref="K1489:M1489" si="1452">FALSE()</f>
        <v>0</v>
      </c>
      <c r="L1489" s="6" t="b">
        <f t="shared" si="1452"/>
        <v>0</v>
      </c>
      <c r="M1489" s="6" t="b">
        <f t="shared" si="1452"/>
        <v>0</v>
      </c>
      <c r="N1489" s="4">
        <v>0.0760346862759976</v>
      </c>
      <c r="P1489" s="4">
        <v>0.212203931275824</v>
      </c>
      <c r="T1489" s="4">
        <f t="shared" si="3"/>
        <v>1298</v>
      </c>
      <c r="U1489" s="4">
        <f t="shared" si="4"/>
        <v>2005</v>
      </c>
    </row>
    <row r="1490" ht="15.75" customHeight="1">
      <c r="A1490" s="4" t="s">
        <v>542</v>
      </c>
      <c r="B1490" s="4" t="s">
        <v>13</v>
      </c>
      <c r="C1490" s="4">
        <v>1.4</v>
      </c>
      <c r="D1490" s="4">
        <v>1.4</v>
      </c>
      <c r="E1490" s="4">
        <v>0.0</v>
      </c>
      <c r="I1490" s="4">
        <v>0.223</v>
      </c>
      <c r="J1490" s="4">
        <v>0.036</v>
      </c>
      <c r="K1490" s="6" t="b">
        <f t="shared" ref="K1490:M1490" si="1453">FALSE()</f>
        <v>0</v>
      </c>
      <c r="L1490" s="6" t="b">
        <f t="shared" si="1453"/>
        <v>0</v>
      </c>
      <c r="M1490" s="6" t="b">
        <f t="shared" si="1453"/>
        <v>0</v>
      </c>
      <c r="N1490" s="4">
        <v>0.8754687373539</v>
      </c>
      <c r="P1490" s="4">
        <v>0.201306856705035</v>
      </c>
      <c r="T1490" s="4">
        <f t="shared" si="3"/>
        <v>538</v>
      </c>
      <c r="U1490" s="4">
        <f t="shared" si="4"/>
        <v>2207</v>
      </c>
    </row>
    <row r="1491" ht="15.75" customHeight="1">
      <c r="A1491" s="4" t="s">
        <v>2795</v>
      </c>
      <c r="B1491" s="4" t="s">
        <v>13</v>
      </c>
      <c r="I1491" s="4">
        <v>0.175</v>
      </c>
      <c r="J1491" s="4">
        <v>0.014</v>
      </c>
      <c r="K1491" s="6" t="b">
        <f t="shared" ref="K1491:M1491" si="1454">FALSE()</f>
        <v>0</v>
      </c>
      <c r="L1491" s="6" t="b">
        <f t="shared" si="1454"/>
        <v>0</v>
      </c>
      <c r="M1491" s="6" t="b">
        <f t="shared" si="1454"/>
        <v>0</v>
      </c>
      <c r="P1491" s="4">
        <v>0.161268147596122</v>
      </c>
      <c r="T1491" s="4" t="str">
        <f t="shared" si="3"/>
        <v/>
      </c>
      <c r="U1491" s="4">
        <f t="shared" si="4"/>
        <v>2968</v>
      </c>
    </row>
    <row r="1492" ht="15.75" customHeight="1">
      <c r="A1492" s="4" t="s">
        <v>543</v>
      </c>
      <c r="B1492" s="4" t="s">
        <v>13</v>
      </c>
      <c r="C1492" s="4">
        <v>0.0227</v>
      </c>
      <c r="D1492" s="4">
        <v>0.0098</v>
      </c>
      <c r="E1492" s="4">
        <v>0.016</v>
      </c>
      <c r="I1492" s="4">
        <v>0.223</v>
      </c>
      <c r="J1492" s="4">
        <v>0.018</v>
      </c>
      <c r="K1492" s="6" t="b">
        <f t="shared" ref="K1492:M1492" si="1455">FALSE()</f>
        <v>0</v>
      </c>
      <c r="L1492" s="6" t="b">
        <f t="shared" si="1455"/>
        <v>0</v>
      </c>
      <c r="M1492" s="6" t="b">
        <f t="shared" si="1455"/>
        <v>0</v>
      </c>
      <c r="N1492" s="4">
        <v>0.02244618882983</v>
      </c>
      <c r="P1492" s="4">
        <v>0.201306856705035</v>
      </c>
      <c r="T1492" s="4">
        <f t="shared" si="3"/>
        <v>1675</v>
      </c>
      <c r="U1492" s="4">
        <f t="shared" si="4"/>
        <v>2208</v>
      </c>
    </row>
    <row r="1493" ht="15.75" customHeight="1">
      <c r="A1493" s="4" t="s">
        <v>544</v>
      </c>
      <c r="B1493" s="4" t="s">
        <v>13</v>
      </c>
      <c r="C1493" s="4">
        <v>0.398</v>
      </c>
      <c r="D1493" s="4">
        <v>0.037</v>
      </c>
      <c r="E1493" s="4">
        <v>0.037</v>
      </c>
      <c r="I1493" s="4">
        <v>1.0</v>
      </c>
      <c r="J1493" s="4">
        <v>0.022</v>
      </c>
      <c r="K1493" s="6" t="b">
        <f t="shared" ref="K1493:L1493" si="1456">FALSE()</f>
        <v>0</v>
      </c>
      <c r="L1493" s="6" t="b">
        <f t="shared" si="1456"/>
        <v>0</v>
      </c>
      <c r="M1493" s="6" t="b">
        <f>TRUE()</f>
        <v>1</v>
      </c>
      <c r="N1493" s="4">
        <v>0.335042643811619</v>
      </c>
      <c r="P1493" s="4">
        <v>0.693147180559945</v>
      </c>
      <c r="T1493" s="4">
        <f t="shared" si="3"/>
        <v>1017</v>
      </c>
      <c r="U1493" s="4">
        <f t="shared" si="4"/>
        <v>664</v>
      </c>
    </row>
    <row r="1494" ht="15.75" customHeight="1">
      <c r="A1494" s="4" t="s">
        <v>546</v>
      </c>
      <c r="B1494" s="4" t="s">
        <v>13</v>
      </c>
      <c r="C1494" s="4">
        <v>0.0104</v>
      </c>
      <c r="D1494" s="4">
        <v>0.0069</v>
      </c>
      <c r="E1494" s="4">
        <v>0.009</v>
      </c>
      <c r="I1494" s="4">
        <v>0.125</v>
      </c>
      <c r="J1494" s="4">
        <v>0.005</v>
      </c>
      <c r="K1494" s="6" t="b">
        <f t="shared" ref="K1494:M1494" si="1457">FALSE()</f>
        <v>0</v>
      </c>
      <c r="L1494" s="6" t="b">
        <f t="shared" si="1457"/>
        <v>0</v>
      </c>
      <c r="M1494" s="6" t="b">
        <f t="shared" si="1457"/>
        <v>0</v>
      </c>
      <c r="N1494" s="4">
        <v>0.0103462920541443</v>
      </c>
      <c r="P1494" s="4">
        <v>0.117783035656383</v>
      </c>
      <c r="T1494" s="4">
        <f t="shared" si="3"/>
        <v>1931</v>
      </c>
      <c r="U1494" s="4">
        <f t="shared" si="4"/>
        <v>3781</v>
      </c>
    </row>
    <row r="1495" ht="15.75" customHeight="1">
      <c r="A1495" s="4" t="s">
        <v>2796</v>
      </c>
      <c r="B1495" s="4" t="s">
        <v>13</v>
      </c>
      <c r="I1495" s="4">
        <v>0.119</v>
      </c>
      <c r="J1495" s="4">
        <v>0.007</v>
      </c>
      <c r="K1495" s="6" t="b">
        <f t="shared" ref="K1495:M1495" si="1458">FALSE()</f>
        <v>0</v>
      </c>
      <c r="L1495" s="6" t="b">
        <f t="shared" si="1458"/>
        <v>0</v>
      </c>
      <c r="M1495" s="6" t="b">
        <f t="shared" si="1458"/>
        <v>0</v>
      </c>
      <c r="P1495" s="4">
        <v>0.112435429329788</v>
      </c>
      <c r="T1495" s="4" t="str">
        <f t="shared" si="3"/>
        <v/>
      </c>
      <c r="U1495" s="4">
        <f t="shared" si="4"/>
        <v>3879</v>
      </c>
    </row>
    <row r="1496" ht="15.75" customHeight="1">
      <c r="A1496" s="4" t="s">
        <v>547</v>
      </c>
      <c r="B1496" s="4" t="s">
        <v>13</v>
      </c>
      <c r="C1496" s="4">
        <v>0.0261</v>
      </c>
      <c r="D1496" s="4">
        <v>0.0148</v>
      </c>
      <c r="E1496" s="4">
        <v>0.0164</v>
      </c>
      <c r="I1496" s="4">
        <v>0.236</v>
      </c>
      <c r="J1496" s="4">
        <v>0.01</v>
      </c>
      <c r="K1496" s="6" t="b">
        <f t="shared" ref="K1496:M1496" si="1459">FALSE()</f>
        <v>0</v>
      </c>
      <c r="L1496" s="6" t="b">
        <f t="shared" si="1459"/>
        <v>0</v>
      </c>
      <c r="M1496" s="6" t="b">
        <f t="shared" si="1459"/>
        <v>0</v>
      </c>
      <c r="N1496" s="4">
        <v>0.0257652078860264</v>
      </c>
      <c r="P1496" s="4">
        <v>0.211880359035499</v>
      </c>
      <c r="T1496" s="4">
        <f t="shared" si="3"/>
        <v>1618</v>
      </c>
      <c r="U1496" s="4">
        <f t="shared" si="4"/>
        <v>2011</v>
      </c>
    </row>
    <row r="1497" ht="15.75" customHeight="1">
      <c r="A1497" s="4" t="s">
        <v>548</v>
      </c>
      <c r="B1497" s="4" t="s">
        <v>13</v>
      </c>
      <c r="C1497" s="4">
        <v>0.085</v>
      </c>
      <c r="D1497" s="4">
        <v>0.0396</v>
      </c>
      <c r="E1497" s="4">
        <v>0.044</v>
      </c>
      <c r="I1497" s="4">
        <v>0.514</v>
      </c>
      <c r="J1497" s="4">
        <v>0.027</v>
      </c>
      <c r="K1497" s="6" t="b">
        <f t="shared" ref="K1497:M1497" si="1460">FALSE()</f>
        <v>0</v>
      </c>
      <c r="L1497" s="6" t="b">
        <f t="shared" si="1460"/>
        <v>0</v>
      </c>
      <c r="M1497" s="6" t="b">
        <f t="shared" si="1460"/>
        <v>0</v>
      </c>
      <c r="N1497" s="4">
        <v>0.0815799869924228</v>
      </c>
      <c r="P1497" s="4">
        <v>0.414755155015257</v>
      </c>
      <c r="T1497" s="4">
        <f t="shared" si="3"/>
        <v>1284</v>
      </c>
      <c r="U1497" s="4">
        <f t="shared" si="4"/>
        <v>1001</v>
      </c>
    </row>
    <row r="1498" ht="15.75" customHeight="1">
      <c r="A1498" s="4" t="s">
        <v>549</v>
      </c>
      <c r="B1498" s="4" t="s">
        <v>13</v>
      </c>
      <c r="C1498" s="4">
        <v>1.236</v>
      </c>
      <c r="D1498" s="4">
        <v>0.044</v>
      </c>
      <c r="E1498" s="4">
        <v>0.044</v>
      </c>
      <c r="I1498" s="4">
        <v>1.642</v>
      </c>
      <c r="J1498" s="4">
        <v>0.05</v>
      </c>
      <c r="K1498" s="6" t="b">
        <f t="shared" ref="K1498:L1498" si="1461">FALSE()</f>
        <v>0</v>
      </c>
      <c r="L1498" s="6" t="b">
        <f t="shared" si="1461"/>
        <v>0</v>
      </c>
      <c r="M1498" s="6" t="b">
        <f t="shared" ref="M1498:M1499" si="1463">TRUE()</f>
        <v>1</v>
      </c>
      <c r="N1498" s="4">
        <v>0.804688555292853</v>
      </c>
      <c r="P1498" s="4">
        <v>0.971536206100134</v>
      </c>
      <c r="T1498" s="4">
        <f t="shared" si="3"/>
        <v>577</v>
      </c>
      <c r="U1498" s="4">
        <f t="shared" si="4"/>
        <v>63</v>
      </c>
    </row>
    <row r="1499" ht="15.75" customHeight="1">
      <c r="A1499" s="4" t="s">
        <v>550</v>
      </c>
      <c r="B1499" s="4" t="s">
        <v>13</v>
      </c>
      <c r="C1499" s="4">
        <v>0.86</v>
      </c>
      <c r="D1499" s="4">
        <v>0.12</v>
      </c>
      <c r="E1499" s="4">
        <v>0.13</v>
      </c>
      <c r="I1499" s="4">
        <v>1.3</v>
      </c>
      <c r="J1499" s="4">
        <v>0.14</v>
      </c>
      <c r="K1499" s="6" t="b">
        <f t="shared" ref="K1499:L1499" si="1462">FALSE()</f>
        <v>0</v>
      </c>
      <c r="L1499" s="6" t="b">
        <f t="shared" si="1462"/>
        <v>0</v>
      </c>
      <c r="M1499" s="6" t="b">
        <f t="shared" si="1463"/>
        <v>1</v>
      </c>
      <c r="N1499" s="4">
        <v>0.62057648772511</v>
      </c>
      <c r="P1499" s="4">
        <v>0.832909122935104</v>
      </c>
      <c r="T1499" s="4">
        <f t="shared" si="3"/>
        <v>734</v>
      </c>
      <c r="U1499" s="4">
        <f t="shared" si="4"/>
        <v>254</v>
      </c>
    </row>
    <row r="1500" ht="15.75" customHeight="1">
      <c r="A1500" s="4" t="s">
        <v>551</v>
      </c>
      <c r="B1500" s="4" t="s">
        <v>13</v>
      </c>
      <c r="C1500" s="4">
        <v>0.0044</v>
      </c>
      <c r="D1500" s="4">
        <v>0.0013</v>
      </c>
      <c r="E1500" s="4">
        <v>0.0013</v>
      </c>
      <c r="I1500" s="4">
        <v>0.098</v>
      </c>
      <c r="J1500" s="4">
        <v>0.009</v>
      </c>
      <c r="K1500" s="6" t="b">
        <f t="shared" ref="K1500:M1500" si="1464">FALSE()</f>
        <v>0</v>
      </c>
      <c r="L1500" s="6" t="b">
        <f t="shared" si="1464"/>
        <v>0</v>
      </c>
      <c r="M1500" s="6" t="b">
        <f t="shared" si="1464"/>
        <v>0</v>
      </c>
      <c r="N1500" s="4">
        <v>0.0043903483012928</v>
      </c>
      <c r="P1500" s="4">
        <v>0.0934903430873388</v>
      </c>
      <c r="T1500" s="4">
        <f t="shared" si="3"/>
        <v>2034</v>
      </c>
      <c r="U1500" s="4">
        <f t="shared" si="4"/>
        <v>4241</v>
      </c>
    </row>
    <row r="1501" ht="15.75" customHeight="1">
      <c r="A1501" s="4" t="s">
        <v>552</v>
      </c>
      <c r="B1501" s="4" t="s">
        <v>13</v>
      </c>
      <c r="C1501" s="4">
        <v>0.0028</v>
      </c>
      <c r="D1501" s="4">
        <v>9.0E-4</v>
      </c>
      <c r="E1501" s="4">
        <v>9.0E-4</v>
      </c>
      <c r="I1501" s="4">
        <v>0.089</v>
      </c>
      <c r="J1501" s="4">
        <v>0.009</v>
      </c>
      <c r="K1501" s="6" t="b">
        <f t="shared" ref="K1501:M1501" si="1465">FALSE()</f>
        <v>0</v>
      </c>
      <c r="L1501" s="6" t="b">
        <f t="shared" si="1465"/>
        <v>0</v>
      </c>
      <c r="M1501" s="6" t="b">
        <f t="shared" si="1465"/>
        <v>0</v>
      </c>
      <c r="N1501" s="4">
        <v>0.0027960873020012</v>
      </c>
      <c r="P1501" s="4">
        <v>0.0852598439508234</v>
      </c>
      <c r="T1501" s="4">
        <f t="shared" si="3"/>
        <v>2055</v>
      </c>
      <c r="U1501" s="4">
        <f t="shared" si="4"/>
        <v>4338</v>
      </c>
    </row>
    <row r="1502" ht="15.75" customHeight="1">
      <c r="A1502" s="4" t="s">
        <v>554</v>
      </c>
      <c r="B1502" s="4" t="s">
        <v>13</v>
      </c>
      <c r="C1502" s="4">
        <v>0.0041</v>
      </c>
      <c r="D1502" s="4">
        <v>0.0013</v>
      </c>
      <c r="E1502" s="4">
        <v>0.0013</v>
      </c>
      <c r="I1502" s="4">
        <v>0.098</v>
      </c>
      <c r="J1502" s="4">
        <v>0.009</v>
      </c>
      <c r="K1502" s="6" t="b">
        <f t="shared" ref="K1502:M1502" si="1466">FALSE()</f>
        <v>0</v>
      </c>
      <c r="L1502" s="6" t="b">
        <f t="shared" si="1466"/>
        <v>0</v>
      </c>
      <c r="M1502" s="6" t="b">
        <f t="shared" si="1466"/>
        <v>0</v>
      </c>
      <c r="N1502" s="4">
        <v>0.0040916179032535</v>
      </c>
      <c r="P1502" s="4">
        <v>0.0934903430873388</v>
      </c>
      <c r="T1502" s="4">
        <f t="shared" si="3"/>
        <v>2041</v>
      </c>
      <c r="U1502" s="4">
        <f t="shared" si="4"/>
        <v>4242</v>
      </c>
    </row>
    <row r="1503" ht="15.75" customHeight="1">
      <c r="A1503" s="4" t="s">
        <v>555</v>
      </c>
      <c r="B1503" s="4" t="s">
        <v>13</v>
      </c>
      <c r="C1503" s="4">
        <v>0.0157</v>
      </c>
      <c r="D1503" s="4">
        <v>6.0E-4</v>
      </c>
      <c r="E1503" s="4">
        <v>0.0016</v>
      </c>
      <c r="I1503" s="4">
        <v>0.178</v>
      </c>
      <c r="J1503" s="4">
        <v>0.009</v>
      </c>
      <c r="K1503" s="6" t="b">
        <f t="shared" ref="K1503:M1503" si="1467">FALSE()</f>
        <v>0</v>
      </c>
      <c r="L1503" s="6" t="b">
        <f t="shared" si="1467"/>
        <v>0</v>
      </c>
      <c r="M1503" s="6" t="b">
        <f t="shared" si="1467"/>
        <v>0</v>
      </c>
      <c r="N1503" s="4">
        <v>0.0155780299633184</v>
      </c>
      <c r="P1503" s="4">
        <v>0.163818085229395</v>
      </c>
      <c r="T1503" s="4">
        <f t="shared" si="3"/>
        <v>1815</v>
      </c>
      <c r="U1503" s="4">
        <f t="shared" si="4"/>
        <v>2911</v>
      </c>
    </row>
    <row r="1504" ht="15.75" customHeight="1">
      <c r="A1504" s="4" t="s">
        <v>556</v>
      </c>
      <c r="B1504" s="4" t="s">
        <v>13</v>
      </c>
      <c r="C1504" s="4">
        <v>0.0145</v>
      </c>
      <c r="D1504" s="4">
        <v>9.0E-4</v>
      </c>
      <c r="E1504" s="4">
        <v>0.0022</v>
      </c>
      <c r="I1504" s="4">
        <v>0.161</v>
      </c>
      <c r="J1504" s="4">
        <v>0.009</v>
      </c>
      <c r="K1504" s="6" t="b">
        <f t="shared" ref="K1504:M1504" si="1468">FALSE()</f>
        <v>0</v>
      </c>
      <c r="L1504" s="6" t="b">
        <f t="shared" si="1468"/>
        <v>0</v>
      </c>
      <c r="M1504" s="6" t="b">
        <f t="shared" si="1468"/>
        <v>0</v>
      </c>
      <c r="N1504" s="4">
        <v>0.0143958802837323</v>
      </c>
      <c r="P1504" s="4">
        <v>0.149281702715754</v>
      </c>
      <c r="T1504" s="4">
        <f t="shared" si="3"/>
        <v>1833</v>
      </c>
      <c r="U1504" s="4">
        <f t="shared" si="4"/>
        <v>3162</v>
      </c>
    </row>
    <row r="1505" ht="15.75" customHeight="1">
      <c r="A1505" s="4" t="s">
        <v>2797</v>
      </c>
      <c r="B1505" s="4" t="s">
        <v>13</v>
      </c>
      <c r="I1505" s="4">
        <v>0.227</v>
      </c>
      <c r="J1505" s="4">
        <v>0.009</v>
      </c>
      <c r="K1505" s="6" t="b">
        <f t="shared" ref="K1505:M1505" si="1469">FALSE()</f>
        <v>0</v>
      </c>
      <c r="L1505" s="6" t="b">
        <f t="shared" si="1469"/>
        <v>0</v>
      </c>
      <c r="M1505" s="6" t="b">
        <f t="shared" si="1469"/>
        <v>0</v>
      </c>
      <c r="P1505" s="4">
        <v>0.204572165728774</v>
      </c>
      <c r="T1505" s="4" t="str">
        <f t="shared" si="3"/>
        <v/>
      </c>
      <c r="U1505" s="4">
        <f t="shared" si="4"/>
        <v>2150</v>
      </c>
    </row>
    <row r="1506" ht="15.75" customHeight="1">
      <c r="A1506" s="4" t="s">
        <v>2798</v>
      </c>
      <c r="B1506" s="4" t="s">
        <v>13</v>
      </c>
      <c r="I1506" s="4">
        <v>0.227</v>
      </c>
      <c r="J1506" s="4">
        <v>0.017</v>
      </c>
      <c r="K1506" s="6" t="b">
        <f t="shared" ref="K1506:M1506" si="1470">FALSE()</f>
        <v>0</v>
      </c>
      <c r="L1506" s="6" t="b">
        <f t="shared" si="1470"/>
        <v>0</v>
      </c>
      <c r="M1506" s="6" t="b">
        <f t="shared" si="1470"/>
        <v>0</v>
      </c>
      <c r="P1506" s="4">
        <v>0.204572165728774</v>
      </c>
      <c r="T1506" s="4" t="str">
        <f t="shared" si="3"/>
        <v/>
      </c>
      <c r="U1506" s="4">
        <f t="shared" si="4"/>
        <v>2151</v>
      </c>
    </row>
    <row r="1507" ht="15.75" customHeight="1">
      <c r="A1507" s="4" t="s">
        <v>2799</v>
      </c>
      <c r="B1507" s="4" t="s">
        <v>13</v>
      </c>
      <c r="I1507" s="4">
        <v>0.194</v>
      </c>
      <c r="J1507" s="4">
        <v>0.011</v>
      </c>
      <c r="K1507" s="6" t="b">
        <f t="shared" ref="K1507:M1507" si="1471">FALSE()</f>
        <v>0</v>
      </c>
      <c r="L1507" s="6" t="b">
        <f t="shared" si="1471"/>
        <v>0</v>
      </c>
      <c r="M1507" s="6" t="b">
        <f t="shared" si="1471"/>
        <v>0</v>
      </c>
      <c r="P1507" s="4">
        <v>0.17730901497041</v>
      </c>
      <c r="T1507" s="4" t="str">
        <f t="shared" si="3"/>
        <v/>
      </c>
      <c r="U1507" s="4">
        <f t="shared" si="4"/>
        <v>2677</v>
      </c>
    </row>
    <row r="1508" ht="15.75" customHeight="1">
      <c r="A1508" s="4" t="s">
        <v>2800</v>
      </c>
      <c r="B1508" s="4" t="s">
        <v>13</v>
      </c>
      <c r="I1508" s="4">
        <v>0.179</v>
      </c>
      <c r="J1508" s="4">
        <v>0.012</v>
      </c>
      <c r="K1508" s="6" t="b">
        <f t="shared" ref="K1508:M1508" si="1472">FALSE()</f>
        <v>0</v>
      </c>
      <c r="L1508" s="6" t="b">
        <f t="shared" si="1472"/>
        <v>0</v>
      </c>
      <c r="M1508" s="6" t="b">
        <f t="shared" si="1472"/>
        <v>0</v>
      </c>
      <c r="P1508" s="4">
        <v>0.164666621555234</v>
      </c>
      <c r="T1508" s="4" t="str">
        <f t="shared" si="3"/>
        <v/>
      </c>
      <c r="U1508" s="4">
        <f t="shared" si="4"/>
        <v>2897</v>
      </c>
    </row>
    <row r="1509" ht="15.75" customHeight="1">
      <c r="A1509" s="4" t="s">
        <v>2801</v>
      </c>
      <c r="B1509" s="4" t="s">
        <v>13</v>
      </c>
      <c r="I1509" s="4">
        <v>0.156</v>
      </c>
      <c r="J1509" s="4">
        <v>0.009</v>
      </c>
      <c r="K1509" s="6" t="b">
        <f t="shared" ref="K1509:M1509" si="1473">FALSE()</f>
        <v>0</v>
      </c>
      <c r="L1509" s="6" t="b">
        <f t="shared" si="1473"/>
        <v>0</v>
      </c>
      <c r="M1509" s="6" t="b">
        <f t="shared" si="1473"/>
        <v>0</v>
      </c>
      <c r="P1509" s="4">
        <v>0.144965770250186</v>
      </c>
      <c r="T1509" s="4" t="str">
        <f t="shared" si="3"/>
        <v/>
      </c>
      <c r="U1509" s="4">
        <f t="shared" si="4"/>
        <v>3223</v>
      </c>
    </row>
    <row r="1510" ht="15.75" customHeight="1">
      <c r="A1510" s="4" t="s">
        <v>2802</v>
      </c>
      <c r="B1510" s="4" t="s">
        <v>13</v>
      </c>
      <c r="I1510" s="4">
        <v>0.387</v>
      </c>
      <c r="J1510" s="4">
        <v>0.012</v>
      </c>
      <c r="K1510" s="6" t="b">
        <f t="shared" ref="K1510:M1510" si="1474">FALSE()</f>
        <v>0</v>
      </c>
      <c r="L1510" s="6" t="b">
        <f t="shared" si="1474"/>
        <v>0</v>
      </c>
      <c r="M1510" s="6" t="b">
        <f t="shared" si="1474"/>
        <v>0</v>
      </c>
      <c r="P1510" s="4">
        <v>0.327143141332695</v>
      </c>
      <c r="T1510" s="4" t="str">
        <f t="shared" si="3"/>
        <v/>
      </c>
      <c r="U1510" s="4">
        <f t="shared" si="4"/>
        <v>1136</v>
      </c>
    </row>
    <row r="1511" ht="15.75" customHeight="1">
      <c r="A1511" s="4" t="s">
        <v>2803</v>
      </c>
      <c r="B1511" s="4" t="s">
        <v>13</v>
      </c>
      <c r="I1511" s="4">
        <v>0.311</v>
      </c>
      <c r="J1511" s="4">
        <v>0.019</v>
      </c>
      <c r="K1511" s="6" t="b">
        <f t="shared" ref="K1511:M1511" si="1475">FALSE()</f>
        <v>0</v>
      </c>
      <c r="L1511" s="6" t="b">
        <f t="shared" si="1475"/>
        <v>0</v>
      </c>
      <c r="M1511" s="6" t="b">
        <f t="shared" si="1475"/>
        <v>0</v>
      </c>
      <c r="P1511" s="4">
        <v>0.270790204781563</v>
      </c>
      <c r="T1511" s="4" t="str">
        <f t="shared" si="3"/>
        <v/>
      </c>
      <c r="U1511" s="4">
        <f t="shared" si="4"/>
        <v>1337</v>
      </c>
    </row>
    <row r="1512" ht="15.75" customHeight="1">
      <c r="A1512" s="4" t="s">
        <v>2804</v>
      </c>
      <c r="B1512" s="4" t="s">
        <v>13</v>
      </c>
      <c r="I1512" s="4">
        <v>0.189</v>
      </c>
      <c r="J1512" s="4">
        <v>0.014</v>
      </c>
      <c r="K1512" s="6" t="b">
        <f t="shared" ref="K1512:M1512" si="1476">FALSE()</f>
        <v>0</v>
      </c>
      <c r="L1512" s="6" t="b">
        <f t="shared" si="1476"/>
        <v>0</v>
      </c>
      <c r="M1512" s="6" t="b">
        <f t="shared" si="1476"/>
        <v>0</v>
      </c>
      <c r="P1512" s="4">
        <v>0.173112617708645</v>
      </c>
      <c r="T1512" s="4" t="str">
        <f t="shared" si="3"/>
        <v/>
      </c>
      <c r="U1512" s="4">
        <f t="shared" si="4"/>
        <v>2753</v>
      </c>
    </row>
    <row r="1513" ht="15.75" customHeight="1">
      <c r="A1513" s="4" t="s">
        <v>2805</v>
      </c>
      <c r="B1513" s="4" t="s">
        <v>13</v>
      </c>
      <c r="I1513" s="4">
        <v>0.195</v>
      </c>
      <c r="J1513" s="4">
        <v>0.021</v>
      </c>
      <c r="K1513" s="6" t="b">
        <f t="shared" ref="K1513:M1513" si="1477">FALSE()</f>
        <v>0</v>
      </c>
      <c r="L1513" s="6" t="b">
        <f t="shared" si="1477"/>
        <v>0</v>
      </c>
      <c r="M1513" s="6" t="b">
        <f t="shared" si="1477"/>
        <v>0</v>
      </c>
      <c r="P1513" s="4">
        <v>0.178146185383474</v>
      </c>
      <c r="T1513" s="4" t="str">
        <f t="shared" si="3"/>
        <v/>
      </c>
      <c r="U1513" s="4">
        <f t="shared" si="4"/>
        <v>2664</v>
      </c>
    </row>
    <row r="1514" ht="15.75" customHeight="1">
      <c r="A1514" s="4" t="s">
        <v>2806</v>
      </c>
      <c r="B1514" s="4" t="s">
        <v>13</v>
      </c>
      <c r="I1514" s="4">
        <v>0.229</v>
      </c>
      <c r="J1514" s="4">
        <v>0.012</v>
      </c>
      <c r="K1514" s="6" t="b">
        <f t="shared" ref="K1514:M1514" si="1478">FALSE()</f>
        <v>0</v>
      </c>
      <c r="L1514" s="6" t="b">
        <f t="shared" si="1478"/>
        <v>0</v>
      </c>
      <c r="M1514" s="6" t="b">
        <f t="shared" si="1478"/>
        <v>0</v>
      </c>
      <c r="P1514" s="4">
        <v>0.206200830583898</v>
      </c>
      <c r="T1514" s="4" t="str">
        <f t="shared" si="3"/>
        <v/>
      </c>
      <c r="U1514" s="4">
        <f t="shared" si="4"/>
        <v>2123</v>
      </c>
    </row>
    <row r="1515" ht="15.75" customHeight="1">
      <c r="A1515" s="4" t="s">
        <v>2807</v>
      </c>
      <c r="B1515" s="4" t="s">
        <v>13</v>
      </c>
      <c r="I1515" s="4">
        <v>0.249</v>
      </c>
      <c r="J1515" s="4">
        <v>0.02</v>
      </c>
      <c r="K1515" s="6" t="b">
        <f t="shared" ref="K1515:M1515" si="1479">FALSE()</f>
        <v>0</v>
      </c>
      <c r="L1515" s="6" t="b">
        <f t="shared" si="1479"/>
        <v>0</v>
      </c>
      <c r="M1515" s="6" t="b">
        <f t="shared" si="1479"/>
        <v>0</v>
      </c>
      <c r="P1515" s="4">
        <v>0.222343231143441</v>
      </c>
      <c r="T1515" s="4" t="str">
        <f t="shared" si="3"/>
        <v/>
      </c>
      <c r="U1515" s="4">
        <f t="shared" si="4"/>
        <v>1818</v>
      </c>
    </row>
    <row r="1516" ht="15.75" customHeight="1">
      <c r="A1516" s="4" t="s">
        <v>557</v>
      </c>
      <c r="B1516" s="4" t="s">
        <v>13</v>
      </c>
      <c r="C1516" s="4">
        <v>0.05978</v>
      </c>
      <c r="D1516" s="4">
        <v>0.00661</v>
      </c>
      <c r="E1516" s="4">
        <v>0.00692</v>
      </c>
      <c r="F1516" s="4">
        <v>0.0648</v>
      </c>
      <c r="G1516" s="4">
        <v>9.0E-4</v>
      </c>
      <c r="H1516" s="4">
        <v>0.005</v>
      </c>
      <c r="I1516" s="4">
        <v>0.50299</v>
      </c>
      <c r="J1516" s="4">
        <v>0.00544</v>
      </c>
      <c r="K1516" s="6" t="b">
        <f t="shared" ref="K1516:M1516" si="1480">FALSE()</f>
        <v>0</v>
      </c>
      <c r="L1516" s="6" t="b">
        <f t="shared" si="1480"/>
        <v>0</v>
      </c>
      <c r="M1516" s="6" t="b">
        <f t="shared" si="1480"/>
        <v>0</v>
      </c>
      <c r="N1516" s="4">
        <v>0.05806133941327</v>
      </c>
      <c r="O1516" s="4">
        <v>0.0627869880987648</v>
      </c>
      <c r="P1516" s="4">
        <v>0.407456457388757</v>
      </c>
      <c r="Q1516" s="4">
        <v>-0.591326764524119</v>
      </c>
      <c r="R1516" s="4">
        <v>-0.611354484435866</v>
      </c>
      <c r="S1516" s="4">
        <v>-0.603001914215531</v>
      </c>
      <c r="T1516" s="4">
        <f t="shared" si="3"/>
        <v>1363</v>
      </c>
      <c r="U1516" s="4">
        <f t="shared" si="4"/>
        <v>1012</v>
      </c>
    </row>
    <row r="1517" ht="15.75" customHeight="1">
      <c r="A1517" s="4" t="s">
        <v>558</v>
      </c>
      <c r="B1517" s="4" t="s">
        <v>13</v>
      </c>
      <c r="C1517" s="4">
        <v>0.0516</v>
      </c>
      <c r="D1517" s="4">
        <v>6.0E-4</v>
      </c>
      <c r="E1517" s="4">
        <v>0.0041</v>
      </c>
      <c r="F1517" s="4">
        <v>0.085</v>
      </c>
      <c r="G1517" s="4">
        <v>0.022</v>
      </c>
      <c r="H1517" s="4">
        <v>0.022</v>
      </c>
      <c r="I1517" s="4">
        <v>0.7075</v>
      </c>
      <c r="J1517" s="4">
        <v>0.0116</v>
      </c>
      <c r="K1517" s="6" t="b">
        <f t="shared" ref="K1517:M1517" si="1481">FALSE()</f>
        <v>0</v>
      </c>
      <c r="L1517" s="6" t="b">
        <f t="shared" si="1481"/>
        <v>0</v>
      </c>
      <c r="M1517" s="6" t="b">
        <f t="shared" si="1481"/>
        <v>0</v>
      </c>
      <c r="N1517" s="4">
        <v>0.050312813873589</v>
      </c>
      <c r="O1517" s="4">
        <v>0.0815799869924228</v>
      </c>
      <c r="P1517" s="4">
        <v>0.535030312462808</v>
      </c>
      <c r="Q1517" s="4">
        <v>-0.59635106954169</v>
      </c>
      <c r="R1517" s="4">
        <v>-0.598538855782598</v>
      </c>
      <c r="S1517" s="4">
        <v>-0.220359842749143</v>
      </c>
      <c r="T1517" s="4">
        <f t="shared" si="3"/>
        <v>1396</v>
      </c>
      <c r="U1517" s="4">
        <f t="shared" si="4"/>
        <v>895</v>
      </c>
    </row>
    <row r="1518" ht="15.75" customHeight="1">
      <c r="A1518" s="4" t="s">
        <v>2808</v>
      </c>
      <c r="B1518" s="4" t="s">
        <v>13</v>
      </c>
      <c r="I1518" s="4">
        <v>0.218</v>
      </c>
      <c r="J1518" s="4">
        <v>0.013</v>
      </c>
      <c r="K1518" s="6" t="b">
        <f t="shared" ref="K1518:M1518" si="1482">FALSE()</f>
        <v>0</v>
      </c>
      <c r="L1518" s="6" t="b">
        <f t="shared" si="1482"/>
        <v>0</v>
      </c>
      <c r="M1518" s="6" t="b">
        <f t="shared" si="1482"/>
        <v>0</v>
      </c>
      <c r="P1518" s="4">
        <v>0.197210169287705</v>
      </c>
      <c r="T1518" s="4" t="str">
        <f t="shared" si="3"/>
        <v/>
      </c>
      <c r="U1518" s="4">
        <f t="shared" si="4"/>
        <v>2292</v>
      </c>
    </row>
    <row r="1519" ht="15.75" customHeight="1">
      <c r="A1519" s="4" t="s">
        <v>2809</v>
      </c>
      <c r="B1519" s="4" t="s">
        <v>13</v>
      </c>
      <c r="I1519" s="4">
        <v>0.21</v>
      </c>
      <c r="J1519" s="4">
        <v>0.019</v>
      </c>
      <c r="K1519" s="6" t="b">
        <f t="shared" ref="K1519:M1519" si="1483">FALSE()</f>
        <v>0</v>
      </c>
      <c r="L1519" s="6" t="b">
        <f t="shared" si="1483"/>
        <v>0</v>
      </c>
      <c r="M1519" s="6" t="b">
        <f t="shared" si="1483"/>
        <v>0</v>
      </c>
      <c r="P1519" s="4">
        <v>0.19062035960865</v>
      </c>
      <c r="T1519" s="4" t="str">
        <f t="shared" si="3"/>
        <v/>
      </c>
      <c r="U1519" s="4">
        <f t="shared" si="4"/>
        <v>2416</v>
      </c>
    </row>
    <row r="1520" ht="15.75" customHeight="1">
      <c r="A1520" s="4" t="s">
        <v>2810</v>
      </c>
      <c r="B1520" s="4" t="s">
        <v>13</v>
      </c>
      <c r="I1520" s="4">
        <v>0.155</v>
      </c>
      <c r="J1520" s="4">
        <v>0.011</v>
      </c>
      <c r="K1520" s="6" t="b">
        <f t="shared" ref="K1520:M1520" si="1484">FALSE()</f>
        <v>0</v>
      </c>
      <c r="L1520" s="6" t="b">
        <f t="shared" si="1484"/>
        <v>0</v>
      </c>
      <c r="M1520" s="6" t="b">
        <f t="shared" si="1484"/>
        <v>0</v>
      </c>
      <c r="P1520" s="4">
        <v>0.144100343973757</v>
      </c>
      <c r="T1520" s="4" t="str">
        <f t="shared" si="3"/>
        <v/>
      </c>
      <c r="U1520" s="4">
        <f t="shared" si="4"/>
        <v>3240</v>
      </c>
    </row>
    <row r="1521" ht="15.75" customHeight="1">
      <c r="A1521" s="4" t="s">
        <v>2811</v>
      </c>
      <c r="B1521" s="4" t="s">
        <v>13</v>
      </c>
      <c r="I1521" s="4">
        <v>1.13</v>
      </c>
      <c r="J1521" s="4">
        <v>0.054</v>
      </c>
      <c r="K1521" s="6" t="b">
        <f t="shared" ref="K1521:L1521" si="1485">FALSE()</f>
        <v>0</v>
      </c>
      <c r="L1521" s="6" t="b">
        <f t="shared" si="1485"/>
        <v>0</v>
      </c>
      <c r="M1521" s="6" t="b">
        <f>TRUE()</f>
        <v>1</v>
      </c>
      <c r="P1521" s="4">
        <v>0.756121979721334</v>
      </c>
      <c r="T1521" s="4" t="str">
        <f t="shared" si="3"/>
        <v/>
      </c>
      <c r="U1521" s="4">
        <f t="shared" si="4"/>
        <v>476</v>
      </c>
    </row>
    <row r="1522" ht="15.75" customHeight="1">
      <c r="A1522" s="4" t="s">
        <v>2812</v>
      </c>
      <c r="B1522" s="4" t="s">
        <v>13</v>
      </c>
      <c r="I1522" s="4">
        <v>0.145</v>
      </c>
      <c r="J1522" s="4">
        <v>0.021</v>
      </c>
      <c r="K1522" s="6" t="b">
        <f t="shared" ref="K1522:M1522" si="1486">FALSE()</f>
        <v>0</v>
      </c>
      <c r="L1522" s="6" t="b">
        <f t="shared" si="1486"/>
        <v>0</v>
      </c>
      <c r="M1522" s="6" t="b">
        <f t="shared" si="1486"/>
        <v>0</v>
      </c>
      <c r="P1522" s="4">
        <v>0.135404637006203</v>
      </c>
      <c r="T1522" s="4" t="str">
        <f t="shared" si="3"/>
        <v/>
      </c>
      <c r="U1522" s="4">
        <f t="shared" si="4"/>
        <v>3407</v>
      </c>
    </row>
    <row r="1523" ht="15.75" customHeight="1">
      <c r="A1523" s="4" t="s">
        <v>2813</v>
      </c>
      <c r="B1523" s="4" t="s">
        <v>13</v>
      </c>
      <c r="I1523" s="4">
        <v>0.195</v>
      </c>
      <c r="J1523" s="4">
        <v>0.016</v>
      </c>
      <c r="K1523" s="6" t="b">
        <f t="shared" ref="K1523:M1523" si="1487">FALSE()</f>
        <v>0</v>
      </c>
      <c r="L1523" s="6" t="b">
        <f t="shared" si="1487"/>
        <v>0</v>
      </c>
      <c r="M1523" s="6" t="b">
        <f t="shared" si="1487"/>
        <v>0</v>
      </c>
      <c r="P1523" s="4">
        <v>0.178146185383474</v>
      </c>
      <c r="T1523" s="4" t="str">
        <f t="shared" si="3"/>
        <v/>
      </c>
      <c r="U1523" s="4">
        <f t="shared" si="4"/>
        <v>2665</v>
      </c>
    </row>
    <row r="1524" ht="15.75" customHeight="1">
      <c r="A1524" s="4" t="s">
        <v>2814</v>
      </c>
      <c r="B1524" s="4" t="s">
        <v>13</v>
      </c>
      <c r="I1524" s="4">
        <v>0.259</v>
      </c>
      <c r="J1524" s="4">
        <v>0.01</v>
      </c>
      <c r="K1524" s="6" t="b">
        <f t="shared" ref="K1524:M1524" si="1488">FALSE()</f>
        <v>0</v>
      </c>
      <c r="L1524" s="6" t="b">
        <f t="shared" si="1488"/>
        <v>0</v>
      </c>
      <c r="M1524" s="6" t="b">
        <f t="shared" si="1488"/>
        <v>0</v>
      </c>
      <c r="P1524" s="4">
        <v>0.23031775506221</v>
      </c>
      <c r="T1524" s="4" t="str">
        <f t="shared" si="3"/>
        <v/>
      </c>
      <c r="U1524" s="4">
        <f t="shared" si="4"/>
        <v>1691</v>
      </c>
    </row>
    <row r="1525" ht="15.75" customHeight="1">
      <c r="A1525" s="4" t="s">
        <v>2815</v>
      </c>
      <c r="B1525" s="4" t="s">
        <v>13</v>
      </c>
      <c r="I1525" s="4">
        <v>0.074</v>
      </c>
      <c r="J1525" s="4">
        <v>0.004</v>
      </c>
      <c r="K1525" s="6" t="b">
        <f t="shared" ref="K1525:M1525" si="1489">FALSE()</f>
        <v>0</v>
      </c>
      <c r="L1525" s="6" t="b">
        <f t="shared" si="1489"/>
        <v>0</v>
      </c>
      <c r="M1525" s="6" t="b">
        <f t="shared" si="1489"/>
        <v>0</v>
      </c>
      <c r="P1525" s="4">
        <v>0.0713899960866729</v>
      </c>
      <c r="T1525" s="4" t="str">
        <f t="shared" si="3"/>
        <v/>
      </c>
      <c r="U1525" s="4">
        <f t="shared" si="4"/>
        <v>4459</v>
      </c>
    </row>
    <row r="1526" ht="15.75" customHeight="1">
      <c r="A1526" s="4" t="s">
        <v>2816</v>
      </c>
      <c r="B1526" s="4" t="s">
        <v>13</v>
      </c>
      <c r="I1526" s="4">
        <v>0.268</v>
      </c>
      <c r="J1526" s="4">
        <v>0.018</v>
      </c>
      <c r="K1526" s="6" t="b">
        <f t="shared" ref="K1526:M1526" si="1490">FALSE()</f>
        <v>0</v>
      </c>
      <c r="L1526" s="6" t="b">
        <f t="shared" si="1490"/>
        <v>0</v>
      </c>
      <c r="M1526" s="6" t="b">
        <f t="shared" si="1490"/>
        <v>0</v>
      </c>
      <c r="P1526" s="4">
        <v>0.237440856015034</v>
      </c>
      <c r="T1526" s="4" t="str">
        <f t="shared" si="3"/>
        <v/>
      </c>
      <c r="U1526" s="4">
        <f t="shared" si="4"/>
        <v>1612</v>
      </c>
    </row>
    <row r="1527" ht="15.75" customHeight="1">
      <c r="A1527" s="4" t="s">
        <v>2817</v>
      </c>
      <c r="B1527" s="4" t="s">
        <v>13</v>
      </c>
      <c r="I1527" s="4">
        <v>0.207</v>
      </c>
      <c r="J1527" s="4">
        <v>0.015</v>
      </c>
      <c r="K1527" s="6" t="b">
        <f t="shared" ref="K1527:M1527" si="1491">FALSE()</f>
        <v>0</v>
      </c>
      <c r="L1527" s="6" t="b">
        <f t="shared" si="1491"/>
        <v>0</v>
      </c>
      <c r="M1527" s="6" t="b">
        <f t="shared" si="1491"/>
        <v>0</v>
      </c>
      <c r="P1527" s="4">
        <v>0.188137942115394</v>
      </c>
      <c r="T1527" s="4" t="str">
        <f t="shared" si="3"/>
        <v/>
      </c>
      <c r="U1527" s="4">
        <f t="shared" si="4"/>
        <v>2458</v>
      </c>
    </row>
    <row r="1528" ht="15.75" customHeight="1">
      <c r="A1528" s="4" t="s">
        <v>560</v>
      </c>
      <c r="B1528" s="4" t="s">
        <v>13</v>
      </c>
      <c r="C1528" s="4">
        <v>0.0771</v>
      </c>
      <c r="D1528" s="4">
        <v>0.0164</v>
      </c>
      <c r="E1528" s="4">
        <v>0.0179</v>
      </c>
      <c r="I1528" s="4">
        <v>0.306</v>
      </c>
      <c r="J1528" s="4">
        <v>0.028</v>
      </c>
      <c r="K1528" s="6" t="b">
        <f t="shared" ref="K1528:M1528" si="1492">FALSE()</f>
        <v>0</v>
      </c>
      <c r="L1528" s="6" t="b">
        <f t="shared" si="1492"/>
        <v>0</v>
      </c>
      <c r="M1528" s="6" t="b">
        <f t="shared" si="1492"/>
        <v>0</v>
      </c>
      <c r="N1528" s="4">
        <v>0.0742722443745874</v>
      </c>
      <c r="P1528" s="4">
        <v>0.266969030854239</v>
      </c>
      <c r="T1528" s="4">
        <f t="shared" si="3"/>
        <v>1304</v>
      </c>
      <c r="U1528" s="4">
        <f t="shared" si="4"/>
        <v>1346</v>
      </c>
    </row>
    <row r="1529" ht="15.75" customHeight="1">
      <c r="A1529" s="4" t="s">
        <v>561</v>
      </c>
      <c r="B1529" s="4" t="s">
        <v>13</v>
      </c>
      <c r="C1529" s="4">
        <v>1.42</v>
      </c>
      <c r="D1529" s="4">
        <v>0.32</v>
      </c>
      <c r="E1529" s="4">
        <v>0.31</v>
      </c>
      <c r="F1529" s="4">
        <v>1.42</v>
      </c>
      <c r="G1529" s="4">
        <v>0.32</v>
      </c>
      <c r="H1529" s="4">
        <v>0.31</v>
      </c>
      <c r="I1529" s="4">
        <v>1.552</v>
      </c>
      <c r="J1529" s="4">
        <v>0.057</v>
      </c>
      <c r="K1529" s="6" t="b">
        <f t="shared" ref="K1529:L1529" si="1493">FALSE()</f>
        <v>0</v>
      </c>
      <c r="L1529" s="6" t="b">
        <f t="shared" si="1493"/>
        <v>0</v>
      </c>
      <c r="M1529" s="6" t="b">
        <f t="shared" ref="M1529:M1530" si="1495">TRUE()</f>
        <v>1</v>
      </c>
      <c r="N1529" s="4">
        <v>0.883767540168595</v>
      </c>
      <c r="O1529" s="4">
        <v>0.883767540168595</v>
      </c>
      <c r="P1529" s="4">
        <v>0.936877365482543</v>
      </c>
      <c r="Q1529" s="4">
        <v>0.244145139021156</v>
      </c>
      <c r="R1529" s="4">
        <v>0.248434622044734</v>
      </c>
      <c r="S1529" s="4">
        <v>1.3597156027223</v>
      </c>
      <c r="T1529" s="4">
        <f t="shared" si="3"/>
        <v>531</v>
      </c>
      <c r="U1529" s="4">
        <f t="shared" si="4"/>
        <v>94</v>
      </c>
    </row>
    <row r="1530" ht="15.75" customHeight="1">
      <c r="A1530" s="4" t="s">
        <v>562</v>
      </c>
      <c r="B1530" s="4" t="s">
        <v>13</v>
      </c>
      <c r="C1530" s="4">
        <v>0.223</v>
      </c>
      <c r="D1530" s="4">
        <v>0.031</v>
      </c>
      <c r="E1530" s="4">
        <v>0.031</v>
      </c>
      <c r="F1530" s="4">
        <v>0.223</v>
      </c>
      <c r="G1530" s="4">
        <v>0.031</v>
      </c>
      <c r="H1530" s="4">
        <v>0.031</v>
      </c>
      <c r="I1530" s="4">
        <v>0.85</v>
      </c>
      <c r="J1530" s="4">
        <v>0.022</v>
      </c>
      <c r="K1530" s="6" t="b">
        <f t="shared" ref="K1530:L1530" si="1494">FALSE()</f>
        <v>0</v>
      </c>
      <c r="L1530" s="6" t="b">
        <f t="shared" si="1494"/>
        <v>0</v>
      </c>
      <c r="M1530" s="6" t="b">
        <f t="shared" si="1495"/>
        <v>1</v>
      </c>
      <c r="N1530" s="4">
        <v>0.201306856705035</v>
      </c>
      <c r="O1530" s="4">
        <v>0.201306856705035</v>
      </c>
      <c r="P1530" s="4">
        <v>0.615185639090234</v>
      </c>
      <c r="Q1530" s="4">
        <v>-0.491074067095277</v>
      </c>
      <c r="R1530" s="4">
        <v>-0.510986541220672</v>
      </c>
      <c r="S1530" s="4">
        <v>0.0462603478721478</v>
      </c>
      <c r="T1530" s="4">
        <f t="shared" si="3"/>
        <v>1132</v>
      </c>
      <c r="U1530" s="4">
        <f t="shared" si="4"/>
        <v>802</v>
      </c>
    </row>
    <row r="1531" ht="15.75" customHeight="1">
      <c r="A1531" s="4" t="s">
        <v>563</v>
      </c>
      <c r="B1531" s="4" t="s">
        <v>13</v>
      </c>
      <c r="C1531" s="4">
        <v>0.0466</v>
      </c>
      <c r="D1531" s="4">
        <v>0.0098</v>
      </c>
      <c r="E1531" s="4">
        <v>0.0098</v>
      </c>
      <c r="I1531" s="4">
        <v>0.215</v>
      </c>
      <c r="J1531" s="4">
        <v>0.0107</v>
      </c>
      <c r="K1531" s="6" t="b">
        <f t="shared" ref="K1531:M1531" si="1496">FALSE()</f>
        <v>0</v>
      </c>
      <c r="L1531" s="6" t="b">
        <f t="shared" si="1496"/>
        <v>0</v>
      </c>
      <c r="M1531" s="6" t="b">
        <f t="shared" si="1496"/>
        <v>0</v>
      </c>
      <c r="N1531" s="4">
        <v>0.0455468149559703</v>
      </c>
      <c r="P1531" s="4">
        <v>0.194744076792512</v>
      </c>
      <c r="T1531" s="4">
        <f t="shared" si="3"/>
        <v>1420</v>
      </c>
      <c r="U1531" s="4">
        <f t="shared" si="4"/>
        <v>2329</v>
      </c>
    </row>
    <row r="1532" ht="15.75" customHeight="1">
      <c r="A1532" s="4" t="s">
        <v>2818</v>
      </c>
      <c r="B1532" s="4" t="s">
        <v>13</v>
      </c>
      <c r="I1532" s="4">
        <v>0.199</v>
      </c>
      <c r="J1532" s="4">
        <v>0.013</v>
      </c>
      <c r="K1532" s="6" t="b">
        <f t="shared" ref="K1532:M1532" si="1497">FALSE()</f>
        <v>0</v>
      </c>
      <c r="L1532" s="6" t="b">
        <f t="shared" si="1497"/>
        <v>0</v>
      </c>
      <c r="M1532" s="6" t="b">
        <f t="shared" si="1497"/>
        <v>0</v>
      </c>
      <c r="P1532" s="4">
        <v>0.181487876045377</v>
      </c>
      <c r="T1532" s="4" t="str">
        <f t="shared" si="3"/>
        <v/>
      </c>
      <c r="U1532" s="4">
        <f t="shared" si="4"/>
        <v>2596</v>
      </c>
    </row>
    <row r="1533" ht="15.75" customHeight="1">
      <c r="A1533" s="4" t="s">
        <v>2819</v>
      </c>
      <c r="B1533" s="4" t="s">
        <v>13</v>
      </c>
      <c r="I1533" s="4">
        <v>0.238</v>
      </c>
      <c r="J1533" s="4">
        <v>0.017</v>
      </c>
      <c r="K1533" s="6" t="b">
        <f t="shared" ref="K1533:M1533" si="1498">FALSE()</f>
        <v>0</v>
      </c>
      <c r="L1533" s="6" t="b">
        <f t="shared" si="1498"/>
        <v>0</v>
      </c>
      <c r="M1533" s="6" t="b">
        <f t="shared" si="1498"/>
        <v>0</v>
      </c>
      <c r="P1533" s="4">
        <v>0.213497174262404</v>
      </c>
      <c r="T1533" s="4" t="str">
        <f t="shared" si="3"/>
        <v/>
      </c>
      <c r="U1533" s="4">
        <f t="shared" si="4"/>
        <v>1970</v>
      </c>
    </row>
    <row r="1534" ht="15.75" customHeight="1">
      <c r="A1534" s="4" t="s">
        <v>564</v>
      </c>
      <c r="B1534" s="4" t="s">
        <v>13</v>
      </c>
      <c r="C1534" s="4">
        <v>0.02058</v>
      </c>
      <c r="D1534" s="4">
        <v>0.00264</v>
      </c>
      <c r="E1534" s="4">
        <v>0.00264</v>
      </c>
      <c r="I1534" s="4">
        <v>0.153</v>
      </c>
      <c r="J1534" s="4">
        <v>0.01</v>
      </c>
      <c r="K1534" s="6" t="b">
        <f t="shared" ref="K1534:M1534" si="1499">FALSE()</f>
        <v>0</v>
      </c>
      <c r="L1534" s="6" t="b">
        <f t="shared" si="1499"/>
        <v>0</v>
      </c>
      <c r="M1534" s="6" t="b">
        <f t="shared" si="1499"/>
        <v>0</v>
      </c>
      <c r="N1534" s="4">
        <v>0.0203710931398311</v>
      </c>
      <c r="P1534" s="4">
        <v>0.142367241286922</v>
      </c>
      <c r="T1534" s="4">
        <f t="shared" si="3"/>
        <v>1717</v>
      </c>
      <c r="U1534" s="4">
        <f t="shared" si="4"/>
        <v>3269</v>
      </c>
    </row>
    <row r="1535" ht="15.75" customHeight="1">
      <c r="A1535" s="4" t="s">
        <v>566</v>
      </c>
      <c r="B1535" s="4" t="s">
        <v>13</v>
      </c>
      <c r="C1535" s="4">
        <v>0.0355</v>
      </c>
      <c r="D1535" s="4">
        <v>0.02053</v>
      </c>
      <c r="E1535" s="4">
        <v>0.03601</v>
      </c>
      <c r="F1535" s="4">
        <v>0.0343</v>
      </c>
      <c r="G1535" s="4">
        <v>0.01982</v>
      </c>
      <c r="H1535" s="4">
        <v>0.03461</v>
      </c>
      <c r="I1535" s="4">
        <v>0.294</v>
      </c>
      <c r="J1535" s="4">
        <v>0.116</v>
      </c>
      <c r="K1535" s="6" t="b">
        <f t="shared" ref="K1535:M1535" si="1500">FALSE()</f>
        <v>0</v>
      </c>
      <c r="L1535" s="6" t="b">
        <f t="shared" si="1500"/>
        <v>0</v>
      </c>
      <c r="M1535" s="6" t="b">
        <f t="shared" si="1500"/>
        <v>0</v>
      </c>
      <c r="N1535" s="4">
        <v>0.0348844018535017</v>
      </c>
      <c r="O1535" s="4">
        <v>0.0337248694016208</v>
      </c>
      <c r="P1535" s="4">
        <v>0.257738196078709</v>
      </c>
      <c r="Q1535" s="4">
        <v>-0.606239982840332</v>
      </c>
      <c r="R1535" s="4">
        <v>-0.630704814828176</v>
      </c>
      <c r="S1535" s="4">
        <v>-0.994026150271276</v>
      </c>
      <c r="T1535" s="4">
        <f t="shared" si="3"/>
        <v>1484</v>
      </c>
      <c r="U1535" s="4">
        <f t="shared" si="4"/>
        <v>1411</v>
      </c>
    </row>
    <row r="1536" ht="15.75" customHeight="1">
      <c r="A1536" s="4" t="s">
        <v>567</v>
      </c>
      <c r="B1536" s="4" t="s">
        <v>13</v>
      </c>
      <c r="C1536" s="4">
        <v>9.1E-4</v>
      </c>
      <c r="D1536" s="4">
        <v>3.5E-4</v>
      </c>
      <c r="E1536" s="4">
        <v>5.3E-4</v>
      </c>
      <c r="F1536" s="4">
        <v>9.1E-4</v>
      </c>
      <c r="G1536" s="4">
        <v>3.5E-4</v>
      </c>
      <c r="H1536" s="4">
        <v>5.3E-4</v>
      </c>
      <c r="I1536" s="4">
        <v>0.063</v>
      </c>
      <c r="J1536" s="4">
        <v>0.008</v>
      </c>
      <c r="K1536" s="6" t="b">
        <f t="shared" ref="K1536:M1536" si="1501">FALSE()</f>
        <v>0</v>
      </c>
      <c r="L1536" s="6" t="b">
        <f t="shared" si="1501"/>
        <v>0</v>
      </c>
      <c r="M1536" s="6" t="b">
        <f t="shared" si="1501"/>
        <v>0</v>
      </c>
      <c r="N1536" s="4">
        <v>9.09586201019E-4</v>
      </c>
      <c r="O1536" s="4">
        <v>9.09586201019E-4</v>
      </c>
      <c r="P1536" s="4">
        <v>0.0610950993598108</v>
      </c>
      <c r="Q1536" s="4">
        <v>-0.62748579097698</v>
      </c>
      <c r="R1536" s="4">
        <v>-0.65188866832979</v>
      </c>
      <c r="S1536" s="4">
        <v>-1.42623151191</v>
      </c>
      <c r="T1536" s="4">
        <f t="shared" si="3"/>
        <v>2077</v>
      </c>
      <c r="U1536" s="4">
        <f t="shared" si="4"/>
        <v>4523</v>
      </c>
    </row>
    <row r="1537" ht="15.75" customHeight="1">
      <c r="A1537" s="4" t="s">
        <v>568</v>
      </c>
      <c r="B1537" s="4" t="s">
        <v>13</v>
      </c>
      <c r="C1537" s="4">
        <v>0.028</v>
      </c>
      <c r="D1537" s="4">
        <v>0.01196</v>
      </c>
      <c r="E1537" s="4">
        <v>0.01793</v>
      </c>
      <c r="F1537" s="4">
        <v>0.02958</v>
      </c>
      <c r="G1537" s="4">
        <v>0.00629</v>
      </c>
      <c r="H1537" s="4">
        <v>0.00912</v>
      </c>
      <c r="I1537" s="4">
        <v>0.261</v>
      </c>
      <c r="J1537" s="4">
        <v>0.011</v>
      </c>
      <c r="K1537" s="6" t="b">
        <f t="shared" ref="K1537:M1537" si="1502">FALSE()</f>
        <v>0</v>
      </c>
      <c r="L1537" s="6" t="b">
        <f t="shared" si="1502"/>
        <v>0</v>
      </c>
      <c r="M1537" s="6" t="b">
        <f t="shared" si="1502"/>
        <v>0</v>
      </c>
      <c r="N1537" s="4">
        <v>0.0276151670329733</v>
      </c>
      <c r="O1537" s="4">
        <v>0.0291509520916867</v>
      </c>
      <c r="P1537" s="4">
        <v>0.231905056982783</v>
      </c>
      <c r="Q1537" s="4">
        <v>-0.610846619470134</v>
      </c>
      <c r="R1537" s="4">
        <v>-0.633699357761018</v>
      </c>
      <c r="S1537" s="4">
        <v>-1.05576977336252</v>
      </c>
      <c r="T1537" s="4">
        <f t="shared" si="3"/>
        <v>1584</v>
      </c>
      <c r="U1537" s="4">
        <f t="shared" si="4"/>
        <v>1669</v>
      </c>
    </row>
    <row r="1538" ht="15.75" customHeight="1">
      <c r="A1538" s="4" t="s">
        <v>569</v>
      </c>
      <c r="B1538" s="4" t="s">
        <v>13</v>
      </c>
      <c r="C1538" s="4">
        <v>0.04499</v>
      </c>
      <c r="D1538" s="4">
        <v>0.01573</v>
      </c>
      <c r="E1538" s="4">
        <v>0.02014</v>
      </c>
      <c r="F1538" s="4">
        <v>0.02611</v>
      </c>
      <c r="G1538" s="4">
        <v>0.00566</v>
      </c>
      <c r="H1538" s="4">
        <v>0.0085</v>
      </c>
      <c r="I1538" s="4">
        <v>0.244</v>
      </c>
      <c r="J1538" s="4">
        <v>0.01</v>
      </c>
      <c r="K1538" s="6" t="b">
        <f t="shared" ref="K1538:M1538" si="1503">FALSE()</f>
        <v>0</v>
      </c>
      <c r="L1538" s="6" t="b">
        <f t="shared" si="1503"/>
        <v>0</v>
      </c>
      <c r="M1538" s="6" t="b">
        <f t="shared" si="1503"/>
        <v>0</v>
      </c>
      <c r="N1538" s="4">
        <v>0.0440073159929971</v>
      </c>
      <c r="O1538" s="4">
        <v>0.0257749534773646</v>
      </c>
      <c r="P1538" s="4">
        <v>0.218331994316988</v>
      </c>
      <c r="Q1538" s="4">
        <v>-0.600411051958089</v>
      </c>
      <c r="R1538" s="4">
        <v>-0.635900854366307</v>
      </c>
      <c r="S1538" s="4">
        <v>-1.08757709434892</v>
      </c>
      <c r="T1538" s="4">
        <f t="shared" si="3"/>
        <v>1431</v>
      </c>
      <c r="U1538" s="4">
        <f t="shared" si="4"/>
        <v>1881</v>
      </c>
    </row>
    <row r="1539" ht="15.75" customHeight="1">
      <c r="A1539" s="4" t="s">
        <v>570</v>
      </c>
      <c r="B1539" s="4" t="s">
        <v>13</v>
      </c>
      <c r="C1539" s="4">
        <v>3.0</v>
      </c>
      <c r="D1539" s="4">
        <v>1.2</v>
      </c>
      <c r="E1539" s="4">
        <v>1.1</v>
      </c>
      <c r="F1539" s="4">
        <v>3.0</v>
      </c>
      <c r="G1539" s="4">
        <v>1.2</v>
      </c>
      <c r="H1539" s="4">
        <v>1.1</v>
      </c>
      <c r="I1539" s="4">
        <v>1.051</v>
      </c>
      <c r="J1539" s="4">
        <v>0.044</v>
      </c>
      <c r="K1539" s="6" t="b">
        <f t="shared" ref="K1539:L1539" si="1504">FALSE()</f>
        <v>0</v>
      </c>
      <c r="L1539" s="6" t="b">
        <f t="shared" si="1504"/>
        <v>0</v>
      </c>
      <c r="M1539" s="6" t="b">
        <f>TRUE()</f>
        <v>1</v>
      </c>
      <c r="N1539" s="4">
        <v>1.38629436111989</v>
      </c>
      <c r="O1539" s="4">
        <v>1.38629436111989</v>
      </c>
      <c r="P1539" s="4">
        <v>0.718327479090244</v>
      </c>
      <c r="Q1539" s="4">
        <v>1.21460992236615</v>
      </c>
      <c r="R1539" s="4">
        <v>1.25084518007259</v>
      </c>
      <c r="S1539" s="4">
        <v>0.422335143064285</v>
      </c>
      <c r="T1539" s="4">
        <f t="shared" si="3"/>
        <v>320</v>
      </c>
      <c r="U1539" s="4">
        <f t="shared" si="4"/>
        <v>602</v>
      </c>
    </row>
    <row r="1540" ht="15.75" customHeight="1">
      <c r="A1540" s="4" t="s">
        <v>2820</v>
      </c>
      <c r="B1540" s="4" t="s">
        <v>13</v>
      </c>
      <c r="I1540" s="4">
        <v>0.126</v>
      </c>
      <c r="J1540" s="4">
        <v>0.012</v>
      </c>
      <c r="K1540" s="6" t="b">
        <f t="shared" ref="K1540:M1540" si="1505">FALSE()</f>
        <v>0</v>
      </c>
      <c r="L1540" s="6" t="b">
        <f t="shared" si="1505"/>
        <v>0</v>
      </c>
      <c r="M1540" s="6" t="b">
        <f t="shared" si="1505"/>
        <v>0</v>
      </c>
      <c r="P1540" s="4">
        <v>0.118671529717499</v>
      </c>
      <c r="T1540" s="4" t="str">
        <f t="shared" si="3"/>
        <v/>
      </c>
      <c r="U1540" s="4">
        <f t="shared" si="4"/>
        <v>3760</v>
      </c>
    </row>
    <row r="1541" ht="15.75" customHeight="1">
      <c r="A1541" s="4" t="s">
        <v>2821</v>
      </c>
      <c r="B1541" s="4" t="s">
        <v>13</v>
      </c>
      <c r="I1541" s="4">
        <v>0.24</v>
      </c>
      <c r="J1541" s="4">
        <v>0.021</v>
      </c>
      <c r="K1541" s="6" t="b">
        <f t="shared" ref="K1541:M1541" si="1506">FALSE()</f>
        <v>0</v>
      </c>
      <c r="L1541" s="6" t="b">
        <f t="shared" si="1506"/>
        <v>0</v>
      </c>
      <c r="M1541" s="6" t="b">
        <f t="shared" si="1506"/>
        <v>0</v>
      </c>
      <c r="P1541" s="4">
        <v>0.215111379616946</v>
      </c>
      <c r="T1541" s="4" t="str">
        <f t="shared" si="3"/>
        <v/>
      </c>
      <c r="U1541" s="4">
        <f t="shared" si="4"/>
        <v>1944</v>
      </c>
    </row>
    <row r="1542" ht="15.75" customHeight="1">
      <c r="A1542" s="4" t="s">
        <v>2822</v>
      </c>
      <c r="B1542" s="4" t="s">
        <v>13</v>
      </c>
      <c r="I1542" s="4">
        <v>0.1329</v>
      </c>
      <c r="J1542" s="4">
        <v>0.0062</v>
      </c>
      <c r="K1542" s="6" t="b">
        <f t="shared" ref="K1542:M1542" si="1507">FALSE()</f>
        <v>0</v>
      </c>
      <c r="L1542" s="6" t="b">
        <f t="shared" si="1507"/>
        <v>0</v>
      </c>
      <c r="M1542" s="6" t="b">
        <f t="shared" si="1507"/>
        <v>0</v>
      </c>
      <c r="P1542" s="4">
        <v>0.124780716897306</v>
      </c>
      <c r="T1542" s="4" t="str">
        <f t="shared" si="3"/>
        <v/>
      </c>
      <c r="U1542" s="4">
        <f t="shared" si="4"/>
        <v>3650</v>
      </c>
    </row>
    <row r="1543" ht="15.75" customHeight="1">
      <c r="A1543" s="4" t="s">
        <v>2823</v>
      </c>
      <c r="B1543" s="4" t="s">
        <v>13</v>
      </c>
      <c r="I1543" s="4">
        <v>0.1187</v>
      </c>
      <c r="J1543" s="4">
        <v>0.0071</v>
      </c>
      <c r="K1543" s="6" t="b">
        <f t="shared" ref="K1543:M1543" si="1508">FALSE()</f>
        <v>0</v>
      </c>
      <c r="L1543" s="6" t="b">
        <f t="shared" si="1508"/>
        <v>0</v>
      </c>
      <c r="M1543" s="6" t="b">
        <f t="shared" si="1508"/>
        <v>0</v>
      </c>
      <c r="P1543" s="4">
        <v>0.112167296870748</v>
      </c>
      <c r="T1543" s="4" t="str">
        <f t="shared" si="3"/>
        <v/>
      </c>
      <c r="U1543" s="4">
        <f t="shared" si="4"/>
        <v>3898</v>
      </c>
    </row>
    <row r="1544" ht="15.75" customHeight="1">
      <c r="A1544" s="4" t="s">
        <v>2824</v>
      </c>
      <c r="B1544" s="4" t="s">
        <v>13</v>
      </c>
      <c r="I1544" s="4">
        <v>0.1989</v>
      </c>
      <c r="J1544" s="4">
        <v>0.008</v>
      </c>
      <c r="K1544" s="6" t="b">
        <f t="shared" ref="K1544:M1544" si="1509">FALSE()</f>
        <v>0</v>
      </c>
      <c r="L1544" s="6" t="b">
        <f t="shared" si="1509"/>
        <v>0</v>
      </c>
      <c r="M1544" s="6" t="b">
        <f t="shared" si="1509"/>
        <v>0</v>
      </c>
      <c r="P1544" s="4">
        <v>0.181404469731471</v>
      </c>
      <c r="T1544" s="4" t="str">
        <f t="shared" si="3"/>
        <v/>
      </c>
      <c r="U1544" s="4">
        <f t="shared" si="4"/>
        <v>2604</v>
      </c>
    </row>
    <row r="1545" ht="15.75" customHeight="1">
      <c r="A1545" s="4" t="s">
        <v>2825</v>
      </c>
      <c r="B1545" s="4" t="s">
        <v>13</v>
      </c>
      <c r="I1545" s="4">
        <v>0.14</v>
      </c>
      <c r="J1545" s="4">
        <v>0.011</v>
      </c>
      <c r="K1545" s="6" t="b">
        <f t="shared" ref="K1545:M1545" si="1510">FALSE()</f>
        <v>0</v>
      </c>
      <c r="L1545" s="6" t="b">
        <f t="shared" si="1510"/>
        <v>0</v>
      </c>
      <c r="M1545" s="6" t="b">
        <f t="shared" si="1510"/>
        <v>0</v>
      </c>
      <c r="P1545" s="4">
        <v>0.131028262406404</v>
      </c>
      <c r="T1545" s="4" t="str">
        <f t="shared" si="3"/>
        <v/>
      </c>
      <c r="U1545" s="4">
        <f t="shared" si="4"/>
        <v>3501</v>
      </c>
    </row>
    <row r="1546" ht="15.75" customHeight="1">
      <c r="A1546" s="4" t="s">
        <v>2826</v>
      </c>
      <c r="B1546" s="4" t="s">
        <v>13</v>
      </c>
      <c r="I1546" s="4">
        <v>0.238</v>
      </c>
      <c r="J1546" s="4">
        <v>0.041</v>
      </c>
      <c r="K1546" s="6" t="b">
        <f t="shared" ref="K1546:M1546" si="1511">FALSE()</f>
        <v>0</v>
      </c>
      <c r="L1546" s="6" t="b">
        <f t="shared" si="1511"/>
        <v>0</v>
      </c>
      <c r="M1546" s="6" t="b">
        <f t="shared" si="1511"/>
        <v>0</v>
      </c>
      <c r="P1546" s="4">
        <v>0.213497174262404</v>
      </c>
      <c r="T1546" s="4" t="str">
        <f t="shared" si="3"/>
        <v/>
      </c>
      <c r="U1546" s="4">
        <f t="shared" si="4"/>
        <v>1971</v>
      </c>
    </row>
    <row r="1547" ht="15.75" customHeight="1">
      <c r="A1547" s="4" t="s">
        <v>2827</v>
      </c>
      <c r="B1547" s="4" t="s">
        <v>13</v>
      </c>
      <c r="I1547" s="4">
        <v>0.123</v>
      </c>
      <c r="J1547" s="4">
        <v>0.01</v>
      </c>
      <c r="K1547" s="6" t="b">
        <f t="shared" ref="K1547:M1547" si="1512">FALSE()</f>
        <v>0</v>
      </c>
      <c r="L1547" s="6" t="b">
        <f t="shared" si="1512"/>
        <v>0</v>
      </c>
      <c r="M1547" s="6" t="b">
        <f t="shared" si="1512"/>
        <v>0</v>
      </c>
      <c r="P1547" s="4">
        <v>0.116003675756306</v>
      </c>
      <c r="T1547" s="4" t="str">
        <f t="shared" si="3"/>
        <v/>
      </c>
      <c r="U1547" s="4">
        <f t="shared" si="4"/>
        <v>3813</v>
      </c>
    </row>
    <row r="1548" ht="15.75" customHeight="1">
      <c r="A1548" s="4" t="s">
        <v>2828</v>
      </c>
      <c r="B1548" s="4" t="s">
        <v>13</v>
      </c>
      <c r="I1548" s="4">
        <v>0.263</v>
      </c>
      <c r="J1548" s="4">
        <v>0.014</v>
      </c>
      <c r="K1548" s="6" t="b">
        <f t="shared" ref="K1548:M1548" si="1513">FALSE()</f>
        <v>0</v>
      </c>
      <c r="L1548" s="6" t="b">
        <f t="shared" si="1513"/>
        <v>0</v>
      </c>
      <c r="M1548" s="6" t="b">
        <f t="shared" si="1513"/>
        <v>0</v>
      </c>
      <c r="P1548" s="4">
        <v>0.233489843368354</v>
      </c>
      <c r="T1548" s="4" t="str">
        <f t="shared" si="3"/>
        <v/>
      </c>
      <c r="U1548" s="4">
        <f t="shared" si="4"/>
        <v>1642</v>
      </c>
    </row>
    <row r="1549" ht="15.75" customHeight="1">
      <c r="A1549" s="4" t="s">
        <v>2829</v>
      </c>
      <c r="B1549" s="4" t="s">
        <v>13</v>
      </c>
      <c r="I1549" s="4">
        <v>0.649</v>
      </c>
      <c r="J1549" s="4">
        <v>0.021</v>
      </c>
      <c r="K1549" s="6" t="b">
        <f t="shared" ref="K1549:M1549" si="1514">FALSE()</f>
        <v>0</v>
      </c>
      <c r="L1549" s="6" t="b">
        <f t="shared" si="1514"/>
        <v>0</v>
      </c>
      <c r="M1549" s="6" t="b">
        <f t="shared" si="1514"/>
        <v>0</v>
      </c>
      <c r="P1549" s="4">
        <v>0.500169043577462</v>
      </c>
      <c r="T1549" s="4" t="str">
        <f t="shared" si="3"/>
        <v/>
      </c>
      <c r="U1549" s="4">
        <f t="shared" si="4"/>
        <v>916</v>
      </c>
    </row>
    <row r="1550" ht="15.75" customHeight="1">
      <c r="A1550" s="4" t="s">
        <v>2830</v>
      </c>
      <c r="B1550" s="4" t="s">
        <v>13</v>
      </c>
      <c r="I1550" s="4">
        <v>0.26</v>
      </c>
      <c r="J1550" s="4">
        <v>0.013</v>
      </c>
      <c r="K1550" s="6" t="b">
        <f t="shared" ref="K1550:M1550" si="1515">FALSE()</f>
        <v>0</v>
      </c>
      <c r="L1550" s="6" t="b">
        <f t="shared" si="1515"/>
        <v>0</v>
      </c>
      <c r="M1550" s="6" t="b">
        <f t="shared" si="1515"/>
        <v>0</v>
      </c>
      <c r="P1550" s="4">
        <v>0.231111720963387</v>
      </c>
      <c r="T1550" s="4" t="str">
        <f t="shared" si="3"/>
        <v/>
      </c>
      <c r="U1550" s="4">
        <f t="shared" si="4"/>
        <v>1683</v>
      </c>
    </row>
    <row r="1551" ht="15.75" customHeight="1">
      <c r="A1551" s="4" t="s">
        <v>2831</v>
      </c>
      <c r="B1551" s="4" t="s">
        <v>13</v>
      </c>
      <c r="I1551" s="4">
        <v>0.394</v>
      </c>
      <c r="J1551" s="4">
        <v>0.114</v>
      </c>
      <c r="K1551" s="6" t="b">
        <f t="shared" ref="K1551:M1551" si="1516">FALSE()</f>
        <v>0</v>
      </c>
      <c r="L1551" s="6" t="b">
        <f t="shared" si="1516"/>
        <v>0</v>
      </c>
      <c r="M1551" s="6" t="b">
        <f t="shared" si="1516"/>
        <v>0</v>
      </c>
      <c r="P1551" s="4">
        <v>0.332177312338332</v>
      </c>
      <c r="T1551" s="4" t="str">
        <f t="shared" si="3"/>
        <v/>
      </c>
      <c r="U1551" s="4">
        <f t="shared" si="4"/>
        <v>1125</v>
      </c>
    </row>
    <row r="1552" ht="15.75" customHeight="1">
      <c r="A1552" s="4" t="s">
        <v>2832</v>
      </c>
      <c r="B1552" s="4" t="s">
        <v>13</v>
      </c>
      <c r="I1552" s="4">
        <v>0.196</v>
      </c>
      <c r="J1552" s="4">
        <v>0.011</v>
      </c>
      <c r="K1552" s="6" t="b">
        <f t="shared" ref="K1552:M1552" si="1517">FALSE()</f>
        <v>0</v>
      </c>
      <c r="L1552" s="6" t="b">
        <f t="shared" si="1517"/>
        <v>0</v>
      </c>
      <c r="M1552" s="6" t="b">
        <f t="shared" si="1517"/>
        <v>0</v>
      </c>
      <c r="P1552" s="4">
        <v>0.17898265552844</v>
      </c>
      <c r="T1552" s="4" t="str">
        <f t="shared" si="3"/>
        <v/>
      </c>
      <c r="U1552" s="4">
        <f t="shared" si="4"/>
        <v>2643</v>
      </c>
    </row>
    <row r="1553" ht="15.75" customHeight="1">
      <c r="A1553" s="4" t="s">
        <v>2833</v>
      </c>
      <c r="B1553" s="4" t="s">
        <v>13</v>
      </c>
      <c r="I1553" s="4">
        <v>0.2</v>
      </c>
      <c r="J1553" s="4">
        <v>0.011</v>
      </c>
      <c r="K1553" s="6" t="b">
        <f t="shared" ref="K1553:M1553" si="1518">FALSE()</f>
        <v>0</v>
      </c>
      <c r="L1553" s="6" t="b">
        <f t="shared" si="1518"/>
        <v>0</v>
      </c>
      <c r="M1553" s="6" t="b">
        <f t="shared" si="1518"/>
        <v>0</v>
      </c>
      <c r="P1553" s="4">
        <v>0.182321556793955</v>
      </c>
      <c r="T1553" s="4" t="str">
        <f t="shared" si="3"/>
        <v/>
      </c>
      <c r="U1553" s="4">
        <f t="shared" si="4"/>
        <v>2582</v>
      </c>
    </row>
    <row r="1554" ht="15.75" customHeight="1">
      <c r="A1554" s="4" t="s">
        <v>2834</v>
      </c>
      <c r="B1554" s="4" t="s">
        <v>13</v>
      </c>
      <c r="I1554" s="4">
        <v>0.209</v>
      </c>
      <c r="J1554" s="4">
        <v>0.009</v>
      </c>
      <c r="K1554" s="6" t="b">
        <f t="shared" ref="K1554:M1554" si="1519">FALSE()</f>
        <v>0</v>
      </c>
      <c r="L1554" s="6" t="b">
        <f t="shared" si="1519"/>
        <v>0</v>
      </c>
      <c r="M1554" s="6" t="b">
        <f t="shared" si="1519"/>
        <v>0</v>
      </c>
      <c r="P1554" s="4">
        <v>0.189793571632656</v>
      </c>
      <c r="T1554" s="4" t="str">
        <f t="shared" si="3"/>
        <v/>
      </c>
      <c r="U1554" s="4">
        <f t="shared" si="4"/>
        <v>2429</v>
      </c>
    </row>
    <row r="1555" ht="15.75" customHeight="1">
      <c r="A1555" s="4" t="s">
        <v>2835</v>
      </c>
      <c r="B1555" s="4" t="s">
        <v>13</v>
      </c>
      <c r="I1555" s="4">
        <v>0.336</v>
      </c>
      <c r="J1555" s="4">
        <v>0.019</v>
      </c>
      <c r="K1555" s="6" t="b">
        <f t="shared" ref="K1555:M1555" si="1520">FALSE()</f>
        <v>0</v>
      </c>
      <c r="L1555" s="6" t="b">
        <f t="shared" si="1520"/>
        <v>0</v>
      </c>
      <c r="M1555" s="6" t="b">
        <f t="shared" si="1520"/>
        <v>0</v>
      </c>
      <c r="P1555" s="4">
        <v>0.289680075114454</v>
      </c>
      <c r="T1555" s="4" t="str">
        <f t="shared" si="3"/>
        <v/>
      </c>
      <c r="U1555" s="4">
        <f t="shared" si="4"/>
        <v>1243</v>
      </c>
    </row>
    <row r="1556" ht="15.75" customHeight="1">
      <c r="A1556" s="4" t="s">
        <v>2836</v>
      </c>
      <c r="B1556" s="4" t="s">
        <v>13</v>
      </c>
      <c r="I1556" s="4">
        <v>0.185</v>
      </c>
      <c r="J1556" s="4">
        <v>0.011</v>
      </c>
      <c r="K1556" s="6" t="b">
        <f t="shared" ref="K1556:M1556" si="1521">FALSE()</f>
        <v>0</v>
      </c>
      <c r="L1556" s="6" t="b">
        <f t="shared" si="1521"/>
        <v>0</v>
      </c>
      <c r="M1556" s="6" t="b">
        <f t="shared" si="1521"/>
        <v>0</v>
      </c>
      <c r="P1556" s="4">
        <v>0.169742774587095</v>
      </c>
      <c r="T1556" s="4" t="str">
        <f t="shared" si="3"/>
        <v/>
      </c>
      <c r="U1556" s="4">
        <f t="shared" si="4"/>
        <v>2821</v>
      </c>
    </row>
    <row r="1557" ht="15.75" customHeight="1">
      <c r="A1557" s="4" t="s">
        <v>2837</v>
      </c>
      <c r="B1557" s="4" t="s">
        <v>13</v>
      </c>
      <c r="I1557" s="4">
        <v>0.266</v>
      </c>
      <c r="J1557" s="4">
        <v>0.021</v>
      </c>
      <c r="K1557" s="6" t="b">
        <f t="shared" ref="K1557:M1557" si="1522">FALSE()</f>
        <v>0</v>
      </c>
      <c r="L1557" s="6" t="b">
        <f t="shared" si="1522"/>
        <v>0</v>
      </c>
      <c r="M1557" s="6" t="b">
        <f t="shared" si="1522"/>
        <v>0</v>
      </c>
      <c r="P1557" s="4">
        <v>0.235862323721984</v>
      </c>
      <c r="T1557" s="4" t="str">
        <f t="shared" si="3"/>
        <v/>
      </c>
      <c r="U1557" s="4">
        <f t="shared" si="4"/>
        <v>1624</v>
      </c>
    </row>
    <row r="1558" ht="15.75" customHeight="1">
      <c r="A1558" s="4" t="s">
        <v>2838</v>
      </c>
      <c r="B1558" s="4" t="s">
        <v>13</v>
      </c>
      <c r="I1558" s="4">
        <v>0.108</v>
      </c>
      <c r="J1558" s="4">
        <v>0.012</v>
      </c>
      <c r="K1558" s="6" t="b">
        <f t="shared" ref="K1558:M1558" si="1523">FALSE()</f>
        <v>0</v>
      </c>
      <c r="L1558" s="6" t="b">
        <f t="shared" si="1523"/>
        <v>0</v>
      </c>
      <c r="M1558" s="6" t="b">
        <f t="shared" si="1523"/>
        <v>0</v>
      </c>
      <c r="P1558" s="4">
        <v>0.102556588325092</v>
      </c>
      <c r="T1558" s="4" t="str">
        <f t="shared" si="3"/>
        <v/>
      </c>
      <c r="U1558" s="4">
        <f t="shared" si="4"/>
        <v>4077</v>
      </c>
    </row>
    <row r="1559" ht="15.75" customHeight="1">
      <c r="A1559" s="4" t="s">
        <v>571</v>
      </c>
      <c r="B1559" s="4" t="s">
        <v>13</v>
      </c>
      <c r="C1559" s="4">
        <v>0.09722</v>
      </c>
      <c r="D1559" s="4">
        <v>0.01447</v>
      </c>
      <c r="E1559" s="4">
        <v>0.01447</v>
      </c>
      <c r="G1559" s="4">
        <v>0.014</v>
      </c>
      <c r="H1559" s="4">
        <v>0.014</v>
      </c>
      <c r="I1559" s="4">
        <v>0.4</v>
      </c>
      <c r="J1559" s="4">
        <v>0.021</v>
      </c>
      <c r="K1559" s="6" t="b">
        <f t="shared" ref="K1559:M1559" si="1524">FALSE()</f>
        <v>0</v>
      </c>
      <c r="L1559" s="6" t="b">
        <f t="shared" si="1524"/>
        <v>0</v>
      </c>
      <c r="M1559" s="6" t="b">
        <f t="shared" si="1524"/>
        <v>0</v>
      </c>
      <c r="N1559" s="4">
        <v>0.0927797081324595</v>
      </c>
      <c r="P1559" s="4">
        <v>0.336472236621213</v>
      </c>
      <c r="T1559" s="4">
        <f t="shared" si="3"/>
        <v>1264</v>
      </c>
      <c r="U1559" s="4">
        <f t="shared" si="4"/>
        <v>1118</v>
      </c>
    </row>
    <row r="1560" ht="15.75" customHeight="1">
      <c r="A1560" s="4" t="s">
        <v>572</v>
      </c>
      <c r="B1560" s="4" t="s">
        <v>13</v>
      </c>
      <c r="C1560" s="4">
        <v>0.1167</v>
      </c>
      <c r="D1560" s="4">
        <v>0.0176</v>
      </c>
      <c r="E1560" s="4">
        <v>0.0176</v>
      </c>
      <c r="I1560" s="4">
        <v>0.684</v>
      </c>
      <c r="J1560" s="4">
        <v>0.023</v>
      </c>
      <c r="K1560" s="6" t="b">
        <f t="shared" ref="K1560:M1560" si="1525">FALSE()</f>
        <v>0</v>
      </c>
      <c r="L1560" s="6" t="b">
        <f t="shared" si="1525"/>
        <v>0</v>
      </c>
      <c r="M1560" s="6" t="b">
        <f t="shared" si="1525"/>
        <v>0</v>
      </c>
      <c r="N1560" s="4">
        <v>0.110377907469609</v>
      </c>
      <c r="P1560" s="4">
        <v>0.521171915820135</v>
      </c>
      <c r="T1560" s="4">
        <f t="shared" si="3"/>
        <v>1237</v>
      </c>
      <c r="U1560" s="4">
        <f t="shared" si="4"/>
        <v>904</v>
      </c>
    </row>
    <row r="1561" ht="15.75" customHeight="1">
      <c r="A1561" s="4" t="s">
        <v>2839</v>
      </c>
      <c r="B1561" s="4" t="s">
        <v>13</v>
      </c>
      <c r="I1561" s="4">
        <v>0.73</v>
      </c>
      <c r="J1561" s="4">
        <v>0.019</v>
      </c>
      <c r="K1561" s="6" t="b">
        <f t="shared" ref="K1561:M1561" si="1526">FALSE()</f>
        <v>0</v>
      </c>
      <c r="L1561" s="6" t="b">
        <f t="shared" si="1526"/>
        <v>0</v>
      </c>
      <c r="M1561" s="6" t="b">
        <f t="shared" si="1526"/>
        <v>0</v>
      </c>
      <c r="P1561" s="4">
        <v>0.548121408509688</v>
      </c>
      <c r="T1561" s="4" t="str">
        <f t="shared" si="3"/>
        <v/>
      </c>
      <c r="U1561" s="4">
        <f t="shared" si="4"/>
        <v>885</v>
      </c>
    </row>
    <row r="1562" ht="15.75" customHeight="1">
      <c r="A1562" s="4" t="s">
        <v>2840</v>
      </c>
      <c r="B1562" s="4" t="s">
        <v>13</v>
      </c>
      <c r="I1562" s="4">
        <v>0.252</v>
      </c>
      <c r="J1562" s="4">
        <v>0.012</v>
      </c>
      <c r="K1562" s="6" t="b">
        <f t="shared" ref="K1562:M1562" si="1527">FALSE()</f>
        <v>0</v>
      </c>
      <c r="L1562" s="6" t="b">
        <f t="shared" si="1527"/>
        <v>0</v>
      </c>
      <c r="M1562" s="6" t="b">
        <f t="shared" si="1527"/>
        <v>0</v>
      </c>
      <c r="P1562" s="4">
        <v>0.224742272677907</v>
      </c>
      <c r="T1562" s="4" t="str">
        <f t="shared" si="3"/>
        <v/>
      </c>
      <c r="U1562" s="4">
        <f t="shared" si="4"/>
        <v>1778</v>
      </c>
    </row>
    <row r="1563" ht="15.75" customHeight="1">
      <c r="A1563" s="4" t="s">
        <v>2841</v>
      </c>
      <c r="B1563" s="4" t="s">
        <v>13</v>
      </c>
      <c r="I1563" s="4">
        <v>0.132</v>
      </c>
      <c r="J1563" s="4">
        <v>0.009</v>
      </c>
      <c r="K1563" s="6" t="b">
        <f t="shared" ref="K1563:M1563" si="1528">FALSE()</f>
        <v>0</v>
      </c>
      <c r="L1563" s="6" t="b">
        <f t="shared" si="1528"/>
        <v>0</v>
      </c>
      <c r="M1563" s="6" t="b">
        <f t="shared" si="1528"/>
        <v>0</v>
      </c>
      <c r="P1563" s="4">
        <v>0.123985979780991</v>
      </c>
      <c r="T1563" s="4" t="str">
        <f t="shared" si="3"/>
        <v/>
      </c>
      <c r="U1563" s="4">
        <f t="shared" si="4"/>
        <v>3655</v>
      </c>
    </row>
    <row r="1564" ht="15.75" customHeight="1">
      <c r="A1564" s="4" t="s">
        <v>2842</v>
      </c>
      <c r="B1564" s="4" t="s">
        <v>13</v>
      </c>
      <c r="I1564" s="4">
        <v>0.232</v>
      </c>
      <c r="J1564" s="4">
        <v>0.018</v>
      </c>
      <c r="K1564" s="6" t="b">
        <f t="shared" ref="K1564:M1564" si="1529">FALSE()</f>
        <v>0</v>
      </c>
      <c r="L1564" s="6" t="b">
        <f t="shared" si="1529"/>
        <v>0</v>
      </c>
      <c r="M1564" s="6" t="b">
        <f t="shared" si="1529"/>
        <v>0</v>
      </c>
      <c r="P1564" s="4">
        <v>0.208638865111328</v>
      </c>
      <c r="T1564" s="4" t="str">
        <f t="shared" si="3"/>
        <v/>
      </c>
      <c r="U1564" s="4">
        <f t="shared" si="4"/>
        <v>2072</v>
      </c>
    </row>
    <row r="1565" ht="15.75" customHeight="1">
      <c r="A1565" s="4" t="s">
        <v>2843</v>
      </c>
      <c r="B1565" s="4" t="s">
        <v>13</v>
      </c>
      <c r="I1565" s="4">
        <v>0.314</v>
      </c>
      <c r="J1565" s="4">
        <v>0.014</v>
      </c>
      <c r="K1565" s="6" t="b">
        <f t="shared" ref="K1565:M1565" si="1530">FALSE()</f>
        <v>0</v>
      </c>
      <c r="L1565" s="6" t="b">
        <f t="shared" si="1530"/>
        <v>0</v>
      </c>
      <c r="M1565" s="6" t="b">
        <f t="shared" si="1530"/>
        <v>0</v>
      </c>
      <c r="P1565" s="4">
        <v>0.273075920062419</v>
      </c>
      <c r="T1565" s="4" t="str">
        <f t="shared" si="3"/>
        <v/>
      </c>
      <c r="U1565" s="4">
        <f t="shared" si="4"/>
        <v>1323</v>
      </c>
    </row>
    <row r="1566" ht="15.75" customHeight="1">
      <c r="A1566" s="4" t="s">
        <v>2844</v>
      </c>
      <c r="B1566" s="4" t="s">
        <v>13</v>
      </c>
      <c r="I1566" s="4">
        <v>0.248</v>
      </c>
      <c r="J1566" s="4">
        <v>0.011</v>
      </c>
      <c r="K1566" s="6" t="b">
        <f t="shared" ref="K1566:M1566" si="1531">FALSE()</f>
        <v>0</v>
      </c>
      <c r="L1566" s="6" t="b">
        <f t="shared" si="1531"/>
        <v>0</v>
      </c>
      <c r="M1566" s="6" t="b">
        <f t="shared" si="1531"/>
        <v>0</v>
      </c>
      <c r="P1566" s="4">
        <v>0.221542269947236</v>
      </c>
      <c r="T1566" s="4" t="str">
        <f t="shared" si="3"/>
        <v/>
      </c>
      <c r="U1566" s="4">
        <f t="shared" si="4"/>
        <v>1829</v>
      </c>
    </row>
    <row r="1567" ht="15.75" customHeight="1">
      <c r="A1567" s="4" t="s">
        <v>574</v>
      </c>
      <c r="B1567" s="4" t="s">
        <v>13</v>
      </c>
      <c r="C1567" s="4">
        <v>0.03046</v>
      </c>
      <c r="D1567" s="4">
        <v>0.00431</v>
      </c>
      <c r="E1567" s="4">
        <v>0.00381</v>
      </c>
      <c r="I1567" s="4">
        <v>0.231</v>
      </c>
      <c r="J1567" s="4">
        <v>0.005</v>
      </c>
      <c r="K1567" s="6" t="b">
        <f t="shared" ref="K1567:M1567" si="1532">FALSE()</f>
        <v>0</v>
      </c>
      <c r="L1567" s="6" t="b">
        <f t="shared" si="1532"/>
        <v>0</v>
      </c>
      <c r="M1567" s="6" t="b">
        <f t="shared" si="1532"/>
        <v>0</v>
      </c>
      <c r="N1567" s="4">
        <v>0.0300053044863269</v>
      </c>
      <c r="P1567" s="4">
        <v>0.207826847202316</v>
      </c>
      <c r="T1567" s="4">
        <f t="shared" si="3"/>
        <v>1545</v>
      </c>
      <c r="U1567" s="4">
        <f t="shared" si="4"/>
        <v>2094</v>
      </c>
    </row>
    <row r="1568" ht="15.75" customHeight="1">
      <c r="A1568" s="4" t="s">
        <v>575</v>
      </c>
      <c r="B1568" s="4" t="s">
        <v>13</v>
      </c>
      <c r="C1568" s="4">
        <v>0.04933</v>
      </c>
      <c r="D1568" s="4">
        <v>0.0067</v>
      </c>
      <c r="E1568" s="4">
        <v>0.00717</v>
      </c>
      <c r="I1568" s="4">
        <v>0.315</v>
      </c>
      <c r="J1568" s="4">
        <v>0.007</v>
      </c>
      <c r="K1568" s="6" t="b">
        <f t="shared" ref="K1568:M1568" si="1533">FALSE()</f>
        <v>0</v>
      </c>
      <c r="L1568" s="6" t="b">
        <f t="shared" si="1533"/>
        <v>0</v>
      </c>
      <c r="M1568" s="6" t="b">
        <f t="shared" si="1533"/>
        <v>0</v>
      </c>
      <c r="N1568" s="4">
        <v>0.0481518652619253</v>
      </c>
      <c r="P1568" s="4">
        <v>0.273836665629728</v>
      </c>
      <c r="T1568" s="4">
        <f t="shared" si="3"/>
        <v>1405</v>
      </c>
      <c r="U1568" s="4">
        <f t="shared" si="4"/>
        <v>1319</v>
      </c>
    </row>
    <row r="1569" ht="15.75" customHeight="1">
      <c r="A1569" s="4" t="s">
        <v>576</v>
      </c>
      <c r="B1569" s="4" t="s">
        <v>13</v>
      </c>
      <c r="C1569" s="4">
        <v>0.02045</v>
      </c>
      <c r="I1569" s="4">
        <v>0.221</v>
      </c>
      <c r="J1569" s="4">
        <v>0.005</v>
      </c>
      <c r="K1569" s="6" t="b">
        <f t="shared" ref="K1569:M1569" si="1534">FALSE()</f>
        <v>0</v>
      </c>
      <c r="L1569" s="6" t="b">
        <f t="shared" si="1534"/>
        <v>0</v>
      </c>
      <c r="M1569" s="6" t="b">
        <f t="shared" si="1534"/>
        <v>0</v>
      </c>
      <c r="N1569" s="4">
        <v>0.0202437064770424</v>
      </c>
      <c r="P1569" s="4">
        <v>0.199670195128568</v>
      </c>
      <c r="T1569" s="4">
        <f t="shared" si="3"/>
        <v>1721</v>
      </c>
      <c r="U1569" s="4">
        <f t="shared" si="4"/>
        <v>2244</v>
      </c>
    </row>
    <row r="1570" ht="15.75" customHeight="1">
      <c r="A1570" s="4" t="s">
        <v>577</v>
      </c>
      <c r="B1570" s="4" t="s">
        <v>13</v>
      </c>
      <c r="C1570" s="4">
        <v>0.03367</v>
      </c>
      <c r="I1570" s="4">
        <v>0.174</v>
      </c>
      <c r="J1570" s="4">
        <v>0.004</v>
      </c>
      <c r="K1570" s="6" t="b">
        <f t="shared" ref="K1570:M1570" si="1535">FALSE()</f>
        <v>0</v>
      </c>
      <c r="L1570" s="6" t="b">
        <f t="shared" si="1535"/>
        <v>0</v>
      </c>
      <c r="M1570" s="6" t="b">
        <f t="shared" si="1535"/>
        <v>0</v>
      </c>
      <c r="N1570" s="4">
        <v>0.0331155762112071</v>
      </c>
      <c r="P1570" s="4">
        <v>0.160416721405905</v>
      </c>
      <c r="T1570" s="4">
        <f t="shared" si="3"/>
        <v>1505</v>
      </c>
      <c r="U1570" s="4">
        <f t="shared" si="4"/>
        <v>2988</v>
      </c>
    </row>
    <row r="1571" ht="15.75" customHeight="1">
      <c r="A1571" s="4" t="s">
        <v>578</v>
      </c>
      <c r="B1571" s="4" t="s">
        <v>13</v>
      </c>
      <c r="C1571" s="4">
        <v>0.0214</v>
      </c>
      <c r="D1571" s="4">
        <v>0.0135</v>
      </c>
      <c r="E1571" s="4">
        <v>0.0135</v>
      </c>
      <c r="I1571" s="4">
        <v>0.187</v>
      </c>
      <c r="J1571" s="4">
        <v>0.018</v>
      </c>
      <c r="K1571" s="6" t="b">
        <f t="shared" ref="K1571:M1571" si="1536">FALSE()</f>
        <v>0</v>
      </c>
      <c r="L1571" s="6" t="b">
        <f t="shared" si="1536"/>
        <v>0</v>
      </c>
      <c r="M1571" s="6" t="b">
        <f t="shared" si="1536"/>
        <v>0</v>
      </c>
      <c r="N1571" s="4">
        <v>0.0211742352314064</v>
      </c>
      <c r="P1571" s="4">
        <v>0.171429115627531</v>
      </c>
      <c r="T1571" s="4">
        <f t="shared" si="3"/>
        <v>1694</v>
      </c>
      <c r="U1571" s="4">
        <f t="shared" si="4"/>
        <v>2781</v>
      </c>
    </row>
    <row r="1572" ht="15.75" customHeight="1">
      <c r="A1572" s="4" t="s">
        <v>580</v>
      </c>
      <c r="B1572" s="4" t="s">
        <v>13</v>
      </c>
      <c r="C1572" s="4">
        <v>0.315</v>
      </c>
      <c r="D1572" s="4">
        <v>0.027</v>
      </c>
      <c r="E1572" s="4">
        <v>0.027</v>
      </c>
      <c r="I1572" s="4">
        <v>0.833</v>
      </c>
      <c r="J1572" s="4">
        <v>0.013</v>
      </c>
      <c r="K1572" s="6" t="b">
        <f t="shared" ref="K1572:L1572" si="1537">FALSE()</f>
        <v>0</v>
      </c>
      <c r="L1572" s="6" t="b">
        <f t="shared" si="1537"/>
        <v>0</v>
      </c>
      <c r="M1572" s="6" t="b">
        <f>TRUE()</f>
        <v>1</v>
      </c>
      <c r="N1572" s="4">
        <v>0.273836665629728</v>
      </c>
      <c r="P1572" s="4">
        <v>0.605953968857568</v>
      </c>
      <c r="T1572" s="4">
        <f t="shared" si="3"/>
        <v>1059</v>
      </c>
      <c r="U1572" s="4">
        <f t="shared" si="4"/>
        <v>815</v>
      </c>
    </row>
    <row r="1573" ht="15.75" customHeight="1">
      <c r="A1573" s="4" t="s">
        <v>2845</v>
      </c>
      <c r="B1573" s="4" t="s">
        <v>13</v>
      </c>
      <c r="I1573" s="4">
        <v>0.152</v>
      </c>
      <c r="J1573" s="4">
        <v>0.0321</v>
      </c>
      <c r="K1573" s="6" t="b">
        <f t="shared" ref="K1573:M1573" si="1538">FALSE()</f>
        <v>0</v>
      </c>
      <c r="L1573" s="6" t="b">
        <f t="shared" si="1538"/>
        <v>0</v>
      </c>
      <c r="M1573" s="6" t="b">
        <f t="shared" si="1538"/>
        <v>0</v>
      </c>
      <c r="P1573" s="4">
        <v>0.1414995622737</v>
      </c>
      <c r="T1573" s="4" t="str">
        <f t="shared" si="3"/>
        <v/>
      </c>
      <c r="U1573" s="4">
        <f t="shared" si="4"/>
        <v>3292</v>
      </c>
    </row>
    <row r="1574" ht="15.75" customHeight="1">
      <c r="A1574" s="4" t="s">
        <v>581</v>
      </c>
      <c r="B1574" s="4" t="s">
        <v>13</v>
      </c>
      <c r="C1574" s="4">
        <v>0.1529</v>
      </c>
      <c r="D1574" s="4">
        <v>0.0585</v>
      </c>
      <c r="E1574" s="4">
        <v>0.0585</v>
      </c>
      <c r="I1574" s="4">
        <v>0.812</v>
      </c>
      <c r="J1574" s="4">
        <v>0.027</v>
      </c>
      <c r="K1574" s="6" t="b">
        <f t="shared" ref="K1574:L1574" si="1539">FALSE()</f>
        <v>0</v>
      </c>
      <c r="L1574" s="6" t="b">
        <f t="shared" si="1539"/>
        <v>0</v>
      </c>
      <c r="M1574" s="6" t="b">
        <f>TRUE()</f>
        <v>1</v>
      </c>
      <c r="N1574" s="4">
        <v>0.142280507256771</v>
      </c>
      <c r="P1574" s="4">
        <v>0.594431207620788</v>
      </c>
      <c r="T1574" s="4">
        <f t="shared" si="3"/>
        <v>1192</v>
      </c>
      <c r="U1574" s="4">
        <f t="shared" si="4"/>
        <v>831</v>
      </c>
    </row>
    <row r="1575" ht="15.75" customHeight="1">
      <c r="A1575" s="4" t="s">
        <v>2846</v>
      </c>
      <c r="B1575" s="4" t="s">
        <v>13</v>
      </c>
      <c r="I1575" s="4">
        <v>0.207</v>
      </c>
      <c r="J1575" s="4">
        <v>0.021</v>
      </c>
      <c r="K1575" s="6" t="b">
        <f t="shared" ref="K1575:M1575" si="1540">FALSE()</f>
        <v>0</v>
      </c>
      <c r="L1575" s="6" t="b">
        <f t="shared" si="1540"/>
        <v>0</v>
      </c>
      <c r="M1575" s="6" t="b">
        <f t="shared" si="1540"/>
        <v>0</v>
      </c>
      <c r="P1575" s="4">
        <v>0.188137942115394</v>
      </c>
      <c r="T1575" s="4" t="str">
        <f t="shared" si="3"/>
        <v/>
      </c>
      <c r="U1575" s="4">
        <f t="shared" si="4"/>
        <v>2459</v>
      </c>
    </row>
    <row r="1576" ht="15.75" customHeight="1">
      <c r="A1576" s="4" t="s">
        <v>582</v>
      </c>
      <c r="B1576" s="4" t="s">
        <v>13</v>
      </c>
      <c r="C1576" s="4">
        <v>0.0343</v>
      </c>
      <c r="I1576" s="4">
        <v>0.273</v>
      </c>
      <c r="J1576" s="4">
        <v>0.014</v>
      </c>
      <c r="K1576" s="6" t="b">
        <f t="shared" ref="K1576:M1576" si="1541">FALSE()</f>
        <v>0</v>
      </c>
      <c r="L1576" s="6" t="b">
        <f t="shared" si="1541"/>
        <v>0</v>
      </c>
      <c r="M1576" s="6" t="b">
        <f t="shared" si="1541"/>
        <v>0</v>
      </c>
      <c r="N1576" s="4">
        <v>0.0337248694016208</v>
      </c>
      <c r="P1576" s="4">
        <v>0.241376319575269</v>
      </c>
      <c r="T1576" s="4">
        <f t="shared" si="3"/>
        <v>1494</v>
      </c>
      <c r="U1576" s="4">
        <f t="shared" si="4"/>
        <v>1560</v>
      </c>
    </row>
    <row r="1577" ht="15.75" customHeight="1">
      <c r="A1577" s="4" t="s">
        <v>583</v>
      </c>
      <c r="B1577" s="4" t="s">
        <v>13</v>
      </c>
      <c r="C1577" s="4">
        <v>0.774</v>
      </c>
      <c r="D1577" s="4">
        <v>0.047</v>
      </c>
      <c r="E1577" s="4">
        <v>0.047</v>
      </c>
      <c r="I1577" s="4">
        <v>1.006</v>
      </c>
      <c r="J1577" s="4">
        <v>0.05</v>
      </c>
      <c r="K1577" s="6" t="b">
        <f t="shared" ref="K1577:L1577" si="1542">FALSE()</f>
        <v>0</v>
      </c>
      <c r="L1577" s="6" t="b">
        <f t="shared" si="1542"/>
        <v>0</v>
      </c>
      <c r="M1577" s="6" t="b">
        <f>TRUE()</f>
        <v>1</v>
      </c>
      <c r="N1577" s="4">
        <v>0.573236883887388</v>
      </c>
      <c r="P1577" s="4">
        <v>0.696142689539744</v>
      </c>
      <c r="T1577" s="4">
        <f t="shared" si="3"/>
        <v>782</v>
      </c>
      <c r="U1577" s="4">
        <f t="shared" si="4"/>
        <v>661</v>
      </c>
    </row>
    <row r="1578" ht="15.75" customHeight="1">
      <c r="A1578" s="4" t="s">
        <v>584</v>
      </c>
      <c r="B1578" s="4" t="s">
        <v>13</v>
      </c>
      <c r="C1578" s="4">
        <v>0.02042</v>
      </c>
      <c r="D1578" s="4">
        <v>0.00365</v>
      </c>
      <c r="E1578" s="4">
        <v>0.00365</v>
      </c>
      <c r="I1578" s="4">
        <v>0.142</v>
      </c>
      <c r="J1578" s="4">
        <v>0.006</v>
      </c>
      <c r="K1578" s="6" t="b">
        <f t="shared" ref="K1578:M1578" si="1543">FALSE()</f>
        <v>0</v>
      </c>
      <c r="L1578" s="6" t="b">
        <f t="shared" si="1543"/>
        <v>0</v>
      </c>
      <c r="M1578" s="6" t="b">
        <f t="shared" si="1543"/>
        <v>0</v>
      </c>
      <c r="N1578" s="4">
        <v>0.0202143072502399</v>
      </c>
      <c r="P1578" s="4">
        <v>0.132781111233818</v>
      </c>
      <c r="T1578" s="4">
        <f t="shared" si="3"/>
        <v>1722</v>
      </c>
      <c r="U1578" s="4">
        <f t="shared" si="4"/>
        <v>3470</v>
      </c>
    </row>
    <row r="1579" ht="15.75" customHeight="1">
      <c r="A1579" s="4" t="s">
        <v>585</v>
      </c>
      <c r="B1579" s="4" t="s">
        <v>13</v>
      </c>
      <c r="C1579" s="4">
        <v>0.07709</v>
      </c>
      <c r="D1579" s="4">
        <v>0.01384</v>
      </c>
      <c r="E1579" s="4">
        <v>0.01384</v>
      </c>
      <c r="I1579" s="4">
        <v>0.235</v>
      </c>
      <c r="J1579" s="4">
        <v>0.009</v>
      </c>
      <c r="K1579" s="6" t="b">
        <f t="shared" ref="K1579:M1579" si="1544">FALSE()</f>
        <v>0</v>
      </c>
      <c r="L1579" s="6" t="b">
        <f t="shared" si="1544"/>
        <v>0</v>
      </c>
      <c r="M1579" s="6" t="b">
        <f t="shared" si="1544"/>
        <v>0</v>
      </c>
      <c r="N1579" s="4">
        <v>0.074262960142463</v>
      </c>
      <c r="P1579" s="4">
        <v>0.211070970079941</v>
      </c>
      <c r="T1579" s="4">
        <f t="shared" si="3"/>
        <v>1305</v>
      </c>
      <c r="U1579" s="4">
        <f t="shared" si="4"/>
        <v>2027</v>
      </c>
    </row>
    <row r="1580" ht="15.75" customHeight="1">
      <c r="A1580" s="4" t="s">
        <v>2847</v>
      </c>
      <c r="B1580" s="4" t="s">
        <v>13</v>
      </c>
      <c r="I1580" s="4">
        <v>0.219</v>
      </c>
      <c r="J1580" s="4">
        <v>0.022</v>
      </c>
      <c r="K1580" s="6" t="b">
        <f t="shared" ref="K1580:M1580" si="1545">FALSE()</f>
        <v>0</v>
      </c>
      <c r="L1580" s="6" t="b">
        <f t="shared" si="1545"/>
        <v>0</v>
      </c>
      <c r="M1580" s="6" t="b">
        <f t="shared" si="1545"/>
        <v>0</v>
      </c>
      <c r="P1580" s="4">
        <v>0.198030850499134</v>
      </c>
      <c r="T1580" s="4" t="str">
        <f t="shared" si="3"/>
        <v/>
      </c>
      <c r="U1580" s="4">
        <f t="shared" si="4"/>
        <v>2274</v>
      </c>
    </row>
    <row r="1581" ht="15.75" customHeight="1">
      <c r="A1581" s="4" t="s">
        <v>2848</v>
      </c>
      <c r="B1581" s="4" t="s">
        <v>13</v>
      </c>
      <c r="I1581" s="4">
        <v>0.148</v>
      </c>
      <c r="J1581" s="4">
        <v>0.017</v>
      </c>
      <c r="K1581" s="6" t="b">
        <f t="shared" ref="K1581:M1581" si="1546">FALSE()</f>
        <v>0</v>
      </c>
      <c r="L1581" s="6" t="b">
        <f t="shared" si="1546"/>
        <v>0</v>
      </c>
      <c r="M1581" s="6" t="b">
        <f t="shared" si="1546"/>
        <v>0</v>
      </c>
      <c r="P1581" s="4">
        <v>0.138021297897375</v>
      </c>
      <c r="T1581" s="4" t="str">
        <f t="shared" si="3"/>
        <v/>
      </c>
      <c r="U1581" s="4">
        <f t="shared" si="4"/>
        <v>3358</v>
      </c>
    </row>
    <row r="1582" ht="15.75" customHeight="1">
      <c r="A1582" s="4" t="s">
        <v>586</v>
      </c>
      <c r="B1582" s="4" t="s">
        <v>13</v>
      </c>
      <c r="C1582" s="4">
        <v>0.335</v>
      </c>
      <c r="D1582" s="4">
        <v>0.062</v>
      </c>
      <c r="E1582" s="4">
        <v>0.062</v>
      </c>
      <c r="I1582" s="4">
        <v>0.897</v>
      </c>
      <c r="J1582" s="4">
        <v>0.005</v>
      </c>
      <c r="K1582" s="6" t="b">
        <f t="shared" ref="K1582:L1582" si="1547">FALSE()</f>
        <v>0</v>
      </c>
      <c r="L1582" s="6" t="b">
        <f t="shared" si="1547"/>
        <v>0</v>
      </c>
      <c r="M1582" s="6" t="b">
        <f>TRUE()</f>
        <v>1</v>
      </c>
      <c r="N1582" s="4">
        <v>0.288931291852213</v>
      </c>
      <c r="P1582" s="4">
        <v>0.640273690952877</v>
      </c>
      <c r="T1582" s="4">
        <f t="shared" si="3"/>
        <v>1052</v>
      </c>
      <c r="U1582" s="4">
        <f t="shared" si="4"/>
        <v>769</v>
      </c>
    </row>
    <row r="1583" ht="15.75" customHeight="1">
      <c r="A1583" s="4" t="s">
        <v>2849</v>
      </c>
      <c r="B1583" s="4" t="s">
        <v>13</v>
      </c>
      <c r="I1583" s="4">
        <v>0.167</v>
      </c>
      <c r="J1583" s="4">
        <v>0.04</v>
      </c>
      <c r="K1583" s="6" t="b">
        <f t="shared" ref="K1583:M1583" si="1548">FALSE()</f>
        <v>0</v>
      </c>
      <c r="L1583" s="6" t="b">
        <f t="shared" si="1548"/>
        <v>0</v>
      </c>
      <c r="M1583" s="6" t="b">
        <f t="shared" si="1548"/>
        <v>0</v>
      </c>
      <c r="P1583" s="4">
        <v>0.154436353304419</v>
      </c>
      <c r="T1583" s="4" t="str">
        <f t="shared" si="3"/>
        <v/>
      </c>
      <c r="U1583" s="4">
        <f t="shared" si="4"/>
        <v>3085</v>
      </c>
    </row>
    <row r="1584" ht="15.75" customHeight="1">
      <c r="A1584" s="4" t="s">
        <v>2850</v>
      </c>
      <c r="B1584" s="4" t="s">
        <v>13</v>
      </c>
      <c r="I1584" s="4">
        <v>0.062</v>
      </c>
      <c r="J1584" s="4">
        <v>0.004</v>
      </c>
      <c r="K1584" s="6" t="b">
        <f t="shared" ref="K1584:M1584" si="1549">FALSE()</f>
        <v>0</v>
      </c>
      <c r="L1584" s="6" t="b">
        <f t="shared" si="1549"/>
        <v>0</v>
      </c>
      <c r="M1584" s="6" t="b">
        <f t="shared" si="1549"/>
        <v>0</v>
      </c>
      <c r="P1584" s="4">
        <v>0.060153922819747</v>
      </c>
      <c r="T1584" s="4" t="str">
        <f t="shared" si="3"/>
        <v/>
      </c>
      <c r="U1584" s="4">
        <f t="shared" si="4"/>
        <v>4526</v>
      </c>
    </row>
    <row r="1585" ht="15.75" customHeight="1">
      <c r="A1585" s="4" t="s">
        <v>2851</v>
      </c>
      <c r="B1585" s="4" t="s">
        <v>13</v>
      </c>
      <c r="I1585" s="4">
        <v>0.093</v>
      </c>
      <c r="J1585" s="4">
        <v>0.003</v>
      </c>
      <c r="K1585" s="6" t="b">
        <f t="shared" ref="K1585:M1585" si="1550">FALSE()</f>
        <v>0</v>
      </c>
      <c r="L1585" s="6" t="b">
        <f t="shared" si="1550"/>
        <v>0</v>
      </c>
      <c r="M1585" s="6" t="b">
        <f t="shared" si="1550"/>
        <v>0</v>
      </c>
      <c r="P1585" s="4">
        <v>0.0889262091944015</v>
      </c>
      <c r="T1585" s="4" t="str">
        <f t="shared" si="3"/>
        <v/>
      </c>
      <c r="U1585" s="4">
        <f t="shared" si="4"/>
        <v>4296</v>
      </c>
    </row>
    <row r="1586" ht="15.75" customHeight="1">
      <c r="A1586" s="4" t="s">
        <v>2852</v>
      </c>
      <c r="B1586" s="4" t="s">
        <v>13</v>
      </c>
      <c r="I1586" s="4">
        <v>0.152</v>
      </c>
      <c r="J1586" s="4">
        <v>0.028</v>
      </c>
      <c r="K1586" s="6" t="b">
        <f t="shared" ref="K1586:M1586" si="1551">FALSE()</f>
        <v>0</v>
      </c>
      <c r="L1586" s="6" t="b">
        <f t="shared" si="1551"/>
        <v>0</v>
      </c>
      <c r="M1586" s="6" t="b">
        <f t="shared" si="1551"/>
        <v>0</v>
      </c>
      <c r="P1586" s="4">
        <v>0.1414995622737</v>
      </c>
      <c r="T1586" s="4" t="str">
        <f t="shared" si="3"/>
        <v/>
      </c>
      <c r="U1586" s="4">
        <f t="shared" si="4"/>
        <v>3293</v>
      </c>
    </row>
    <row r="1587" ht="15.75" customHeight="1">
      <c r="A1587" s="4" t="s">
        <v>2853</v>
      </c>
      <c r="B1587" s="4" t="s">
        <v>13</v>
      </c>
      <c r="I1587" s="4">
        <v>0.125</v>
      </c>
      <c r="J1587" s="4">
        <v>0.045</v>
      </c>
      <c r="K1587" s="6" t="b">
        <f t="shared" ref="K1587:M1587" si="1552">FALSE()</f>
        <v>0</v>
      </c>
      <c r="L1587" s="6" t="b">
        <f t="shared" si="1552"/>
        <v>0</v>
      </c>
      <c r="M1587" s="6" t="b">
        <f t="shared" si="1552"/>
        <v>0</v>
      </c>
      <c r="P1587" s="4">
        <v>0.117783035656383</v>
      </c>
      <c r="T1587" s="4" t="str">
        <f t="shared" si="3"/>
        <v/>
      </c>
      <c r="U1587" s="4">
        <f t="shared" si="4"/>
        <v>3782</v>
      </c>
    </row>
    <row r="1588" ht="15.75" customHeight="1">
      <c r="A1588" s="4" t="s">
        <v>2854</v>
      </c>
      <c r="B1588" s="4" t="s">
        <v>13</v>
      </c>
      <c r="I1588" s="4">
        <v>0.232</v>
      </c>
      <c r="J1588" s="4">
        <v>0.08</v>
      </c>
      <c r="K1588" s="6" t="b">
        <f t="shared" ref="K1588:M1588" si="1553">FALSE()</f>
        <v>0</v>
      </c>
      <c r="L1588" s="6" t="b">
        <f t="shared" si="1553"/>
        <v>0</v>
      </c>
      <c r="M1588" s="6" t="b">
        <f t="shared" si="1553"/>
        <v>0</v>
      </c>
      <c r="P1588" s="4">
        <v>0.208638865111328</v>
      </c>
      <c r="T1588" s="4" t="str">
        <f t="shared" si="3"/>
        <v/>
      </c>
      <c r="U1588" s="4">
        <f t="shared" si="4"/>
        <v>2073</v>
      </c>
    </row>
    <row r="1589" ht="15.75" customHeight="1">
      <c r="A1589" s="4" t="s">
        <v>587</v>
      </c>
      <c r="B1589" s="4" t="s">
        <v>13</v>
      </c>
      <c r="C1589" s="4">
        <v>0.73</v>
      </c>
      <c r="D1589" s="4">
        <v>0.04</v>
      </c>
      <c r="E1589" s="4">
        <v>0.04</v>
      </c>
      <c r="F1589" s="4">
        <v>0.73</v>
      </c>
      <c r="G1589" s="4">
        <v>0.04</v>
      </c>
      <c r="H1589" s="4">
        <v>0.04</v>
      </c>
      <c r="I1589" s="4">
        <v>1.19</v>
      </c>
      <c r="J1589" s="4">
        <v>0.02</v>
      </c>
      <c r="K1589" s="6" t="b">
        <f t="shared" ref="K1589:L1589" si="1554">FALSE()</f>
        <v>0</v>
      </c>
      <c r="L1589" s="6" t="b">
        <f t="shared" si="1554"/>
        <v>0</v>
      </c>
      <c r="M1589" s="6" t="b">
        <f>TRUE()</f>
        <v>1</v>
      </c>
      <c r="N1589" s="4">
        <v>0.548121408509688</v>
      </c>
      <c r="O1589" s="4">
        <v>0.548121408509688</v>
      </c>
      <c r="P1589" s="4">
        <v>0.783901543828409</v>
      </c>
      <c r="Q1589" s="4">
        <v>-0.179665430920647</v>
      </c>
      <c r="R1589" s="4">
        <v>-0.189326950764898</v>
      </c>
      <c r="S1589" s="4">
        <v>0.682406767600141</v>
      </c>
      <c r="T1589" s="4">
        <f t="shared" si="3"/>
        <v>799</v>
      </c>
      <c r="U1589" s="4">
        <f t="shared" si="4"/>
        <v>400</v>
      </c>
    </row>
    <row r="1590" ht="15.75" customHeight="1">
      <c r="A1590" s="4" t="s">
        <v>2855</v>
      </c>
      <c r="B1590" s="4" t="s">
        <v>13</v>
      </c>
      <c r="I1590" s="4">
        <v>0.09</v>
      </c>
      <c r="J1590" s="4">
        <v>0.012</v>
      </c>
      <c r="K1590" s="6" t="b">
        <f t="shared" ref="K1590:M1590" si="1555">FALSE()</f>
        <v>0</v>
      </c>
      <c r="L1590" s="6" t="b">
        <f t="shared" si="1555"/>
        <v>0</v>
      </c>
      <c r="M1590" s="6" t="b">
        <f t="shared" si="1555"/>
        <v>0</v>
      </c>
      <c r="P1590" s="4">
        <v>0.0861776962410523</v>
      </c>
      <c r="T1590" s="4" t="str">
        <f t="shared" si="3"/>
        <v/>
      </c>
      <c r="U1590" s="4">
        <f t="shared" si="4"/>
        <v>4327</v>
      </c>
    </row>
    <row r="1591" ht="15.75" customHeight="1">
      <c r="A1591" s="4" t="s">
        <v>2856</v>
      </c>
      <c r="B1591" s="4" t="s">
        <v>13</v>
      </c>
      <c r="I1591" s="4">
        <v>0.145</v>
      </c>
      <c r="J1591" s="4">
        <v>0.017</v>
      </c>
      <c r="K1591" s="6" t="b">
        <f t="shared" ref="K1591:M1591" si="1556">FALSE()</f>
        <v>0</v>
      </c>
      <c r="L1591" s="6" t="b">
        <f t="shared" si="1556"/>
        <v>0</v>
      </c>
      <c r="M1591" s="6" t="b">
        <f t="shared" si="1556"/>
        <v>0</v>
      </c>
      <c r="P1591" s="4">
        <v>0.135404637006203</v>
      </c>
      <c r="T1591" s="4" t="str">
        <f t="shared" si="3"/>
        <v/>
      </c>
      <c r="U1591" s="4">
        <f t="shared" si="4"/>
        <v>3408</v>
      </c>
    </row>
    <row r="1592" ht="15.75" customHeight="1">
      <c r="A1592" s="4" t="s">
        <v>2857</v>
      </c>
      <c r="B1592" s="4" t="s">
        <v>13</v>
      </c>
      <c r="I1592" s="4">
        <v>0.107</v>
      </c>
      <c r="J1592" s="4">
        <v>0.009</v>
      </c>
      <c r="K1592" s="6" t="b">
        <f t="shared" ref="K1592:M1592" si="1557">FALSE()</f>
        <v>0</v>
      </c>
      <c r="L1592" s="6" t="b">
        <f t="shared" si="1557"/>
        <v>0</v>
      </c>
      <c r="M1592" s="6" t="b">
        <f t="shared" si="1557"/>
        <v>0</v>
      </c>
      <c r="P1592" s="4">
        <v>0.1016536537265</v>
      </c>
      <c r="T1592" s="4" t="str">
        <f t="shared" si="3"/>
        <v/>
      </c>
      <c r="U1592" s="4">
        <f t="shared" si="4"/>
        <v>4092</v>
      </c>
    </row>
    <row r="1593" ht="15.75" customHeight="1">
      <c r="A1593" s="4" t="s">
        <v>2858</v>
      </c>
      <c r="B1593" s="4" t="s">
        <v>13</v>
      </c>
      <c r="I1593" s="4">
        <v>0.08</v>
      </c>
      <c r="J1593" s="4">
        <v>0.018</v>
      </c>
      <c r="K1593" s="6" t="b">
        <f t="shared" ref="K1593:M1593" si="1558">FALSE()</f>
        <v>0</v>
      </c>
      <c r="L1593" s="6" t="b">
        <f t="shared" si="1558"/>
        <v>0</v>
      </c>
      <c r="M1593" s="6" t="b">
        <f t="shared" si="1558"/>
        <v>0</v>
      </c>
      <c r="P1593" s="4">
        <v>0.0769610411361283</v>
      </c>
      <c r="T1593" s="4" t="str">
        <f t="shared" si="3"/>
        <v/>
      </c>
      <c r="U1593" s="4">
        <f t="shared" si="4"/>
        <v>4410</v>
      </c>
    </row>
    <row r="1594" ht="15.75" customHeight="1">
      <c r="A1594" s="4" t="s">
        <v>2859</v>
      </c>
      <c r="B1594" s="4" t="s">
        <v>13</v>
      </c>
      <c r="I1594" s="4">
        <v>0.0856</v>
      </c>
      <c r="J1594" s="4">
        <v>0.009</v>
      </c>
      <c r="K1594" s="6" t="b">
        <f t="shared" ref="K1594:M1594" si="1559">FALSE()</f>
        <v>0</v>
      </c>
      <c r="L1594" s="6" t="b">
        <f t="shared" si="1559"/>
        <v>0</v>
      </c>
      <c r="M1594" s="6" t="b">
        <f t="shared" si="1559"/>
        <v>0</v>
      </c>
      <c r="P1594" s="4">
        <v>0.0821328295385223</v>
      </c>
      <c r="T1594" s="4" t="str">
        <f t="shared" si="3"/>
        <v/>
      </c>
      <c r="U1594" s="4">
        <f t="shared" si="4"/>
        <v>4369</v>
      </c>
    </row>
    <row r="1595" ht="15.75" customHeight="1">
      <c r="A1595" s="4" t="s">
        <v>2860</v>
      </c>
      <c r="B1595" s="4" t="s">
        <v>13</v>
      </c>
      <c r="I1595" s="4">
        <v>0.098</v>
      </c>
      <c r="J1595" s="4">
        <v>0.009</v>
      </c>
      <c r="K1595" s="6" t="b">
        <f t="shared" ref="K1595:M1595" si="1560">FALSE()</f>
        <v>0</v>
      </c>
      <c r="L1595" s="6" t="b">
        <f t="shared" si="1560"/>
        <v>0</v>
      </c>
      <c r="M1595" s="6" t="b">
        <f t="shared" si="1560"/>
        <v>0</v>
      </c>
      <c r="P1595" s="4">
        <v>0.0934903430873388</v>
      </c>
      <c r="T1595" s="4" t="str">
        <f t="shared" si="3"/>
        <v/>
      </c>
      <c r="U1595" s="4">
        <f t="shared" si="4"/>
        <v>4243</v>
      </c>
    </row>
    <row r="1596" ht="15.75" customHeight="1">
      <c r="A1596" s="4" t="s">
        <v>2861</v>
      </c>
      <c r="B1596" s="4" t="s">
        <v>13</v>
      </c>
      <c r="I1596" s="4">
        <v>0.086</v>
      </c>
      <c r="J1596" s="4">
        <v>0.013</v>
      </c>
      <c r="K1596" s="6" t="b">
        <f t="shared" ref="K1596:M1596" si="1561">FALSE()</f>
        <v>0</v>
      </c>
      <c r="L1596" s="6" t="b">
        <f t="shared" si="1561"/>
        <v>0</v>
      </c>
      <c r="M1596" s="6" t="b">
        <f t="shared" si="1561"/>
        <v>0</v>
      </c>
      <c r="P1596" s="4">
        <v>0.0825012215117436</v>
      </c>
      <c r="T1596" s="4" t="str">
        <f t="shared" si="3"/>
        <v/>
      </c>
      <c r="U1596" s="4">
        <f t="shared" si="4"/>
        <v>4364</v>
      </c>
    </row>
    <row r="1597" ht="15.75" customHeight="1">
      <c r="A1597" s="4" t="s">
        <v>2862</v>
      </c>
      <c r="B1597" s="4" t="s">
        <v>13</v>
      </c>
      <c r="I1597" s="4">
        <v>0.18682</v>
      </c>
      <c r="J1597" s="4">
        <v>0.0143</v>
      </c>
      <c r="K1597" s="6" t="b">
        <f t="shared" ref="K1597:M1597" si="1562">FALSE()</f>
        <v>0</v>
      </c>
      <c r="L1597" s="6" t="b">
        <f t="shared" si="1562"/>
        <v>0</v>
      </c>
      <c r="M1597" s="6" t="b">
        <f t="shared" si="1562"/>
        <v>0</v>
      </c>
      <c r="P1597" s="4">
        <v>0.171277461331632</v>
      </c>
      <c r="T1597" s="4" t="str">
        <f t="shared" si="3"/>
        <v/>
      </c>
      <c r="U1597" s="4">
        <f t="shared" si="4"/>
        <v>2794</v>
      </c>
    </row>
    <row r="1598" ht="15.75" customHeight="1">
      <c r="A1598" s="4" t="s">
        <v>2863</v>
      </c>
      <c r="B1598" s="4" t="s">
        <v>13</v>
      </c>
      <c r="I1598" s="4">
        <v>0.118</v>
      </c>
      <c r="J1598" s="4">
        <v>0.008</v>
      </c>
      <c r="K1598" s="6" t="b">
        <f t="shared" ref="K1598:M1598" si="1563">FALSE()</f>
        <v>0</v>
      </c>
      <c r="L1598" s="6" t="b">
        <f t="shared" si="1563"/>
        <v>0</v>
      </c>
      <c r="M1598" s="6" t="b">
        <f t="shared" si="1563"/>
        <v>0</v>
      </c>
      <c r="P1598" s="4">
        <v>0.111541374732907</v>
      </c>
      <c r="T1598" s="4" t="str">
        <f t="shared" si="3"/>
        <v/>
      </c>
      <c r="U1598" s="4">
        <f t="shared" si="4"/>
        <v>3902</v>
      </c>
    </row>
    <row r="1599" ht="15.75" customHeight="1">
      <c r="A1599" s="4" t="s">
        <v>2864</v>
      </c>
      <c r="B1599" s="4" t="s">
        <v>13</v>
      </c>
      <c r="I1599" s="4">
        <v>0.2025</v>
      </c>
      <c r="J1599" s="4">
        <v>0.0125</v>
      </c>
      <c r="K1599" s="6" t="b">
        <f t="shared" ref="K1599:M1599" si="1564">FALSE()</f>
        <v>0</v>
      </c>
      <c r="L1599" s="6" t="b">
        <f t="shared" si="1564"/>
        <v>0</v>
      </c>
      <c r="M1599" s="6" t="b">
        <f t="shared" si="1564"/>
        <v>0</v>
      </c>
      <c r="P1599" s="4">
        <v>0.184402722997779</v>
      </c>
      <c r="T1599" s="4" t="str">
        <f t="shared" si="3"/>
        <v/>
      </c>
      <c r="U1599" s="4">
        <f t="shared" si="4"/>
        <v>2541</v>
      </c>
    </row>
    <row r="1600" ht="15.75" customHeight="1">
      <c r="A1600" s="4" t="s">
        <v>2865</v>
      </c>
      <c r="B1600" s="4" t="s">
        <v>13</v>
      </c>
      <c r="I1600" s="4">
        <v>0.194</v>
      </c>
      <c r="J1600" s="4">
        <v>0.037</v>
      </c>
      <c r="K1600" s="6" t="b">
        <f t="shared" ref="K1600:M1600" si="1565">FALSE()</f>
        <v>0</v>
      </c>
      <c r="L1600" s="6" t="b">
        <f t="shared" si="1565"/>
        <v>0</v>
      </c>
      <c r="M1600" s="6" t="b">
        <f t="shared" si="1565"/>
        <v>0</v>
      </c>
      <c r="P1600" s="4">
        <v>0.17730901497041</v>
      </c>
      <c r="T1600" s="4" t="str">
        <f t="shared" si="3"/>
        <v/>
      </c>
      <c r="U1600" s="4">
        <f t="shared" si="4"/>
        <v>2678</v>
      </c>
    </row>
    <row r="1601" ht="15.75" customHeight="1">
      <c r="A1601" s="4" t="s">
        <v>2866</v>
      </c>
      <c r="B1601" s="4" t="s">
        <v>13</v>
      </c>
      <c r="I1601" s="4">
        <v>0.143</v>
      </c>
      <c r="J1601" s="4">
        <v>0.014</v>
      </c>
      <c r="K1601" s="6" t="b">
        <f t="shared" ref="K1601:M1601" si="1566">FALSE()</f>
        <v>0</v>
      </c>
      <c r="L1601" s="6" t="b">
        <f t="shared" si="1566"/>
        <v>0</v>
      </c>
      <c r="M1601" s="6" t="b">
        <f t="shared" si="1566"/>
        <v>0</v>
      </c>
      <c r="P1601" s="4">
        <v>0.133656384812674</v>
      </c>
      <c r="T1601" s="4" t="str">
        <f t="shared" si="3"/>
        <v/>
      </c>
      <c r="U1601" s="4">
        <f t="shared" si="4"/>
        <v>3451</v>
      </c>
    </row>
    <row r="1602" ht="15.75" customHeight="1">
      <c r="A1602" s="4" t="s">
        <v>2867</v>
      </c>
      <c r="B1602" s="4" t="s">
        <v>13</v>
      </c>
      <c r="I1602" s="4">
        <v>0.1</v>
      </c>
      <c r="J1602" s="4">
        <v>0.008</v>
      </c>
      <c r="K1602" s="6" t="b">
        <f t="shared" ref="K1602:M1602" si="1567">FALSE()</f>
        <v>0</v>
      </c>
      <c r="L1602" s="6" t="b">
        <f t="shared" si="1567"/>
        <v>0</v>
      </c>
      <c r="M1602" s="6" t="b">
        <f t="shared" si="1567"/>
        <v>0</v>
      </c>
      <c r="P1602" s="4">
        <v>0.0953101798043248</v>
      </c>
      <c r="T1602" s="4" t="str">
        <f t="shared" si="3"/>
        <v/>
      </c>
      <c r="U1602" s="4">
        <f t="shared" si="4"/>
        <v>4210</v>
      </c>
    </row>
    <row r="1603" ht="15.75" customHeight="1">
      <c r="A1603" s="4" t="s">
        <v>2868</v>
      </c>
      <c r="B1603" s="4" t="s">
        <v>13</v>
      </c>
      <c r="I1603" s="4">
        <v>0.207</v>
      </c>
      <c r="J1603" s="4">
        <v>0.0107</v>
      </c>
      <c r="K1603" s="6" t="b">
        <f t="shared" ref="K1603:M1603" si="1568">FALSE()</f>
        <v>0</v>
      </c>
      <c r="L1603" s="6" t="b">
        <f t="shared" si="1568"/>
        <v>0</v>
      </c>
      <c r="M1603" s="6" t="b">
        <f t="shared" si="1568"/>
        <v>0</v>
      </c>
      <c r="P1603" s="4">
        <v>0.188137942115394</v>
      </c>
      <c r="T1603" s="4" t="str">
        <f t="shared" si="3"/>
        <v/>
      </c>
      <c r="U1603" s="4">
        <f t="shared" si="4"/>
        <v>2460</v>
      </c>
    </row>
    <row r="1604" ht="15.75" customHeight="1">
      <c r="A1604" s="4" t="s">
        <v>588</v>
      </c>
      <c r="B1604" s="4" t="s">
        <v>13</v>
      </c>
      <c r="C1604" s="4">
        <v>0.025</v>
      </c>
      <c r="D1604" s="4">
        <v>0.0</v>
      </c>
      <c r="E1604" s="4">
        <v>0.0249</v>
      </c>
      <c r="I1604" s="4">
        <v>0.884</v>
      </c>
      <c r="J1604" s="4">
        <v>0.087</v>
      </c>
      <c r="K1604" s="6" t="b">
        <f t="shared" ref="K1604:L1604" si="1569">FALSE()</f>
        <v>0</v>
      </c>
      <c r="L1604" s="6" t="b">
        <f t="shared" si="1569"/>
        <v>0</v>
      </c>
      <c r="M1604" s="6" t="b">
        <f>TRUE()</f>
        <v>1</v>
      </c>
      <c r="N1604" s="4">
        <v>0.0246926125903715</v>
      </c>
      <c r="P1604" s="4">
        <v>0.633397176154171</v>
      </c>
      <c r="T1604" s="4">
        <f t="shared" si="3"/>
        <v>1633</v>
      </c>
      <c r="U1604" s="4">
        <f t="shared" si="4"/>
        <v>777</v>
      </c>
    </row>
    <row r="1605" ht="15.75" customHeight="1">
      <c r="A1605" s="4" t="s">
        <v>589</v>
      </c>
      <c r="B1605" s="4" t="s">
        <v>13</v>
      </c>
      <c r="C1605" s="4">
        <v>0.033</v>
      </c>
      <c r="D1605" s="4">
        <v>0.0047</v>
      </c>
      <c r="E1605" s="4">
        <v>0.0016</v>
      </c>
      <c r="I1605" s="4">
        <v>0.0749</v>
      </c>
      <c r="J1605" s="4">
        <v>0.0018</v>
      </c>
      <c r="K1605" s="6" t="b">
        <f t="shared" ref="K1605:M1605" si="1570">FALSE()</f>
        <v>0</v>
      </c>
      <c r="L1605" s="6" t="b">
        <f t="shared" si="1570"/>
        <v>0</v>
      </c>
      <c r="M1605" s="6" t="b">
        <f t="shared" si="1570"/>
        <v>0</v>
      </c>
      <c r="N1605" s="4">
        <v>0.0324671901375014</v>
      </c>
      <c r="P1605" s="4">
        <v>0.0722276339968807</v>
      </c>
      <c r="T1605" s="4">
        <f t="shared" si="3"/>
        <v>1513</v>
      </c>
      <c r="U1605" s="4">
        <f t="shared" si="4"/>
        <v>4457</v>
      </c>
    </row>
    <row r="1606" ht="15.75" customHeight="1">
      <c r="A1606" s="4" t="s">
        <v>590</v>
      </c>
      <c r="B1606" s="4" t="s">
        <v>13</v>
      </c>
      <c r="C1606" s="4">
        <v>0.053</v>
      </c>
      <c r="D1606" s="4">
        <v>0.025</v>
      </c>
      <c r="E1606" s="4">
        <v>0.041</v>
      </c>
      <c r="I1606" s="4">
        <v>0.0428</v>
      </c>
      <c r="J1606" s="4">
        <v>9.0E-4</v>
      </c>
      <c r="K1606" s="6" t="b">
        <f t="shared" ref="K1606:M1606" si="1571">FALSE()</f>
        <v>0</v>
      </c>
      <c r="L1606" s="6" t="b">
        <f t="shared" si="1571"/>
        <v>0</v>
      </c>
      <c r="M1606" s="6" t="b">
        <f t="shared" si="1571"/>
        <v>0</v>
      </c>
      <c r="N1606" s="4">
        <v>0.0516432331518384</v>
      </c>
      <c r="P1606" s="4">
        <v>0.0419094030772096</v>
      </c>
      <c r="T1606" s="4">
        <f t="shared" si="3"/>
        <v>1385</v>
      </c>
      <c r="U1606" s="4">
        <f t="shared" si="4"/>
        <v>4563</v>
      </c>
    </row>
    <row r="1607" ht="15.75" customHeight="1">
      <c r="A1607" s="4" t="s">
        <v>591</v>
      </c>
      <c r="B1607" s="4" t="s">
        <v>13</v>
      </c>
      <c r="C1607" s="4">
        <v>0.019</v>
      </c>
      <c r="D1607" s="4">
        <v>0.003</v>
      </c>
      <c r="E1607" s="4">
        <v>0.003</v>
      </c>
      <c r="I1607" s="4">
        <v>0.5656</v>
      </c>
      <c r="J1607" s="4">
        <v>0.027</v>
      </c>
      <c r="K1607" s="6" t="b">
        <f t="shared" ref="K1607:M1607" si="1572">FALSE()</f>
        <v>0</v>
      </c>
      <c r="L1607" s="6" t="b">
        <f t="shared" si="1572"/>
        <v>0</v>
      </c>
      <c r="M1607" s="6" t="b">
        <f t="shared" si="1572"/>
        <v>0</v>
      </c>
      <c r="N1607" s="4">
        <v>0.0188217542405877</v>
      </c>
      <c r="P1607" s="4">
        <v>0.448269137099729</v>
      </c>
      <c r="T1607" s="4">
        <f t="shared" si="3"/>
        <v>1752</v>
      </c>
      <c r="U1607" s="4">
        <f t="shared" si="4"/>
        <v>964</v>
      </c>
    </row>
    <row r="1608" ht="15.75" customHeight="1">
      <c r="A1608" s="4" t="s">
        <v>592</v>
      </c>
      <c r="B1608" s="4" t="s">
        <v>13</v>
      </c>
      <c r="C1608" s="4">
        <v>0.0334</v>
      </c>
      <c r="D1608" s="4">
        <v>0.0016</v>
      </c>
      <c r="E1608" s="4">
        <v>0.0013</v>
      </c>
      <c r="I1608" s="4">
        <v>0.848</v>
      </c>
      <c r="J1608" s="4">
        <v>0.046</v>
      </c>
      <c r="K1608" s="6" t="b">
        <f t="shared" ref="K1608:L1608" si="1573">FALSE()</f>
        <v>0</v>
      </c>
      <c r="L1608" s="6" t="b">
        <f t="shared" si="1573"/>
        <v>0</v>
      </c>
      <c r="M1608" s="6" t="b">
        <f t="shared" ref="M1608:M1609" si="1575">TRUE()</f>
        <v>1</v>
      </c>
      <c r="N1608" s="4">
        <v>0.0328543368709471</v>
      </c>
      <c r="P1608" s="4">
        <v>0.614103973219492</v>
      </c>
      <c r="T1608" s="4">
        <f t="shared" si="3"/>
        <v>1506</v>
      </c>
      <c r="U1608" s="4">
        <f t="shared" si="4"/>
        <v>806</v>
      </c>
    </row>
    <row r="1609" ht="15.75" customHeight="1">
      <c r="A1609" s="4" t="s">
        <v>593</v>
      </c>
      <c r="B1609" s="4" t="s">
        <v>13</v>
      </c>
      <c r="C1609" s="4">
        <v>0.579</v>
      </c>
      <c r="D1609" s="4">
        <v>0.027</v>
      </c>
      <c r="E1609" s="4">
        <v>0.028</v>
      </c>
      <c r="F1609" s="4">
        <v>0.623</v>
      </c>
      <c r="G1609" s="4">
        <v>0.031</v>
      </c>
      <c r="H1609" s="4">
        <v>0.031</v>
      </c>
      <c r="I1609" s="4">
        <v>1.039</v>
      </c>
      <c r="J1609" s="4">
        <v>0.051</v>
      </c>
      <c r="K1609" s="6" t="b">
        <f t="shared" ref="K1609:L1609" si="1574">FALSE()</f>
        <v>0</v>
      </c>
      <c r="L1609" s="6" t="b">
        <f t="shared" si="1574"/>
        <v>0</v>
      </c>
      <c r="M1609" s="6" t="b">
        <f t="shared" si="1575"/>
        <v>1</v>
      </c>
      <c r="N1609" s="4">
        <v>0.456791735273505</v>
      </c>
      <c r="O1609" s="4">
        <v>0.484276288532454</v>
      </c>
      <c r="P1609" s="4">
        <v>0.712459491592318</v>
      </c>
      <c r="Q1609" s="4">
        <v>-0.272412381733999</v>
      </c>
      <c r="R1609" s="4">
        <v>-0.257211716403494</v>
      </c>
      <c r="S1609" s="4">
        <v>0.39988291648565</v>
      </c>
      <c r="T1609" s="4">
        <f t="shared" si="3"/>
        <v>905</v>
      </c>
      <c r="U1609" s="4">
        <f t="shared" si="4"/>
        <v>618</v>
      </c>
    </row>
    <row r="1610" ht="15.75" customHeight="1">
      <c r="A1610" s="4" t="s">
        <v>594</v>
      </c>
      <c r="B1610" s="4" t="s">
        <v>13</v>
      </c>
      <c r="C1610" s="4">
        <v>0.02907</v>
      </c>
      <c r="D1610" s="4">
        <v>0.00831</v>
      </c>
      <c r="E1610" s="4">
        <v>0.00831</v>
      </c>
      <c r="I1610" s="4">
        <v>0.231</v>
      </c>
      <c r="J1610" s="4">
        <v>0.011</v>
      </c>
      <c r="K1610" s="6" t="b">
        <f t="shared" ref="K1610:M1610" si="1576">FALSE()</f>
        <v>0</v>
      </c>
      <c r="L1610" s="6" t="b">
        <f t="shared" si="1576"/>
        <v>0</v>
      </c>
      <c r="M1610" s="6" t="b">
        <f t="shared" si="1576"/>
        <v>0</v>
      </c>
      <c r="N1610" s="4">
        <v>0.0286554817490511</v>
      </c>
      <c r="P1610" s="4">
        <v>0.207826847202316</v>
      </c>
      <c r="T1610" s="4">
        <f t="shared" si="3"/>
        <v>1564</v>
      </c>
      <c r="U1610" s="4">
        <f t="shared" si="4"/>
        <v>2095</v>
      </c>
    </row>
    <row r="1611" ht="15.75" customHeight="1">
      <c r="A1611" s="4" t="s">
        <v>595</v>
      </c>
      <c r="B1611" s="4" t="s">
        <v>13</v>
      </c>
      <c r="C1611" s="4">
        <v>0.0303</v>
      </c>
      <c r="D1611" s="4">
        <v>0.00812</v>
      </c>
      <c r="E1611" s="4">
        <v>0.00812</v>
      </c>
      <c r="I1611" s="4">
        <v>0.24</v>
      </c>
      <c r="J1611" s="4">
        <v>0.01303</v>
      </c>
      <c r="K1611" s="6" t="b">
        <f t="shared" ref="K1611:M1611" si="1577">FALSE()</f>
        <v>0</v>
      </c>
      <c r="L1611" s="6" t="b">
        <f t="shared" si="1577"/>
        <v>0</v>
      </c>
      <c r="M1611" s="6" t="b">
        <f t="shared" si="1577"/>
        <v>0</v>
      </c>
      <c r="N1611" s="4">
        <v>0.0298500219688853</v>
      </c>
      <c r="P1611" s="4">
        <v>0.215111379616946</v>
      </c>
      <c r="T1611" s="4">
        <f t="shared" si="3"/>
        <v>1548</v>
      </c>
      <c r="U1611" s="4">
        <f t="shared" si="4"/>
        <v>1945</v>
      </c>
    </row>
    <row r="1612" ht="15.75" customHeight="1">
      <c r="A1612" s="4" t="s">
        <v>2869</v>
      </c>
      <c r="B1612" s="4" t="s">
        <v>13</v>
      </c>
      <c r="I1612" s="4">
        <v>1.11</v>
      </c>
      <c r="J1612" s="4">
        <v>0.07</v>
      </c>
      <c r="K1612" s="6" t="b">
        <f t="shared" ref="K1612:L1612" si="1578">FALSE()</f>
        <v>0</v>
      </c>
      <c r="L1612" s="6" t="b">
        <f t="shared" si="1578"/>
        <v>0</v>
      </c>
      <c r="M1612" s="6" t="b">
        <f>TRUE()</f>
        <v>1</v>
      </c>
      <c r="P1612" s="4">
        <v>0.746687947487975</v>
      </c>
      <c r="T1612" s="4" t="str">
        <f t="shared" si="3"/>
        <v/>
      </c>
      <c r="U1612" s="4">
        <f t="shared" si="4"/>
        <v>502</v>
      </c>
    </row>
    <row r="1613" ht="15.75" customHeight="1">
      <c r="A1613" s="4" t="s">
        <v>596</v>
      </c>
      <c r="B1613" s="4" t="s">
        <v>13</v>
      </c>
      <c r="C1613" s="4">
        <v>0.02753</v>
      </c>
      <c r="D1613" s="4">
        <v>0.00343</v>
      </c>
      <c r="E1613" s="4">
        <v>0.00343</v>
      </c>
      <c r="I1613" s="4">
        <v>0.174</v>
      </c>
      <c r="J1613" s="4">
        <v>0.008</v>
      </c>
      <c r="K1613" s="6" t="b">
        <f t="shared" ref="K1613:M1613" si="1579">FALSE()</f>
        <v>0</v>
      </c>
      <c r="L1613" s="6" t="b">
        <f t="shared" si="1579"/>
        <v>0</v>
      </c>
      <c r="M1613" s="6" t="b">
        <f t="shared" si="1579"/>
        <v>0</v>
      </c>
      <c r="N1613" s="4">
        <v>0.0271578640423181</v>
      </c>
      <c r="P1613" s="4">
        <v>0.160416721405905</v>
      </c>
      <c r="T1613" s="4">
        <f t="shared" si="3"/>
        <v>1595</v>
      </c>
      <c r="U1613" s="4">
        <f t="shared" si="4"/>
        <v>2989</v>
      </c>
    </row>
    <row r="1614" ht="15.75" customHeight="1">
      <c r="A1614" s="4" t="s">
        <v>597</v>
      </c>
      <c r="B1614" s="4" t="s">
        <v>13</v>
      </c>
      <c r="C1614" s="4">
        <v>0.04616</v>
      </c>
      <c r="D1614" s="4">
        <v>0.00595</v>
      </c>
      <c r="E1614" s="4">
        <v>0.00595</v>
      </c>
      <c r="I1614" s="4">
        <v>0.3274</v>
      </c>
      <c r="J1614" s="4">
        <v>0.0125</v>
      </c>
      <c r="K1614" s="6" t="b">
        <f t="shared" ref="K1614:M1614" si="1580">FALSE()</f>
        <v>0</v>
      </c>
      <c r="L1614" s="6" t="b">
        <f t="shared" si="1580"/>
        <v>0</v>
      </c>
      <c r="M1614" s="6" t="b">
        <f t="shared" si="1580"/>
        <v>0</v>
      </c>
      <c r="N1614" s="4">
        <v>0.0451263176161097</v>
      </c>
      <c r="P1614" s="4">
        <v>0.283222141729688</v>
      </c>
      <c r="T1614" s="4">
        <f t="shared" si="3"/>
        <v>1424</v>
      </c>
      <c r="U1614" s="4">
        <f t="shared" si="4"/>
        <v>1269</v>
      </c>
    </row>
    <row r="1615" ht="15.75" customHeight="1">
      <c r="A1615" s="4" t="s">
        <v>599</v>
      </c>
      <c r="B1615" s="4" t="s">
        <v>13</v>
      </c>
      <c r="C1615" s="4">
        <v>0.03203</v>
      </c>
      <c r="D1615" s="4">
        <v>0.00761</v>
      </c>
      <c r="E1615" s="4">
        <v>0.00774</v>
      </c>
      <c r="I1615" s="4">
        <v>0.3515</v>
      </c>
      <c r="J1615" s="4">
        <v>0.0116</v>
      </c>
      <c r="K1615" s="6" t="b">
        <f t="shared" ref="K1615:M1615" si="1581">FALSE()</f>
        <v>0</v>
      </c>
      <c r="L1615" s="6" t="b">
        <f t="shared" si="1581"/>
        <v>0</v>
      </c>
      <c r="M1615" s="6" t="b">
        <f t="shared" si="1581"/>
        <v>0</v>
      </c>
      <c r="N1615" s="4">
        <v>0.0315277364042953</v>
      </c>
      <c r="P1615" s="4">
        <v>0.301215086734365</v>
      </c>
      <c r="T1615" s="4">
        <f t="shared" si="3"/>
        <v>1524</v>
      </c>
      <c r="U1615" s="4">
        <f t="shared" si="4"/>
        <v>1205</v>
      </c>
    </row>
    <row r="1616" ht="15.75" customHeight="1">
      <c r="A1616" s="4" t="s">
        <v>2870</v>
      </c>
      <c r="B1616" s="4" t="s">
        <v>13</v>
      </c>
      <c r="I1616" s="4">
        <v>0.085</v>
      </c>
      <c r="J1616" s="4">
        <v>0.005</v>
      </c>
      <c r="K1616" s="6" t="b">
        <f t="shared" ref="K1616:M1616" si="1582">FALSE()</f>
        <v>0</v>
      </c>
      <c r="L1616" s="6" t="b">
        <f t="shared" si="1582"/>
        <v>0</v>
      </c>
      <c r="M1616" s="6" t="b">
        <f t="shared" si="1582"/>
        <v>0</v>
      </c>
      <c r="P1616" s="4">
        <v>0.0815799869924228</v>
      </c>
      <c r="T1616" s="4" t="str">
        <f t="shared" si="3"/>
        <v/>
      </c>
      <c r="U1616" s="4">
        <f t="shared" si="4"/>
        <v>4374</v>
      </c>
    </row>
    <row r="1617" ht="15.75" customHeight="1">
      <c r="A1617" s="4" t="s">
        <v>2871</v>
      </c>
      <c r="B1617" s="4" t="s">
        <v>13</v>
      </c>
      <c r="I1617" s="4">
        <v>0.119</v>
      </c>
      <c r="J1617" s="4">
        <v>0.008</v>
      </c>
      <c r="K1617" s="6" t="b">
        <f t="shared" ref="K1617:M1617" si="1583">FALSE()</f>
        <v>0</v>
      </c>
      <c r="L1617" s="6" t="b">
        <f t="shared" si="1583"/>
        <v>0</v>
      </c>
      <c r="M1617" s="6" t="b">
        <f t="shared" si="1583"/>
        <v>0</v>
      </c>
      <c r="P1617" s="4">
        <v>0.112435429329788</v>
      </c>
      <c r="T1617" s="4" t="str">
        <f t="shared" si="3"/>
        <v/>
      </c>
      <c r="U1617" s="4">
        <f t="shared" si="4"/>
        <v>3880</v>
      </c>
    </row>
    <row r="1618" ht="15.75" customHeight="1">
      <c r="A1618" s="4" t="s">
        <v>2872</v>
      </c>
      <c r="B1618" s="4" t="s">
        <v>13</v>
      </c>
      <c r="I1618" s="4">
        <v>0.163</v>
      </c>
      <c r="J1618" s="4">
        <v>0.011</v>
      </c>
      <c r="K1618" s="6" t="b">
        <f t="shared" ref="K1618:M1618" si="1584">FALSE()</f>
        <v>0</v>
      </c>
      <c r="L1618" s="6" t="b">
        <f t="shared" si="1584"/>
        <v>0</v>
      </c>
      <c r="M1618" s="6" t="b">
        <f t="shared" si="1584"/>
        <v>0</v>
      </c>
      <c r="P1618" s="4">
        <v>0.151002873536527</v>
      </c>
      <c r="T1618" s="4" t="str">
        <f t="shared" si="3"/>
        <v/>
      </c>
      <c r="U1618" s="4">
        <f t="shared" si="4"/>
        <v>3138</v>
      </c>
    </row>
    <row r="1619" ht="15.75" customHeight="1">
      <c r="A1619" s="4" t="s">
        <v>2873</v>
      </c>
      <c r="B1619" s="4" t="s">
        <v>13</v>
      </c>
      <c r="I1619" s="4">
        <v>0.261</v>
      </c>
      <c r="J1619" s="4">
        <v>0.015</v>
      </c>
      <c r="K1619" s="6" t="b">
        <f t="shared" ref="K1619:M1619" si="1585">FALSE()</f>
        <v>0</v>
      </c>
      <c r="L1619" s="6" t="b">
        <f t="shared" si="1585"/>
        <v>0</v>
      </c>
      <c r="M1619" s="6" t="b">
        <f t="shared" si="1585"/>
        <v>0</v>
      </c>
      <c r="P1619" s="4">
        <v>0.231905056982783</v>
      </c>
      <c r="T1619" s="4" t="str">
        <f t="shared" si="3"/>
        <v/>
      </c>
      <c r="U1619" s="4">
        <f t="shared" si="4"/>
        <v>1670</v>
      </c>
    </row>
    <row r="1620" ht="15.75" customHeight="1">
      <c r="A1620" s="4" t="s">
        <v>2874</v>
      </c>
      <c r="B1620" s="4" t="s">
        <v>13</v>
      </c>
      <c r="I1620" s="4">
        <v>0.148</v>
      </c>
      <c r="J1620" s="4">
        <v>0.012</v>
      </c>
      <c r="K1620" s="6" t="b">
        <f t="shared" ref="K1620:M1620" si="1586">FALSE()</f>
        <v>0</v>
      </c>
      <c r="L1620" s="6" t="b">
        <f t="shared" si="1586"/>
        <v>0</v>
      </c>
      <c r="M1620" s="6" t="b">
        <f t="shared" si="1586"/>
        <v>0</v>
      </c>
      <c r="P1620" s="4">
        <v>0.138021297897375</v>
      </c>
      <c r="T1620" s="4" t="str">
        <f t="shared" si="3"/>
        <v/>
      </c>
      <c r="U1620" s="4">
        <f t="shared" si="4"/>
        <v>3359</v>
      </c>
    </row>
    <row r="1621" ht="15.75" customHeight="1">
      <c r="A1621" s="4" t="s">
        <v>2875</v>
      </c>
      <c r="B1621" s="4" t="s">
        <v>13</v>
      </c>
      <c r="I1621" s="4">
        <v>0.249</v>
      </c>
      <c r="J1621" s="4">
        <v>0.009</v>
      </c>
      <c r="K1621" s="6" t="b">
        <f t="shared" ref="K1621:M1621" si="1587">FALSE()</f>
        <v>0</v>
      </c>
      <c r="L1621" s="6" t="b">
        <f t="shared" si="1587"/>
        <v>0</v>
      </c>
      <c r="M1621" s="6" t="b">
        <f t="shared" si="1587"/>
        <v>0</v>
      </c>
      <c r="P1621" s="4">
        <v>0.222343231143441</v>
      </c>
      <c r="T1621" s="4" t="str">
        <f t="shared" si="3"/>
        <v/>
      </c>
      <c r="U1621" s="4">
        <f t="shared" si="4"/>
        <v>1819</v>
      </c>
    </row>
    <row r="1622" ht="15.75" customHeight="1">
      <c r="A1622" s="4" t="s">
        <v>600</v>
      </c>
      <c r="B1622" s="4" t="s">
        <v>13</v>
      </c>
      <c r="C1622" s="4">
        <v>1.774</v>
      </c>
      <c r="D1622" s="4">
        <v>0.079</v>
      </c>
      <c r="E1622" s="4">
        <v>0.079</v>
      </c>
      <c r="I1622" s="4">
        <v>1.06</v>
      </c>
      <c r="J1622" s="4">
        <v>0.35</v>
      </c>
      <c r="K1622" s="6" t="b">
        <f t="shared" ref="K1622:L1622" si="1588">FALSE()</f>
        <v>0</v>
      </c>
      <c r="L1622" s="6" t="b">
        <f t="shared" si="1588"/>
        <v>0</v>
      </c>
      <c r="M1622" s="6" t="b">
        <f>TRUE()</f>
        <v>1</v>
      </c>
      <c r="N1622" s="4">
        <v>1.02029032189264</v>
      </c>
      <c r="P1622" s="4">
        <v>0.72270598280149</v>
      </c>
      <c r="T1622" s="4">
        <f t="shared" si="3"/>
        <v>475</v>
      </c>
      <c r="U1622" s="4">
        <f t="shared" si="4"/>
        <v>589</v>
      </c>
    </row>
    <row r="1623" ht="15.75" customHeight="1">
      <c r="A1623" s="4" t="s">
        <v>2876</v>
      </c>
      <c r="B1623" s="4" t="s">
        <v>13</v>
      </c>
      <c r="I1623" s="4">
        <v>0.234</v>
      </c>
      <c r="J1623" s="4">
        <v>0.013</v>
      </c>
      <c r="K1623" s="6" t="b">
        <f t="shared" ref="K1623:M1623" si="1589">FALSE()</f>
        <v>0</v>
      </c>
      <c r="L1623" s="6" t="b">
        <f t="shared" si="1589"/>
        <v>0</v>
      </c>
      <c r="M1623" s="6" t="b">
        <f t="shared" si="1589"/>
        <v>0</v>
      </c>
      <c r="P1623" s="4">
        <v>0.210260925483196</v>
      </c>
      <c r="T1623" s="4" t="str">
        <f t="shared" si="3"/>
        <v/>
      </c>
      <c r="U1623" s="4">
        <f t="shared" si="4"/>
        <v>2045</v>
      </c>
    </row>
    <row r="1624" ht="15.75" customHeight="1">
      <c r="A1624" s="4" t="s">
        <v>2877</v>
      </c>
      <c r="B1624" s="4" t="s">
        <v>13</v>
      </c>
      <c r="I1624" s="4">
        <v>0.174</v>
      </c>
      <c r="J1624" s="4">
        <v>0.011</v>
      </c>
      <c r="K1624" s="6" t="b">
        <f t="shared" ref="K1624:M1624" si="1590">FALSE()</f>
        <v>0</v>
      </c>
      <c r="L1624" s="6" t="b">
        <f t="shared" si="1590"/>
        <v>0</v>
      </c>
      <c r="M1624" s="6" t="b">
        <f t="shared" si="1590"/>
        <v>0</v>
      </c>
      <c r="P1624" s="4">
        <v>0.160416721405905</v>
      </c>
      <c r="T1624" s="4" t="str">
        <f t="shared" si="3"/>
        <v/>
      </c>
      <c r="U1624" s="4">
        <f t="shared" si="4"/>
        <v>2990</v>
      </c>
    </row>
    <row r="1625" ht="15.75" customHeight="1">
      <c r="A1625" s="4" t="s">
        <v>2878</v>
      </c>
      <c r="B1625" s="4" t="s">
        <v>13</v>
      </c>
      <c r="I1625" s="4">
        <v>0.171</v>
      </c>
      <c r="J1625" s="4">
        <v>0.016</v>
      </c>
      <c r="K1625" s="6" t="b">
        <f t="shared" ref="K1625:M1625" si="1591">FALSE()</f>
        <v>0</v>
      </c>
      <c r="L1625" s="6" t="b">
        <f t="shared" si="1591"/>
        <v>0</v>
      </c>
      <c r="M1625" s="6" t="b">
        <f t="shared" si="1591"/>
        <v>0</v>
      </c>
      <c r="P1625" s="4">
        <v>0.15785808461558</v>
      </c>
      <c r="T1625" s="4" t="str">
        <f t="shared" si="3"/>
        <v/>
      </c>
      <c r="U1625" s="4">
        <f t="shared" si="4"/>
        <v>3028</v>
      </c>
    </row>
    <row r="1626" ht="15.75" customHeight="1">
      <c r="A1626" s="4" t="s">
        <v>2879</v>
      </c>
      <c r="B1626" s="4" t="s">
        <v>13</v>
      </c>
      <c r="I1626" s="4">
        <v>0.187</v>
      </c>
      <c r="J1626" s="4">
        <v>0.01</v>
      </c>
      <c r="K1626" s="6" t="b">
        <f t="shared" ref="K1626:M1626" si="1592">FALSE()</f>
        <v>0</v>
      </c>
      <c r="L1626" s="6" t="b">
        <f t="shared" si="1592"/>
        <v>0</v>
      </c>
      <c r="M1626" s="6" t="b">
        <f t="shared" si="1592"/>
        <v>0</v>
      </c>
      <c r="P1626" s="4">
        <v>0.171429115627531</v>
      </c>
      <c r="T1626" s="4" t="str">
        <f t="shared" si="3"/>
        <v/>
      </c>
      <c r="U1626" s="4">
        <f t="shared" si="4"/>
        <v>2782</v>
      </c>
    </row>
    <row r="1627" ht="15.75" customHeight="1">
      <c r="A1627" s="4" t="s">
        <v>2880</v>
      </c>
      <c r="B1627" s="4" t="s">
        <v>13</v>
      </c>
      <c r="I1627" s="4">
        <v>0.217</v>
      </c>
      <c r="J1627" s="4">
        <v>0.012</v>
      </c>
      <c r="K1627" s="6" t="b">
        <f t="shared" ref="K1627:M1627" si="1593">FALSE()</f>
        <v>0</v>
      </c>
      <c r="L1627" s="6" t="b">
        <f t="shared" si="1593"/>
        <v>0</v>
      </c>
      <c r="M1627" s="6" t="b">
        <f t="shared" si="1593"/>
        <v>0</v>
      </c>
      <c r="P1627" s="4">
        <v>0.19638881400539</v>
      </c>
      <c r="T1627" s="4" t="str">
        <f t="shared" si="3"/>
        <v/>
      </c>
      <c r="U1627" s="4">
        <f t="shared" si="4"/>
        <v>2300</v>
      </c>
    </row>
    <row r="1628" ht="15.75" customHeight="1">
      <c r="A1628" s="4" t="s">
        <v>2881</v>
      </c>
      <c r="B1628" s="4" t="s">
        <v>13</v>
      </c>
      <c r="I1628" s="4">
        <v>0.196</v>
      </c>
      <c r="J1628" s="4">
        <v>0.013</v>
      </c>
      <c r="K1628" s="6" t="b">
        <f t="shared" ref="K1628:M1628" si="1594">FALSE()</f>
        <v>0</v>
      </c>
      <c r="L1628" s="6" t="b">
        <f t="shared" si="1594"/>
        <v>0</v>
      </c>
      <c r="M1628" s="6" t="b">
        <f t="shared" si="1594"/>
        <v>0</v>
      </c>
      <c r="P1628" s="4">
        <v>0.17898265552844</v>
      </c>
      <c r="T1628" s="4" t="str">
        <f t="shared" si="3"/>
        <v/>
      </c>
      <c r="U1628" s="4">
        <f t="shared" si="4"/>
        <v>2644</v>
      </c>
    </row>
    <row r="1629" ht="15.75" customHeight="1">
      <c r="A1629" s="4" t="s">
        <v>2882</v>
      </c>
      <c r="B1629" s="4" t="s">
        <v>13</v>
      </c>
      <c r="I1629" s="4">
        <v>0.203</v>
      </c>
      <c r="J1629" s="4">
        <v>0.016</v>
      </c>
      <c r="K1629" s="6" t="b">
        <f t="shared" ref="K1629:M1629" si="1595">FALSE()</f>
        <v>0</v>
      </c>
      <c r="L1629" s="6" t="b">
        <f t="shared" si="1595"/>
        <v>0</v>
      </c>
      <c r="M1629" s="6" t="b">
        <f t="shared" si="1595"/>
        <v>0</v>
      </c>
      <c r="P1629" s="4">
        <v>0.184818436992542</v>
      </c>
      <c r="T1629" s="4" t="str">
        <f t="shared" si="3"/>
        <v/>
      </c>
      <c r="U1629" s="4">
        <f t="shared" si="4"/>
        <v>2521</v>
      </c>
    </row>
    <row r="1630" ht="15.75" customHeight="1">
      <c r="A1630" s="4" t="s">
        <v>2883</v>
      </c>
      <c r="B1630" s="4" t="s">
        <v>13</v>
      </c>
      <c r="I1630" s="4">
        <v>0.09341</v>
      </c>
      <c r="J1630" s="4">
        <v>0.0232</v>
      </c>
      <c r="K1630" s="6" t="b">
        <f t="shared" ref="K1630:M1630" si="1596">FALSE()</f>
        <v>0</v>
      </c>
      <c r="L1630" s="6" t="b">
        <f t="shared" si="1596"/>
        <v>0</v>
      </c>
      <c r="M1630" s="6" t="b">
        <f t="shared" si="1596"/>
        <v>0</v>
      </c>
      <c r="P1630" s="4">
        <v>0.0893012532207331</v>
      </c>
      <c r="T1630" s="4" t="str">
        <f t="shared" si="3"/>
        <v/>
      </c>
      <c r="U1630" s="4">
        <f t="shared" si="4"/>
        <v>4293</v>
      </c>
    </row>
    <row r="1631" ht="15.75" customHeight="1">
      <c r="A1631" s="4" t="s">
        <v>2884</v>
      </c>
      <c r="B1631" s="4" t="s">
        <v>13</v>
      </c>
      <c r="I1631" s="4">
        <v>0.08101</v>
      </c>
      <c r="J1631" s="4">
        <v>0.00571</v>
      </c>
      <c r="K1631" s="6" t="b">
        <f t="shared" ref="K1631:M1631" si="1597">FALSE()</f>
        <v>0</v>
      </c>
      <c r="L1631" s="6" t="b">
        <f t="shared" si="1597"/>
        <v>0</v>
      </c>
      <c r="M1631" s="6" t="b">
        <f t="shared" si="1597"/>
        <v>0</v>
      </c>
      <c r="P1631" s="4">
        <v>0.0778957893080858</v>
      </c>
      <c r="T1631" s="4" t="str">
        <f t="shared" si="3"/>
        <v/>
      </c>
      <c r="U1631" s="4">
        <f t="shared" si="4"/>
        <v>4405</v>
      </c>
    </row>
    <row r="1632" ht="15.75" customHeight="1">
      <c r="A1632" s="4" t="s">
        <v>601</v>
      </c>
      <c r="B1632" s="4" t="s">
        <v>13</v>
      </c>
      <c r="C1632" s="4">
        <v>0.26</v>
      </c>
      <c r="D1632" s="4">
        <v>0.022</v>
      </c>
      <c r="E1632" s="4">
        <v>0.022</v>
      </c>
      <c r="I1632" s="4">
        <v>0.774</v>
      </c>
      <c r="J1632" s="4">
        <v>0.026</v>
      </c>
      <c r="K1632" s="6" t="b">
        <f t="shared" ref="K1632:L1632" si="1598">FALSE()</f>
        <v>0</v>
      </c>
      <c r="L1632" s="6" t="b">
        <f t="shared" si="1598"/>
        <v>0</v>
      </c>
      <c r="M1632" s="6" t="b">
        <f>TRUE()</f>
        <v>1</v>
      </c>
      <c r="N1632" s="4">
        <v>0.231111720963387</v>
      </c>
      <c r="P1632" s="4">
        <v>0.573236883887388</v>
      </c>
      <c r="T1632" s="4">
        <f t="shared" si="3"/>
        <v>1100</v>
      </c>
      <c r="U1632" s="4">
        <f t="shared" si="4"/>
        <v>857</v>
      </c>
    </row>
    <row r="1633" ht="15.75" customHeight="1">
      <c r="A1633" s="4" t="s">
        <v>602</v>
      </c>
      <c r="B1633" s="4" t="s">
        <v>13</v>
      </c>
      <c r="C1633" s="4">
        <v>0.047</v>
      </c>
      <c r="D1633" s="4">
        <v>0.0057</v>
      </c>
      <c r="E1633" s="4">
        <v>0.0057</v>
      </c>
      <c r="I1633" s="4">
        <v>0.443</v>
      </c>
      <c r="J1633" s="4">
        <v>0.024</v>
      </c>
      <c r="K1633" s="6" t="b">
        <f t="shared" ref="K1633:M1633" si="1599">FALSE()</f>
        <v>0</v>
      </c>
      <c r="L1633" s="6" t="b">
        <f t="shared" si="1599"/>
        <v>0</v>
      </c>
      <c r="M1633" s="6" t="b">
        <f t="shared" si="1599"/>
        <v>0</v>
      </c>
      <c r="N1633" s="4">
        <v>0.0459289318883998</v>
      </c>
      <c r="P1633" s="4">
        <v>0.366724279791734</v>
      </c>
      <c r="T1633" s="4">
        <f t="shared" si="3"/>
        <v>1416</v>
      </c>
      <c r="U1633" s="4">
        <f t="shared" si="4"/>
        <v>1063</v>
      </c>
    </row>
    <row r="1634" ht="15.75" customHeight="1">
      <c r="A1634" s="4" t="s">
        <v>603</v>
      </c>
      <c r="B1634" s="4" t="s">
        <v>13</v>
      </c>
      <c r="C1634" s="4">
        <v>0.0255</v>
      </c>
      <c r="D1634" s="4">
        <v>0.0076</v>
      </c>
      <c r="E1634" s="4">
        <v>0.0076</v>
      </c>
      <c r="I1634" s="4">
        <v>0.244</v>
      </c>
      <c r="J1634" s="4">
        <v>0.014</v>
      </c>
      <c r="K1634" s="6" t="b">
        <f t="shared" ref="K1634:M1634" si="1600">FALSE()</f>
        <v>0</v>
      </c>
      <c r="L1634" s="6" t="b">
        <f t="shared" si="1600"/>
        <v>0</v>
      </c>
      <c r="M1634" s="6" t="b">
        <f t="shared" si="1600"/>
        <v>0</v>
      </c>
      <c r="N1634" s="4">
        <v>0.0251802985302982</v>
      </c>
      <c r="P1634" s="4">
        <v>0.218331994316988</v>
      </c>
      <c r="T1634" s="4">
        <f t="shared" si="3"/>
        <v>1625</v>
      </c>
      <c r="U1634" s="4">
        <f t="shared" si="4"/>
        <v>1882</v>
      </c>
    </row>
    <row r="1635" ht="15.75" customHeight="1">
      <c r="A1635" s="4" t="s">
        <v>604</v>
      </c>
      <c r="B1635" s="4" t="s">
        <v>13</v>
      </c>
      <c r="C1635" s="4">
        <v>0.0211</v>
      </c>
      <c r="D1635" s="4">
        <v>0.0079</v>
      </c>
      <c r="E1635" s="4">
        <v>0.0079</v>
      </c>
      <c r="I1635" s="4">
        <v>0.292</v>
      </c>
      <c r="J1635" s="4">
        <v>0.017</v>
      </c>
      <c r="K1635" s="6" t="b">
        <f t="shared" ref="K1635:M1635" si="1601">FALSE()</f>
        <v>0</v>
      </c>
      <c r="L1635" s="6" t="b">
        <f t="shared" si="1601"/>
        <v>0</v>
      </c>
      <c r="M1635" s="6" t="b">
        <f t="shared" si="1601"/>
        <v>0</v>
      </c>
      <c r="N1635" s="4">
        <v>0.0208804775793552</v>
      </c>
      <c r="P1635" s="4">
        <v>0.25619140536041</v>
      </c>
      <c r="T1635" s="4">
        <f t="shared" si="3"/>
        <v>1705</v>
      </c>
      <c r="U1635" s="4">
        <f t="shared" si="4"/>
        <v>1424</v>
      </c>
    </row>
    <row r="1636" ht="15.75" customHeight="1">
      <c r="A1636" s="4" t="s">
        <v>605</v>
      </c>
      <c r="B1636" s="4" t="s">
        <v>13</v>
      </c>
      <c r="C1636" s="4">
        <v>0.0066</v>
      </c>
      <c r="D1636" s="4">
        <v>0.0041</v>
      </c>
      <c r="E1636" s="4">
        <v>0.0041</v>
      </c>
      <c r="I1636" s="4">
        <v>0.09</v>
      </c>
      <c r="J1636" s="4">
        <v>0.008</v>
      </c>
      <c r="K1636" s="6" t="b">
        <f t="shared" ref="K1636:M1636" si="1602">FALSE()</f>
        <v>0</v>
      </c>
      <c r="L1636" s="6" t="b">
        <f t="shared" si="1602"/>
        <v>0</v>
      </c>
      <c r="M1636" s="6" t="b">
        <f t="shared" si="1602"/>
        <v>0</v>
      </c>
      <c r="N1636" s="4">
        <v>0.0065783153601225</v>
      </c>
      <c r="P1636" s="4">
        <v>0.0861776962410523</v>
      </c>
      <c r="T1636" s="4">
        <f t="shared" si="3"/>
        <v>1996</v>
      </c>
      <c r="U1636" s="4">
        <f t="shared" si="4"/>
        <v>4328</v>
      </c>
    </row>
    <row r="1637" ht="15.75" customHeight="1">
      <c r="A1637" s="4" t="s">
        <v>2885</v>
      </c>
      <c r="B1637" s="4" t="s">
        <v>13</v>
      </c>
      <c r="I1637" s="4">
        <v>0.2471</v>
      </c>
      <c r="J1637" s="4">
        <v>0.008</v>
      </c>
      <c r="K1637" s="6" t="b">
        <f t="shared" ref="K1637:M1637" si="1603">FALSE()</f>
        <v>0</v>
      </c>
      <c r="L1637" s="6" t="b">
        <f t="shared" si="1603"/>
        <v>0</v>
      </c>
      <c r="M1637" s="6" t="b">
        <f t="shared" si="1603"/>
        <v>0</v>
      </c>
      <c r="P1637" s="4">
        <v>0.220820855944564</v>
      </c>
      <c r="T1637" s="4" t="str">
        <f t="shared" si="3"/>
        <v/>
      </c>
      <c r="U1637" s="4">
        <f t="shared" si="4"/>
        <v>1844</v>
      </c>
    </row>
    <row r="1638" ht="15.75" customHeight="1">
      <c r="A1638" s="4" t="s">
        <v>2886</v>
      </c>
      <c r="B1638" s="4" t="s">
        <v>13</v>
      </c>
      <c r="I1638" s="4">
        <v>0.1597</v>
      </c>
      <c r="J1638" s="4">
        <v>0.009</v>
      </c>
      <c r="K1638" s="6" t="b">
        <f t="shared" ref="K1638:M1638" si="1604">FALSE()</f>
        <v>0</v>
      </c>
      <c r="L1638" s="6" t="b">
        <f t="shared" si="1604"/>
        <v>0</v>
      </c>
      <c r="M1638" s="6" t="b">
        <f t="shared" si="1604"/>
        <v>0</v>
      </c>
      <c r="P1638" s="4">
        <v>0.148161350980521</v>
      </c>
      <c r="T1638" s="4" t="str">
        <f t="shared" si="3"/>
        <v/>
      </c>
      <c r="U1638" s="4">
        <f t="shared" si="4"/>
        <v>3185</v>
      </c>
    </row>
    <row r="1639" ht="15.75" customHeight="1">
      <c r="A1639" s="4" t="s">
        <v>2887</v>
      </c>
      <c r="B1639" s="4" t="s">
        <v>13</v>
      </c>
      <c r="I1639" s="4">
        <v>0.2427</v>
      </c>
      <c r="J1639" s="4">
        <v>0.009</v>
      </c>
      <c r="K1639" s="6" t="b">
        <f t="shared" ref="K1639:M1639" si="1605">FALSE()</f>
        <v>0</v>
      </c>
      <c r="L1639" s="6" t="b">
        <f t="shared" si="1605"/>
        <v>0</v>
      </c>
      <c r="M1639" s="6" t="b">
        <f t="shared" si="1605"/>
        <v>0</v>
      </c>
      <c r="P1639" s="4">
        <v>0.217286431829812</v>
      </c>
      <c r="T1639" s="4" t="str">
        <f t="shared" si="3"/>
        <v/>
      </c>
      <c r="U1639" s="4">
        <f t="shared" si="4"/>
        <v>1909</v>
      </c>
    </row>
    <row r="1640" ht="15.75" customHeight="1">
      <c r="A1640" s="4" t="s">
        <v>2888</v>
      </c>
      <c r="B1640" s="4" t="s">
        <v>13</v>
      </c>
      <c r="I1640" s="4">
        <v>0.196</v>
      </c>
      <c r="J1640" s="4">
        <v>0.0134</v>
      </c>
      <c r="K1640" s="6" t="b">
        <f t="shared" ref="K1640:M1640" si="1606">FALSE()</f>
        <v>0</v>
      </c>
      <c r="L1640" s="6" t="b">
        <f t="shared" si="1606"/>
        <v>0</v>
      </c>
      <c r="M1640" s="6" t="b">
        <f t="shared" si="1606"/>
        <v>0</v>
      </c>
      <c r="P1640" s="4">
        <v>0.17898265552844</v>
      </c>
      <c r="T1640" s="4" t="str">
        <f t="shared" si="3"/>
        <v/>
      </c>
      <c r="U1640" s="4">
        <f t="shared" si="4"/>
        <v>2645</v>
      </c>
    </row>
    <row r="1641" ht="15.75" customHeight="1">
      <c r="A1641" s="4" t="s">
        <v>2889</v>
      </c>
      <c r="B1641" s="4" t="s">
        <v>13</v>
      </c>
      <c r="I1641" s="4">
        <v>0.5513</v>
      </c>
      <c r="J1641" s="4">
        <v>0.0223</v>
      </c>
      <c r="K1641" s="6" t="b">
        <f t="shared" ref="K1641:M1641" si="1607">FALSE()</f>
        <v>0</v>
      </c>
      <c r="L1641" s="6" t="b">
        <f t="shared" si="1607"/>
        <v>0</v>
      </c>
      <c r="M1641" s="6" t="b">
        <f t="shared" si="1607"/>
        <v>0</v>
      </c>
      <c r="P1641" s="4">
        <v>0.439093289088148</v>
      </c>
      <c r="T1641" s="4" t="str">
        <f t="shared" si="3"/>
        <v/>
      </c>
      <c r="U1641" s="4">
        <f t="shared" si="4"/>
        <v>973</v>
      </c>
    </row>
    <row r="1642" ht="15.75" customHeight="1">
      <c r="A1642" s="4" t="s">
        <v>2890</v>
      </c>
      <c r="B1642" s="4" t="s">
        <v>13</v>
      </c>
      <c r="I1642" s="4">
        <v>0.5041</v>
      </c>
      <c r="J1642" s="4">
        <v>0.025</v>
      </c>
      <c r="K1642" s="6" t="b">
        <f t="shared" ref="K1642:M1642" si="1608">FALSE()</f>
        <v>0</v>
      </c>
      <c r="L1642" s="6" t="b">
        <f t="shared" si="1608"/>
        <v>0</v>
      </c>
      <c r="M1642" s="6" t="b">
        <f t="shared" si="1608"/>
        <v>0</v>
      </c>
      <c r="P1642" s="4">
        <v>0.408194712679031</v>
      </c>
      <c r="T1642" s="4" t="str">
        <f t="shared" si="3"/>
        <v/>
      </c>
      <c r="U1642" s="4">
        <f t="shared" si="4"/>
        <v>1009</v>
      </c>
    </row>
    <row r="1643" ht="15.75" customHeight="1">
      <c r="A1643" s="4" t="s">
        <v>2891</v>
      </c>
      <c r="B1643" s="4" t="s">
        <v>13</v>
      </c>
      <c r="I1643" s="4">
        <v>0.1972</v>
      </c>
      <c r="J1643" s="4">
        <v>0.0125</v>
      </c>
      <c r="K1643" s="6" t="b">
        <f t="shared" ref="K1643:M1643" si="1609">FALSE()</f>
        <v>0</v>
      </c>
      <c r="L1643" s="6" t="b">
        <f t="shared" si="1609"/>
        <v>0</v>
      </c>
      <c r="M1643" s="6" t="b">
        <f t="shared" si="1609"/>
        <v>0</v>
      </c>
      <c r="P1643" s="4">
        <v>0.179985496996407</v>
      </c>
      <c r="T1643" s="4" t="str">
        <f t="shared" si="3"/>
        <v/>
      </c>
      <c r="U1643" s="4">
        <f t="shared" si="4"/>
        <v>2629</v>
      </c>
    </row>
    <row r="1644" ht="15.75" customHeight="1">
      <c r="A1644" s="4" t="s">
        <v>2892</v>
      </c>
      <c r="B1644" s="4" t="s">
        <v>13</v>
      </c>
      <c r="I1644" s="4">
        <v>0.1088</v>
      </c>
      <c r="J1644" s="4">
        <v>0.0045</v>
      </c>
      <c r="K1644" s="6" t="b">
        <f t="shared" ref="K1644:M1644" si="1610">FALSE()</f>
        <v>0</v>
      </c>
      <c r="L1644" s="6" t="b">
        <f t="shared" si="1610"/>
        <v>0</v>
      </c>
      <c r="M1644" s="6" t="b">
        <f t="shared" si="1610"/>
        <v>0</v>
      </c>
      <c r="P1644" s="4">
        <v>0.103278349453502</v>
      </c>
      <c r="T1644" s="4" t="str">
        <f t="shared" si="3"/>
        <v/>
      </c>
      <c r="U1644" s="4">
        <f t="shared" si="4"/>
        <v>4068</v>
      </c>
    </row>
    <row r="1645" ht="15.75" customHeight="1">
      <c r="A1645" s="4" t="s">
        <v>2893</v>
      </c>
      <c r="B1645" s="4" t="s">
        <v>13</v>
      </c>
      <c r="I1645" s="4">
        <v>0.2337</v>
      </c>
      <c r="J1645" s="4">
        <v>0.0125</v>
      </c>
      <c r="K1645" s="6" t="b">
        <f t="shared" ref="K1645:M1645" si="1611">FALSE()</f>
        <v>0</v>
      </c>
      <c r="L1645" s="6" t="b">
        <f t="shared" si="1611"/>
        <v>0</v>
      </c>
      <c r="M1645" s="6" t="b">
        <f t="shared" si="1611"/>
        <v>0</v>
      </c>
      <c r="P1645" s="4">
        <v>0.210017784095282</v>
      </c>
      <c r="T1645" s="4" t="str">
        <f t="shared" si="3"/>
        <v/>
      </c>
      <c r="U1645" s="4">
        <f t="shared" si="4"/>
        <v>2047</v>
      </c>
    </row>
    <row r="1646" ht="15.75" customHeight="1">
      <c r="A1646" s="4" t="s">
        <v>2894</v>
      </c>
      <c r="B1646" s="4" t="s">
        <v>13</v>
      </c>
      <c r="I1646" s="4">
        <v>0.0919</v>
      </c>
      <c r="J1646" s="4">
        <v>0.0045</v>
      </c>
      <c r="K1646" s="6" t="b">
        <f t="shared" ref="K1646:M1646" si="1612">FALSE()</f>
        <v>0</v>
      </c>
      <c r="L1646" s="6" t="b">
        <f t="shared" si="1612"/>
        <v>0</v>
      </c>
      <c r="M1646" s="6" t="b">
        <f t="shared" si="1612"/>
        <v>0</v>
      </c>
      <c r="P1646" s="4">
        <v>0.0879192980378835</v>
      </c>
      <c r="T1646" s="4" t="str">
        <f t="shared" si="3"/>
        <v/>
      </c>
      <c r="U1646" s="4">
        <f t="shared" si="4"/>
        <v>4315</v>
      </c>
    </row>
    <row r="1647" ht="15.75" customHeight="1">
      <c r="A1647" s="4" t="s">
        <v>2895</v>
      </c>
      <c r="B1647" s="4" t="s">
        <v>13</v>
      </c>
      <c r="I1647" s="4">
        <v>0.1713</v>
      </c>
      <c r="J1647" s="4">
        <v>0.0107</v>
      </c>
      <c r="K1647" s="6" t="b">
        <f t="shared" ref="K1647:M1647" si="1613">FALSE()</f>
        <v>0</v>
      </c>
      <c r="L1647" s="6" t="b">
        <f t="shared" si="1613"/>
        <v>0</v>
      </c>
      <c r="M1647" s="6" t="b">
        <f t="shared" si="1613"/>
        <v>0</v>
      </c>
      <c r="P1647" s="4">
        <v>0.158114243093692</v>
      </c>
      <c r="T1647" s="4" t="str">
        <f t="shared" si="3"/>
        <v/>
      </c>
      <c r="U1647" s="4">
        <f t="shared" si="4"/>
        <v>3025</v>
      </c>
    </row>
    <row r="1648" ht="15.75" customHeight="1">
      <c r="A1648" s="4" t="s">
        <v>606</v>
      </c>
      <c r="B1648" s="4" t="s">
        <v>13</v>
      </c>
      <c r="C1648" s="4">
        <v>3.7</v>
      </c>
      <c r="D1648" s="4">
        <v>3.69999</v>
      </c>
      <c r="E1648" s="4">
        <v>0.0</v>
      </c>
      <c r="I1648" s="4">
        <v>0.45</v>
      </c>
      <c r="J1648" s="4">
        <v>0.033</v>
      </c>
      <c r="K1648" s="6" t="b">
        <f>TRUE()</f>
        <v>1</v>
      </c>
      <c r="L1648" s="6" t="b">
        <f t="shared" ref="L1648:M1648" si="1614">FALSE()</f>
        <v>0</v>
      </c>
      <c r="M1648" s="6" t="b">
        <f t="shared" si="1614"/>
        <v>0</v>
      </c>
      <c r="N1648" s="4">
        <v>1.54756250871601</v>
      </c>
      <c r="P1648" s="4">
        <v>0.371563556432483</v>
      </c>
      <c r="T1648" s="4">
        <f t="shared" si="3"/>
        <v>273</v>
      </c>
      <c r="U1648" s="4">
        <f t="shared" si="4"/>
        <v>1059</v>
      </c>
    </row>
    <row r="1649" ht="15.75" customHeight="1">
      <c r="A1649" s="4" t="s">
        <v>2896</v>
      </c>
      <c r="B1649" s="4" t="s">
        <v>13</v>
      </c>
      <c r="I1649" s="4">
        <v>0.2998</v>
      </c>
      <c r="J1649" s="4">
        <v>0.0285</v>
      </c>
      <c r="K1649" s="6" t="b">
        <f t="shared" ref="K1649:M1649" si="1615">FALSE()</f>
        <v>0</v>
      </c>
      <c r="L1649" s="6" t="b">
        <f t="shared" si="1615"/>
        <v>0</v>
      </c>
      <c r="M1649" s="6" t="b">
        <f t="shared" si="1615"/>
        <v>0</v>
      </c>
      <c r="P1649" s="4">
        <v>0.262210406478111</v>
      </c>
      <c r="T1649" s="4" t="str">
        <f t="shared" si="3"/>
        <v/>
      </c>
      <c r="U1649" s="4">
        <f t="shared" si="4"/>
        <v>1386</v>
      </c>
    </row>
    <row r="1650" ht="15.75" customHeight="1">
      <c r="A1650" s="4" t="s">
        <v>2897</v>
      </c>
      <c r="B1650" s="4" t="s">
        <v>13</v>
      </c>
      <c r="I1650" s="4">
        <v>0.2864</v>
      </c>
      <c r="J1650" s="4">
        <v>0.017</v>
      </c>
      <c r="K1650" s="6" t="b">
        <f t="shared" ref="K1650:M1650" si="1616">FALSE()</f>
        <v>0</v>
      </c>
      <c r="L1650" s="6" t="b">
        <f t="shared" si="1616"/>
        <v>0</v>
      </c>
      <c r="M1650" s="6" t="b">
        <f t="shared" si="1616"/>
        <v>0</v>
      </c>
      <c r="P1650" s="4">
        <v>0.251847619442565</v>
      </c>
      <c r="T1650" s="4" t="str">
        <f t="shared" si="3"/>
        <v/>
      </c>
      <c r="U1650" s="4">
        <f t="shared" si="4"/>
        <v>1457</v>
      </c>
    </row>
    <row r="1651" ht="15.75" customHeight="1">
      <c r="A1651" s="4" t="s">
        <v>2898</v>
      </c>
      <c r="B1651" s="4" t="s">
        <v>13</v>
      </c>
      <c r="I1651" s="4">
        <v>0.1811</v>
      </c>
      <c r="J1651" s="4">
        <v>0.008</v>
      </c>
      <c r="K1651" s="6" t="b">
        <f t="shared" ref="K1651:M1651" si="1617">FALSE()</f>
        <v>0</v>
      </c>
      <c r="L1651" s="6" t="b">
        <f t="shared" si="1617"/>
        <v>0</v>
      </c>
      <c r="M1651" s="6" t="b">
        <f t="shared" si="1617"/>
        <v>0</v>
      </c>
      <c r="P1651" s="4">
        <v>0.166446207635664</v>
      </c>
      <c r="T1651" s="4" t="str">
        <f t="shared" si="3"/>
        <v/>
      </c>
      <c r="U1651" s="4">
        <f t="shared" si="4"/>
        <v>2872</v>
      </c>
    </row>
    <row r="1652" ht="15.75" customHeight="1">
      <c r="A1652" s="4" t="s">
        <v>2899</v>
      </c>
      <c r="B1652" s="4" t="s">
        <v>13</v>
      </c>
      <c r="I1652" s="4">
        <v>0.1472</v>
      </c>
      <c r="J1652" s="4">
        <v>0.0071</v>
      </c>
      <c r="K1652" s="6" t="b">
        <f t="shared" ref="K1652:M1652" si="1618">FALSE()</f>
        <v>0</v>
      </c>
      <c r="L1652" s="6" t="b">
        <f t="shared" si="1618"/>
        <v>0</v>
      </c>
      <c r="M1652" s="6" t="b">
        <f t="shared" si="1618"/>
        <v>0</v>
      </c>
      <c r="P1652" s="4">
        <v>0.137324190863219</v>
      </c>
      <c r="T1652" s="4" t="str">
        <f t="shared" si="3"/>
        <v/>
      </c>
      <c r="U1652" s="4">
        <f t="shared" si="4"/>
        <v>3371</v>
      </c>
    </row>
    <row r="1653" ht="15.75" customHeight="1">
      <c r="A1653" s="4" t="s">
        <v>2900</v>
      </c>
      <c r="B1653" s="4" t="s">
        <v>13</v>
      </c>
      <c r="I1653" s="4">
        <v>0.1802</v>
      </c>
      <c r="J1653" s="4">
        <v>0.0062</v>
      </c>
      <c r="K1653" s="6" t="b">
        <f t="shared" ref="K1653:M1653" si="1619">FALSE()</f>
        <v>0</v>
      </c>
      <c r="L1653" s="6" t="b">
        <f t="shared" si="1619"/>
        <v>0</v>
      </c>
      <c r="M1653" s="6" t="b">
        <f t="shared" si="1619"/>
        <v>0</v>
      </c>
      <c r="P1653" s="4">
        <v>0.165683915640931</v>
      </c>
      <c r="T1653" s="4" t="str">
        <f t="shared" si="3"/>
        <v/>
      </c>
      <c r="U1653" s="4">
        <f t="shared" si="4"/>
        <v>2883</v>
      </c>
    </row>
    <row r="1654" ht="15.75" customHeight="1">
      <c r="A1654" s="4" t="s">
        <v>2901</v>
      </c>
      <c r="B1654" s="4" t="s">
        <v>13</v>
      </c>
      <c r="I1654" s="4">
        <v>0.1419</v>
      </c>
      <c r="J1654" s="4">
        <v>0.0045</v>
      </c>
      <c r="K1654" s="6" t="b">
        <f t="shared" ref="K1654:M1654" si="1620">FALSE()</f>
        <v>0</v>
      </c>
      <c r="L1654" s="6" t="b">
        <f t="shared" si="1620"/>
        <v>0</v>
      </c>
      <c r="M1654" s="6" t="b">
        <f t="shared" si="1620"/>
        <v>0</v>
      </c>
      <c r="P1654" s="4">
        <v>0.132693541725465</v>
      </c>
      <c r="T1654" s="4" t="str">
        <f t="shared" si="3"/>
        <v/>
      </c>
      <c r="U1654" s="4">
        <f t="shared" si="4"/>
        <v>3479</v>
      </c>
    </row>
    <row r="1655" ht="15.75" customHeight="1">
      <c r="A1655" s="4" t="s">
        <v>2902</v>
      </c>
      <c r="B1655" s="4" t="s">
        <v>13</v>
      </c>
      <c r="I1655" s="4">
        <v>0.1856</v>
      </c>
      <c r="J1655" s="4">
        <v>0.0071</v>
      </c>
      <c r="K1655" s="6" t="b">
        <f t="shared" ref="K1655:M1655" si="1621">FALSE()</f>
        <v>0</v>
      </c>
      <c r="L1655" s="6" t="b">
        <f t="shared" si="1621"/>
        <v>0</v>
      </c>
      <c r="M1655" s="6" t="b">
        <f t="shared" si="1621"/>
        <v>0</v>
      </c>
      <c r="P1655" s="4">
        <v>0.170248975559685</v>
      </c>
      <c r="T1655" s="4" t="str">
        <f t="shared" si="3"/>
        <v/>
      </c>
      <c r="U1655" s="4">
        <f t="shared" si="4"/>
        <v>2816</v>
      </c>
    </row>
    <row r="1656" ht="15.75" customHeight="1">
      <c r="A1656" s="4" t="s">
        <v>2903</v>
      </c>
      <c r="B1656" s="4" t="s">
        <v>13</v>
      </c>
      <c r="I1656" s="4">
        <v>0.2016</v>
      </c>
      <c r="J1656" s="4">
        <v>0.009</v>
      </c>
      <c r="K1656" s="6" t="b">
        <f t="shared" ref="K1656:M1656" si="1622">FALSE()</f>
        <v>0</v>
      </c>
      <c r="L1656" s="6" t="b">
        <f t="shared" si="1622"/>
        <v>0</v>
      </c>
      <c r="M1656" s="6" t="b">
        <f t="shared" si="1622"/>
        <v>0</v>
      </c>
      <c r="P1656" s="4">
        <v>0.183654002027733</v>
      </c>
      <c r="T1656" s="4" t="str">
        <f t="shared" si="3"/>
        <v/>
      </c>
      <c r="U1656" s="4">
        <f t="shared" si="4"/>
        <v>2562</v>
      </c>
    </row>
    <row r="1657" ht="15.75" customHeight="1">
      <c r="A1657" s="4" t="s">
        <v>2904</v>
      </c>
      <c r="B1657" s="4" t="s">
        <v>13</v>
      </c>
      <c r="I1657" s="4">
        <v>0.215</v>
      </c>
      <c r="J1657" s="4">
        <v>0.009</v>
      </c>
      <c r="K1657" s="6" t="b">
        <f t="shared" ref="K1657:M1657" si="1623">FALSE()</f>
        <v>0</v>
      </c>
      <c r="L1657" s="6" t="b">
        <f t="shared" si="1623"/>
        <v>0</v>
      </c>
      <c r="M1657" s="6" t="b">
        <f t="shared" si="1623"/>
        <v>0</v>
      </c>
      <c r="P1657" s="4">
        <v>0.194744076792512</v>
      </c>
      <c r="T1657" s="4" t="str">
        <f t="shared" si="3"/>
        <v/>
      </c>
      <c r="U1657" s="4">
        <f t="shared" si="4"/>
        <v>2330</v>
      </c>
    </row>
    <row r="1658" ht="15.75" customHeight="1">
      <c r="A1658" s="4" t="s">
        <v>2905</v>
      </c>
      <c r="B1658" s="4" t="s">
        <v>13</v>
      </c>
      <c r="I1658" s="4">
        <v>0.2908</v>
      </c>
      <c r="J1658" s="4">
        <v>0.0098</v>
      </c>
      <c r="K1658" s="6" t="b">
        <f t="shared" ref="K1658:M1658" si="1624">FALSE()</f>
        <v>0</v>
      </c>
      <c r="L1658" s="6" t="b">
        <f t="shared" si="1624"/>
        <v>0</v>
      </c>
      <c r="M1658" s="6" t="b">
        <f t="shared" si="1624"/>
        <v>0</v>
      </c>
      <c r="P1658" s="4">
        <v>0.25526218119567</v>
      </c>
      <c r="T1658" s="4" t="str">
        <f t="shared" si="3"/>
        <v/>
      </c>
      <c r="U1658" s="4">
        <f t="shared" si="4"/>
        <v>1434</v>
      </c>
    </row>
    <row r="1659" ht="15.75" customHeight="1">
      <c r="A1659" s="4" t="s">
        <v>2906</v>
      </c>
      <c r="B1659" s="4" t="s">
        <v>13</v>
      </c>
      <c r="I1659" s="4">
        <v>0.2382</v>
      </c>
      <c r="J1659" s="4">
        <v>0.0098</v>
      </c>
      <c r="K1659" s="6" t="b">
        <f t="shared" ref="K1659:M1659" si="1625">FALSE()</f>
        <v>0</v>
      </c>
      <c r="L1659" s="6" t="b">
        <f t="shared" si="1625"/>
        <v>0</v>
      </c>
      <c r="M1659" s="6" t="b">
        <f t="shared" si="1625"/>
        <v>0</v>
      </c>
      <c r="P1659" s="4">
        <v>0.213658712102995</v>
      </c>
      <c r="T1659" s="4" t="str">
        <f t="shared" si="3"/>
        <v/>
      </c>
      <c r="U1659" s="4">
        <f t="shared" si="4"/>
        <v>1968</v>
      </c>
    </row>
    <row r="1660" ht="15.75" customHeight="1">
      <c r="A1660" s="4" t="s">
        <v>2907</v>
      </c>
      <c r="B1660" s="4" t="s">
        <v>13</v>
      </c>
      <c r="I1660" s="4">
        <v>0.1231</v>
      </c>
      <c r="J1660" s="4">
        <v>0.0062</v>
      </c>
      <c r="K1660" s="6" t="b">
        <f t="shared" ref="K1660:M1660" si="1626">FALSE()</f>
        <v>0</v>
      </c>
      <c r="L1660" s="6" t="b">
        <f t="shared" si="1626"/>
        <v>0</v>
      </c>
      <c r="M1660" s="6" t="b">
        <f t="shared" si="1626"/>
        <v>0</v>
      </c>
      <c r="P1660" s="4">
        <v>0.116092718986853</v>
      </c>
      <c r="T1660" s="4" t="str">
        <f t="shared" si="3"/>
        <v/>
      </c>
      <c r="U1660" s="4">
        <f t="shared" si="4"/>
        <v>3807</v>
      </c>
    </row>
    <row r="1661" ht="15.75" customHeight="1">
      <c r="A1661" s="4" t="s">
        <v>607</v>
      </c>
      <c r="B1661" s="4" t="s">
        <v>13</v>
      </c>
      <c r="C1661" s="4">
        <v>1.78</v>
      </c>
      <c r="D1661" s="4">
        <v>0.13</v>
      </c>
      <c r="E1661" s="4">
        <v>0.13</v>
      </c>
      <c r="F1661" s="4">
        <v>1.76</v>
      </c>
      <c r="G1661" s="4">
        <v>0.13</v>
      </c>
      <c r="H1661" s="4">
        <v>0.13</v>
      </c>
      <c r="I1661" s="4">
        <v>1.245</v>
      </c>
      <c r="J1661" s="4">
        <v>0.029</v>
      </c>
      <c r="K1661" s="6" t="b">
        <f t="shared" ref="K1661:L1661" si="1627">FALSE()</f>
        <v>0</v>
      </c>
      <c r="L1661" s="6" t="b">
        <f t="shared" si="1627"/>
        <v>0</v>
      </c>
      <c r="M1661" s="6" t="b">
        <f>TRUE()</f>
        <v>1</v>
      </c>
      <c r="N1661" s="4">
        <v>1.02245092770255</v>
      </c>
      <c r="O1661" s="4">
        <v>1.01523067972906</v>
      </c>
      <c r="P1661" s="4">
        <v>0.808705521194218</v>
      </c>
      <c r="Q1661" s="4">
        <v>0.465263697251662</v>
      </c>
      <c r="R1661" s="4">
        <v>0.464143223139336</v>
      </c>
      <c r="S1661" s="4">
        <v>0.785312806085552</v>
      </c>
      <c r="T1661" s="4">
        <f t="shared" si="3"/>
        <v>473</v>
      </c>
      <c r="U1661" s="4">
        <f t="shared" si="4"/>
        <v>322</v>
      </c>
    </row>
    <row r="1662" ht="15.75" customHeight="1">
      <c r="A1662" s="4" t="s">
        <v>2908</v>
      </c>
      <c r="B1662" s="4" t="s">
        <v>13</v>
      </c>
      <c r="I1662" s="4">
        <v>0.1374</v>
      </c>
      <c r="J1662" s="4">
        <v>0.0098</v>
      </c>
      <c r="K1662" s="6" t="b">
        <f t="shared" ref="K1662:M1662" si="1628">FALSE()</f>
        <v>0</v>
      </c>
      <c r="L1662" s="6" t="b">
        <f t="shared" si="1628"/>
        <v>0</v>
      </c>
      <c r="M1662" s="6" t="b">
        <f t="shared" si="1628"/>
        <v>0</v>
      </c>
      <c r="P1662" s="4">
        <v>0.128744955890562</v>
      </c>
      <c r="T1662" s="4" t="str">
        <f t="shared" si="3"/>
        <v/>
      </c>
      <c r="U1662" s="4">
        <f t="shared" si="4"/>
        <v>3551</v>
      </c>
    </row>
    <row r="1663" ht="15.75" customHeight="1">
      <c r="A1663" s="4" t="s">
        <v>2909</v>
      </c>
      <c r="B1663" s="4" t="s">
        <v>13</v>
      </c>
      <c r="I1663" s="4">
        <v>0.2444</v>
      </c>
      <c r="J1663" s="4">
        <v>0.0161</v>
      </c>
      <c r="K1663" s="6" t="b">
        <f t="shared" ref="K1663:M1663" si="1629">FALSE()</f>
        <v>0</v>
      </c>
      <c r="L1663" s="6" t="b">
        <f t="shared" si="1629"/>
        <v>0</v>
      </c>
      <c r="M1663" s="6" t="b">
        <f t="shared" si="1629"/>
        <v>0</v>
      </c>
      <c r="P1663" s="4">
        <v>0.218653486041345</v>
      </c>
      <c r="T1663" s="4" t="str">
        <f t="shared" si="3"/>
        <v/>
      </c>
      <c r="U1663" s="4">
        <f t="shared" si="4"/>
        <v>1879</v>
      </c>
    </row>
    <row r="1664" ht="15.75" customHeight="1">
      <c r="A1664" s="4" t="s">
        <v>2910</v>
      </c>
      <c r="B1664" s="4" t="s">
        <v>13</v>
      </c>
      <c r="I1664" s="4">
        <v>0.2266</v>
      </c>
      <c r="J1664" s="4">
        <v>0.017</v>
      </c>
      <c r="K1664" s="6" t="b">
        <f t="shared" ref="K1664:M1664" si="1630">FALSE()</f>
        <v>0</v>
      </c>
      <c r="L1664" s="6" t="b">
        <f t="shared" si="1630"/>
        <v>0</v>
      </c>
      <c r="M1664" s="6" t="b">
        <f t="shared" si="1630"/>
        <v>0</v>
      </c>
      <c r="P1664" s="4">
        <v>0.204246114209746</v>
      </c>
      <c r="T1664" s="4" t="str">
        <f t="shared" si="3"/>
        <v/>
      </c>
      <c r="U1664" s="4">
        <f t="shared" si="4"/>
        <v>2169</v>
      </c>
    </row>
    <row r="1665" ht="15.75" customHeight="1">
      <c r="A1665" s="4" t="s">
        <v>2911</v>
      </c>
      <c r="B1665" s="4" t="s">
        <v>13</v>
      </c>
      <c r="I1665" s="4">
        <v>0.17</v>
      </c>
      <c r="K1665" s="6" t="b">
        <f t="shared" ref="K1665:M1665" si="1631">FALSE()</f>
        <v>0</v>
      </c>
      <c r="L1665" s="6" t="b">
        <f t="shared" si="1631"/>
        <v>0</v>
      </c>
      <c r="M1665" s="6" t="b">
        <f t="shared" si="1631"/>
        <v>0</v>
      </c>
      <c r="P1665" s="4">
        <v>0.157003748809665</v>
      </c>
      <c r="T1665" s="4" t="str">
        <f t="shared" si="3"/>
        <v/>
      </c>
      <c r="U1665" s="4">
        <f t="shared" si="4"/>
        <v>3034</v>
      </c>
    </row>
    <row r="1666" ht="15.75" customHeight="1">
      <c r="A1666" s="4" t="s">
        <v>2912</v>
      </c>
      <c r="B1666" s="4" t="s">
        <v>13</v>
      </c>
      <c r="I1666" s="4">
        <v>0.196</v>
      </c>
      <c r="K1666" s="6" t="b">
        <f t="shared" ref="K1666:M1666" si="1632">FALSE()</f>
        <v>0</v>
      </c>
      <c r="L1666" s="6" t="b">
        <f t="shared" si="1632"/>
        <v>0</v>
      </c>
      <c r="M1666" s="6" t="b">
        <f t="shared" si="1632"/>
        <v>0</v>
      </c>
      <c r="P1666" s="4">
        <v>0.17898265552844</v>
      </c>
      <c r="T1666" s="4" t="str">
        <f t="shared" si="3"/>
        <v/>
      </c>
      <c r="U1666" s="4">
        <f t="shared" si="4"/>
        <v>2646</v>
      </c>
    </row>
    <row r="1667" ht="15.75" customHeight="1">
      <c r="A1667" s="4" t="s">
        <v>2913</v>
      </c>
      <c r="B1667" s="4" t="s">
        <v>13</v>
      </c>
      <c r="I1667" s="4">
        <v>0.1713</v>
      </c>
      <c r="J1667" s="4">
        <v>0.0705</v>
      </c>
      <c r="K1667" s="6" t="b">
        <f t="shared" ref="K1667:M1667" si="1633">FALSE()</f>
        <v>0</v>
      </c>
      <c r="L1667" s="6" t="b">
        <f t="shared" si="1633"/>
        <v>0</v>
      </c>
      <c r="M1667" s="6" t="b">
        <f t="shared" si="1633"/>
        <v>0</v>
      </c>
      <c r="P1667" s="4">
        <v>0.158114243093692</v>
      </c>
      <c r="T1667" s="4" t="str">
        <f t="shared" si="3"/>
        <v/>
      </c>
      <c r="U1667" s="4">
        <f t="shared" si="4"/>
        <v>3026</v>
      </c>
    </row>
    <row r="1668" ht="15.75" customHeight="1">
      <c r="A1668" s="4" t="s">
        <v>2914</v>
      </c>
      <c r="B1668" s="4" t="s">
        <v>13</v>
      </c>
      <c r="I1668" s="4">
        <v>0.4951</v>
      </c>
      <c r="J1668" s="4">
        <v>0.018</v>
      </c>
      <c r="K1668" s="6" t="b">
        <f t="shared" ref="K1668:M1668" si="1634">FALSE()</f>
        <v>0</v>
      </c>
      <c r="L1668" s="6" t="b">
        <f t="shared" si="1634"/>
        <v>0</v>
      </c>
      <c r="M1668" s="6" t="b">
        <f t="shared" si="1634"/>
        <v>0</v>
      </c>
      <c r="P1668" s="4">
        <v>0.402193094237745</v>
      </c>
      <c r="T1668" s="4" t="str">
        <f t="shared" si="3"/>
        <v/>
      </c>
      <c r="U1668" s="4">
        <f t="shared" si="4"/>
        <v>1017</v>
      </c>
    </row>
    <row r="1669" ht="15.75" customHeight="1">
      <c r="A1669" s="4" t="s">
        <v>2915</v>
      </c>
      <c r="B1669" s="4" t="s">
        <v>13</v>
      </c>
      <c r="I1669" s="4">
        <v>0.1392</v>
      </c>
      <c r="J1669" s="4">
        <v>0.0071</v>
      </c>
      <c r="K1669" s="6" t="b">
        <f t="shared" ref="K1669:M1669" si="1635">FALSE()</f>
        <v>0</v>
      </c>
      <c r="L1669" s="6" t="b">
        <f t="shared" si="1635"/>
        <v>0</v>
      </c>
      <c r="M1669" s="6" t="b">
        <f t="shared" si="1635"/>
        <v>0</v>
      </c>
      <c r="P1669" s="4">
        <v>0.130326261675574</v>
      </c>
      <c r="T1669" s="4" t="str">
        <f t="shared" si="3"/>
        <v/>
      </c>
      <c r="U1669" s="4">
        <f t="shared" si="4"/>
        <v>3517</v>
      </c>
    </row>
    <row r="1670" ht="15.75" customHeight="1">
      <c r="A1670" s="4" t="s">
        <v>2916</v>
      </c>
      <c r="B1670" s="4" t="s">
        <v>13</v>
      </c>
      <c r="I1670" s="4">
        <v>0.2007</v>
      </c>
      <c r="J1670" s="4">
        <v>0.0143</v>
      </c>
      <c r="K1670" s="6" t="b">
        <f t="shared" ref="K1670:M1670" si="1636">FALSE()</f>
        <v>0</v>
      </c>
      <c r="L1670" s="6" t="b">
        <f t="shared" si="1636"/>
        <v>0</v>
      </c>
      <c r="M1670" s="6" t="b">
        <f t="shared" si="1636"/>
        <v>0</v>
      </c>
      <c r="P1670" s="4">
        <v>0.182904720054535</v>
      </c>
      <c r="T1670" s="4" t="str">
        <f t="shared" si="3"/>
        <v/>
      </c>
      <c r="U1670" s="4">
        <f t="shared" si="4"/>
        <v>2578</v>
      </c>
    </row>
    <row r="1671" ht="15.75" customHeight="1">
      <c r="A1671" s="4" t="s">
        <v>2917</v>
      </c>
      <c r="B1671" s="4" t="s">
        <v>13</v>
      </c>
      <c r="I1671" s="4">
        <v>0.2043</v>
      </c>
      <c r="J1671" s="4">
        <v>0.0107</v>
      </c>
      <c r="K1671" s="6" t="b">
        <f t="shared" ref="K1671:M1671" si="1637">FALSE()</f>
        <v>0</v>
      </c>
      <c r="L1671" s="6" t="b">
        <f t="shared" si="1637"/>
        <v>0</v>
      </c>
      <c r="M1671" s="6" t="b">
        <f t="shared" si="1637"/>
        <v>0</v>
      </c>
      <c r="P1671" s="4">
        <v>0.185898485284297</v>
      </c>
      <c r="T1671" s="4" t="str">
        <f t="shared" si="3"/>
        <v/>
      </c>
      <c r="U1671" s="4">
        <f t="shared" si="4"/>
        <v>2501</v>
      </c>
    </row>
    <row r="1672" ht="15.75" customHeight="1">
      <c r="A1672" s="4" t="s">
        <v>2918</v>
      </c>
      <c r="B1672" s="4" t="s">
        <v>13</v>
      </c>
      <c r="I1672" s="4">
        <v>0.3319</v>
      </c>
      <c r="J1672" s="4">
        <v>0.0187</v>
      </c>
      <c r="K1672" s="6" t="b">
        <f t="shared" ref="K1672:M1672" si="1638">FALSE()</f>
        <v>0</v>
      </c>
      <c r="L1672" s="6" t="b">
        <f t="shared" si="1638"/>
        <v>0</v>
      </c>
      <c r="M1672" s="6" t="b">
        <f t="shared" si="1638"/>
        <v>0</v>
      </c>
      <c r="P1672" s="4">
        <v>0.286606494224848</v>
      </c>
      <c r="T1672" s="4" t="str">
        <f t="shared" si="3"/>
        <v/>
      </c>
      <c r="U1672" s="4">
        <f t="shared" si="4"/>
        <v>1254</v>
      </c>
    </row>
    <row r="1673" ht="15.75" customHeight="1">
      <c r="A1673" s="4" t="s">
        <v>2919</v>
      </c>
      <c r="B1673" s="4" t="s">
        <v>13</v>
      </c>
      <c r="I1673" s="4">
        <v>0.2391</v>
      </c>
      <c r="J1673" s="4">
        <v>0.0125</v>
      </c>
      <c r="K1673" s="6" t="b">
        <f t="shared" ref="K1673:M1673" si="1639">FALSE()</f>
        <v>0</v>
      </c>
      <c r="L1673" s="6" t="b">
        <f t="shared" si="1639"/>
        <v>0</v>
      </c>
      <c r="M1673" s="6" t="b">
        <f t="shared" si="1639"/>
        <v>0</v>
      </c>
      <c r="P1673" s="4">
        <v>0.21438530964031</v>
      </c>
      <c r="T1673" s="4" t="str">
        <f t="shared" si="3"/>
        <v/>
      </c>
      <c r="U1673" s="4">
        <f t="shared" si="4"/>
        <v>1958</v>
      </c>
    </row>
    <row r="1674" ht="15.75" customHeight="1">
      <c r="A1674" s="4" t="s">
        <v>2920</v>
      </c>
      <c r="B1674" s="4" t="s">
        <v>13</v>
      </c>
      <c r="I1674" s="4">
        <v>0.134</v>
      </c>
      <c r="J1674" s="4">
        <v>0.018</v>
      </c>
      <c r="K1674" s="6" t="b">
        <f t="shared" ref="K1674:M1674" si="1640">FALSE()</f>
        <v>0</v>
      </c>
      <c r="L1674" s="6" t="b">
        <f t="shared" si="1640"/>
        <v>0</v>
      </c>
      <c r="M1674" s="6" t="b">
        <f t="shared" si="1640"/>
        <v>0</v>
      </c>
      <c r="P1674" s="4">
        <v>0.12575120530556</v>
      </c>
      <c r="T1674" s="4" t="str">
        <f t="shared" si="3"/>
        <v/>
      </c>
      <c r="U1674" s="4">
        <f t="shared" si="4"/>
        <v>3623</v>
      </c>
    </row>
    <row r="1675" ht="15.75" customHeight="1">
      <c r="A1675" s="4" t="s">
        <v>2921</v>
      </c>
      <c r="B1675" s="4" t="s">
        <v>13</v>
      </c>
      <c r="I1675" s="4">
        <v>0.118</v>
      </c>
      <c r="J1675" s="4">
        <v>0.007</v>
      </c>
      <c r="K1675" s="6" t="b">
        <f t="shared" ref="K1675:M1675" si="1641">FALSE()</f>
        <v>0</v>
      </c>
      <c r="L1675" s="6" t="b">
        <f t="shared" si="1641"/>
        <v>0</v>
      </c>
      <c r="M1675" s="6" t="b">
        <f t="shared" si="1641"/>
        <v>0</v>
      </c>
      <c r="P1675" s="4">
        <v>0.111541374732907</v>
      </c>
      <c r="T1675" s="4" t="str">
        <f t="shared" si="3"/>
        <v/>
      </c>
      <c r="U1675" s="4">
        <f t="shared" si="4"/>
        <v>3903</v>
      </c>
    </row>
    <row r="1676" ht="15.75" customHeight="1">
      <c r="A1676" s="4" t="s">
        <v>2922</v>
      </c>
      <c r="B1676" s="4" t="s">
        <v>13</v>
      </c>
      <c r="I1676" s="4">
        <v>0.172</v>
      </c>
      <c r="J1676" s="4">
        <v>0.01</v>
      </c>
      <c r="K1676" s="6" t="b">
        <f t="shared" ref="K1676:M1676" si="1642">FALSE()</f>
        <v>0</v>
      </c>
      <c r="L1676" s="6" t="b">
        <f t="shared" si="1642"/>
        <v>0</v>
      </c>
      <c r="M1676" s="6" t="b">
        <f t="shared" si="1642"/>
        <v>0</v>
      </c>
      <c r="P1676" s="4">
        <v>0.158711691154821</v>
      </c>
      <c r="T1676" s="4" t="str">
        <f t="shared" si="3"/>
        <v/>
      </c>
      <c r="U1676" s="4">
        <f t="shared" si="4"/>
        <v>3012</v>
      </c>
    </row>
    <row r="1677" ht="15.75" customHeight="1">
      <c r="A1677" s="4" t="s">
        <v>608</v>
      </c>
      <c r="B1677" s="4" t="s">
        <v>13</v>
      </c>
      <c r="C1677" s="4">
        <v>0.02413</v>
      </c>
      <c r="D1677" s="4">
        <v>0.00236</v>
      </c>
      <c r="E1677" s="4">
        <v>0.00236</v>
      </c>
      <c r="I1677" s="4">
        <v>0.13962</v>
      </c>
      <c r="J1677" s="4">
        <v>0.0071</v>
      </c>
      <c r="K1677" s="6" t="b">
        <f t="shared" ref="K1677:M1677" si="1643">FALSE()</f>
        <v>0</v>
      </c>
      <c r="L1677" s="6" t="b">
        <f t="shared" si="1643"/>
        <v>0</v>
      </c>
      <c r="M1677" s="6" t="b">
        <f t="shared" si="1643"/>
        <v>0</v>
      </c>
      <c r="N1677" s="4">
        <v>0.02384347168445</v>
      </c>
      <c r="P1677" s="4">
        <v>0.130694873505166</v>
      </c>
      <c r="T1677" s="4">
        <f t="shared" si="3"/>
        <v>1650</v>
      </c>
      <c r="U1677" s="4">
        <f t="shared" si="4"/>
        <v>3515</v>
      </c>
    </row>
    <row r="1678" ht="15.75" customHeight="1">
      <c r="A1678" s="4" t="s">
        <v>2923</v>
      </c>
      <c r="B1678" s="4" t="s">
        <v>13</v>
      </c>
      <c r="D1678" s="4">
        <v>0.00573</v>
      </c>
      <c r="E1678" s="4">
        <v>0.00573</v>
      </c>
      <c r="F1678" s="4">
        <v>0.04792</v>
      </c>
      <c r="G1678" s="4">
        <v>0.00573</v>
      </c>
      <c r="H1678" s="4">
        <v>0.00573</v>
      </c>
      <c r="K1678" s="6" t="b">
        <f t="shared" ref="K1678:M1678" si="1644">FALSE()</f>
        <v>0</v>
      </c>
      <c r="L1678" s="6" t="b">
        <f t="shared" si="1644"/>
        <v>0</v>
      </c>
      <c r="M1678" s="6" t="b">
        <f t="shared" si="1644"/>
        <v>0</v>
      </c>
      <c r="O1678" s="4">
        <v>0.0468072471072564</v>
      </c>
      <c r="T1678" s="4" t="str">
        <f t="shared" si="3"/>
        <v/>
      </c>
      <c r="U1678" s="4" t="str">
        <f t="shared" si="4"/>
        <v/>
      </c>
    </row>
    <row r="1679" ht="15.75" customHeight="1">
      <c r="A1679" s="4" t="s">
        <v>2924</v>
      </c>
      <c r="B1679" s="4" t="s">
        <v>13</v>
      </c>
      <c r="I1679" s="4">
        <v>0.107</v>
      </c>
      <c r="J1679" s="4">
        <v>0.027</v>
      </c>
      <c r="K1679" s="6" t="b">
        <f t="shared" ref="K1679:M1679" si="1645">FALSE()</f>
        <v>0</v>
      </c>
      <c r="L1679" s="6" t="b">
        <f t="shared" si="1645"/>
        <v>0</v>
      </c>
      <c r="M1679" s="6" t="b">
        <f t="shared" si="1645"/>
        <v>0</v>
      </c>
      <c r="P1679" s="4">
        <v>0.1016536537265</v>
      </c>
      <c r="T1679" s="4" t="str">
        <f t="shared" si="3"/>
        <v/>
      </c>
      <c r="U1679" s="4">
        <f t="shared" si="4"/>
        <v>4093</v>
      </c>
    </row>
    <row r="1680" ht="15.75" customHeight="1">
      <c r="A1680" s="4" t="s">
        <v>2925</v>
      </c>
      <c r="B1680" s="4" t="s">
        <v>13</v>
      </c>
      <c r="I1680" s="4">
        <v>0.205</v>
      </c>
      <c r="J1680" s="4">
        <v>0.045</v>
      </c>
      <c r="K1680" s="6" t="b">
        <f t="shared" ref="K1680:M1680" si="1646">FALSE()</f>
        <v>0</v>
      </c>
      <c r="L1680" s="6" t="b">
        <f t="shared" si="1646"/>
        <v>0</v>
      </c>
      <c r="M1680" s="6" t="b">
        <f t="shared" si="1646"/>
        <v>0</v>
      </c>
      <c r="P1680" s="4">
        <v>0.186479566942618</v>
      </c>
      <c r="T1680" s="4" t="str">
        <f t="shared" si="3"/>
        <v/>
      </c>
      <c r="U1680" s="4">
        <f t="shared" si="4"/>
        <v>2487</v>
      </c>
    </row>
    <row r="1681" ht="15.75" customHeight="1">
      <c r="A1681" s="4" t="s">
        <v>2926</v>
      </c>
      <c r="B1681" s="4" t="s">
        <v>13</v>
      </c>
      <c r="I1681" s="4">
        <v>0.0883</v>
      </c>
      <c r="J1681" s="4">
        <v>0.009</v>
      </c>
      <c r="K1681" s="6" t="b">
        <f t="shared" ref="K1681:M1681" si="1647">FALSE()</f>
        <v>0</v>
      </c>
      <c r="L1681" s="6" t="b">
        <f t="shared" si="1647"/>
        <v>0</v>
      </c>
      <c r="M1681" s="6" t="b">
        <f t="shared" si="1647"/>
        <v>0</v>
      </c>
      <c r="P1681" s="4">
        <v>0.0846168457198789</v>
      </c>
      <c r="T1681" s="4" t="str">
        <f t="shared" si="3"/>
        <v/>
      </c>
      <c r="U1681" s="4">
        <f t="shared" si="4"/>
        <v>4347</v>
      </c>
    </row>
    <row r="1682" ht="15.75" customHeight="1">
      <c r="A1682" s="4" t="s">
        <v>2927</v>
      </c>
      <c r="B1682" s="4" t="s">
        <v>13</v>
      </c>
      <c r="I1682" s="4">
        <v>0.098</v>
      </c>
      <c r="J1682" s="4">
        <v>0.018</v>
      </c>
      <c r="K1682" s="6" t="b">
        <f t="shared" ref="K1682:M1682" si="1648">FALSE()</f>
        <v>0</v>
      </c>
      <c r="L1682" s="6" t="b">
        <f t="shared" si="1648"/>
        <v>0</v>
      </c>
      <c r="M1682" s="6" t="b">
        <f t="shared" si="1648"/>
        <v>0</v>
      </c>
      <c r="P1682" s="4">
        <v>0.0934903430873388</v>
      </c>
      <c r="T1682" s="4" t="str">
        <f t="shared" si="3"/>
        <v/>
      </c>
      <c r="U1682" s="4">
        <f t="shared" si="4"/>
        <v>4244</v>
      </c>
    </row>
    <row r="1683" ht="15.75" customHeight="1">
      <c r="A1683" s="4" t="s">
        <v>610</v>
      </c>
      <c r="B1683" s="4" t="s">
        <v>13</v>
      </c>
      <c r="C1683" s="4">
        <v>0.02722</v>
      </c>
      <c r="D1683" s="4">
        <v>0.01721</v>
      </c>
      <c r="E1683" s="4">
        <v>0.01721</v>
      </c>
      <c r="I1683" s="4">
        <v>0.25926</v>
      </c>
      <c r="J1683" s="4">
        <v>0.0157</v>
      </c>
      <c r="K1683" s="6" t="b">
        <f t="shared" ref="K1683:M1683" si="1649">FALSE()</f>
        <v>0</v>
      </c>
      <c r="L1683" s="6" t="b">
        <f t="shared" si="1649"/>
        <v>0</v>
      </c>
      <c r="M1683" s="6" t="b">
        <f t="shared" si="1649"/>
        <v>0</v>
      </c>
      <c r="N1683" s="4">
        <v>0.0268561241689982</v>
      </c>
      <c r="P1683" s="4">
        <v>0.230524246846953</v>
      </c>
      <c r="T1683" s="4">
        <f t="shared" si="3"/>
        <v>1601</v>
      </c>
      <c r="U1683" s="4">
        <f t="shared" si="4"/>
        <v>1688</v>
      </c>
    </row>
    <row r="1684" ht="15.75" customHeight="1">
      <c r="A1684" s="4" t="s">
        <v>611</v>
      </c>
      <c r="B1684" s="4" t="s">
        <v>13</v>
      </c>
      <c r="C1684" s="4">
        <v>0.01995</v>
      </c>
      <c r="D1684" s="4">
        <v>0.01152</v>
      </c>
      <c r="E1684" s="4">
        <v>0.01152</v>
      </c>
      <c r="I1684" s="4">
        <v>0.21046</v>
      </c>
      <c r="J1684" s="4">
        <v>0.0149</v>
      </c>
      <c r="K1684" s="6" t="b">
        <f t="shared" ref="K1684:M1684" si="1650">FALSE()</f>
        <v>0</v>
      </c>
      <c r="L1684" s="6" t="b">
        <f t="shared" si="1650"/>
        <v>0</v>
      </c>
      <c r="M1684" s="6" t="b">
        <f t="shared" si="1650"/>
        <v>0</v>
      </c>
      <c r="N1684" s="4">
        <v>0.0197536064868363</v>
      </c>
      <c r="P1684" s="4">
        <v>0.191000452653392</v>
      </c>
      <c r="T1684" s="4">
        <f t="shared" si="3"/>
        <v>1734</v>
      </c>
      <c r="U1684" s="4">
        <f t="shared" si="4"/>
        <v>2413</v>
      </c>
    </row>
    <row r="1685" ht="15.75" customHeight="1">
      <c r="A1685" s="4" t="s">
        <v>612</v>
      </c>
      <c r="B1685" s="4" t="s">
        <v>13</v>
      </c>
      <c r="C1685" s="4">
        <v>0.02036</v>
      </c>
      <c r="D1685" s="4">
        <v>0.01265</v>
      </c>
      <c r="E1685" s="4">
        <v>0.01265</v>
      </c>
      <c r="I1685" s="4">
        <v>0.21528</v>
      </c>
      <c r="J1685" s="4">
        <v>0.01749</v>
      </c>
      <c r="K1685" s="6" t="b">
        <f t="shared" ref="K1685:M1685" si="1651">FALSE()</f>
        <v>0</v>
      </c>
      <c r="L1685" s="6" t="b">
        <f t="shared" si="1651"/>
        <v>0</v>
      </c>
      <c r="M1685" s="6" t="b">
        <f t="shared" si="1651"/>
        <v>0</v>
      </c>
      <c r="N1685" s="4">
        <v>0.0201555062035643</v>
      </c>
      <c r="P1685" s="4">
        <v>0.19497450291727</v>
      </c>
      <c r="T1685" s="4">
        <f t="shared" si="3"/>
        <v>1724</v>
      </c>
      <c r="U1685" s="4">
        <f t="shared" si="4"/>
        <v>2326</v>
      </c>
    </row>
    <row r="1686" ht="15.75" customHeight="1">
      <c r="A1686" s="4" t="s">
        <v>2928</v>
      </c>
      <c r="B1686" s="4" t="s">
        <v>13</v>
      </c>
      <c r="I1686" s="4">
        <v>0.13266</v>
      </c>
      <c r="J1686" s="4">
        <v>0.01838</v>
      </c>
      <c r="K1686" s="6" t="b">
        <f t="shared" ref="K1686:M1686" si="1652">FALSE()</f>
        <v>0</v>
      </c>
      <c r="L1686" s="6" t="b">
        <f t="shared" si="1652"/>
        <v>0</v>
      </c>
      <c r="M1686" s="6" t="b">
        <f t="shared" si="1652"/>
        <v>0</v>
      </c>
      <c r="P1686" s="4">
        <v>0.124568848749124</v>
      </c>
      <c r="T1686" s="4" t="str">
        <f t="shared" si="3"/>
        <v/>
      </c>
      <c r="U1686" s="4">
        <f t="shared" si="4"/>
        <v>3653</v>
      </c>
    </row>
    <row r="1687" ht="15.75" customHeight="1">
      <c r="A1687" s="4" t="s">
        <v>2929</v>
      </c>
      <c r="B1687" s="4" t="s">
        <v>13</v>
      </c>
      <c r="I1687" s="4">
        <v>0.19021</v>
      </c>
      <c r="K1687" s="6" t="b">
        <f t="shared" ref="K1687:M1687" si="1653">FALSE()</f>
        <v>0</v>
      </c>
      <c r="L1687" s="6" t="b">
        <f t="shared" si="1653"/>
        <v>0</v>
      </c>
      <c r="M1687" s="6" t="b">
        <f t="shared" si="1653"/>
        <v>0</v>
      </c>
      <c r="P1687" s="4">
        <v>0.174129762142571</v>
      </c>
      <c r="T1687" s="4" t="str">
        <f t="shared" si="3"/>
        <v/>
      </c>
      <c r="U1687" s="4">
        <f t="shared" si="4"/>
        <v>2730</v>
      </c>
    </row>
    <row r="1688" ht="15.75" customHeight="1">
      <c r="A1688" s="4" t="s">
        <v>2930</v>
      </c>
      <c r="B1688" s="4" t="s">
        <v>13</v>
      </c>
      <c r="I1688" s="4">
        <v>0.13855</v>
      </c>
      <c r="J1688" s="4">
        <v>0.02159</v>
      </c>
      <c r="K1688" s="6" t="b">
        <f t="shared" ref="K1688:M1688" si="1654">FALSE()</f>
        <v>0</v>
      </c>
      <c r="L1688" s="6" t="b">
        <f t="shared" si="1654"/>
        <v>0</v>
      </c>
      <c r="M1688" s="6" t="b">
        <f t="shared" si="1654"/>
        <v>0</v>
      </c>
      <c r="P1688" s="4">
        <v>0.129755522992537</v>
      </c>
      <c r="T1688" s="4" t="str">
        <f t="shared" si="3"/>
        <v/>
      </c>
      <c r="U1688" s="4">
        <f t="shared" si="4"/>
        <v>3531</v>
      </c>
    </row>
    <row r="1689" ht="15.75" customHeight="1">
      <c r="A1689" s="4" t="s">
        <v>613</v>
      </c>
      <c r="B1689" s="4" t="s">
        <v>13</v>
      </c>
      <c r="C1689" s="4">
        <v>0.0069</v>
      </c>
      <c r="D1689" s="4">
        <v>0.0041</v>
      </c>
      <c r="E1689" s="4">
        <v>0.0041</v>
      </c>
      <c r="I1689" s="4">
        <v>0.11714</v>
      </c>
      <c r="J1689" s="4">
        <v>0.00848</v>
      </c>
      <c r="K1689" s="6" t="b">
        <f t="shared" ref="K1689:M1689" si="1655">FALSE()</f>
        <v>0</v>
      </c>
      <c r="L1689" s="6" t="b">
        <f t="shared" si="1655"/>
        <v>0</v>
      </c>
      <c r="M1689" s="6" t="b">
        <f t="shared" si="1655"/>
        <v>0</v>
      </c>
      <c r="N1689" s="4">
        <v>0.0068763039394321</v>
      </c>
      <c r="P1689" s="4">
        <v>0.110771847953879</v>
      </c>
      <c r="T1689" s="4">
        <f t="shared" si="3"/>
        <v>1989</v>
      </c>
      <c r="U1689" s="4">
        <f t="shared" si="4"/>
        <v>3925</v>
      </c>
    </row>
    <row r="1690" ht="15.75" customHeight="1">
      <c r="A1690" s="4" t="s">
        <v>614</v>
      </c>
      <c r="B1690" s="4" t="s">
        <v>13</v>
      </c>
      <c r="C1690" s="4">
        <v>0.01227</v>
      </c>
      <c r="D1690" s="4">
        <v>0.00346</v>
      </c>
      <c r="E1690" s="4">
        <v>0.00346</v>
      </c>
      <c r="I1690" s="4">
        <v>0.128</v>
      </c>
      <c r="J1690" s="4">
        <v>0.007</v>
      </c>
      <c r="K1690" s="6" t="b">
        <f t="shared" ref="K1690:M1690" si="1656">FALSE()</f>
        <v>0</v>
      </c>
      <c r="L1690" s="6" t="b">
        <f t="shared" si="1656"/>
        <v>0</v>
      </c>
      <c r="M1690" s="6" t="b">
        <f t="shared" si="1656"/>
        <v>0</v>
      </c>
      <c r="N1690" s="4">
        <v>0.012195333699877</v>
      </c>
      <c r="P1690" s="4">
        <v>0.120446153075867</v>
      </c>
      <c r="T1690" s="4">
        <f t="shared" si="3"/>
        <v>1891</v>
      </c>
      <c r="U1690" s="4">
        <f t="shared" si="4"/>
        <v>3716</v>
      </c>
    </row>
    <row r="1691" ht="15.75" customHeight="1">
      <c r="A1691" s="4" t="s">
        <v>615</v>
      </c>
      <c r="B1691" s="4" t="s">
        <v>13</v>
      </c>
      <c r="C1691" s="4">
        <v>0.02454</v>
      </c>
      <c r="D1691" s="4">
        <v>0.00724</v>
      </c>
      <c r="E1691" s="4">
        <v>0.00724</v>
      </c>
      <c r="I1691" s="4">
        <v>0.2783</v>
      </c>
      <c r="J1691" s="4">
        <v>0.0196</v>
      </c>
      <c r="K1691" s="6" t="b">
        <f t="shared" ref="K1691:M1691" si="1657">FALSE()</f>
        <v>0</v>
      </c>
      <c r="L1691" s="6" t="b">
        <f t="shared" si="1657"/>
        <v>0</v>
      </c>
      <c r="M1691" s="6" t="b">
        <f t="shared" si="1657"/>
        <v>0</v>
      </c>
      <c r="N1691" s="4">
        <v>0.0242437313704646</v>
      </c>
      <c r="P1691" s="4">
        <v>0.245531070191839</v>
      </c>
      <c r="T1691" s="4">
        <f t="shared" si="3"/>
        <v>1644</v>
      </c>
      <c r="U1691" s="4">
        <f t="shared" si="4"/>
        <v>1517</v>
      </c>
    </row>
    <row r="1692" ht="15.75" customHeight="1">
      <c r="A1692" s="4" t="s">
        <v>616</v>
      </c>
      <c r="B1692" s="4" t="s">
        <v>13</v>
      </c>
      <c r="C1692" s="4">
        <v>0.0349</v>
      </c>
      <c r="D1692" s="4">
        <v>0.0044</v>
      </c>
      <c r="E1692" s="4">
        <v>0.0044</v>
      </c>
      <c r="I1692" s="4">
        <v>0.2248</v>
      </c>
      <c r="J1692" s="4">
        <v>0.0054</v>
      </c>
      <c r="K1692" s="6" t="b">
        <f t="shared" ref="K1692:M1692" si="1658">FALSE()</f>
        <v>0</v>
      </c>
      <c r="L1692" s="6" t="b">
        <f t="shared" si="1658"/>
        <v>0</v>
      </c>
      <c r="M1692" s="6" t="b">
        <f t="shared" si="1658"/>
        <v>0</v>
      </c>
      <c r="N1692" s="4">
        <v>0.0343048036919903</v>
      </c>
      <c r="P1692" s="4">
        <v>0.202777565361337</v>
      </c>
      <c r="T1692" s="4">
        <f t="shared" si="3"/>
        <v>1491</v>
      </c>
      <c r="U1692" s="4">
        <f t="shared" si="4"/>
        <v>2190</v>
      </c>
    </row>
    <row r="1693" ht="15.75" customHeight="1">
      <c r="A1693" s="4" t="s">
        <v>618</v>
      </c>
      <c r="B1693" s="4" t="s">
        <v>13</v>
      </c>
      <c r="C1693" s="4">
        <v>4.71</v>
      </c>
      <c r="I1693" s="4">
        <v>1.16</v>
      </c>
      <c r="J1693" s="4">
        <v>0.0775</v>
      </c>
      <c r="K1693" s="6" t="b">
        <f>TRUE()</f>
        <v>1</v>
      </c>
      <c r="L1693" s="6" t="b">
        <f>FALSE()</f>
        <v>0</v>
      </c>
      <c r="M1693" s="6" t="b">
        <f>TRUE()</f>
        <v>1</v>
      </c>
      <c r="N1693" s="4">
        <v>1.74221902366792</v>
      </c>
      <c r="P1693" s="4">
        <v>0.770108221696074</v>
      </c>
      <c r="T1693" s="4">
        <f t="shared" si="3"/>
        <v>223</v>
      </c>
      <c r="U1693" s="4">
        <f t="shared" si="4"/>
        <v>440</v>
      </c>
    </row>
    <row r="1694" ht="15.75" customHeight="1">
      <c r="A1694" s="4" t="s">
        <v>619</v>
      </c>
      <c r="B1694" s="4" t="s">
        <v>13</v>
      </c>
      <c r="C1694" s="4">
        <v>0.0289</v>
      </c>
      <c r="D1694" s="4">
        <v>0.0169</v>
      </c>
      <c r="E1694" s="4">
        <v>0.0169</v>
      </c>
      <c r="I1694" s="4">
        <v>0.26274</v>
      </c>
      <c r="J1694" s="4">
        <v>0.00669</v>
      </c>
      <c r="K1694" s="6" t="b">
        <f t="shared" ref="K1694:M1694" si="1659">FALSE()</f>
        <v>0</v>
      </c>
      <c r="L1694" s="6" t="b">
        <f t="shared" si="1659"/>
        <v>0</v>
      </c>
      <c r="M1694" s="6" t="b">
        <f t="shared" si="1659"/>
        <v>0</v>
      </c>
      <c r="N1694" s="4">
        <v>0.0284902703996274</v>
      </c>
      <c r="P1694" s="4">
        <v>0.233283963110752</v>
      </c>
      <c r="T1694" s="4">
        <f t="shared" si="3"/>
        <v>1567</v>
      </c>
      <c r="U1694" s="4">
        <f t="shared" si="4"/>
        <v>1650</v>
      </c>
    </row>
    <row r="1695" ht="15.75" customHeight="1">
      <c r="A1695" s="4" t="s">
        <v>620</v>
      </c>
      <c r="B1695" s="4" t="s">
        <v>13</v>
      </c>
      <c r="C1695" s="4">
        <v>0.0162</v>
      </c>
      <c r="D1695" s="4">
        <v>0.00897</v>
      </c>
      <c r="E1695" s="4">
        <v>0.00897</v>
      </c>
      <c r="I1695" s="4">
        <v>0.18387</v>
      </c>
      <c r="J1695" s="4">
        <v>0.0125</v>
      </c>
      <c r="K1695" s="6" t="b">
        <f t="shared" ref="K1695:M1695" si="1660">FALSE()</f>
        <v>0</v>
      </c>
      <c r="L1695" s="6" t="b">
        <f t="shared" si="1660"/>
        <v>0</v>
      </c>
      <c r="M1695" s="6" t="b">
        <f t="shared" si="1660"/>
        <v>0</v>
      </c>
      <c r="N1695" s="4">
        <v>0.0160701801774944</v>
      </c>
      <c r="P1695" s="4">
        <v>0.168788733136352</v>
      </c>
      <c r="T1695" s="4">
        <f t="shared" si="3"/>
        <v>1802</v>
      </c>
      <c r="U1695" s="4">
        <f t="shared" si="4"/>
        <v>2843</v>
      </c>
    </row>
    <row r="1696" ht="15.75" customHeight="1">
      <c r="A1696" s="4" t="s">
        <v>621</v>
      </c>
      <c r="B1696" s="4" t="s">
        <v>13</v>
      </c>
      <c r="C1696" s="4">
        <v>0.01139</v>
      </c>
      <c r="D1696" s="4">
        <v>0.00588</v>
      </c>
      <c r="E1696" s="4">
        <v>0.00588</v>
      </c>
      <c r="I1696" s="4">
        <v>0.14212</v>
      </c>
      <c r="J1696" s="4">
        <v>0.00517</v>
      </c>
      <c r="K1696" s="6" t="b">
        <f t="shared" ref="K1696:M1696" si="1661">FALSE()</f>
        <v>0</v>
      </c>
      <c r="L1696" s="6" t="b">
        <f t="shared" si="1661"/>
        <v>0</v>
      </c>
      <c r="M1696" s="6" t="b">
        <f t="shared" si="1661"/>
        <v>0</v>
      </c>
      <c r="N1696" s="4">
        <v>0.0113256223299145</v>
      </c>
      <c r="P1696" s="4">
        <v>0.132886184522534</v>
      </c>
      <c r="T1696" s="4">
        <f t="shared" si="3"/>
        <v>1911</v>
      </c>
      <c r="U1696" s="4">
        <f t="shared" si="4"/>
        <v>3469</v>
      </c>
    </row>
    <row r="1697" ht="15.75" customHeight="1">
      <c r="A1697" s="4" t="s">
        <v>623</v>
      </c>
      <c r="B1697" s="4" t="s">
        <v>13</v>
      </c>
      <c r="C1697" s="4">
        <v>0.01797</v>
      </c>
      <c r="D1697" s="4">
        <v>0.01095</v>
      </c>
      <c r="E1697" s="4">
        <v>0.01095</v>
      </c>
      <c r="I1697" s="4">
        <v>0.19743</v>
      </c>
      <c r="J1697" s="4">
        <v>0.00767</v>
      </c>
      <c r="K1697" s="6" t="b">
        <f t="shared" ref="K1697:M1697" si="1662">FALSE()</f>
        <v>0</v>
      </c>
      <c r="L1697" s="6" t="b">
        <f t="shared" si="1662"/>
        <v>0</v>
      </c>
      <c r="M1697" s="6" t="b">
        <f t="shared" si="1662"/>
        <v>0</v>
      </c>
      <c r="N1697" s="4">
        <v>0.0178104481459617</v>
      </c>
      <c r="P1697" s="4">
        <v>0.180177593479544</v>
      </c>
      <c r="T1697" s="4">
        <f t="shared" si="3"/>
        <v>1775</v>
      </c>
      <c r="U1697" s="4">
        <f t="shared" si="4"/>
        <v>2627</v>
      </c>
    </row>
    <row r="1698" ht="15.75" customHeight="1">
      <c r="A1698" s="4" t="s">
        <v>624</v>
      </c>
      <c r="B1698" s="4" t="s">
        <v>13</v>
      </c>
      <c r="C1698" s="4">
        <v>0.01834</v>
      </c>
      <c r="D1698" s="4">
        <v>0.0106</v>
      </c>
      <c r="E1698" s="4">
        <v>0.0106</v>
      </c>
      <c r="I1698" s="4">
        <v>0.20011</v>
      </c>
      <c r="J1698" s="4">
        <v>0.01552</v>
      </c>
      <c r="K1698" s="6" t="b">
        <f t="shared" ref="K1698:M1698" si="1663">FALSE()</f>
        <v>0</v>
      </c>
      <c r="L1698" s="6" t="b">
        <f t="shared" si="1663"/>
        <v>0</v>
      </c>
      <c r="M1698" s="6" t="b">
        <f t="shared" si="1663"/>
        <v>0</v>
      </c>
      <c r="N1698" s="4">
        <v>0.0181738505788642</v>
      </c>
      <c r="P1698" s="4">
        <v>0.182413219259489</v>
      </c>
      <c r="T1698" s="4">
        <f t="shared" si="3"/>
        <v>1765</v>
      </c>
      <c r="U1698" s="4">
        <f t="shared" si="4"/>
        <v>2581</v>
      </c>
    </row>
    <row r="1699" ht="15.75" customHeight="1">
      <c r="A1699" s="4" t="s">
        <v>625</v>
      </c>
      <c r="B1699" s="4" t="s">
        <v>13</v>
      </c>
      <c r="C1699" s="4">
        <v>0.0129</v>
      </c>
      <c r="D1699" s="4">
        <v>0.00743</v>
      </c>
      <c r="E1699" s="4">
        <v>0.00743</v>
      </c>
      <c r="I1699" s="4">
        <v>0.15488</v>
      </c>
      <c r="J1699" s="4">
        <v>0.01062</v>
      </c>
      <c r="K1699" s="6" t="b">
        <f t="shared" ref="K1699:M1699" si="1664">FALSE()</f>
        <v>0</v>
      </c>
      <c r="L1699" s="6" t="b">
        <f t="shared" si="1664"/>
        <v>0</v>
      </c>
      <c r="M1699" s="6" t="b">
        <f t="shared" si="1664"/>
        <v>0</v>
      </c>
      <c r="N1699" s="4">
        <v>0.0128175037106144</v>
      </c>
      <c r="P1699" s="4">
        <v>0.143996442472287</v>
      </c>
      <c r="T1699" s="4">
        <f t="shared" si="3"/>
        <v>1875</v>
      </c>
      <c r="U1699" s="4">
        <f t="shared" si="4"/>
        <v>3246</v>
      </c>
    </row>
    <row r="1700" ht="15.75" customHeight="1">
      <c r="A1700" s="4" t="s">
        <v>626</v>
      </c>
      <c r="B1700" s="4" t="s">
        <v>13</v>
      </c>
      <c r="C1700" s="4">
        <v>0.01237</v>
      </c>
      <c r="D1700" s="4">
        <v>0.006</v>
      </c>
      <c r="E1700" s="4">
        <v>0.107</v>
      </c>
      <c r="I1700" s="4">
        <v>0.15104</v>
      </c>
      <c r="J1700" s="4">
        <v>0.01178</v>
      </c>
      <c r="K1700" s="6" t="b">
        <f t="shared" ref="K1700:M1700" si="1665">FALSE()</f>
        <v>0</v>
      </c>
      <c r="L1700" s="6" t="b">
        <f t="shared" si="1665"/>
        <v>0</v>
      </c>
      <c r="M1700" s="6" t="b">
        <f t="shared" si="1665"/>
        <v>0</v>
      </c>
      <c r="N1700" s="4">
        <v>0.0122941166934772</v>
      </c>
      <c r="P1700" s="4">
        <v>0.140665881525122</v>
      </c>
      <c r="T1700" s="4">
        <f t="shared" si="3"/>
        <v>1887</v>
      </c>
      <c r="U1700" s="4">
        <f t="shared" si="4"/>
        <v>3305</v>
      </c>
    </row>
    <row r="1701" ht="15.75" customHeight="1">
      <c r="A1701" s="4" t="s">
        <v>627</v>
      </c>
      <c r="B1701" s="4" t="s">
        <v>13</v>
      </c>
      <c r="C1701" s="4">
        <v>0.02838</v>
      </c>
      <c r="D1701" s="4">
        <v>0.01737</v>
      </c>
      <c r="E1701" s="4">
        <v>0.01737</v>
      </c>
      <c r="I1701" s="4">
        <v>0.2569</v>
      </c>
      <c r="J1701" s="4">
        <v>0.0205</v>
      </c>
      <c r="K1701" s="6" t="b">
        <f t="shared" ref="K1701:M1701" si="1666">FALSE()</f>
        <v>0</v>
      </c>
      <c r="L1701" s="6" t="b">
        <f t="shared" si="1666"/>
        <v>0</v>
      </c>
      <c r="M1701" s="6" t="b">
        <f t="shared" si="1666"/>
        <v>0</v>
      </c>
      <c r="N1701" s="4">
        <v>0.0279847485347632</v>
      </c>
      <c r="P1701" s="4">
        <v>0.228648371948655</v>
      </c>
      <c r="T1701" s="4">
        <f t="shared" si="3"/>
        <v>1578</v>
      </c>
      <c r="U1701" s="4">
        <f t="shared" si="4"/>
        <v>1716</v>
      </c>
    </row>
    <row r="1702" ht="15.75" customHeight="1">
      <c r="A1702" s="4" t="s">
        <v>628</v>
      </c>
      <c r="B1702" s="4" t="s">
        <v>13</v>
      </c>
      <c r="C1702" s="4">
        <v>0.01759</v>
      </c>
      <c r="D1702" s="4">
        <v>0.01048</v>
      </c>
      <c r="E1702" s="4">
        <v>0.01048</v>
      </c>
      <c r="I1702" s="4">
        <v>0.19458</v>
      </c>
      <c r="J1702" s="4">
        <v>0.01766</v>
      </c>
      <c r="K1702" s="6" t="b">
        <f t="shared" ref="K1702:M1702" si="1667">FALSE()</f>
        <v>0</v>
      </c>
      <c r="L1702" s="6" t="b">
        <f t="shared" si="1667"/>
        <v>0</v>
      </c>
      <c r="M1702" s="6" t="b">
        <f t="shared" si="1667"/>
        <v>0</v>
      </c>
      <c r="N1702" s="4">
        <v>0.0174370865114097</v>
      </c>
      <c r="P1702" s="4">
        <v>0.177794659170227</v>
      </c>
      <c r="T1702" s="4">
        <f t="shared" si="3"/>
        <v>1785</v>
      </c>
      <c r="U1702" s="4">
        <f t="shared" si="4"/>
        <v>2671</v>
      </c>
    </row>
    <row r="1703" ht="15.75" customHeight="1">
      <c r="A1703" s="4" t="s">
        <v>2931</v>
      </c>
      <c r="B1703" s="4" t="s">
        <v>13</v>
      </c>
      <c r="I1703" s="4">
        <v>0.144</v>
      </c>
      <c r="J1703" s="4">
        <v>0.015</v>
      </c>
      <c r="K1703" s="6" t="b">
        <f t="shared" ref="K1703:M1703" si="1668">FALSE()</f>
        <v>0</v>
      </c>
      <c r="L1703" s="6" t="b">
        <f t="shared" si="1668"/>
        <v>0</v>
      </c>
      <c r="M1703" s="6" t="b">
        <f t="shared" si="1668"/>
        <v>0</v>
      </c>
      <c r="P1703" s="4">
        <v>0.134530892957606</v>
      </c>
      <c r="T1703" s="4" t="str">
        <f t="shared" si="3"/>
        <v/>
      </c>
      <c r="U1703" s="4">
        <f t="shared" si="4"/>
        <v>3437</v>
      </c>
    </row>
    <row r="1704" ht="15.75" customHeight="1">
      <c r="A1704" s="4" t="s">
        <v>2932</v>
      </c>
      <c r="B1704" s="4" t="s">
        <v>13</v>
      </c>
      <c r="I1704" s="4">
        <v>0.245</v>
      </c>
      <c r="J1704" s="4">
        <v>0.024</v>
      </c>
      <c r="K1704" s="6" t="b">
        <f t="shared" ref="K1704:M1704" si="1669">FALSE()</f>
        <v>0</v>
      </c>
      <c r="L1704" s="6" t="b">
        <f t="shared" si="1669"/>
        <v>0</v>
      </c>
      <c r="M1704" s="6" t="b">
        <f t="shared" si="1669"/>
        <v>0</v>
      </c>
      <c r="P1704" s="4">
        <v>0.219135529916671</v>
      </c>
      <c r="T1704" s="4" t="str">
        <f t="shared" si="3"/>
        <v/>
      </c>
      <c r="U1704" s="4">
        <f t="shared" si="4"/>
        <v>1872</v>
      </c>
    </row>
    <row r="1705" ht="15.75" customHeight="1">
      <c r="A1705" s="4" t="s">
        <v>2933</v>
      </c>
      <c r="B1705" s="4" t="s">
        <v>13</v>
      </c>
      <c r="I1705" s="4">
        <v>0.244</v>
      </c>
      <c r="J1705" s="4">
        <v>0.032</v>
      </c>
      <c r="K1705" s="6" t="b">
        <f t="shared" ref="K1705:M1705" si="1670">FALSE()</f>
        <v>0</v>
      </c>
      <c r="L1705" s="6" t="b">
        <f t="shared" si="1670"/>
        <v>0</v>
      </c>
      <c r="M1705" s="6" t="b">
        <f t="shared" si="1670"/>
        <v>0</v>
      </c>
      <c r="P1705" s="4">
        <v>0.218331994316988</v>
      </c>
      <c r="T1705" s="4" t="str">
        <f t="shared" si="3"/>
        <v/>
      </c>
      <c r="U1705" s="4">
        <f t="shared" si="4"/>
        <v>1883</v>
      </c>
    </row>
    <row r="1706" ht="15.75" customHeight="1">
      <c r="A1706" s="4" t="s">
        <v>630</v>
      </c>
      <c r="B1706" s="4" t="s">
        <v>13</v>
      </c>
      <c r="C1706" s="4">
        <v>0.02504</v>
      </c>
      <c r="D1706" s="4">
        <v>0.0145</v>
      </c>
      <c r="E1706" s="4">
        <v>0.0145</v>
      </c>
      <c r="I1706" s="4">
        <v>0.24347</v>
      </c>
      <c r="J1706" s="4">
        <v>0.0157</v>
      </c>
      <c r="K1706" s="6" t="b">
        <f t="shared" ref="K1706:M1706" si="1671">FALSE()</f>
        <v>0</v>
      </c>
      <c r="L1706" s="6" t="b">
        <f t="shared" si="1671"/>
        <v>0</v>
      </c>
      <c r="M1706" s="6" t="b">
        <f t="shared" si="1671"/>
        <v>0</v>
      </c>
      <c r="N1706" s="4">
        <v>0.0247316362191836</v>
      </c>
      <c r="P1706" s="4">
        <v>0.217905858517947</v>
      </c>
      <c r="T1706" s="4">
        <f t="shared" si="3"/>
        <v>1632</v>
      </c>
      <c r="U1706" s="4">
        <f t="shared" si="4"/>
        <v>1900</v>
      </c>
    </row>
    <row r="1707" ht="15.75" customHeight="1">
      <c r="A1707" s="4" t="s">
        <v>2934</v>
      </c>
      <c r="B1707" s="4" t="s">
        <v>13</v>
      </c>
      <c r="I1707" s="4">
        <v>0.1981</v>
      </c>
      <c r="J1707" s="4">
        <v>0.0437</v>
      </c>
      <c r="K1707" s="6" t="b">
        <f t="shared" ref="K1707:M1707" si="1672">FALSE()</f>
        <v>0</v>
      </c>
      <c r="L1707" s="6" t="b">
        <f t="shared" si="1672"/>
        <v>0</v>
      </c>
      <c r="M1707" s="6" t="b">
        <f t="shared" si="1672"/>
        <v>0</v>
      </c>
      <c r="P1707" s="4">
        <v>0.180736968663716</v>
      </c>
      <c r="T1707" s="4" t="str">
        <f t="shared" si="3"/>
        <v/>
      </c>
      <c r="U1707" s="4">
        <f t="shared" si="4"/>
        <v>2609</v>
      </c>
    </row>
    <row r="1708" ht="15.75" customHeight="1">
      <c r="A1708" s="4" t="s">
        <v>2935</v>
      </c>
      <c r="B1708" s="4" t="s">
        <v>13</v>
      </c>
      <c r="I1708" s="4">
        <v>0.08886</v>
      </c>
      <c r="J1708" s="4">
        <v>0.02097</v>
      </c>
      <c r="K1708" s="6" t="b">
        <f t="shared" ref="K1708:M1708" si="1673">FALSE()</f>
        <v>0</v>
      </c>
      <c r="L1708" s="6" t="b">
        <f t="shared" si="1673"/>
        <v>0</v>
      </c>
      <c r="M1708" s="6" t="b">
        <f t="shared" si="1673"/>
        <v>0</v>
      </c>
      <c r="P1708" s="4">
        <v>0.085131277376119</v>
      </c>
      <c r="T1708" s="4" t="str">
        <f t="shared" si="3"/>
        <v/>
      </c>
      <c r="U1708" s="4">
        <f t="shared" si="4"/>
        <v>4344</v>
      </c>
    </row>
    <row r="1709" ht="15.75" customHeight="1">
      <c r="A1709" s="4" t="s">
        <v>2936</v>
      </c>
      <c r="B1709" s="4" t="s">
        <v>13</v>
      </c>
      <c r="I1709" s="4">
        <v>0.15033</v>
      </c>
      <c r="J1709" s="4">
        <v>0.017</v>
      </c>
      <c r="K1709" s="6" t="b">
        <f t="shared" ref="K1709:M1709" si="1674">FALSE()</f>
        <v>0</v>
      </c>
      <c r="L1709" s="6" t="b">
        <f t="shared" si="1674"/>
        <v>0</v>
      </c>
      <c r="M1709" s="6" t="b">
        <f t="shared" si="1674"/>
        <v>0</v>
      </c>
      <c r="P1709" s="4">
        <v>0.14004885773275</v>
      </c>
      <c r="T1709" s="4" t="str">
        <f t="shared" si="3"/>
        <v/>
      </c>
      <c r="U1709" s="4">
        <f t="shared" si="4"/>
        <v>3318</v>
      </c>
    </row>
    <row r="1710" ht="15.75" customHeight="1">
      <c r="A1710" s="4" t="s">
        <v>631</v>
      </c>
      <c r="B1710" s="4" t="s">
        <v>13</v>
      </c>
      <c r="C1710" s="4">
        <v>0.0162</v>
      </c>
      <c r="D1710" s="4">
        <v>0.01016</v>
      </c>
      <c r="E1710" s="4">
        <v>0.01016</v>
      </c>
      <c r="I1710" s="4">
        <v>0.18485</v>
      </c>
      <c r="J1710" s="4">
        <v>0.01187</v>
      </c>
      <c r="K1710" s="6" t="b">
        <f t="shared" ref="K1710:M1710" si="1675">FALSE()</f>
        <v>0</v>
      </c>
      <c r="L1710" s="6" t="b">
        <f t="shared" si="1675"/>
        <v>0</v>
      </c>
      <c r="M1710" s="6" t="b">
        <f t="shared" si="1675"/>
        <v>0</v>
      </c>
      <c r="N1710" s="4">
        <v>0.0160701801774944</v>
      </c>
      <c r="P1710" s="4">
        <v>0.169616184296401</v>
      </c>
      <c r="T1710" s="4">
        <f t="shared" si="3"/>
        <v>1803</v>
      </c>
      <c r="U1710" s="4">
        <f t="shared" si="4"/>
        <v>2830</v>
      </c>
    </row>
    <row r="1711" ht="15.75" customHeight="1">
      <c r="A1711" s="4" t="s">
        <v>632</v>
      </c>
      <c r="B1711" s="4" t="s">
        <v>13</v>
      </c>
      <c r="C1711" s="4">
        <v>0.01026</v>
      </c>
      <c r="D1711" s="4">
        <v>0.00522</v>
      </c>
      <c r="E1711" s="4">
        <v>0.00522</v>
      </c>
      <c r="I1711" s="4">
        <v>0.13953</v>
      </c>
      <c r="J1711" s="4">
        <v>0.00946</v>
      </c>
      <c r="K1711" s="6" t="b">
        <f t="shared" ref="K1711:M1711" si="1676">FALSE()</f>
        <v>0</v>
      </c>
      <c r="L1711" s="6" t="b">
        <f t="shared" si="1676"/>
        <v>0</v>
      </c>
      <c r="M1711" s="6" t="b">
        <f t="shared" si="1676"/>
        <v>0</v>
      </c>
      <c r="N1711" s="4">
        <v>0.0102077234674211</v>
      </c>
      <c r="P1711" s="4">
        <v>0.130615896693595</v>
      </c>
      <c r="T1711" s="4">
        <f t="shared" si="3"/>
        <v>1934</v>
      </c>
      <c r="U1711" s="4">
        <f t="shared" si="4"/>
        <v>3516</v>
      </c>
    </row>
    <row r="1712" ht="15.75" customHeight="1">
      <c r="A1712" s="4" t="s">
        <v>2937</v>
      </c>
      <c r="B1712" s="4" t="s">
        <v>13</v>
      </c>
      <c r="I1712" s="4">
        <v>0.09599</v>
      </c>
      <c r="J1712" s="4">
        <v>0.00535</v>
      </c>
      <c r="K1712" s="6" t="b">
        <f t="shared" ref="K1712:M1712" si="1677">FALSE()</f>
        <v>0</v>
      </c>
      <c r="L1712" s="6" t="b">
        <f t="shared" si="1677"/>
        <v>0</v>
      </c>
      <c r="M1712" s="6" t="b">
        <f t="shared" si="1677"/>
        <v>0</v>
      </c>
      <c r="P1712" s="4">
        <v>0.0916580643966078</v>
      </c>
      <c r="T1712" s="4" t="str">
        <f t="shared" si="3"/>
        <v/>
      </c>
      <c r="U1712" s="4">
        <f t="shared" si="4"/>
        <v>4268</v>
      </c>
    </row>
    <row r="1713" ht="15.75" customHeight="1">
      <c r="A1713" s="4" t="s">
        <v>2938</v>
      </c>
      <c r="B1713" s="4" t="s">
        <v>13</v>
      </c>
      <c r="I1713" s="4">
        <v>0.10625</v>
      </c>
      <c r="J1713" s="4">
        <v>0.00669</v>
      </c>
      <c r="K1713" s="6" t="b">
        <f t="shared" ref="K1713:M1713" si="1678">FALSE()</f>
        <v>0</v>
      </c>
      <c r="L1713" s="6" t="b">
        <f t="shared" si="1678"/>
        <v>0</v>
      </c>
      <c r="M1713" s="6" t="b">
        <f t="shared" si="1678"/>
        <v>0</v>
      </c>
      <c r="P1713" s="4">
        <v>0.100975917340002</v>
      </c>
      <c r="T1713" s="4" t="str">
        <f t="shared" si="3"/>
        <v/>
      </c>
      <c r="U1713" s="4">
        <f t="shared" si="4"/>
        <v>4112</v>
      </c>
    </row>
    <row r="1714" ht="15.75" customHeight="1">
      <c r="A1714" s="4" t="s">
        <v>2939</v>
      </c>
      <c r="B1714" s="4" t="s">
        <v>13</v>
      </c>
      <c r="I1714" s="4">
        <v>0.12419</v>
      </c>
      <c r="J1714" s="4">
        <v>0.00669</v>
      </c>
      <c r="K1714" s="6" t="b">
        <f t="shared" ref="K1714:M1714" si="1679">FALSE()</f>
        <v>0</v>
      </c>
      <c r="L1714" s="6" t="b">
        <f t="shared" si="1679"/>
        <v>0</v>
      </c>
      <c r="M1714" s="6" t="b">
        <f t="shared" si="1679"/>
        <v>0</v>
      </c>
      <c r="P1714" s="4">
        <v>0.1170627763319</v>
      </c>
      <c r="T1714" s="4" t="str">
        <f t="shared" si="3"/>
        <v/>
      </c>
      <c r="U1714" s="4">
        <f t="shared" si="4"/>
        <v>3796</v>
      </c>
    </row>
    <row r="1715" ht="15.75" customHeight="1">
      <c r="A1715" s="4" t="s">
        <v>2940</v>
      </c>
      <c r="B1715" s="4" t="s">
        <v>13</v>
      </c>
      <c r="I1715" s="4">
        <v>0.11999</v>
      </c>
      <c r="J1715" s="4">
        <v>0.00732</v>
      </c>
      <c r="K1715" s="6" t="b">
        <f t="shared" ref="K1715:M1715" si="1680">FALSE()</f>
        <v>0</v>
      </c>
      <c r="L1715" s="6" t="b">
        <f t="shared" si="1680"/>
        <v>0</v>
      </c>
      <c r="M1715" s="6" t="b">
        <f t="shared" si="1680"/>
        <v>0</v>
      </c>
      <c r="P1715" s="4">
        <v>0.113319756695715</v>
      </c>
      <c r="T1715" s="4" t="str">
        <f t="shared" si="3"/>
        <v/>
      </c>
      <c r="U1715" s="4">
        <f t="shared" si="4"/>
        <v>3875</v>
      </c>
    </row>
    <row r="1716" ht="15.75" customHeight="1">
      <c r="A1716" s="4" t="s">
        <v>2941</v>
      </c>
      <c r="B1716" s="4" t="s">
        <v>13</v>
      </c>
      <c r="I1716" s="4">
        <v>0.19824</v>
      </c>
      <c r="J1716" s="4">
        <v>0.00732</v>
      </c>
      <c r="K1716" s="6" t="b">
        <f t="shared" ref="K1716:M1716" si="1681">FALSE()</f>
        <v>0</v>
      </c>
      <c r="L1716" s="6" t="b">
        <f t="shared" si="1681"/>
        <v>0</v>
      </c>
      <c r="M1716" s="6" t="b">
        <f t="shared" si="1681"/>
        <v>0</v>
      </c>
      <c r="P1716" s="4">
        <v>0.18085381351892</v>
      </c>
      <c r="T1716" s="4" t="str">
        <f t="shared" si="3"/>
        <v/>
      </c>
      <c r="U1716" s="4">
        <f t="shared" si="4"/>
        <v>2608</v>
      </c>
    </row>
    <row r="1717" ht="15.75" customHeight="1">
      <c r="A1717" s="4" t="s">
        <v>633</v>
      </c>
      <c r="B1717" s="4" t="s">
        <v>13</v>
      </c>
      <c r="C1717" s="4">
        <v>0.0101</v>
      </c>
      <c r="D1717" s="4">
        <v>0.00563</v>
      </c>
      <c r="E1717" s="4">
        <v>0.00563</v>
      </c>
      <c r="I1717" s="4">
        <v>0.1373</v>
      </c>
      <c r="J1717" s="4">
        <v>0.01124</v>
      </c>
      <c r="K1717" s="6" t="b">
        <f t="shared" ref="K1717:M1717" si="1682">FALSE()</f>
        <v>0</v>
      </c>
      <c r="L1717" s="6" t="b">
        <f t="shared" si="1682"/>
        <v>0</v>
      </c>
      <c r="M1717" s="6" t="b">
        <f t="shared" si="1682"/>
        <v>0</v>
      </c>
      <c r="N1717" s="4">
        <v>0.0100493358530014</v>
      </c>
      <c r="P1717" s="4">
        <v>0.128657032208262</v>
      </c>
      <c r="T1717" s="4">
        <f t="shared" si="3"/>
        <v>1936</v>
      </c>
      <c r="U1717" s="4">
        <f t="shared" si="4"/>
        <v>3555</v>
      </c>
    </row>
    <row r="1718" ht="15.75" customHeight="1">
      <c r="A1718" s="4" t="s">
        <v>634</v>
      </c>
      <c r="B1718" s="4" t="s">
        <v>13</v>
      </c>
      <c r="C1718" s="4">
        <v>0.01954</v>
      </c>
      <c r="D1718" s="4">
        <v>0.01152</v>
      </c>
      <c r="E1718" s="4">
        <v>0.01152</v>
      </c>
      <c r="I1718" s="4">
        <v>0.207</v>
      </c>
      <c r="J1718" s="4">
        <v>0.00598</v>
      </c>
      <c r="K1718" s="6" t="b">
        <f t="shared" ref="K1718:M1718" si="1683">FALSE()</f>
        <v>0</v>
      </c>
      <c r="L1718" s="6" t="b">
        <f t="shared" si="1683"/>
        <v>0</v>
      </c>
      <c r="M1718" s="6" t="b">
        <f t="shared" si="1683"/>
        <v>0</v>
      </c>
      <c r="N1718" s="4">
        <v>0.0193515451817814</v>
      </c>
      <c r="P1718" s="4">
        <v>0.188137942115394</v>
      </c>
      <c r="T1718" s="4">
        <f t="shared" si="3"/>
        <v>1743</v>
      </c>
      <c r="U1718" s="4">
        <f t="shared" si="4"/>
        <v>2461</v>
      </c>
    </row>
    <row r="1719" ht="15.75" customHeight="1">
      <c r="A1719" s="4" t="s">
        <v>635</v>
      </c>
      <c r="B1719" s="4" t="s">
        <v>13</v>
      </c>
      <c r="C1719" s="4">
        <v>0.14303</v>
      </c>
      <c r="D1719" s="4">
        <v>0.09968</v>
      </c>
      <c r="E1719" s="4">
        <v>0.09968</v>
      </c>
      <c r="I1719" s="4">
        <v>0.65323</v>
      </c>
      <c r="J1719" s="4">
        <v>0.02355</v>
      </c>
      <c r="K1719" s="6" t="b">
        <f t="shared" ref="K1719:M1719" si="1684">FALSE()</f>
        <v>0</v>
      </c>
      <c r="L1719" s="6" t="b">
        <f t="shared" si="1684"/>
        <v>0</v>
      </c>
      <c r="M1719" s="6" t="b">
        <f t="shared" si="1684"/>
        <v>0</v>
      </c>
      <c r="N1719" s="4">
        <v>0.133682631187395</v>
      </c>
      <c r="P1719" s="4">
        <v>0.50273095011552</v>
      </c>
      <c r="T1719" s="4">
        <f t="shared" si="3"/>
        <v>1202</v>
      </c>
      <c r="U1719" s="4">
        <f t="shared" si="4"/>
        <v>912</v>
      </c>
    </row>
    <row r="1720" ht="15.75" customHeight="1">
      <c r="A1720" s="4" t="s">
        <v>637</v>
      </c>
      <c r="B1720" s="4" t="s">
        <v>13</v>
      </c>
      <c r="C1720" s="4">
        <v>0.0412</v>
      </c>
      <c r="D1720" s="4">
        <v>0.0263</v>
      </c>
      <c r="E1720" s="4">
        <v>0.0263</v>
      </c>
      <c r="I1720" s="4">
        <v>0.3265</v>
      </c>
      <c r="J1720" s="4">
        <v>0.02043</v>
      </c>
      <c r="K1720" s="6" t="b">
        <f t="shared" ref="K1720:M1720" si="1685">FALSE()</f>
        <v>0</v>
      </c>
      <c r="L1720" s="6" t="b">
        <f t="shared" si="1685"/>
        <v>0</v>
      </c>
      <c r="M1720" s="6" t="b">
        <f t="shared" si="1685"/>
        <v>0</v>
      </c>
      <c r="N1720" s="4">
        <v>0.0403738941382732</v>
      </c>
      <c r="P1720" s="4">
        <v>0.282543894595657</v>
      </c>
      <c r="T1720" s="4">
        <f t="shared" si="3"/>
        <v>1450</v>
      </c>
      <c r="U1720" s="4">
        <f t="shared" si="4"/>
        <v>1271</v>
      </c>
    </row>
    <row r="1721" ht="15.75" customHeight="1">
      <c r="A1721" s="4" t="s">
        <v>638</v>
      </c>
      <c r="B1721" s="4" t="s">
        <v>13</v>
      </c>
      <c r="C1721" s="4">
        <v>0.01778</v>
      </c>
      <c r="D1721" s="4">
        <v>0.0104</v>
      </c>
      <c r="E1721" s="4">
        <v>0.0104</v>
      </c>
      <c r="I1721" s="4">
        <v>0.19484</v>
      </c>
      <c r="J1721" s="4">
        <v>0.01017</v>
      </c>
      <c r="K1721" s="6" t="b">
        <f t="shared" ref="K1721:M1721" si="1686">FALSE()</f>
        <v>0</v>
      </c>
      <c r="L1721" s="6" t="b">
        <f t="shared" si="1686"/>
        <v>0</v>
      </c>
      <c r="M1721" s="6" t="b">
        <f t="shared" si="1686"/>
        <v>0</v>
      </c>
      <c r="N1721" s="4">
        <v>0.0176237847535494</v>
      </c>
      <c r="P1721" s="4">
        <v>0.178012285205856</v>
      </c>
      <c r="T1721" s="4">
        <f t="shared" si="3"/>
        <v>1781</v>
      </c>
      <c r="U1721" s="4">
        <f t="shared" si="4"/>
        <v>2670</v>
      </c>
    </row>
    <row r="1722" ht="15.75" customHeight="1">
      <c r="A1722" s="4" t="s">
        <v>639</v>
      </c>
      <c r="B1722" s="4" t="s">
        <v>13</v>
      </c>
      <c r="C1722" s="4">
        <v>0.01655</v>
      </c>
      <c r="D1722" s="4">
        <v>0.00859</v>
      </c>
      <c r="E1722" s="4">
        <v>0.00859</v>
      </c>
      <c r="I1722" s="4">
        <v>0.182</v>
      </c>
      <c r="J1722" s="4">
        <v>0.01231</v>
      </c>
      <c r="K1722" s="6" t="b">
        <f t="shared" ref="K1722:M1722" si="1687">FALSE()</f>
        <v>0</v>
      </c>
      <c r="L1722" s="6" t="b">
        <f t="shared" si="1687"/>
        <v>0</v>
      </c>
      <c r="M1722" s="6" t="b">
        <f t="shared" si="1687"/>
        <v>0</v>
      </c>
      <c r="N1722" s="4">
        <v>0.0164145412680946</v>
      </c>
      <c r="P1722" s="4">
        <v>0.167207918983906</v>
      </c>
      <c r="T1722" s="4">
        <f t="shared" si="3"/>
        <v>1797</v>
      </c>
      <c r="U1722" s="4">
        <f t="shared" si="4"/>
        <v>2864</v>
      </c>
    </row>
    <row r="1723" ht="15.75" customHeight="1">
      <c r="A1723" s="4" t="s">
        <v>640</v>
      </c>
      <c r="B1723" s="4" t="s">
        <v>13</v>
      </c>
      <c r="C1723" s="4">
        <v>0.06</v>
      </c>
      <c r="D1723" s="4">
        <v>0.03</v>
      </c>
      <c r="E1723" s="4">
        <v>0.03</v>
      </c>
      <c r="I1723" s="4">
        <v>0.17</v>
      </c>
      <c r="J1723" s="4">
        <v>0.03</v>
      </c>
      <c r="K1723" s="6" t="b">
        <f t="shared" ref="K1723:M1723" si="1688">FALSE()</f>
        <v>0</v>
      </c>
      <c r="L1723" s="6" t="b">
        <f t="shared" si="1688"/>
        <v>0</v>
      </c>
      <c r="M1723" s="6" t="b">
        <f t="shared" si="1688"/>
        <v>0</v>
      </c>
      <c r="N1723" s="4">
        <v>0.0582689081239757</v>
      </c>
      <c r="P1723" s="4">
        <v>0.157003748809665</v>
      </c>
      <c r="T1723" s="4">
        <f t="shared" si="3"/>
        <v>1358</v>
      </c>
      <c r="U1723" s="4">
        <f t="shared" si="4"/>
        <v>3035</v>
      </c>
    </row>
    <row r="1724" ht="15.75" customHeight="1">
      <c r="A1724" s="4" t="s">
        <v>642</v>
      </c>
      <c r="B1724" s="4" t="s">
        <v>13</v>
      </c>
      <c r="C1724" s="4">
        <v>0.03115</v>
      </c>
      <c r="D1724" s="4">
        <v>0.01447</v>
      </c>
      <c r="E1724" s="4">
        <v>0.01447</v>
      </c>
      <c r="I1724" s="4">
        <v>0.216</v>
      </c>
      <c r="J1724" s="4">
        <v>0.026</v>
      </c>
      <c r="K1724" s="6" t="b">
        <f t="shared" ref="K1724:M1724" si="1689">FALSE()</f>
        <v>0</v>
      </c>
      <c r="L1724" s="6" t="b">
        <f t="shared" si="1689"/>
        <v>0</v>
      </c>
      <c r="M1724" s="6" t="b">
        <f t="shared" si="1689"/>
        <v>0</v>
      </c>
      <c r="N1724" s="4">
        <v>0.0306746842679189</v>
      </c>
      <c r="P1724" s="4">
        <v>0.195566783543975</v>
      </c>
      <c r="T1724" s="4">
        <f t="shared" si="3"/>
        <v>1531</v>
      </c>
      <c r="U1724" s="4">
        <f t="shared" si="4"/>
        <v>2314</v>
      </c>
    </row>
    <row r="1725" ht="15.75" customHeight="1">
      <c r="A1725" s="4" t="s">
        <v>643</v>
      </c>
      <c r="B1725" s="4" t="s">
        <v>13</v>
      </c>
      <c r="C1725" s="4">
        <v>0.06364</v>
      </c>
      <c r="D1725" s="4">
        <v>0.039</v>
      </c>
      <c r="E1725" s="4">
        <v>0.039</v>
      </c>
      <c r="I1725" s="4">
        <v>0.41625</v>
      </c>
      <c r="J1725" s="4">
        <v>0.0306</v>
      </c>
      <c r="K1725" s="6" t="b">
        <f t="shared" ref="K1725:M1725" si="1690">FALSE()</f>
        <v>0</v>
      </c>
      <c r="L1725" s="6" t="b">
        <f t="shared" si="1690"/>
        <v>0</v>
      </c>
      <c r="M1725" s="6" t="b">
        <f t="shared" si="1690"/>
        <v>0</v>
      </c>
      <c r="N1725" s="4">
        <v>0.0616969878029146</v>
      </c>
      <c r="P1725" s="4">
        <v>0.348012533360079</v>
      </c>
      <c r="T1725" s="4">
        <f t="shared" si="3"/>
        <v>1344</v>
      </c>
      <c r="U1725" s="4">
        <f t="shared" si="4"/>
        <v>1096</v>
      </c>
    </row>
    <row r="1726" ht="15.75" customHeight="1">
      <c r="A1726" s="4" t="s">
        <v>644</v>
      </c>
      <c r="B1726" s="4" t="s">
        <v>13</v>
      </c>
      <c r="C1726" s="4">
        <v>0.00783</v>
      </c>
      <c r="D1726" s="4">
        <v>0.00538</v>
      </c>
      <c r="E1726" s="4">
        <v>0.00538</v>
      </c>
      <c r="I1726" s="4">
        <v>0.12231</v>
      </c>
      <c r="J1726" s="4">
        <v>0.01677</v>
      </c>
      <c r="K1726" s="6" t="b">
        <f t="shared" ref="K1726:M1726" si="1691">FALSE()</f>
        <v>0</v>
      </c>
      <c r="L1726" s="6" t="b">
        <f t="shared" si="1691"/>
        <v>0</v>
      </c>
      <c r="M1726" s="6" t="b">
        <f t="shared" si="1691"/>
        <v>0</v>
      </c>
      <c r="N1726" s="4">
        <v>0.0077995046323817</v>
      </c>
      <c r="P1726" s="4">
        <v>0.115389061273922</v>
      </c>
      <c r="T1726" s="4">
        <f t="shared" si="3"/>
        <v>1974</v>
      </c>
      <c r="U1726" s="4">
        <f t="shared" si="4"/>
        <v>3821</v>
      </c>
    </row>
    <row r="1727" ht="15.75" customHeight="1">
      <c r="A1727" s="4" t="s">
        <v>645</v>
      </c>
      <c r="B1727" s="4" t="s">
        <v>13</v>
      </c>
      <c r="C1727" s="4">
        <v>0.014</v>
      </c>
      <c r="D1727" s="4">
        <v>0.00793</v>
      </c>
      <c r="E1727" s="4">
        <v>0.00793</v>
      </c>
      <c r="I1727" s="4">
        <v>0.165</v>
      </c>
      <c r="J1727" s="4">
        <v>0.01374</v>
      </c>
      <c r="K1727" s="6" t="b">
        <f t="shared" ref="K1727:M1727" si="1692">FALSE()</f>
        <v>0</v>
      </c>
      <c r="L1727" s="6" t="b">
        <f t="shared" si="1692"/>
        <v>0</v>
      </c>
      <c r="M1727" s="6" t="b">
        <f t="shared" si="1692"/>
        <v>0</v>
      </c>
      <c r="N1727" s="4">
        <v>0.0139029051689914</v>
      </c>
      <c r="P1727" s="4">
        <v>0.152721087017664</v>
      </c>
      <c r="T1727" s="4">
        <f t="shared" si="3"/>
        <v>1847</v>
      </c>
      <c r="U1727" s="4">
        <f t="shared" si="4"/>
        <v>3102</v>
      </c>
    </row>
    <row r="1728" ht="15.75" customHeight="1">
      <c r="A1728" s="4" t="s">
        <v>646</v>
      </c>
      <c r="B1728" s="4" t="s">
        <v>13</v>
      </c>
      <c r="C1728" s="4">
        <v>0.01995</v>
      </c>
      <c r="D1728" s="4">
        <v>0.01277</v>
      </c>
      <c r="E1728" s="4">
        <v>0.01277</v>
      </c>
      <c r="I1728" s="4">
        <v>0.20983</v>
      </c>
      <c r="J1728" s="4">
        <v>0.0149</v>
      </c>
      <c r="K1728" s="6" t="b">
        <f t="shared" ref="K1728:M1728" si="1693">FALSE()</f>
        <v>0</v>
      </c>
      <c r="L1728" s="6" t="b">
        <f t="shared" si="1693"/>
        <v>0</v>
      </c>
      <c r="M1728" s="6" t="b">
        <f t="shared" si="1693"/>
        <v>0</v>
      </c>
      <c r="N1728" s="4">
        <v>0.0197536064868363</v>
      </c>
      <c r="P1728" s="4">
        <v>0.190479853870412</v>
      </c>
      <c r="T1728" s="4">
        <f t="shared" si="3"/>
        <v>1735</v>
      </c>
      <c r="U1728" s="4">
        <f t="shared" si="4"/>
        <v>2428</v>
      </c>
    </row>
    <row r="1729" ht="15.75" customHeight="1">
      <c r="A1729" s="4" t="s">
        <v>647</v>
      </c>
      <c r="B1729" s="4" t="s">
        <v>13</v>
      </c>
      <c r="C1729" s="4">
        <v>0.01237</v>
      </c>
      <c r="D1729" s="4">
        <v>0.00639</v>
      </c>
      <c r="E1729" s="4">
        <v>0.00639</v>
      </c>
      <c r="I1729" s="4">
        <v>0.15095</v>
      </c>
      <c r="J1729" s="4">
        <v>0.01124</v>
      </c>
      <c r="K1729" s="6" t="b">
        <f t="shared" ref="K1729:M1729" si="1694">FALSE()</f>
        <v>0</v>
      </c>
      <c r="L1729" s="6" t="b">
        <f t="shared" si="1694"/>
        <v>0</v>
      </c>
      <c r="M1729" s="6" t="b">
        <f t="shared" si="1694"/>
        <v>0</v>
      </c>
      <c r="N1729" s="4">
        <v>0.0122941166934772</v>
      </c>
      <c r="P1729" s="4">
        <v>0.140587688309647</v>
      </c>
      <c r="T1729" s="4">
        <f t="shared" si="3"/>
        <v>1888</v>
      </c>
      <c r="U1729" s="4">
        <f t="shared" si="4"/>
        <v>3316</v>
      </c>
    </row>
    <row r="1730" ht="15.75" customHeight="1">
      <c r="A1730" s="4" t="s">
        <v>649</v>
      </c>
      <c r="B1730" s="4" t="s">
        <v>13</v>
      </c>
      <c r="C1730" s="4">
        <v>0.02404</v>
      </c>
      <c r="D1730" s="4">
        <v>0.0142</v>
      </c>
      <c r="E1730" s="4">
        <v>0.0142</v>
      </c>
      <c r="I1730" s="4">
        <v>0.23169</v>
      </c>
      <c r="J1730" s="4">
        <v>0.01588</v>
      </c>
      <c r="K1730" s="6" t="b">
        <f t="shared" ref="K1730:M1730" si="1695">FALSE()</f>
        <v>0</v>
      </c>
      <c r="L1730" s="6" t="b">
        <f t="shared" si="1695"/>
        <v>0</v>
      </c>
      <c r="M1730" s="6" t="b">
        <f t="shared" si="1695"/>
        <v>0</v>
      </c>
      <c r="N1730" s="4">
        <v>0.0237555883543964</v>
      </c>
      <c r="P1730" s="4">
        <v>0.208387210072231</v>
      </c>
      <c r="T1730" s="4">
        <f t="shared" si="3"/>
        <v>1652</v>
      </c>
      <c r="U1730" s="4">
        <f t="shared" si="4"/>
        <v>2091</v>
      </c>
    </row>
    <row r="1731" ht="15.75" customHeight="1">
      <c r="A1731" s="4" t="s">
        <v>650</v>
      </c>
      <c r="B1731" s="4" t="s">
        <v>13</v>
      </c>
      <c r="C1731" s="4">
        <v>0.03716</v>
      </c>
      <c r="D1731" s="4">
        <v>0.02209</v>
      </c>
      <c r="E1731" s="4">
        <v>0.02209</v>
      </c>
      <c r="I1731" s="4">
        <v>0.30288</v>
      </c>
      <c r="J1731" s="4">
        <v>0.02293</v>
      </c>
      <c r="K1731" s="6" t="b">
        <f t="shared" ref="K1731:M1731" si="1696">FALSE()</f>
        <v>0</v>
      </c>
      <c r="L1731" s="6" t="b">
        <f t="shared" si="1696"/>
        <v>0</v>
      </c>
      <c r="M1731" s="6" t="b">
        <f t="shared" si="1696"/>
        <v>0</v>
      </c>
      <c r="N1731" s="4">
        <v>0.03648620857041</v>
      </c>
      <c r="P1731" s="4">
        <v>0.264577198736684</v>
      </c>
      <c r="T1731" s="4">
        <f t="shared" si="3"/>
        <v>1475</v>
      </c>
      <c r="U1731" s="4">
        <f t="shared" si="4"/>
        <v>1363</v>
      </c>
    </row>
    <row r="1732" ht="15.75" customHeight="1">
      <c r="A1732" s="4" t="s">
        <v>651</v>
      </c>
      <c r="B1732" s="4" t="s">
        <v>13</v>
      </c>
      <c r="C1732" s="4">
        <v>0.0107</v>
      </c>
      <c r="D1732" s="4">
        <v>0.0061</v>
      </c>
      <c r="E1732" s="4">
        <v>0.0061</v>
      </c>
      <c r="I1732" s="4">
        <v>0.14087</v>
      </c>
      <c r="J1732" s="4">
        <v>0.00919</v>
      </c>
      <c r="K1732" s="6" t="b">
        <f t="shared" ref="K1732:M1732" si="1697">FALSE()</f>
        <v>0</v>
      </c>
      <c r="L1732" s="6" t="b">
        <f t="shared" si="1697"/>
        <v>0</v>
      </c>
      <c r="M1732" s="6" t="b">
        <f t="shared" si="1697"/>
        <v>0</v>
      </c>
      <c r="N1732" s="4">
        <v>0.0106431600984798</v>
      </c>
      <c r="P1732" s="4">
        <v>0.131791129244227</v>
      </c>
      <c r="T1732" s="4">
        <f t="shared" si="3"/>
        <v>1927</v>
      </c>
      <c r="U1732" s="4">
        <f t="shared" si="4"/>
        <v>3495</v>
      </c>
    </row>
    <row r="1733" ht="15.75" customHeight="1">
      <c r="A1733" s="4" t="s">
        <v>652</v>
      </c>
      <c r="B1733" s="4" t="s">
        <v>13</v>
      </c>
      <c r="C1733" s="4">
        <v>0.0315</v>
      </c>
      <c r="D1733" s="4">
        <v>0.01891</v>
      </c>
      <c r="E1733" s="4">
        <v>0.01891</v>
      </c>
      <c r="I1733" s="4">
        <v>0.27871</v>
      </c>
      <c r="J1733" s="4">
        <v>0.00999</v>
      </c>
      <c r="K1733" s="6" t="b">
        <f t="shared" ref="K1733:M1733" si="1698">FALSE()</f>
        <v>0</v>
      </c>
      <c r="L1733" s="6" t="b">
        <f t="shared" si="1698"/>
        <v>0</v>
      </c>
      <c r="M1733" s="6" t="b">
        <f t="shared" si="1698"/>
        <v>0</v>
      </c>
      <c r="N1733" s="4">
        <v>0.0310140535291694</v>
      </c>
      <c r="P1733" s="4">
        <v>0.245851757247043</v>
      </c>
      <c r="T1733" s="4">
        <f t="shared" si="3"/>
        <v>1528</v>
      </c>
      <c r="U1733" s="4">
        <f t="shared" si="4"/>
        <v>1513</v>
      </c>
    </row>
    <row r="1734" ht="15.75" customHeight="1">
      <c r="A1734" s="4" t="s">
        <v>653</v>
      </c>
      <c r="B1734" s="4" t="s">
        <v>13</v>
      </c>
      <c r="C1734" s="4">
        <v>0.02121</v>
      </c>
      <c r="D1734" s="4">
        <v>0.01277</v>
      </c>
      <c r="E1734" s="4">
        <v>0.01277</v>
      </c>
      <c r="I1734" s="4">
        <v>0.21563</v>
      </c>
      <c r="J1734" s="4">
        <v>0.01633</v>
      </c>
      <c r="K1734" s="6" t="b">
        <f t="shared" ref="K1734:M1734" si="1699">FALSE()</f>
        <v>0</v>
      </c>
      <c r="L1734" s="6" t="b">
        <f t="shared" si="1699"/>
        <v>0</v>
      </c>
      <c r="M1734" s="6" t="b">
        <f t="shared" si="1699"/>
        <v>0</v>
      </c>
      <c r="N1734" s="4">
        <v>0.0209881987383432</v>
      </c>
      <c r="P1734" s="4">
        <v>0.195262460926755</v>
      </c>
      <c r="T1734" s="4">
        <f t="shared" si="3"/>
        <v>1701</v>
      </c>
      <c r="U1734" s="4">
        <f t="shared" si="4"/>
        <v>2323</v>
      </c>
    </row>
    <row r="1735" ht="15.75" customHeight="1">
      <c r="A1735" s="4" t="s">
        <v>655</v>
      </c>
      <c r="B1735" s="4" t="s">
        <v>13</v>
      </c>
      <c r="C1735" s="4">
        <v>0.01913</v>
      </c>
      <c r="D1735" s="4">
        <v>0.0113</v>
      </c>
      <c r="E1735" s="4">
        <v>0.0113</v>
      </c>
      <c r="I1735" s="4">
        <v>0.20287</v>
      </c>
      <c r="J1735" s="4">
        <v>0.0099</v>
      </c>
      <c r="K1735" s="6" t="b">
        <f t="shared" ref="K1735:M1735" si="1700">FALSE()</f>
        <v>0</v>
      </c>
      <c r="L1735" s="6" t="b">
        <f t="shared" si="1700"/>
        <v>0</v>
      </c>
      <c r="M1735" s="6" t="b">
        <f t="shared" si="1700"/>
        <v>0</v>
      </c>
      <c r="N1735" s="4">
        <v>0.0189493221584107</v>
      </c>
      <c r="P1735" s="4">
        <v>0.184710367977901</v>
      </c>
      <c r="T1735" s="4">
        <f t="shared" si="3"/>
        <v>1748</v>
      </c>
      <c r="U1735" s="4">
        <f t="shared" si="4"/>
        <v>2539</v>
      </c>
    </row>
    <row r="1736" ht="15.75" customHeight="1">
      <c r="A1736" s="4" t="s">
        <v>656</v>
      </c>
      <c r="B1736" s="4" t="s">
        <v>13</v>
      </c>
      <c r="C1736" s="4">
        <v>0.07366</v>
      </c>
      <c r="D1736" s="4">
        <v>0.0412</v>
      </c>
      <c r="E1736" s="4">
        <v>0.0412</v>
      </c>
      <c r="I1736" s="4">
        <v>0.45482</v>
      </c>
      <c r="J1736" s="4">
        <v>0.01303</v>
      </c>
      <c r="K1736" s="6" t="b">
        <f t="shared" ref="K1736:M1736" si="1701">FALSE()</f>
        <v>0</v>
      </c>
      <c r="L1736" s="6" t="b">
        <f t="shared" si="1701"/>
        <v>0</v>
      </c>
      <c r="M1736" s="6" t="b">
        <f t="shared" si="1701"/>
        <v>0</v>
      </c>
      <c r="N1736" s="4">
        <v>0.0710733724098894</v>
      </c>
      <c r="P1736" s="4">
        <v>0.374882181630371</v>
      </c>
      <c r="T1736" s="4">
        <f t="shared" si="3"/>
        <v>1315</v>
      </c>
      <c r="U1736" s="4">
        <f t="shared" si="4"/>
        <v>1055</v>
      </c>
    </row>
    <row r="1737" ht="15.75" customHeight="1">
      <c r="A1737" s="4" t="s">
        <v>657</v>
      </c>
      <c r="B1737" s="4" t="s">
        <v>13</v>
      </c>
      <c r="C1737" s="4">
        <v>0.09</v>
      </c>
      <c r="D1737" s="4">
        <v>0.05</v>
      </c>
      <c r="E1737" s="4">
        <v>0.05</v>
      </c>
      <c r="I1737" s="4">
        <v>0.56</v>
      </c>
      <c r="J1737" s="4">
        <v>0.15</v>
      </c>
      <c r="K1737" s="6" t="b">
        <f t="shared" ref="K1737:M1737" si="1702">FALSE()</f>
        <v>0</v>
      </c>
      <c r="L1737" s="6" t="b">
        <f t="shared" si="1702"/>
        <v>0</v>
      </c>
      <c r="M1737" s="6" t="b">
        <f t="shared" si="1702"/>
        <v>0</v>
      </c>
      <c r="N1737" s="4">
        <v>0.0861776962410523</v>
      </c>
      <c r="P1737" s="4">
        <v>0.444685821261446</v>
      </c>
      <c r="T1737" s="4">
        <f t="shared" si="3"/>
        <v>1280</v>
      </c>
      <c r="U1737" s="4">
        <f t="shared" si="4"/>
        <v>967</v>
      </c>
    </row>
    <row r="1738" ht="15.75" customHeight="1">
      <c r="A1738" s="4" t="s">
        <v>658</v>
      </c>
      <c r="B1738" s="4" t="s">
        <v>13</v>
      </c>
      <c r="C1738" s="4">
        <v>0.02039</v>
      </c>
      <c r="D1738" s="4">
        <v>0.00293</v>
      </c>
      <c r="E1738" s="4">
        <v>0.00311</v>
      </c>
      <c r="I1738" s="4">
        <v>0.194</v>
      </c>
      <c r="J1738" s="4">
        <v>0.03</v>
      </c>
      <c r="K1738" s="6" t="b">
        <f t="shared" ref="K1738:M1738" si="1703">FALSE()</f>
        <v>0</v>
      </c>
      <c r="L1738" s="6" t="b">
        <f t="shared" si="1703"/>
        <v>0</v>
      </c>
      <c r="M1738" s="6" t="b">
        <f t="shared" si="1703"/>
        <v>0</v>
      </c>
      <c r="N1738" s="4">
        <v>0.0201849071590975</v>
      </c>
      <c r="P1738" s="4">
        <v>0.17730901497041</v>
      </c>
      <c r="T1738" s="4">
        <f t="shared" si="3"/>
        <v>1723</v>
      </c>
      <c r="U1738" s="4">
        <f t="shared" si="4"/>
        <v>2679</v>
      </c>
    </row>
    <row r="1739" ht="15.75" customHeight="1">
      <c r="A1739" s="4" t="s">
        <v>660</v>
      </c>
      <c r="B1739" s="4" t="s">
        <v>13</v>
      </c>
      <c r="C1739" s="4">
        <v>0.00673</v>
      </c>
      <c r="D1739" s="4">
        <v>0.00327</v>
      </c>
      <c r="E1739" s="4">
        <v>0.0034</v>
      </c>
      <c r="I1739" s="4">
        <v>0.165</v>
      </c>
      <c r="J1739" s="4">
        <v>0.024</v>
      </c>
      <c r="K1739" s="6" t="b">
        <f t="shared" ref="K1739:M1739" si="1704">FALSE()</f>
        <v>0</v>
      </c>
      <c r="L1739" s="6" t="b">
        <f t="shared" si="1704"/>
        <v>0</v>
      </c>
      <c r="M1739" s="6" t="b">
        <f t="shared" si="1704"/>
        <v>0</v>
      </c>
      <c r="N1739" s="4">
        <v>0.0067074546469564</v>
      </c>
      <c r="P1739" s="4">
        <v>0.152721087017664</v>
      </c>
      <c r="T1739" s="4">
        <f t="shared" si="3"/>
        <v>1993</v>
      </c>
      <c r="U1739" s="4">
        <f t="shared" si="4"/>
        <v>3103</v>
      </c>
    </row>
    <row r="1740" ht="15.75" customHeight="1">
      <c r="A1740" s="4" t="s">
        <v>661</v>
      </c>
      <c r="B1740" s="4" t="s">
        <v>13</v>
      </c>
      <c r="C1740" s="4">
        <v>0.00881</v>
      </c>
      <c r="I1740" s="4">
        <v>0.135</v>
      </c>
      <c r="J1740" s="4">
        <v>0.021</v>
      </c>
      <c r="K1740" s="6" t="b">
        <f t="shared" ref="K1740:M1740" si="1705">FALSE()</f>
        <v>0</v>
      </c>
      <c r="L1740" s="6" t="b">
        <f t="shared" si="1705"/>
        <v>0</v>
      </c>
      <c r="M1740" s="6" t="b">
        <f t="shared" si="1705"/>
        <v>0</v>
      </c>
      <c r="N1740" s="4">
        <v>0.0087714183870863</v>
      </c>
      <c r="P1740" s="4">
        <v>0.126632650933366</v>
      </c>
      <c r="T1740" s="4">
        <f t="shared" si="3"/>
        <v>1965</v>
      </c>
      <c r="U1740" s="4">
        <f t="shared" si="4"/>
        <v>3608</v>
      </c>
    </row>
    <row r="1741" ht="15.75" customHeight="1">
      <c r="A1741" s="4" t="s">
        <v>662</v>
      </c>
      <c r="B1741" s="4" t="s">
        <v>13</v>
      </c>
      <c r="C1741" s="4">
        <v>0.00519</v>
      </c>
      <c r="D1741" s="4">
        <v>0.0025</v>
      </c>
      <c r="E1741" s="4">
        <v>0.0025</v>
      </c>
      <c r="I1741" s="4">
        <v>0.10376</v>
      </c>
      <c r="J1741" s="4">
        <v>0.00437</v>
      </c>
      <c r="K1741" s="6" t="b">
        <f t="shared" ref="K1741:M1741" si="1706">FALSE()</f>
        <v>0</v>
      </c>
      <c r="L1741" s="6" t="b">
        <f t="shared" si="1706"/>
        <v>0</v>
      </c>
      <c r="M1741" s="6" t="b">
        <f t="shared" si="1706"/>
        <v>0</v>
      </c>
      <c r="N1741" s="4">
        <v>0.0051765783688145</v>
      </c>
      <c r="P1741" s="4">
        <v>0.098722532917641</v>
      </c>
      <c r="T1741" s="4">
        <f t="shared" si="3"/>
        <v>2023</v>
      </c>
      <c r="U1741" s="4">
        <f t="shared" si="4"/>
        <v>4160</v>
      </c>
    </row>
    <row r="1742" ht="15.75" customHeight="1">
      <c r="A1742" s="4" t="s">
        <v>663</v>
      </c>
      <c r="B1742" s="4" t="s">
        <v>13</v>
      </c>
      <c r="C1742" s="4">
        <v>0.01834</v>
      </c>
      <c r="D1742" s="4">
        <v>0.01174</v>
      </c>
      <c r="E1742" s="4">
        <v>0.01174</v>
      </c>
      <c r="I1742" s="4">
        <v>0.2018</v>
      </c>
      <c r="J1742" s="4">
        <v>0.01713</v>
      </c>
      <c r="K1742" s="6" t="b">
        <f t="shared" ref="K1742:M1742" si="1707">FALSE()</f>
        <v>0</v>
      </c>
      <c r="L1742" s="6" t="b">
        <f t="shared" si="1707"/>
        <v>0</v>
      </c>
      <c r="M1742" s="6" t="b">
        <f t="shared" si="1707"/>
        <v>0</v>
      </c>
      <c r="N1742" s="4">
        <v>0.0181738505788642</v>
      </c>
      <c r="P1742" s="4">
        <v>0.183820432917691</v>
      </c>
      <c r="T1742" s="4">
        <f t="shared" si="3"/>
        <v>1766</v>
      </c>
      <c r="U1742" s="4">
        <f t="shared" si="4"/>
        <v>2561</v>
      </c>
    </row>
    <row r="1743" ht="15.75" customHeight="1">
      <c r="A1743" s="4" t="s">
        <v>664</v>
      </c>
      <c r="B1743" s="4" t="s">
        <v>13</v>
      </c>
      <c r="C1743" s="4">
        <v>0.0245</v>
      </c>
      <c r="D1743" s="4">
        <v>0.01491</v>
      </c>
      <c r="E1743" s="4">
        <v>0.01491</v>
      </c>
      <c r="I1743" s="4">
        <v>0.23892</v>
      </c>
      <c r="J1743" s="4">
        <v>0.0174</v>
      </c>
      <c r="K1743" s="6" t="b">
        <f t="shared" ref="K1743:M1743" si="1708">FALSE()</f>
        <v>0</v>
      </c>
      <c r="L1743" s="6" t="b">
        <f t="shared" si="1708"/>
        <v>0</v>
      </c>
      <c r="M1743" s="6" t="b">
        <f t="shared" si="1708"/>
        <v>0</v>
      </c>
      <c r="N1743" s="4">
        <v>0.0242046886968173</v>
      </c>
      <c r="P1743" s="4">
        <v>0.214240032362228</v>
      </c>
      <c r="T1743" s="4">
        <f t="shared" si="3"/>
        <v>1647</v>
      </c>
      <c r="U1743" s="4">
        <f t="shared" si="4"/>
        <v>1967</v>
      </c>
    </row>
    <row r="1744" ht="15.75" customHeight="1">
      <c r="A1744" s="4" t="s">
        <v>665</v>
      </c>
      <c r="B1744" s="4" t="s">
        <v>13</v>
      </c>
      <c r="C1744" s="4">
        <v>0.07838</v>
      </c>
      <c r="D1744" s="4">
        <v>0.05154</v>
      </c>
      <c r="E1744" s="4">
        <v>0.05154</v>
      </c>
      <c r="I1744" s="4">
        <v>0.47578</v>
      </c>
      <c r="J1744" s="4">
        <v>0.03453</v>
      </c>
      <c r="K1744" s="6" t="b">
        <f t="shared" ref="K1744:M1744" si="1709">FALSE()</f>
        <v>0</v>
      </c>
      <c r="L1744" s="6" t="b">
        <f t="shared" si="1709"/>
        <v>0</v>
      </c>
      <c r="M1744" s="6" t="b">
        <f t="shared" si="1709"/>
        <v>0</v>
      </c>
      <c r="N1744" s="4">
        <v>0.0754599150098611</v>
      </c>
      <c r="P1744" s="4">
        <v>0.389186663578489</v>
      </c>
      <c r="T1744" s="4">
        <f t="shared" si="3"/>
        <v>1302</v>
      </c>
      <c r="U1744" s="4">
        <f t="shared" si="4"/>
        <v>1034</v>
      </c>
    </row>
    <row r="1745" ht="15.75" customHeight="1">
      <c r="A1745" s="4" t="s">
        <v>666</v>
      </c>
      <c r="B1745" s="4" t="s">
        <v>13</v>
      </c>
      <c r="C1745" s="4">
        <v>0.02306</v>
      </c>
      <c r="D1745" s="4">
        <v>0.01277</v>
      </c>
      <c r="E1745" s="4">
        <v>0.01277</v>
      </c>
      <c r="I1745" s="4">
        <v>0.2257</v>
      </c>
      <c r="J1745" s="4">
        <v>0.0074</v>
      </c>
      <c r="K1745" s="6" t="b">
        <f t="shared" ref="K1745:M1745" si="1710">FALSE()</f>
        <v>0</v>
      </c>
      <c r="L1745" s="6" t="b">
        <f t="shared" si="1710"/>
        <v>0</v>
      </c>
      <c r="M1745" s="6" t="b">
        <f t="shared" si="1710"/>
        <v>0</v>
      </c>
      <c r="N1745" s="4">
        <v>0.0227981362759781</v>
      </c>
      <c r="P1745" s="4">
        <v>0.203512109364982</v>
      </c>
      <c r="T1745" s="4">
        <f t="shared" si="3"/>
        <v>1664</v>
      </c>
      <c r="U1745" s="4">
        <f t="shared" si="4"/>
        <v>2181</v>
      </c>
    </row>
    <row r="1746" ht="15.75" customHeight="1">
      <c r="A1746" s="4" t="s">
        <v>667</v>
      </c>
      <c r="B1746" s="4" t="s">
        <v>13</v>
      </c>
      <c r="C1746" s="4">
        <v>0.05862</v>
      </c>
      <c r="D1746" s="4">
        <v>0.0342</v>
      </c>
      <c r="E1746" s="4">
        <v>0.0342</v>
      </c>
      <c r="I1746" s="4">
        <v>0.40762</v>
      </c>
      <c r="J1746" s="4">
        <v>0.01097</v>
      </c>
      <c r="K1746" s="6" t="b">
        <f t="shared" ref="K1746:M1746" si="1711">FALSE()</f>
        <v>0</v>
      </c>
      <c r="L1746" s="6" t="b">
        <f t="shared" si="1711"/>
        <v>0</v>
      </c>
      <c r="M1746" s="6" t="b">
        <f t="shared" si="1711"/>
        <v>0</v>
      </c>
      <c r="N1746" s="4">
        <v>0.0569661731406671</v>
      </c>
      <c r="P1746" s="4">
        <v>0.341900334946336</v>
      </c>
      <c r="T1746" s="4">
        <f t="shared" si="3"/>
        <v>1365</v>
      </c>
      <c r="U1746" s="4">
        <f t="shared" si="4"/>
        <v>1112</v>
      </c>
    </row>
    <row r="1747" ht="15.75" customHeight="1">
      <c r="A1747" s="4" t="s">
        <v>668</v>
      </c>
      <c r="B1747" s="4" t="s">
        <v>13</v>
      </c>
      <c r="C1747" s="4">
        <v>0.06305</v>
      </c>
      <c r="D1747" s="4">
        <v>0.039</v>
      </c>
      <c r="E1747" s="4">
        <v>0.039</v>
      </c>
      <c r="I1747" s="4">
        <v>0.41057</v>
      </c>
      <c r="J1747" s="4">
        <v>0.02605</v>
      </c>
      <c r="K1747" s="6" t="b">
        <f t="shared" ref="K1747:M1747" si="1712">FALSE()</f>
        <v>0</v>
      </c>
      <c r="L1747" s="6" t="b">
        <f t="shared" si="1712"/>
        <v>0</v>
      </c>
      <c r="M1747" s="6" t="b">
        <f t="shared" si="1712"/>
        <v>0</v>
      </c>
      <c r="N1747" s="4">
        <v>0.0611421349422376</v>
      </c>
      <c r="P1747" s="4">
        <v>0.343993878020059</v>
      </c>
      <c r="T1747" s="4">
        <f t="shared" si="3"/>
        <v>1347</v>
      </c>
      <c r="U1747" s="4">
        <f t="shared" si="4"/>
        <v>1106</v>
      </c>
    </row>
    <row r="1748" ht="15.75" customHeight="1">
      <c r="A1748" s="4" t="s">
        <v>669</v>
      </c>
      <c r="B1748" s="4" t="s">
        <v>13</v>
      </c>
      <c r="C1748" s="4">
        <v>0.00664</v>
      </c>
      <c r="D1748" s="4">
        <v>0.00359</v>
      </c>
      <c r="E1748" s="4">
        <v>0.00359</v>
      </c>
      <c r="I1748" s="4">
        <v>0.11446</v>
      </c>
      <c r="J1748" s="4">
        <v>0.00794</v>
      </c>
      <c r="K1748" s="6" t="b">
        <f t="shared" ref="K1748:M1748" si="1713">FALSE()</f>
        <v>0</v>
      </c>
      <c r="L1748" s="6" t="b">
        <f t="shared" si="1713"/>
        <v>0</v>
      </c>
      <c r="M1748" s="6" t="b">
        <f t="shared" si="1713"/>
        <v>0</v>
      </c>
      <c r="N1748" s="4">
        <v>0.0066180523015754</v>
      </c>
      <c r="P1748" s="4">
        <v>0.108369982665834</v>
      </c>
      <c r="T1748" s="4">
        <f t="shared" si="3"/>
        <v>1994</v>
      </c>
      <c r="U1748" s="4">
        <f t="shared" si="4"/>
        <v>3974</v>
      </c>
    </row>
    <row r="1749" ht="15.75" customHeight="1">
      <c r="A1749" s="4" t="s">
        <v>670</v>
      </c>
      <c r="B1749" s="4" t="s">
        <v>13</v>
      </c>
      <c r="C1749" s="4">
        <v>0.00783</v>
      </c>
      <c r="D1749" s="4">
        <v>0.0044</v>
      </c>
      <c r="E1749" s="4">
        <v>0.0044</v>
      </c>
      <c r="I1749" s="4">
        <v>0.1213</v>
      </c>
      <c r="J1749" s="4">
        <v>0.00785</v>
      </c>
      <c r="K1749" s="6" t="b">
        <f t="shared" ref="K1749:M1749" si="1714">FALSE()</f>
        <v>0</v>
      </c>
      <c r="L1749" s="6" t="b">
        <f t="shared" si="1714"/>
        <v>0</v>
      </c>
      <c r="M1749" s="6" t="b">
        <f t="shared" si="1714"/>
        <v>0</v>
      </c>
      <c r="N1749" s="4">
        <v>0.0077995046323817</v>
      </c>
      <c r="P1749" s="4">
        <v>0.114488726484698</v>
      </c>
      <c r="T1749" s="4">
        <f t="shared" si="3"/>
        <v>1975</v>
      </c>
      <c r="U1749" s="4">
        <f t="shared" si="4"/>
        <v>3837</v>
      </c>
    </row>
    <row r="1750" ht="15.75" customHeight="1">
      <c r="A1750" s="4" t="s">
        <v>672</v>
      </c>
      <c r="B1750" s="4" t="s">
        <v>13</v>
      </c>
      <c r="C1750" s="4">
        <v>0.01224</v>
      </c>
      <c r="D1750" s="4">
        <v>0.00626</v>
      </c>
      <c r="E1750" s="4">
        <v>0.00626</v>
      </c>
      <c r="I1750" s="4">
        <v>0.14961</v>
      </c>
      <c r="J1750" s="4">
        <v>0.00972</v>
      </c>
      <c r="K1750" s="6" t="b">
        <f t="shared" ref="K1750:M1750" si="1715">FALSE()</f>
        <v>0</v>
      </c>
      <c r="L1750" s="6" t="b">
        <f t="shared" si="1715"/>
        <v>0</v>
      </c>
      <c r="M1750" s="6" t="b">
        <f t="shared" si="1715"/>
        <v>0</v>
      </c>
      <c r="N1750" s="4">
        <v>0.0121656968988711</v>
      </c>
      <c r="P1750" s="4">
        <v>0.139422754422646</v>
      </c>
      <c r="T1750" s="4">
        <f t="shared" si="3"/>
        <v>1892</v>
      </c>
      <c r="U1750" s="4">
        <f t="shared" si="4"/>
        <v>3337</v>
      </c>
    </row>
    <row r="1751" ht="15.75" customHeight="1">
      <c r="A1751" s="4" t="s">
        <v>673</v>
      </c>
      <c r="B1751" s="4" t="s">
        <v>13</v>
      </c>
      <c r="C1751" s="4">
        <v>0.02121</v>
      </c>
      <c r="D1751" s="4">
        <v>0.01277</v>
      </c>
      <c r="E1751" s="4">
        <v>0.01277</v>
      </c>
      <c r="I1751" s="4">
        <v>0.22143</v>
      </c>
      <c r="J1751" s="4">
        <v>0.0141</v>
      </c>
      <c r="K1751" s="6" t="b">
        <f t="shared" ref="K1751:M1751" si="1716">FALSE()</f>
        <v>0</v>
      </c>
      <c r="L1751" s="6" t="b">
        <f t="shared" si="1716"/>
        <v>0</v>
      </c>
      <c r="M1751" s="6" t="b">
        <f t="shared" si="1716"/>
        <v>0</v>
      </c>
      <c r="N1751" s="4">
        <v>0.0209881987383432</v>
      </c>
      <c r="P1751" s="4">
        <v>0.200022303483315</v>
      </c>
      <c r="T1751" s="4">
        <f t="shared" si="3"/>
        <v>1702</v>
      </c>
      <c r="U1751" s="4">
        <f t="shared" si="4"/>
        <v>2240</v>
      </c>
    </row>
    <row r="1752" ht="15.75" customHeight="1">
      <c r="A1752" s="4" t="s">
        <v>2942</v>
      </c>
      <c r="B1752" s="4" t="s">
        <v>13</v>
      </c>
      <c r="I1752" s="4">
        <v>0.088305</v>
      </c>
      <c r="J1752" s="4">
        <v>0.0045</v>
      </c>
      <c r="K1752" s="6" t="b">
        <f t="shared" ref="K1752:M1752" si="1717">FALSE()</f>
        <v>0</v>
      </c>
      <c r="L1752" s="6" t="b">
        <f t="shared" si="1717"/>
        <v>0</v>
      </c>
      <c r="M1752" s="6" t="b">
        <f t="shared" si="1717"/>
        <v>0</v>
      </c>
      <c r="P1752" s="4">
        <v>0.0846214400307437</v>
      </c>
      <c r="T1752" s="4" t="str">
        <f t="shared" si="3"/>
        <v/>
      </c>
      <c r="U1752" s="4">
        <f t="shared" si="4"/>
        <v>4345</v>
      </c>
    </row>
    <row r="1753" ht="15.75" customHeight="1">
      <c r="A1753" s="4" t="s">
        <v>2943</v>
      </c>
      <c r="B1753" s="4" t="s">
        <v>13</v>
      </c>
      <c r="I1753" s="4">
        <v>0.18878</v>
      </c>
      <c r="J1753" s="4">
        <v>0.009</v>
      </c>
      <c r="K1753" s="6" t="b">
        <f t="shared" ref="K1753:M1753" si="1718">FALSE()</f>
        <v>0</v>
      </c>
      <c r="L1753" s="6" t="b">
        <f t="shared" si="1718"/>
        <v>0</v>
      </c>
      <c r="M1753" s="6" t="b">
        <f t="shared" si="1718"/>
        <v>0</v>
      </c>
      <c r="P1753" s="4">
        <v>0.172927571152085</v>
      </c>
      <c r="T1753" s="4" t="str">
        <f t="shared" si="3"/>
        <v/>
      </c>
      <c r="U1753" s="4">
        <f t="shared" si="4"/>
        <v>2769</v>
      </c>
    </row>
    <row r="1754" ht="15.75" customHeight="1">
      <c r="A1754" s="4" t="s">
        <v>2944</v>
      </c>
      <c r="B1754" s="4" t="s">
        <v>13</v>
      </c>
      <c r="I1754" s="4">
        <v>0.067794</v>
      </c>
      <c r="J1754" s="4">
        <v>0.004425</v>
      </c>
      <c r="K1754" s="6" t="b">
        <f t="shared" ref="K1754:M1754" si="1719">FALSE()</f>
        <v>0</v>
      </c>
      <c r="L1754" s="6" t="b">
        <f t="shared" si="1719"/>
        <v>0</v>
      </c>
      <c r="M1754" s="6" t="b">
        <f t="shared" si="1719"/>
        <v>0</v>
      </c>
      <c r="P1754" s="4">
        <v>0.0655948380383811</v>
      </c>
      <c r="T1754" s="4" t="str">
        <f t="shared" si="3"/>
        <v/>
      </c>
      <c r="U1754" s="4">
        <f t="shared" si="4"/>
        <v>4503</v>
      </c>
    </row>
    <row r="1755" ht="15.75" customHeight="1">
      <c r="A1755" s="4" t="s">
        <v>2945</v>
      </c>
      <c r="B1755" s="4" t="s">
        <v>13</v>
      </c>
      <c r="I1755" s="4">
        <v>0.109975</v>
      </c>
      <c r="J1755" s="4">
        <v>0.00529</v>
      </c>
      <c r="K1755" s="6" t="b">
        <f t="shared" ref="K1755:M1755" si="1720">FALSE()</f>
        <v>0</v>
      </c>
      <c r="L1755" s="6" t="b">
        <f t="shared" si="1720"/>
        <v>0</v>
      </c>
      <c r="M1755" s="6" t="b">
        <f t="shared" si="1720"/>
        <v>0</v>
      </c>
      <c r="P1755" s="4">
        <v>0.104337492548084</v>
      </c>
      <c r="T1755" s="4" t="str">
        <f t="shared" si="3"/>
        <v/>
      </c>
      <c r="U1755" s="4">
        <f t="shared" si="4"/>
        <v>4055</v>
      </c>
    </row>
    <row r="1756" ht="15.75" customHeight="1">
      <c r="A1756" s="4" t="s">
        <v>2946</v>
      </c>
      <c r="B1756" s="4" t="s">
        <v>13</v>
      </c>
      <c r="I1756" s="4">
        <v>0.10875</v>
      </c>
      <c r="J1756" s="4">
        <v>0.0062</v>
      </c>
      <c r="K1756" s="6" t="b">
        <f t="shared" ref="K1756:M1756" si="1721">FALSE()</f>
        <v>0</v>
      </c>
      <c r="L1756" s="6" t="b">
        <f t="shared" si="1721"/>
        <v>0</v>
      </c>
      <c r="M1756" s="6" t="b">
        <f t="shared" si="1721"/>
        <v>0</v>
      </c>
      <c r="P1756" s="4">
        <v>0.103233254641652</v>
      </c>
      <c r="T1756" s="4" t="str">
        <f t="shared" si="3"/>
        <v/>
      </c>
      <c r="U1756" s="4">
        <f t="shared" si="4"/>
        <v>4071</v>
      </c>
    </row>
    <row r="1757" ht="15.75" customHeight="1">
      <c r="A1757" s="4" t="s">
        <v>2947</v>
      </c>
      <c r="B1757" s="4" t="s">
        <v>13</v>
      </c>
      <c r="I1757" s="4">
        <v>0.172068</v>
      </c>
      <c r="J1757" s="4">
        <v>0.0054</v>
      </c>
      <c r="K1757" s="6" t="b">
        <f t="shared" ref="K1757:M1757" si="1722">FALSE()</f>
        <v>0</v>
      </c>
      <c r="L1757" s="6" t="b">
        <f t="shared" si="1722"/>
        <v>0</v>
      </c>
      <c r="M1757" s="6" t="b">
        <f t="shared" si="1722"/>
        <v>0</v>
      </c>
      <c r="P1757" s="4">
        <v>0.158769709949514</v>
      </c>
      <c r="T1757" s="4" t="str">
        <f t="shared" si="3"/>
        <v/>
      </c>
      <c r="U1757" s="4">
        <f t="shared" si="4"/>
        <v>3010</v>
      </c>
    </row>
    <row r="1758" ht="15.75" customHeight="1">
      <c r="A1758" s="4" t="s">
        <v>674</v>
      </c>
      <c r="B1758" s="4" t="s">
        <v>13</v>
      </c>
      <c r="C1758" s="4">
        <v>0.009</v>
      </c>
      <c r="D1758" s="4">
        <v>0.0085</v>
      </c>
      <c r="E1758" s="4">
        <v>0.0085</v>
      </c>
      <c r="I1758" s="4">
        <v>0.09055</v>
      </c>
      <c r="J1758" s="4">
        <v>0.00455</v>
      </c>
      <c r="K1758" s="6" t="b">
        <f t="shared" ref="K1758:M1758" si="1723">FALSE()</f>
        <v>0</v>
      </c>
      <c r="L1758" s="6" t="b">
        <f t="shared" si="1723"/>
        <v>0</v>
      </c>
      <c r="M1758" s="6" t="b">
        <f t="shared" si="1723"/>
        <v>0</v>
      </c>
      <c r="N1758" s="4">
        <v>0.0089597413714719</v>
      </c>
      <c r="P1758" s="4">
        <v>0.0866821561357244</v>
      </c>
      <c r="T1758" s="4">
        <f t="shared" si="3"/>
        <v>1955</v>
      </c>
      <c r="U1758" s="4">
        <f t="shared" si="4"/>
        <v>4324</v>
      </c>
    </row>
    <row r="1759" ht="15.75" customHeight="1">
      <c r="A1759" s="4" t="s">
        <v>675</v>
      </c>
      <c r="B1759" s="4" t="s">
        <v>13</v>
      </c>
      <c r="C1759" s="4">
        <v>0.023</v>
      </c>
      <c r="D1759" s="4">
        <v>0.0101</v>
      </c>
      <c r="E1759" s="4">
        <v>0.0192</v>
      </c>
      <c r="I1759" s="4">
        <v>0.241</v>
      </c>
      <c r="J1759" s="4">
        <v>0.0152</v>
      </c>
      <c r="K1759" s="6" t="b">
        <f t="shared" ref="K1759:M1759" si="1724">FALSE()</f>
        <v>0</v>
      </c>
      <c r="L1759" s="6" t="b">
        <f t="shared" si="1724"/>
        <v>0</v>
      </c>
      <c r="M1759" s="6" t="b">
        <f t="shared" si="1724"/>
        <v>0</v>
      </c>
      <c r="N1759" s="4">
        <v>0.0227394869694894</v>
      </c>
      <c r="P1759" s="4">
        <v>0.21591750622247</v>
      </c>
      <c r="T1759" s="4">
        <f t="shared" si="3"/>
        <v>1666</v>
      </c>
      <c r="U1759" s="4">
        <f t="shared" si="4"/>
        <v>1928</v>
      </c>
    </row>
    <row r="1760" ht="15.75" customHeight="1">
      <c r="A1760" s="4" t="s">
        <v>676</v>
      </c>
      <c r="B1760" s="4" t="s">
        <v>13</v>
      </c>
      <c r="C1760" s="4">
        <v>0.0299</v>
      </c>
      <c r="D1760" s="4">
        <v>0.0107</v>
      </c>
      <c r="E1760" s="4">
        <v>0.022</v>
      </c>
      <c r="I1760" s="4">
        <v>0.2837</v>
      </c>
      <c r="J1760" s="4">
        <v>0.0125</v>
      </c>
      <c r="K1760" s="6" t="b">
        <f t="shared" ref="K1760:M1760" si="1725">FALSE()</f>
        <v>0</v>
      </c>
      <c r="L1760" s="6" t="b">
        <f t="shared" si="1725"/>
        <v>0</v>
      </c>
      <c r="M1760" s="6" t="b">
        <f t="shared" si="1725"/>
        <v>0</v>
      </c>
      <c r="N1760" s="4">
        <v>0.029461710149619</v>
      </c>
      <c r="P1760" s="4">
        <v>0.249746533108744</v>
      </c>
      <c r="T1760" s="4">
        <f t="shared" si="3"/>
        <v>1557</v>
      </c>
      <c r="U1760" s="4">
        <f t="shared" si="4"/>
        <v>1483</v>
      </c>
    </row>
    <row r="1761" ht="15.75" customHeight="1">
      <c r="A1761" s="4" t="s">
        <v>677</v>
      </c>
      <c r="B1761" s="4" t="s">
        <v>13</v>
      </c>
      <c r="C1761" s="4">
        <v>0.0327</v>
      </c>
      <c r="D1761" s="4">
        <v>0.005</v>
      </c>
      <c r="E1761" s="4">
        <v>0.005</v>
      </c>
      <c r="I1761" s="4">
        <v>0.2079</v>
      </c>
      <c r="J1761" s="4">
        <v>0.008</v>
      </c>
      <c r="K1761" s="6" t="b">
        <f t="shared" ref="K1761:M1761" si="1726">FALSE()</f>
        <v>0</v>
      </c>
      <c r="L1761" s="6" t="b">
        <f t="shared" si="1726"/>
        <v>0</v>
      </c>
      <c r="M1761" s="6" t="b">
        <f t="shared" si="1726"/>
        <v>0</v>
      </c>
      <c r="N1761" s="4">
        <v>0.0321767316952212</v>
      </c>
      <c r="P1761" s="4">
        <v>0.188883314629096</v>
      </c>
      <c r="T1761" s="4">
        <f t="shared" si="3"/>
        <v>1517</v>
      </c>
      <c r="U1761" s="4">
        <f t="shared" si="4"/>
        <v>2452</v>
      </c>
    </row>
    <row r="1762" ht="15.75" customHeight="1">
      <c r="A1762" s="4" t="s">
        <v>679</v>
      </c>
      <c r="B1762" s="4" t="s">
        <v>13</v>
      </c>
      <c r="C1762" s="4">
        <v>0.617</v>
      </c>
      <c r="D1762" s="4">
        <v>0.047</v>
      </c>
      <c r="E1762" s="4">
        <v>0.047</v>
      </c>
      <c r="I1762" s="4">
        <v>0.941</v>
      </c>
      <c r="J1762" s="4">
        <v>0.034</v>
      </c>
      <c r="K1762" s="6" t="b">
        <f t="shared" ref="K1762:L1762" si="1727">FALSE()</f>
        <v>0</v>
      </c>
      <c r="L1762" s="6" t="b">
        <f t="shared" si="1727"/>
        <v>0</v>
      </c>
      <c r="M1762" s="6" t="b">
        <f>TRUE()</f>
        <v>1</v>
      </c>
      <c r="N1762" s="4">
        <v>0.48057258059497</v>
      </c>
      <c r="P1762" s="4">
        <v>0.663203304186873</v>
      </c>
      <c r="T1762" s="4">
        <f t="shared" si="3"/>
        <v>877</v>
      </c>
      <c r="U1762" s="4">
        <f t="shared" si="4"/>
        <v>735</v>
      </c>
    </row>
    <row r="1763" ht="15.75" customHeight="1">
      <c r="A1763" s="4" t="s">
        <v>2948</v>
      </c>
      <c r="B1763" s="4" t="s">
        <v>13</v>
      </c>
      <c r="I1763" s="4">
        <v>0.192</v>
      </c>
      <c r="J1763" s="4">
        <v>0.021</v>
      </c>
      <c r="K1763" s="6" t="b">
        <f t="shared" ref="K1763:M1763" si="1728">FALSE()</f>
        <v>0</v>
      </c>
      <c r="L1763" s="6" t="b">
        <f t="shared" si="1728"/>
        <v>0</v>
      </c>
      <c r="M1763" s="6" t="b">
        <f t="shared" si="1728"/>
        <v>0</v>
      </c>
      <c r="P1763" s="4">
        <v>0.175632568643158</v>
      </c>
      <c r="T1763" s="4" t="str">
        <f t="shared" si="3"/>
        <v/>
      </c>
      <c r="U1763" s="4">
        <f t="shared" si="4"/>
        <v>2708</v>
      </c>
    </row>
    <row r="1764" ht="15.75" customHeight="1">
      <c r="A1764" s="4" t="s">
        <v>2949</v>
      </c>
      <c r="B1764" s="4" t="s">
        <v>13</v>
      </c>
      <c r="I1764" s="4">
        <v>0.402</v>
      </c>
      <c r="J1764" s="4">
        <v>0.017</v>
      </c>
      <c r="K1764" s="6" t="b">
        <f t="shared" ref="K1764:M1764" si="1729">FALSE()</f>
        <v>0</v>
      </c>
      <c r="L1764" s="6" t="b">
        <f t="shared" si="1729"/>
        <v>0</v>
      </c>
      <c r="M1764" s="6" t="b">
        <f t="shared" si="1729"/>
        <v>0</v>
      </c>
      <c r="P1764" s="4">
        <v>0.337899788612398</v>
      </c>
      <c r="T1764" s="4" t="str">
        <f t="shared" si="3"/>
        <v/>
      </c>
      <c r="U1764" s="4">
        <f t="shared" si="4"/>
        <v>1116</v>
      </c>
    </row>
    <row r="1765" ht="15.75" customHeight="1">
      <c r="A1765" s="4" t="s">
        <v>2950</v>
      </c>
      <c r="B1765" s="4" t="s">
        <v>13</v>
      </c>
      <c r="I1765" s="4">
        <v>0.216</v>
      </c>
      <c r="J1765" s="4">
        <v>0.01</v>
      </c>
      <c r="K1765" s="6" t="b">
        <f t="shared" ref="K1765:M1765" si="1730">FALSE()</f>
        <v>0</v>
      </c>
      <c r="L1765" s="6" t="b">
        <f t="shared" si="1730"/>
        <v>0</v>
      </c>
      <c r="M1765" s="6" t="b">
        <f t="shared" si="1730"/>
        <v>0</v>
      </c>
      <c r="P1765" s="4">
        <v>0.195566783543975</v>
      </c>
      <c r="T1765" s="4" t="str">
        <f t="shared" si="3"/>
        <v/>
      </c>
      <c r="U1765" s="4">
        <f t="shared" si="4"/>
        <v>2315</v>
      </c>
    </row>
    <row r="1766" ht="15.75" customHeight="1">
      <c r="A1766" s="4" t="s">
        <v>680</v>
      </c>
      <c r="B1766" s="4" t="s">
        <v>13</v>
      </c>
      <c r="C1766" s="4">
        <v>0.0379</v>
      </c>
      <c r="F1766" s="4">
        <v>0.0378</v>
      </c>
      <c r="I1766" s="4">
        <v>0.245</v>
      </c>
      <c r="J1766" s="4">
        <v>0.021</v>
      </c>
      <c r="K1766" s="6" t="b">
        <f t="shared" ref="K1766:M1766" si="1731">FALSE()</f>
        <v>0</v>
      </c>
      <c r="L1766" s="6" t="b">
        <f t="shared" si="1731"/>
        <v>0</v>
      </c>
      <c r="M1766" s="6" t="b">
        <f t="shared" si="1731"/>
        <v>0</v>
      </c>
      <c r="N1766" s="4">
        <v>0.0371994409891062</v>
      </c>
      <c r="O1766" s="4">
        <v>0.0371030879515022</v>
      </c>
      <c r="P1766" s="4">
        <v>0.219135529916671</v>
      </c>
      <c r="Q1766" s="4">
        <v>-0.604765859118795</v>
      </c>
      <c r="R1766" s="4">
        <v>-0.628484285111025</v>
      </c>
      <c r="S1766" s="4">
        <v>-1.08570607546737</v>
      </c>
      <c r="T1766" s="4">
        <f t="shared" si="3"/>
        <v>1469</v>
      </c>
      <c r="U1766" s="4">
        <f t="shared" si="4"/>
        <v>1873</v>
      </c>
    </row>
    <row r="1767" ht="15.75" customHeight="1">
      <c r="A1767" s="4" t="s">
        <v>2951</v>
      </c>
      <c r="B1767" s="4" t="s">
        <v>13</v>
      </c>
      <c r="I1767" s="4">
        <v>0.599</v>
      </c>
      <c r="J1767" s="4">
        <v>0.0</v>
      </c>
      <c r="K1767" s="6" t="b">
        <f t="shared" ref="K1767:M1767" si="1732">FALSE()</f>
        <v>0</v>
      </c>
      <c r="L1767" s="6" t="b">
        <f t="shared" si="1732"/>
        <v>0</v>
      </c>
      <c r="M1767" s="6" t="b">
        <f t="shared" si="1732"/>
        <v>0</v>
      </c>
      <c r="P1767" s="4">
        <v>0.469378433851817</v>
      </c>
      <c r="T1767" s="4" t="str">
        <f t="shared" si="3"/>
        <v/>
      </c>
      <c r="U1767" s="4">
        <f t="shared" si="4"/>
        <v>947</v>
      </c>
    </row>
    <row r="1768" ht="15.75" customHeight="1">
      <c r="A1768" s="4" t="s">
        <v>2952</v>
      </c>
      <c r="B1768" s="4" t="s">
        <v>13</v>
      </c>
      <c r="I1768" s="4">
        <v>0.183</v>
      </c>
      <c r="J1768" s="4">
        <v>0.021</v>
      </c>
      <c r="K1768" s="6" t="b">
        <f t="shared" ref="K1768:M1768" si="1733">FALSE()</f>
        <v>0</v>
      </c>
      <c r="L1768" s="6" t="b">
        <f t="shared" si="1733"/>
        <v>0</v>
      </c>
      <c r="M1768" s="6" t="b">
        <f t="shared" si="1733"/>
        <v>0</v>
      </c>
      <c r="P1768" s="4">
        <v>0.16805358499625</v>
      </c>
      <c r="T1768" s="4" t="str">
        <f t="shared" si="3"/>
        <v/>
      </c>
      <c r="U1768" s="4">
        <f t="shared" si="4"/>
        <v>2849</v>
      </c>
    </row>
    <row r="1769" ht="15.75" customHeight="1">
      <c r="A1769" s="4" t="s">
        <v>2953</v>
      </c>
      <c r="B1769" s="4" t="s">
        <v>13</v>
      </c>
      <c r="I1769" s="4">
        <v>0.169</v>
      </c>
      <c r="J1769" s="4">
        <v>0.023</v>
      </c>
      <c r="K1769" s="6" t="b">
        <f t="shared" ref="K1769:M1769" si="1734">FALSE()</f>
        <v>0</v>
      </c>
      <c r="L1769" s="6" t="b">
        <f t="shared" si="1734"/>
        <v>0</v>
      </c>
      <c r="M1769" s="6" t="b">
        <f t="shared" si="1734"/>
        <v>0</v>
      </c>
      <c r="P1769" s="4">
        <v>0.156148682489931</v>
      </c>
      <c r="T1769" s="4" t="str">
        <f t="shared" si="3"/>
        <v/>
      </c>
      <c r="U1769" s="4">
        <f t="shared" si="4"/>
        <v>3062</v>
      </c>
    </row>
    <row r="1770" ht="15.75" customHeight="1">
      <c r="A1770" s="4" t="s">
        <v>2954</v>
      </c>
      <c r="B1770" s="4" t="s">
        <v>13</v>
      </c>
      <c r="I1770" s="4">
        <v>0.2</v>
      </c>
      <c r="J1770" s="4">
        <v>0.021</v>
      </c>
      <c r="K1770" s="6" t="b">
        <f t="shared" ref="K1770:M1770" si="1735">FALSE()</f>
        <v>0</v>
      </c>
      <c r="L1770" s="6" t="b">
        <f t="shared" si="1735"/>
        <v>0</v>
      </c>
      <c r="M1770" s="6" t="b">
        <f t="shared" si="1735"/>
        <v>0</v>
      </c>
      <c r="P1770" s="4">
        <v>0.182321556793955</v>
      </c>
      <c r="T1770" s="4" t="str">
        <f t="shared" si="3"/>
        <v/>
      </c>
      <c r="U1770" s="4">
        <f t="shared" si="4"/>
        <v>2583</v>
      </c>
    </row>
    <row r="1771" ht="15.75" customHeight="1">
      <c r="A1771" s="4" t="s">
        <v>2955</v>
      </c>
      <c r="B1771" s="4" t="s">
        <v>13</v>
      </c>
      <c r="I1771" s="4">
        <v>0.172</v>
      </c>
      <c r="J1771" s="4">
        <v>0.047</v>
      </c>
      <c r="K1771" s="6" t="b">
        <f t="shared" ref="K1771:M1771" si="1736">FALSE()</f>
        <v>0</v>
      </c>
      <c r="L1771" s="6" t="b">
        <f t="shared" si="1736"/>
        <v>0</v>
      </c>
      <c r="M1771" s="6" t="b">
        <f t="shared" si="1736"/>
        <v>0</v>
      </c>
      <c r="P1771" s="4">
        <v>0.158711691154821</v>
      </c>
      <c r="T1771" s="4" t="str">
        <f t="shared" si="3"/>
        <v/>
      </c>
      <c r="U1771" s="4">
        <f t="shared" si="4"/>
        <v>3013</v>
      </c>
    </row>
    <row r="1772" ht="15.75" customHeight="1">
      <c r="A1772" s="4" t="s">
        <v>2956</v>
      </c>
      <c r="B1772" s="4" t="s">
        <v>13</v>
      </c>
      <c r="I1772" s="4">
        <v>0.187</v>
      </c>
      <c r="J1772" s="4">
        <v>0.017</v>
      </c>
      <c r="K1772" s="6" t="b">
        <f t="shared" ref="K1772:M1772" si="1737">FALSE()</f>
        <v>0</v>
      </c>
      <c r="L1772" s="6" t="b">
        <f t="shared" si="1737"/>
        <v>0</v>
      </c>
      <c r="M1772" s="6" t="b">
        <f t="shared" si="1737"/>
        <v>0</v>
      </c>
      <c r="P1772" s="4">
        <v>0.171429115627531</v>
      </c>
      <c r="T1772" s="4" t="str">
        <f t="shared" si="3"/>
        <v/>
      </c>
      <c r="U1772" s="4">
        <f t="shared" si="4"/>
        <v>2783</v>
      </c>
    </row>
    <row r="1773" ht="15.75" customHeight="1">
      <c r="A1773" s="4" t="s">
        <v>2957</v>
      </c>
      <c r="B1773" s="4" t="s">
        <v>13</v>
      </c>
      <c r="I1773" s="4">
        <v>0.142</v>
      </c>
      <c r="J1773" s="4">
        <v>0.021</v>
      </c>
      <c r="K1773" s="6" t="b">
        <f t="shared" ref="K1773:M1773" si="1738">FALSE()</f>
        <v>0</v>
      </c>
      <c r="L1773" s="6" t="b">
        <f t="shared" si="1738"/>
        <v>0</v>
      </c>
      <c r="M1773" s="6" t="b">
        <f t="shared" si="1738"/>
        <v>0</v>
      </c>
      <c r="P1773" s="4">
        <v>0.132781111233818</v>
      </c>
      <c r="T1773" s="4" t="str">
        <f t="shared" si="3"/>
        <v/>
      </c>
      <c r="U1773" s="4">
        <f t="shared" si="4"/>
        <v>3471</v>
      </c>
    </row>
    <row r="1774" ht="15.75" customHeight="1">
      <c r="A1774" s="4" t="s">
        <v>2958</v>
      </c>
      <c r="B1774" s="4" t="s">
        <v>13</v>
      </c>
      <c r="I1774" s="4">
        <v>0.089</v>
      </c>
      <c r="J1774" s="4">
        <v>0.01</v>
      </c>
      <c r="K1774" s="6" t="b">
        <f t="shared" ref="K1774:M1774" si="1739">FALSE()</f>
        <v>0</v>
      </c>
      <c r="L1774" s="6" t="b">
        <f t="shared" si="1739"/>
        <v>0</v>
      </c>
      <c r="M1774" s="6" t="b">
        <f t="shared" si="1739"/>
        <v>0</v>
      </c>
      <c r="P1774" s="4">
        <v>0.0852598439508234</v>
      </c>
      <c r="T1774" s="4" t="str">
        <f t="shared" si="3"/>
        <v/>
      </c>
      <c r="U1774" s="4">
        <f t="shared" si="4"/>
        <v>4339</v>
      </c>
    </row>
    <row r="1775" ht="15.75" customHeight="1">
      <c r="A1775" s="4" t="s">
        <v>681</v>
      </c>
      <c r="B1775" s="4" t="s">
        <v>13</v>
      </c>
      <c r="C1775" s="4">
        <v>0.4046</v>
      </c>
      <c r="I1775" s="4">
        <v>1.606</v>
      </c>
      <c r="J1775" s="4">
        <v>0.196</v>
      </c>
      <c r="K1775" s="6" t="b">
        <f t="shared" ref="K1775:L1775" si="1740">FALSE()</f>
        <v>0</v>
      </c>
      <c r="L1775" s="6" t="b">
        <f t="shared" si="1740"/>
        <v>0</v>
      </c>
      <c r="M1775" s="6" t="b">
        <f>TRUE()</f>
        <v>1</v>
      </c>
      <c r="N1775" s="4">
        <v>0.339752564742783</v>
      </c>
      <c r="P1775" s="4">
        <v>0.957816478702653</v>
      </c>
      <c r="T1775" s="4">
        <f t="shared" si="3"/>
        <v>1011</v>
      </c>
      <c r="U1775" s="4">
        <f t="shared" si="4"/>
        <v>78</v>
      </c>
    </row>
    <row r="1776" ht="15.75" customHeight="1">
      <c r="A1776" s="4" t="s">
        <v>682</v>
      </c>
      <c r="B1776" s="4" t="s">
        <v>13</v>
      </c>
      <c r="C1776" s="4">
        <v>0.0289</v>
      </c>
      <c r="D1776" s="4">
        <v>0.0079</v>
      </c>
      <c r="E1776" s="4">
        <v>0.0079</v>
      </c>
      <c r="I1776" s="4">
        <v>0.232</v>
      </c>
      <c r="J1776" s="4">
        <v>0.009</v>
      </c>
      <c r="K1776" s="6" t="b">
        <f t="shared" ref="K1776:M1776" si="1741">FALSE()</f>
        <v>0</v>
      </c>
      <c r="L1776" s="6" t="b">
        <f t="shared" si="1741"/>
        <v>0</v>
      </c>
      <c r="M1776" s="6" t="b">
        <f t="shared" si="1741"/>
        <v>0</v>
      </c>
      <c r="N1776" s="4">
        <v>0.0284902703996274</v>
      </c>
      <c r="P1776" s="4">
        <v>0.208638865111328</v>
      </c>
      <c r="T1776" s="4">
        <f t="shared" si="3"/>
        <v>1568</v>
      </c>
      <c r="U1776" s="4">
        <f t="shared" si="4"/>
        <v>2074</v>
      </c>
    </row>
    <row r="1777" ht="15.75" customHeight="1">
      <c r="A1777" s="4" t="s">
        <v>2959</v>
      </c>
      <c r="B1777" s="4" t="s">
        <v>13</v>
      </c>
      <c r="I1777" s="4">
        <v>0.103</v>
      </c>
      <c r="J1777" s="4">
        <v>0.017</v>
      </c>
      <c r="K1777" s="6" t="b">
        <f t="shared" ref="K1777:M1777" si="1742">FALSE()</f>
        <v>0</v>
      </c>
      <c r="L1777" s="6" t="b">
        <f t="shared" si="1742"/>
        <v>0</v>
      </c>
      <c r="M1777" s="6" t="b">
        <f t="shared" si="1742"/>
        <v>0</v>
      </c>
      <c r="P1777" s="4">
        <v>0.0980337402713654</v>
      </c>
      <c r="T1777" s="4" t="str">
        <f t="shared" si="3"/>
        <v/>
      </c>
      <c r="U1777" s="4">
        <f t="shared" si="4"/>
        <v>4169</v>
      </c>
    </row>
    <row r="1778" ht="15.75" customHeight="1">
      <c r="A1778" s="4" t="s">
        <v>683</v>
      </c>
      <c r="B1778" s="4" t="s">
        <v>13</v>
      </c>
      <c r="C1778" s="4">
        <v>0.138</v>
      </c>
      <c r="D1778" s="4">
        <v>0.0167</v>
      </c>
      <c r="E1778" s="4">
        <v>0.0167</v>
      </c>
      <c r="I1778" s="4">
        <v>0.341</v>
      </c>
      <c r="J1778" s="4">
        <v>0.029</v>
      </c>
      <c r="K1778" s="6" t="b">
        <f t="shared" ref="K1778:M1778" si="1743">FALSE()</f>
        <v>0</v>
      </c>
      <c r="L1778" s="6" t="b">
        <f t="shared" si="1743"/>
        <v>0</v>
      </c>
      <c r="M1778" s="6" t="b">
        <f t="shared" si="1743"/>
        <v>0</v>
      </c>
      <c r="N1778" s="4">
        <v>0.129272335704139</v>
      </c>
      <c r="P1778" s="4">
        <v>0.293415604299542</v>
      </c>
      <c r="T1778" s="4">
        <f t="shared" si="3"/>
        <v>1208</v>
      </c>
      <c r="U1778" s="4">
        <f t="shared" si="4"/>
        <v>1233</v>
      </c>
    </row>
    <row r="1779" ht="15.75" customHeight="1">
      <c r="A1779" s="4" t="s">
        <v>2960</v>
      </c>
      <c r="B1779" s="4" t="s">
        <v>13</v>
      </c>
      <c r="I1779" s="4">
        <v>0.187</v>
      </c>
      <c r="J1779" s="4">
        <v>0.022</v>
      </c>
      <c r="K1779" s="6" t="b">
        <f t="shared" ref="K1779:M1779" si="1744">FALSE()</f>
        <v>0</v>
      </c>
      <c r="L1779" s="6" t="b">
        <f t="shared" si="1744"/>
        <v>0</v>
      </c>
      <c r="M1779" s="6" t="b">
        <f t="shared" si="1744"/>
        <v>0</v>
      </c>
      <c r="P1779" s="4">
        <v>0.171429115627531</v>
      </c>
      <c r="T1779" s="4" t="str">
        <f t="shared" si="3"/>
        <v/>
      </c>
      <c r="U1779" s="4">
        <f t="shared" si="4"/>
        <v>2784</v>
      </c>
    </row>
    <row r="1780" ht="15.75" customHeight="1">
      <c r="A1780" s="4" t="s">
        <v>2961</v>
      </c>
      <c r="B1780" s="4" t="s">
        <v>13</v>
      </c>
      <c r="I1780" s="4">
        <v>0.239</v>
      </c>
      <c r="J1780" s="4">
        <v>0.033</v>
      </c>
      <c r="K1780" s="6" t="b">
        <f t="shared" ref="K1780:M1780" si="1745">FALSE()</f>
        <v>0</v>
      </c>
      <c r="L1780" s="6" t="b">
        <f t="shared" si="1745"/>
        <v>0</v>
      </c>
      <c r="M1780" s="6" t="b">
        <f t="shared" si="1745"/>
        <v>0</v>
      </c>
      <c r="P1780" s="4">
        <v>0.214304602647005</v>
      </c>
      <c r="T1780" s="4" t="str">
        <f t="shared" si="3"/>
        <v/>
      </c>
      <c r="U1780" s="4">
        <f t="shared" si="4"/>
        <v>1961</v>
      </c>
    </row>
    <row r="1781" ht="15.75" customHeight="1">
      <c r="A1781" s="4" t="s">
        <v>2962</v>
      </c>
      <c r="B1781" s="4" t="s">
        <v>13</v>
      </c>
      <c r="I1781" s="4">
        <v>0.145</v>
      </c>
      <c r="J1781" s="4">
        <v>0.021</v>
      </c>
      <c r="K1781" s="6" t="b">
        <f t="shared" ref="K1781:M1781" si="1746">FALSE()</f>
        <v>0</v>
      </c>
      <c r="L1781" s="6" t="b">
        <f t="shared" si="1746"/>
        <v>0</v>
      </c>
      <c r="M1781" s="6" t="b">
        <f t="shared" si="1746"/>
        <v>0</v>
      </c>
      <c r="P1781" s="4">
        <v>0.135404637006203</v>
      </c>
      <c r="T1781" s="4" t="str">
        <f t="shared" si="3"/>
        <v/>
      </c>
      <c r="U1781" s="4">
        <f t="shared" si="4"/>
        <v>3409</v>
      </c>
    </row>
    <row r="1782" ht="15.75" customHeight="1">
      <c r="A1782" s="4" t="s">
        <v>2963</v>
      </c>
      <c r="B1782" s="4" t="s">
        <v>13</v>
      </c>
      <c r="I1782" s="4">
        <v>0.153</v>
      </c>
      <c r="J1782" s="4">
        <v>0.022</v>
      </c>
      <c r="K1782" s="6" t="b">
        <f t="shared" ref="K1782:M1782" si="1747">FALSE()</f>
        <v>0</v>
      </c>
      <c r="L1782" s="6" t="b">
        <f t="shared" si="1747"/>
        <v>0</v>
      </c>
      <c r="M1782" s="6" t="b">
        <f t="shared" si="1747"/>
        <v>0</v>
      </c>
      <c r="P1782" s="4">
        <v>0.142367241286922</v>
      </c>
      <c r="T1782" s="4" t="str">
        <f t="shared" si="3"/>
        <v/>
      </c>
      <c r="U1782" s="4">
        <f t="shared" si="4"/>
        <v>3270</v>
      </c>
    </row>
    <row r="1783" ht="15.75" customHeight="1">
      <c r="A1783" s="4" t="s">
        <v>2964</v>
      </c>
      <c r="B1783" s="4" t="s">
        <v>13</v>
      </c>
      <c r="I1783" s="4">
        <v>0.215</v>
      </c>
      <c r="J1783" s="4">
        <v>0.028</v>
      </c>
      <c r="K1783" s="6" t="b">
        <f t="shared" ref="K1783:M1783" si="1748">FALSE()</f>
        <v>0</v>
      </c>
      <c r="L1783" s="6" t="b">
        <f t="shared" si="1748"/>
        <v>0</v>
      </c>
      <c r="M1783" s="6" t="b">
        <f t="shared" si="1748"/>
        <v>0</v>
      </c>
      <c r="P1783" s="4">
        <v>0.194744076792512</v>
      </c>
      <c r="T1783" s="4" t="str">
        <f t="shared" si="3"/>
        <v/>
      </c>
      <c r="U1783" s="4">
        <f t="shared" si="4"/>
        <v>2331</v>
      </c>
    </row>
    <row r="1784" ht="15.75" customHeight="1">
      <c r="A1784" s="4" t="s">
        <v>2965</v>
      </c>
      <c r="B1784" s="4" t="s">
        <v>13</v>
      </c>
      <c r="I1784" s="4">
        <v>0.205</v>
      </c>
      <c r="J1784" s="4">
        <v>0.026</v>
      </c>
      <c r="K1784" s="6" t="b">
        <f t="shared" ref="K1784:M1784" si="1749">FALSE()</f>
        <v>0</v>
      </c>
      <c r="L1784" s="6" t="b">
        <f t="shared" si="1749"/>
        <v>0</v>
      </c>
      <c r="M1784" s="6" t="b">
        <f t="shared" si="1749"/>
        <v>0</v>
      </c>
      <c r="P1784" s="4">
        <v>0.186479566942618</v>
      </c>
      <c r="T1784" s="4" t="str">
        <f t="shared" si="3"/>
        <v/>
      </c>
      <c r="U1784" s="4">
        <f t="shared" si="4"/>
        <v>2488</v>
      </c>
    </row>
    <row r="1785" ht="15.75" customHeight="1">
      <c r="A1785" s="4" t="s">
        <v>2966</v>
      </c>
      <c r="B1785" s="4" t="s">
        <v>13</v>
      </c>
      <c r="I1785" s="4">
        <v>0.17</v>
      </c>
      <c r="J1785" s="4">
        <v>0.039</v>
      </c>
      <c r="K1785" s="6" t="b">
        <f t="shared" ref="K1785:M1785" si="1750">FALSE()</f>
        <v>0</v>
      </c>
      <c r="L1785" s="6" t="b">
        <f t="shared" si="1750"/>
        <v>0</v>
      </c>
      <c r="M1785" s="6" t="b">
        <f t="shared" si="1750"/>
        <v>0</v>
      </c>
      <c r="P1785" s="4">
        <v>0.157003748809665</v>
      </c>
      <c r="T1785" s="4" t="str">
        <f t="shared" si="3"/>
        <v/>
      </c>
      <c r="U1785" s="4">
        <f t="shared" si="4"/>
        <v>3036</v>
      </c>
    </row>
    <row r="1786" ht="15.75" customHeight="1">
      <c r="A1786" s="4" t="s">
        <v>2967</v>
      </c>
      <c r="B1786" s="4" t="s">
        <v>13</v>
      </c>
      <c r="I1786" s="4">
        <v>0.202</v>
      </c>
      <c r="J1786" s="4">
        <v>0.055</v>
      </c>
      <c r="K1786" s="6" t="b">
        <f t="shared" ref="K1786:M1786" si="1751">FALSE()</f>
        <v>0</v>
      </c>
      <c r="L1786" s="6" t="b">
        <f t="shared" si="1751"/>
        <v>0</v>
      </c>
      <c r="M1786" s="6" t="b">
        <f t="shared" si="1751"/>
        <v>0</v>
      </c>
      <c r="P1786" s="4">
        <v>0.183986836113016</v>
      </c>
      <c r="T1786" s="4" t="str">
        <f t="shared" si="3"/>
        <v/>
      </c>
      <c r="U1786" s="4">
        <f t="shared" si="4"/>
        <v>2549</v>
      </c>
    </row>
    <row r="1787" ht="15.75" customHeight="1">
      <c r="A1787" s="4" t="s">
        <v>685</v>
      </c>
      <c r="B1787" s="4" t="s">
        <v>13</v>
      </c>
      <c r="C1787" s="4">
        <v>0.426</v>
      </c>
      <c r="D1787" s="4">
        <v>0.037</v>
      </c>
      <c r="E1787" s="4">
        <v>0.037</v>
      </c>
      <c r="I1787" s="4">
        <v>0.683</v>
      </c>
      <c r="J1787" s="4">
        <v>0.037</v>
      </c>
      <c r="K1787" s="6" t="b">
        <f t="shared" ref="K1787:M1787" si="1752">FALSE()</f>
        <v>0</v>
      </c>
      <c r="L1787" s="6" t="b">
        <f t="shared" si="1752"/>
        <v>0</v>
      </c>
      <c r="M1787" s="6" t="b">
        <f t="shared" si="1752"/>
        <v>0</v>
      </c>
      <c r="N1787" s="4">
        <v>0.354873321992104</v>
      </c>
      <c r="P1787" s="4">
        <v>0.520577915208669</v>
      </c>
      <c r="T1787" s="4">
        <f t="shared" si="3"/>
        <v>999</v>
      </c>
      <c r="U1787" s="4">
        <f t="shared" si="4"/>
        <v>905</v>
      </c>
    </row>
    <row r="1788" ht="15.75" customHeight="1">
      <c r="A1788" s="4" t="s">
        <v>2968</v>
      </c>
      <c r="B1788" s="4" t="s">
        <v>13</v>
      </c>
      <c r="I1788" s="4">
        <v>0.221</v>
      </c>
      <c r="J1788" s="4">
        <v>0.07</v>
      </c>
      <c r="K1788" s="6" t="b">
        <f t="shared" ref="K1788:M1788" si="1753">FALSE()</f>
        <v>0</v>
      </c>
      <c r="L1788" s="6" t="b">
        <f t="shared" si="1753"/>
        <v>0</v>
      </c>
      <c r="M1788" s="6" t="b">
        <f t="shared" si="1753"/>
        <v>0</v>
      </c>
      <c r="P1788" s="4">
        <v>0.199670195128568</v>
      </c>
      <c r="T1788" s="4" t="str">
        <f t="shared" si="3"/>
        <v/>
      </c>
      <c r="U1788" s="4">
        <f t="shared" si="4"/>
        <v>2245</v>
      </c>
    </row>
    <row r="1789" ht="15.75" customHeight="1">
      <c r="A1789" s="4" t="s">
        <v>2969</v>
      </c>
      <c r="B1789" s="4" t="s">
        <v>13</v>
      </c>
      <c r="I1789" s="4">
        <v>0.191</v>
      </c>
      <c r="J1789" s="4">
        <v>0.019</v>
      </c>
      <c r="K1789" s="6" t="b">
        <f t="shared" ref="K1789:M1789" si="1754">FALSE()</f>
        <v>0</v>
      </c>
      <c r="L1789" s="6" t="b">
        <f t="shared" si="1754"/>
        <v>0</v>
      </c>
      <c r="M1789" s="6" t="b">
        <f t="shared" si="1754"/>
        <v>0</v>
      </c>
      <c r="P1789" s="4">
        <v>0.174793290373163</v>
      </c>
      <c r="T1789" s="4" t="str">
        <f t="shared" si="3"/>
        <v/>
      </c>
      <c r="U1789" s="4">
        <f t="shared" si="4"/>
        <v>2721</v>
      </c>
    </row>
    <row r="1790" ht="15.75" customHeight="1">
      <c r="A1790" s="4" t="s">
        <v>2970</v>
      </c>
      <c r="B1790" s="4" t="s">
        <v>13</v>
      </c>
      <c r="I1790" s="4">
        <v>0.191</v>
      </c>
      <c r="J1790" s="4">
        <v>0.02</v>
      </c>
      <c r="K1790" s="6" t="b">
        <f t="shared" ref="K1790:M1790" si="1755">FALSE()</f>
        <v>0</v>
      </c>
      <c r="L1790" s="6" t="b">
        <f t="shared" si="1755"/>
        <v>0</v>
      </c>
      <c r="M1790" s="6" t="b">
        <f t="shared" si="1755"/>
        <v>0</v>
      </c>
      <c r="P1790" s="4">
        <v>0.174793290373163</v>
      </c>
      <c r="T1790" s="4" t="str">
        <f t="shared" si="3"/>
        <v/>
      </c>
      <c r="U1790" s="4">
        <f t="shared" si="4"/>
        <v>2722</v>
      </c>
    </row>
    <row r="1791" ht="15.75" customHeight="1">
      <c r="A1791" s="4" t="s">
        <v>2971</v>
      </c>
      <c r="B1791" s="4" t="s">
        <v>13</v>
      </c>
      <c r="I1791" s="4">
        <v>0.287</v>
      </c>
      <c r="J1791" s="4">
        <v>0.088</v>
      </c>
      <c r="K1791" s="6" t="b">
        <f t="shared" ref="K1791:M1791" si="1756">FALSE()</f>
        <v>0</v>
      </c>
      <c r="L1791" s="6" t="b">
        <f t="shared" si="1756"/>
        <v>0</v>
      </c>
      <c r="M1791" s="6" t="b">
        <f t="shared" si="1756"/>
        <v>0</v>
      </c>
      <c r="P1791" s="4">
        <v>0.25231392861399</v>
      </c>
      <c r="T1791" s="4" t="str">
        <f t="shared" si="3"/>
        <v/>
      </c>
      <c r="U1791" s="4">
        <f t="shared" si="4"/>
        <v>1453</v>
      </c>
    </row>
    <row r="1792" ht="15.75" customHeight="1">
      <c r="A1792" s="4" t="s">
        <v>2972</v>
      </c>
      <c r="B1792" s="4" t="s">
        <v>13</v>
      </c>
      <c r="I1792" s="4">
        <v>0.348</v>
      </c>
      <c r="J1792" s="4">
        <v>0.107</v>
      </c>
      <c r="K1792" s="6" t="b">
        <f t="shared" ref="K1792:M1792" si="1757">FALSE()</f>
        <v>0</v>
      </c>
      <c r="L1792" s="6" t="b">
        <f t="shared" si="1757"/>
        <v>0</v>
      </c>
      <c r="M1792" s="6" t="b">
        <f t="shared" si="1757"/>
        <v>0</v>
      </c>
      <c r="P1792" s="4">
        <v>0.298622012490115</v>
      </c>
      <c r="T1792" s="4" t="str">
        <f t="shared" si="3"/>
        <v/>
      </c>
      <c r="U1792" s="4">
        <f t="shared" si="4"/>
        <v>1212</v>
      </c>
    </row>
    <row r="1793" ht="15.75" customHeight="1">
      <c r="A1793" s="4" t="s">
        <v>2973</v>
      </c>
      <c r="B1793" s="4" t="s">
        <v>13</v>
      </c>
      <c r="I1793" s="4">
        <v>0.185</v>
      </c>
      <c r="J1793" s="4">
        <v>0.023</v>
      </c>
      <c r="K1793" s="6" t="b">
        <f t="shared" ref="K1793:M1793" si="1758">FALSE()</f>
        <v>0</v>
      </c>
      <c r="L1793" s="6" t="b">
        <f t="shared" si="1758"/>
        <v>0</v>
      </c>
      <c r="M1793" s="6" t="b">
        <f t="shared" si="1758"/>
        <v>0</v>
      </c>
      <c r="P1793" s="4">
        <v>0.169742774587095</v>
      </c>
      <c r="T1793" s="4" t="str">
        <f t="shared" si="3"/>
        <v/>
      </c>
      <c r="U1793" s="4">
        <f t="shared" si="4"/>
        <v>2822</v>
      </c>
    </row>
    <row r="1794" ht="15.75" customHeight="1">
      <c r="A1794" s="4" t="s">
        <v>2974</v>
      </c>
      <c r="B1794" s="4" t="s">
        <v>13</v>
      </c>
      <c r="I1794" s="4">
        <v>0.141</v>
      </c>
      <c r="J1794" s="4">
        <v>0.034</v>
      </c>
      <c r="K1794" s="6" t="b">
        <f t="shared" ref="K1794:M1794" si="1759">FALSE()</f>
        <v>0</v>
      </c>
      <c r="L1794" s="6" t="b">
        <f t="shared" si="1759"/>
        <v>0</v>
      </c>
      <c r="M1794" s="6" t="b">
        <f t="shared" si="1759"/>
        <v>0</v>
      </c>
      <c r="P1794" s="4">
        <v>0.131905070879939</v>
      </c>
      <c r="T1794" s="4" t="str">
        <f t="shared" si="3"/>
        <v/>
      </c>
      <c r="U1794" s="4">
        <f t="shared" si="4"/>
        <v>3484</v>
      </c>
    </row>
    <row r="1795" ht="15.75" customHeight="1">
      <c r="A1795" s="4" t="s">
        <v>686</v>
      </c>
      <c r="B1795" s="4" t="s">
        <v>13</v>
      </c>
      <c r="C1795" s="4">
        <v>0.06702</v>
      </c>
      <c r="D1795" s="4">
        <v>0.01133</v>
      </c>
      <c r="E1795" s="4">
        <v>0.01133</v>
      </c>
      <c r="I1795" s="4">
        <v>0.222</v>
      </c>
      <c r="J1795" s="4">
        <v>0.021</v>
      </c>
      <c r="K1795" s="6" t="b">
        <f t="shared" ref="K1795:M1795" si="1760">FALSE()</f>
        <v>0</v>
      </c>
      <c r="L1795" s="6" t="b">
        <f t="shared" si="1760"/>
        <v>0</v>
      </c>
      <c r="M1795" s="6" t="b">
        <f t="shared" si="1760"/>
        <v>0</v>
      </c>
      <c r="N1795" s="4">
        <v>0.0648697162864025</v>
      </c>
      <c r="P1795" s="4">
        <v>0.200488860749404</v>
      </c>
      <c r="T1795" s="4">
        <f t="shared" si="3"/>
        <v>1332</v>
      </c>
      <c r="U1795" s="4">
        <f t="shared" si="4"/>
        <v>2229</v>
      </c>
    </row>
    <row r="1796" ht="15.75" customHeight="1">
      <c r="A1796" s="4" t="s">
        <v>2975</v>
      </c>
      <c r="B1796" s="4" t="s">
        <v>13</v>
      </c>
      <c r="I1796" s="4">
        <v>0.141</v>
      </c>
      <c r="J1796" s="4">
        <v>0.021</v>
      </c>
      <c r="K1796" s="6" t="b">
        <f t="shared" ref="K1796:M1796" si="1761">FALSE()</f>
        <v>0</v>
      </c>
      <c r="L1796" s="6" t="b">
        <f t="shared" si="1761"/>
        <v>0</v>
      </c>
      <c r="M1796" s="6" t="b">
        <f t="shared" si="1761"/>
        <v>0</v>
      </c>
      <c r="P1796" s="4">
        <v>0.131905070879939</v>
      </c>
      <c r="T1796" s="4" t="str">
        <f t="shared" si="3"/>
        <v/>
      </c>
      <c r="U1796" s="4">
        <f t="shared" si="4"/>
        <v>3485</v>
      </c>
    </row>
    <row r="1797" ht="15.75" customHeight="1">
      <c r="A1797" s="4" t="s">
        <v>2976</v>
      </c>
      <c r="B1797" s="4" t="s">
        <v>13</v>
      </c>
      <c r="I1797" s="4">
        <v>0.207</v>
      </c>
      <c r="J1797" s="4">
        <v>0.032</v>
      </c>
      <c r="K1797" s="6" t="b">
        <f t="shared" ref="K1797:M1797" si="1762">FALSE()</f>
        <v>0</v>
      </c>
      <c r="L1797" s="6" t="b">
        <f t="shared" si="1762"/>
        <v>0</v>
      </c>
      <c r="M1797" s="6" t="b">
        <f t="shared" si="1762"/>
        <v>0</v>
      </c>
      <c r="P1797" s="4">
        <v>0.188137942115394</v>
      </c>
      <c r="T1797" s="4" t="str">
        <f t="shared" si="3"/>
        <v/>
      </c>
      <c r="U1797" s="4">
        <f t="shared" si="4"/>
        <v>2462</v>
      </c>
    </row>
    <row r="1798" ht="15.75" customHeight="1">
      <c r="A1798" s="4" t="s">
        <v>2977</v>
      </c>
      <c r="B1798" s="4" t="s">
        <v>13</v>
      </c>
      <c r="I1798" s="4">
        <v>0.223</v>
      </c>
      <c r="J1798" s="4">
        <v>0.079</v>
      </c>
      <c r="K1798" s="6" t="b">
        <f t="shared" ref="K1798:M1798" si="1763">FALSE()</f>
        <v>0</v>
      </c>
      <c r="L1798" s="6" t="b">
        <f t="shared" si="1763"/>
        <v>0</v>
      </c>
      <c r="M1798" s="6" t="b">
        <f t="shared" si="1763"/>
        <v>0</v>
      </c>
      <c r="P1798" s="4">
        <v>0.201306856705035</v>
      </c>
      <c r="T1798" s="4" t="str">
        <f t="shared" si="3"/>
        <v/>
      </c>
      <c r="U1798" s="4">
        <f t="shared" si="4"/>
        <v>2209</v>
      </c>
    </row>
    <row r="1799" ht="15.75" customHeight="1">
      <c r="A1799" s="4" t="s">
        <v>2978</v>
      </c>
      <c r="B1799" s="4" t="s">
        <v>13</v>
      </c>
      <c r="I1799" s="4">
        <v>0.258</v>
      </c>
      <c r="J1799" s="4">
        <v>0.042</v>
      </c>
      <c r="K1799" s="6" t="b">
        <f t="shared" ref="K1799:M1799" si="1764">FALSE()</f>
        <v>0</v>
      </c>
      <c r="L1799" s="6" t="b">
        <f t="shared" si="1764"/>
        <v>0</v>
      </c>
      <c r="M1799" s="6" t="b">
        <f t="shared" si="1764"/>
        <v>0</v>
      </c>
      <c r="P1799" s="4">
        <v>0.229523158278249</v>
      </c>
      <c r="T1799" s="4" t="str">
        <f t="shared" si="3"/>
        <v/>
      </c>
      <c r="U1799" s="4">
        <f t="shared" si="4"/>
        <v>1707</v>
      </c>
    </row>
    <row r="1800" ht="15.75" customHeight="1">
      <c r="A1800" s="4" t="s">
        <v>2979</v>
      </c>
      <c r="B1800" s="4" t="s">
        <v>13</v>
      </c>
      <c r="I1800" s="4">
        <v>0.192</v>
      </c>
      <c r="J1800" s="4">
        <v>0.029</v>
      </c>
      <c r="K1800" s="6" t="b">
        <f t="shared" ref="K1800:M1800" si="1765">FALSE()</f>
        <v>0</v>
      </c>
      <c r="L1800" s="6" t="b">
        <f t="shared" si="1765"/>
        <v>0</v>
      </c>
      <c r="M1800" s="6" t="b">
        <f t="shared" si="1765"/>
        <v>0</v>
      </c>
      <c r="P1800" s="4">
        <v>0.175632568643158</v>
      </c>
      <c r="T1800" s="4" t="str">
        <f t="shared" si="3"/>
        <v/>
      </c>
      <c r="U1800" s="4">
        <f t="shared" si="4"/>
        <v>2709</v>
      </c>
    </row>
    <row r="1801" ht="15.75" customHeight="1">
      <c r="A1801" s="4" t="s">
        <v>2980</v>
      </c>
      <c r="B1801" s="4" t="s">
        <v>13</v>
      </c>
      <c r="I1801" s="4">
        <v>0.096</v>
      </c>
      <c r="J1801" s="4">
        <v>0.01</v>
      </c>
      <c r="K1801" s="6" t="b">
        <f t="shared" ref="K1801:M1801" si="1766">FALSE()</f>
        <v>0</v>
      </c>
      <c r="L1801" s="6" t="b">
        <f t="shared" si="1766"/>
        <v>0</v>
      </c>
      <c r="M1801" s="6" t="b">
        <f t="shared" si="1766"/>
        <v>0</v>
      </c>
      <c r="P1801" s="4">
        <v>0.0916671885258238</v>
      </c>
      <c r="T1801" s="4" t="str">
        <f t="shared" si="3"/>
        <v/>
      </c>
      <c r="U1801" s="4">
        <f t="shared" si="4"/>
        <v>4265</v>
      </c>
    </row>
    <row r="1802" ht="15.75" customHeight="1">
      <c r="A1802" s="4" t="s">
        <v>2981</v>
      </c>
      <c r="B1802" s="4" t="s">
        <v>13</v>
      </c>
      <c r="I1802" s="4">
        <v>0.103</v>
      </c>
      <c r="J1802" s="4">
        <v>0.012</v>
      </c>
      <c r="K1802" s="6" t="b">
        <f t="shared" ref="K1802:M1802" si="1767">FALSE()</f>
        <v>0</v>
      </c>
      <c r="L1802" s="6" t="b">
        <f t="shared" si="1767"/>
        <v>0</v>
      </c>
      <c r="M1802" s="6" t="b">
        <f t="shared" si="1767"/>
        <v>0</v>
      </c>
      <c r="P1802" s="4">
        <v>0.0980337402713654</v>
      </c>
      <c r="T1802" s="4" t="str">
        <f t="shared" si="3"/>
        <v/>
      </c>
      <c r="U1802" s="4">
        <f t="shared" si="4"/>
        <v>4170</v>
      </c>
    </row>
    <row r="1803" ht="15.75" customHeight="1">
      <c r="A1803" s="4" t="s">
        <v>2982</v>
      </c>
      <c r="B1803" s="4" t="s">
        <v>13</v>
      </c>
      <c r="I1803" s="4">
        <v>0.09</v>
      </c>
      <c r="J1803" s="4">
        <v>0.011</v>
      </c>
      <c r="K1803" s="6" t="b">
        <f t="shared" ref="K1803:M1803" si="1768">FALSE()</f>
        <v>0</v>
      </c>
      <c r="L1803" s="6" t="b">
        <f t="shared" si="1768"/>
        <v>0</v>
      </c>
      <c r="M1803" s="6" t="b">
        <f t="shared" si="1768"/>
        <v>0</v>
      </c>
      <c r="P1803" s="4">
        <v>0.0861776962410523</v>
      </c>
      <c r="T1803" s="4" t="str">
        <f t="shared" si="3"/>
        <v/>
      </c>
      <c r="U1803" s="4">
        <f t="shared" si="4"/>
        <v>4329</v>
      </c>
    </row>
    <row r="1804" ht="15.75" customHeight="1">
      <c r="A1804" s="4" t="s">
        <v>2983</v>
      </c>
      <c r="B1804" s="4" t="s">
        <v>13</v>
      </c>
      <c r="I1804" s="4">
        <v>0.115</v>
      </c>
      <c r="J1804" s="4">
        <v>0.012</v>
      </c>
      <c r="K1804" s="6" t="b">
        <f t="shared" ref="K1804:M1804" si="1769">FALSE()</f>
        <v>0</v>
      </c>
      <c r="L1804" s="6" t="b">
        <f t="shared" si="1769"/>
        <v>0</v>
      </c>
      <c r="M1804" s="6" t="b">
        <f t="shared" si="1769"/>
        <v>0</v>
      </c>
      <c r="P1804" s="4">
        <v>0.108854404912082</v>
      </c>
      <c r="T1804" s="4" t="str">
        <f t="shared" si="3"/>
        <v/>
      </c>
      <c r="U1804" s="4">
        <f t="shared" si="4"/>
        <v>3961</v>
      </c>
    </row>
    <row r="1805" ht="15.75" customHeight="1">
      <c r="A1805" s="4" t="s">
        <v>2984</v>
      </c>
      <c r="B1805" s="4" t="s">
        <v>13</v>
      </c>
      <c r="I1805" s="4">
        <v>0.219</v>
      </c>
      <c r="J1805" s="4">
        <v>0.019</v>
      </c>
      <c r="K1805" s="6" t="b">
        <f t="shared" ref="K1805:M1805" si="1770">FALSE()</f>
        <v>0</v>
      </c>
      <c r="L1805" s="6" t="b">
        <f t="shared" si="1770"/>
        <v>0</v>
      </c>
      <c r="M1805" s="6" t="b">
        <f t="shared" si="1770"/>
        <v>0</v>
      </c>
      <c r="P1805" s="4">
        <v>0.198030850499134</v>
      </c>
      <c r="T1805" s="4" t="str">
        <f t="shared" si="3"/>
        <v/>
      </c>
      <c r="U1805" s="4">
        <f t="shared" si="4"/>
        <v>2275</v>
      </c>
    </row>
    <row r="1806" ht="15.75" customHeight="1">
      <c r="A1806" s="4" t="s">
        <v>2985</v>
      </c>
      <c r="B1806" s="4" t="s">
        <v>13</v>
      </c>
      <c r="I1806" s="4">
        <v>0.206</v>
      </c>
      <c r="J1806" s="4">
        <v>0.017</v>
      </c>
      <c r="K1806" s="6" t="b">
        <f t="shared" ref="K1806:M1806" si="1771">FALSE()</f>
        <v>0</v>
      </c>
      <c r="L1806" s="6" t="b">
        <f t="shared" si="1771"/>
        <v>0</v>
      </c>
      <c r="M1806" s="6" t="b">
        <f t="shared" si="1771"/>
        <v>0</v>
      </c>
      <c r="P1806" s="4">
        <v>0.187309098304994</v>
      </c>
      <c r="T1806" s="4" t="str">
        <f t="shared" si="3"/>
        <v/>
      </c>
      <c r="U1806" s="4">
        <f t="shared" si="4"/>
        <v>2479</v>
      </c>
    </row>
    <row r="1807" ht="15.75" customHeight="1">
      <c r="A1807" s="4" t="s">
        <v>2986</v>
      </c>
      <c r="B1807" s="4" t="s">
        <v>13</v>
      </c>
      <c r="I1807" s="4">
        <v>0.238</v>
      </c>
      <c r="J1807" s="4">
        <v>0.029</v>
      </c>
      <c r="K1807" s="6" t="b">
        <f t="shared" ref="K1807:M1807" si="1772">FALSE()</f>
        <v>0</v>
      </c>
      <c r="L1807" s="6" t="b">
        <f t="shared" si="1772"/>
        <v>0</v>
      </c>
      <c r="M1807" s="6" t="b">
        <f t="shared" si="1772"/>
        <v>0</v>
      </c>
      <c r="P1807" s="4">
        <v>0.213497174262404</v>
      </c>
      <c r="T1807" s="4" t="str">
        <f t="shared" si="3"/>
        <v/>
      </c>
      <c r="U1807" s="4">
        <f t="shared" si="4"/>
        <v>1972</v>
      </c>
    </row>
    <row r="1808" ht="15.75" customHeight="1">
      <c r="A1808" s="4" t="s">
        <v>2987</v>
      </c>
      <c r="B1808" s="4" t="s">
        <v>13</v>
      </c>
      <c r="I1808" s="4">
        <v>0.247</v>
      </c>
      <c r="J1808" s="4">
        <v>0.034</v>
      </c>
      <c r="K1808" s="6" t="b">
        <f t="shared" ref="K1808:M1808" si="1773">FALSE()</f>
        <v>0</v>
      </c>
      <c r="L1808" s="6" t="b">
        <f t="shared" si="1773"/>
        <v>0</v>
      </c>
      <c r="M1808" s="6" t="b">
        <f t="shared" si="1773"/>
        <v>0</v>
      </c>
      <c r="P1808" s="4">
        <v>0.220740666697899</v>
      </c>
      <c r="T1808" s="4" t="str">
        <f t="shared" si="3"/>
        <v/>
      </c>
      <c r="U1808" s="4">
        <f t="shared" si="4"/>
        <v>1848</v>
      </c>
    </row>
    <row r="1809" ht="15.75" customHeight="1">
      <c r="A1809" s="4" t="s">
        <v>687</v>
      </c>
      <c r="B1809" s="4" t="s">
        <v>13</v>
      </c>
      <c r="C1809" s="4">
        <v>1.9</v>
      </c>
      <c r="D1809" s="4">
        <v>1.9</v>
      </c>
      <c r="E1809" s="4">
        <v>0.0</v>
      </c>
      <c r="F1809" s="4">
        <v>1.9</v>
      </c>
      <c r="I1809" s="4">
        <v>0.205</v>
      </c>
      <c r="J1809" s="4">
        <v>0.014</v>
      </c>
      <c r="K1809" s="6" t="b">
        <f t="shared" ref="K1809:M1809" si="1774">FALSE()</f>
        <v>0</v>
      </c>
      <c r="L1809" s="6" t="b">
        <f t="shared" si="1774"/>
        <v>0</v>
      </c>
      <c r="M1809" s="6" t="b">
        <f t="shared" si="1774"/>
        <v>0</v>
      </c>
      <c r="N1809" s="4">
        <v>1.06471073699243</v>
      </c>
      <c r="O1809" s="4">
        <v>1.06471073699243</v>
      </c>
      <c r="P1809" s="4">
        <v>0.186479566942618</v>
      </c>
      <c r="Q1809" s="4">
        <v>0.538969883328497</v>
      </c>
      <c r="R1809" s="4">
        <v>0.552964411825348</v>
      </c>
      <c r="S1809" s="4">
        <v>-1.16054683072949</v>
      </c>
      <c r="T1809" s="4">
        <f t="shared" si="3"/>
        <v>453</v>
      </c>
      <c r="U1809" s="4">
        <f t="shared" si="4"/>
        <v>2489</v>
      </c>
    </row>
    <row r="1810" ht="15.75" customHeight="1">
      <c r="A1810" s="4" t="s">
        <v>688</v>
      </c>
      <c r="B1810" s="4" t="s">
        <v>13</v>
      </c>
      <c r="C1810" s="4">
        <v>0.0371</v>
      </c>
      <c r="D1810" s="4">
        <v>0.0113</v>
      </c>
      <c r="E1810" s="4">
        <v>0.0113</v>
      </c>
      <c r="I1810" s="4">
        <v>0.3649</v>
      </c>
      <c r="J1810" s="4">
        <v>0.0107</v>
      </c>
      <c r="K1810" s="6" t="b">
        <f t="shared" ref="K1810:M1810" si="1775">FALSE()</f>
        <v>0</v>
      </c>
      <c r="L1810" s="6" t="b">
        <f t="shared" si="1775"/>
        <v>0</v>
      </c>
      <c r="M1810" s="6" t="b">
        <f t="shared" si="1775"/>
        <v>0</v>
      </c>
      <c r="N1810" s="4">
        <v>0.0364283566135514</v>
      </c>
      <c r="P1810" s="4">
        <v>0.311081165880013</v>
      </c>
      <c r="T1810" s="4">
        <f t="shared" si="3"/>
        <v>1476</v>
      </c>
      <c r="U1810" s="4">
        <f t="shared" si="4"/>
        <v>1172</v>
      </c>
    </row>
    <row r="1811" ht="15.75" customHeight="1">
      <c r="A1811" s="4" t="s">
        <v>2988</v>
      </c>
      <c r="B1811" s="4" t="s">
        <v>13</v>
      </c>
      <c r="I1811" s="4">
        <v>0.238</v>
      </c>
      <c r="J1811" s="4">
        <v>0.05</v>
      </c>
      <c r="K1811" s="6" t="b">
        <f t="shared" ref="K1811:M1811" si="1776">FALSE()</f>
        <v>0</v>
      </c>
      <c r="L1811" s="6" t="b">
        <f t="shared" si="1776"/>
        <v>0</v>
      </c>
      <c r="M1811" s="6" t="b">
        <f t="shared" si="1776"/>
        <v>0</v>
      </c>
      <c r="P1811" s="4">
        <v>0.213497174262404</v>
      </c>
      <c r="T1811" s="4" t="str">
        <f t="shared" si="3"/>
        <v/>
      </c>
      <c r="U1811" s="4">
        <f t="shared" si="4"/>
        <v>1973</v>
      </c>
    </row>
    <row r="1812" ht="15.75" customHeight="1">
      <c r="A1812" s="4" t="s">
        <v>2989</v>
      </c>
      <c r="B1812" s="4" t="s">
        <v>13</v>
      </c>
      <c r="I1812" s="4">
        <v>0.179</v>
      </c>
      <c r="J1812" s="4">
        <v>0.027</v>
      </c>
      <c r="K1812" s="6" t="b">
        <f t="shared" ref="K1812:M1812" si="1777">FALSE()</f>
        <v>0</v>
      </c>
      <c r="L1812" s="6" t="b">
        <f t="shared" si="1777"/>
        <v>0</v>
      </c>
      <c r="M1812" s="6" t="b">
        <f t="shared" si="1777"/>
        <v>0</v>
      </c>
      <c r="P1812" s="4">
        <v>0.164666621555234</v>
      </c>
      <c r="T1812" s="4" t="str">
        <f t="shared" si="3"/>
        <v/>
      </c>
      <c r="U1812" s="4">
        <f t="shared" si="4"/>
        <v>2898</v>
      </c>
    </row>
    <row r="1813" ht="15.75" customHeight="1">
      <c r="A1813" s="4" t="s">
        <v>2990</v>
      </c>
      <c r="B1813" s="4" t="s">
        <v>13</v>
      </c>
      <c r="I1813" s="4">
        <v>0.131</v>
      </c>
      <c r="J1813" s="4">
        <v>0.021</v>
      </c>
      <c r="K1813" s="6" t="b">
        <f t="shared" ref="K1813:M1813" si="1778">FALSE()</f>
        <v>0</v>
      </c>
      <c r="L1813" s="6" t="b">
        <f t="shared" si="1778"/>
        <v>0</v>
      </c>
      <c r="M1813" s="6" t="b">
        <f t="shared" si="1778"/>
        <v>0</v>
      </c>
      <c r="P1813" s="4">
        <v>0.123102197133983</v>
      </c>
      <c r="T1813" s="4" t="str">
        <f t="shared" si="3"/>
        <v/>
      </c>
      <c r="U1813" s="4">
        <f t="shared" si="4"/>
        <v>3671</v>
      </c>
    </row>
    <row r="1814" ht="15.75" customHeight="1">
      <c r="A1814" s="4" t="s">
        <v>2991</v>
      </c>
      <c r="B1814" s="4" t="s">
        <v>13</v>
      </c>
      <c r="I1814" s="4">
        <v>0.228</v>
      </c>
      <c r="J1814" s="4">
        <v>0.012</v>
      </c>
      <c r="K1814" s="6" t="b">
        <f t="shared" ref="K1814:M1814" si="1779">FALSE()</f>
        <v>0</v>
      </c>
      <c r="L1814" s="6" t="b">
        <f t="shared" si="1779"/>
        <v>0</v>
      </c>
      <c r="M1814" s="6" t="b">
        <f t="shared" si="1779"/>
        <v>0</v>
      </c>
      <c r="P1814" s="4">
        <v>0.205386829724951</v>
      </c>
      <c r="T1814" s="4" t="str">
        <f t="shared" si="3"/>
        <v/>
      </c>
      <c r="U1814" s="4">
        <f t="shared" si="4"/>
        <v>2138</v>
      </c>
    </row>
    <row r="1815" ht="15.75" customHeight="1">
      <c r="A1815" s="4" t="s">
        <v>2992</v>
      </c>
      <c r="B1815" s="4" t="s">
        <v>13</v>
      </c>
      <c r="I1815" s="4">
        <v>0.176</v>
      </c>
      <c r="J1815" s="4">
        <v>0.01</v>
      </c>
      <c r="K1815" s="6" t="b">
        <f t="shared" ref="K1815:M1815" si="1780">FALSE()</f>
        <v>0</v>
      </c>
      <c r="L1815" s="6" t="b">
        <f t="shared" si="1780"/>
        <v>0</v>
      </c>
      <c r="M1815" s="6" t="b">
        <f t="shared" si="1780"/>
        <v>0</v>
      </c>
      <c r="P1815" s="4">
        <v>0.162118849476435</v>
      </c>
      <c r="T1815" s="4" t="str">
        <f t="shared" si="3"/>
        <v/>
      </c>
      <c r="U1815" s="4">
        <f t="shared" si="4"/>
        <v>2956</v>
      </c>
    </row>
    <row r="1816" ht="15.75" customHeight="1">
      <c r="A1816" s="4" t="s">
        <v>2993</v>
      </c>
      <c r="B1816" s="4" t="s">
        <v>13</v>
      </c>
      <c r="I1816" s="4">
        <v>0.111</v>
      </c>
      <c r="J1816" s="4">
        <v>0.009</v>
      </c>
      <c r="K1816" s="6" t="b">
        <f t="shared" ref="K1816:M1816" si="1781">FALSE()</f>
        <v>0</v>
      </c>
      <c r="L1816" s="6" t="b">
        <f t="shared" si="1781"/>
        <v>0</v>
      </c>
      <c r="M1816" s="6" t="b">
        <f t="shared" si="1781"/>
        <v>0</v>
      </c>
      <c r="P1816" s="4">
        <v>0.105260510657493</v>
      </c>
      <c r="T1816" s="4" t="str">
        <f t="shared" si="3"/>
        <v/>
      </c>
      <c r="U1816" s="4">
        <f t="shared" si="4"/>
        <v>4023</v>
      </c>
    </row>
    <row r="1817" ht="15.75" customHeight="1">
      <c r="A1817" s="4" t="s">
        <v>2994</v>
      </c>
      <c r="B1817" s="4" t="s">
        <v>13</v>
      </c>
      <c r="I1817" s="4">
        <v>0.132</v>
      </c>
      <c r="J1817" s="4">
        <v>0.009</v>
      </c>
      <c r="K1817" s="6" t="b">
        <f t="shared" ref="K1817:M1817" si="1782">FALSE()</f>
        <v>0</v>
      </c>
      <c r="L1817" s="6" t="b">
        <f t="shared" si="1782"/>
        <v>0</v>
      </c>
      <c r="M1817" s="6" t="b">
        <f t="shared" si="1782"/>
        <v>0</v>
      </c>
      <c r="P1817" s="4">
        <v>0.123985979780991</v>
      </c>
      <c r="T1817" s="4" t="str">
        <f t="shared" si="3"/>
        <v/>
      </c>
      <c r="U1817" s="4">
        <f t="shared" si="4"/>
        <v>3656</v>
      </c>
    </row>
    <row r="1818" ht="15.75" customHeight="1">
      <c r="A1818" s="4" t="s">
        <v>2995</v>
      </c>
      <c r="B1818" s="4" t="s">
        <v>13</v>
      </c>
      <c r="I1818" s="4">
        <v>0.215</v>
      </c>
      <c r="J1818" s="4">
        <v>0.031</v>
      </c>
      <c r="K1818" s="6" t="b">
        <f t="shared" ref="K1818:M1818" si="1783">FALSE()</f>
        <v>0</v>
      </c>
      <c r="L1818" s="6" t="b">
        <f t="shared" si="1783"/>
        <v>0</v>
      </c>
      <c r="M1818" s="6" t="b">
        <f t="shared" si="1783"/>
        <v>0</v>
      </c>
      <c r="P1818" s="4">
        <v>0.194744076792512</v>
      </c>
      <c r="T1818" s="4" t="str">
        <f t="shared" si="3"/>
        <v/>
      </c>
      <c r="U1818" s="4">
        <f t="shared" si="4"/>
        <v>2332</v>
      </c>
    </row>
    <row r="1819" ht="15.75" customHeight="1">
      <c r="A1819" s="4" t="s">
        <v>2996</v>
      </c>
      <c r="B1819" s="4" t="s">
        <v>13</v>
      </c>
      <c r="I1819" s="4">
        <v>0.181</v>
      </c>
      <c r="J1819" s="4">
        <v>0.029</v>
      </c>
      <c r="K1819" s="6" t="b">
        <f t="shared" ref="K1819:M1819" si="1784">FALSE()</f>
        <v>0</v>
      </c>
      <c r="L1819" s="6" t="b">
        <f t="shared" si="1784"/>
        <v>0</v>
      </c>
      <c r="M1819" s="6" t="b">
        <f t="shared" si="1784"/>
        <v>0</v>
      </c>
      <c r="P1819" s="4">
        <v>0.166361537215225</v>
      </c>
      <c r="T1819" s="4" t="str">
        <f t="shared" si="3"/>
        <v/>
      </c>
      <c r="U1819" s="4">
        <f t="shared" si="4"/>
        <v>2877</v>
      </c>
    </row>
    <row r="1820" ht="15.75" customHeight="1">
      <c r="A1820" s="4" t="s">
        <v>2997</v>
      </c>
      <c r="B1820" s="4" t="s">
        <v>13</v>
      </c>
      <c r="I1820" s="4">
        <v>0.09</v>
      </c>
      <c r="J1820" s="4">
        <v>0.011</v>
      </c>
      <c r="K1820" s="6" t="b">
        <f t="shared" ref="K1820:M1820" si="1785">FALSE()</f>
        <v>0</v>
      </c>
      <c r="L1820" s="6" t="b">
        <f t="shared" si="1785"/>
        <v>0</v>
      </c>
      <c r="M1820" s="6" t="b">
        <f t="shared" si="1785"/>
        <v>0</v>
      </c>
      <c r="P1820" s="4">
        <v>0.0861776962410523</v>
      </c>
      <c r="T1820" s="4" t="str">
        <f t="shared" si="3"/>
        <v/>
      </c>
      <c r="U1820" s="4">
        <f t="shared" si="4"/>
        <v>4330</v>
      </c>
    </row>
    <row r="1821" ht="15.75" customHeight="1">
      <c r="A1821" s="4" t="s">
        <v>2998</v>
      </c>
      <c r="B1821" s="4" t="s">
        <v>13</v>
      </c>
      <c r="I1821" s="4">
        <v>0.175</v>
      </c>
      <c r="J1821" s="4">
        <v>0.024</v>
      </c>
      <c r="K1821" s="6" t="b">
        <f t="shared" ref="K1821:M1821" si="1786">FALSE()</f>
        <v>0</v>
      </c>
      <c r="L1821" s="6" t="b">
        <f t="shared" si="1786"/>
        <v>0</v>
      </c>
      <c r="M1821" s="6" t="b">
        <f t="shared" si="1786"/>
        <v>0</v>
      </c>
      <c r="P1821" s="4">
        <v>0.161268147596122</v>
      </c>
      <c r="T1821" s="4" t="str">
        <f t="shared" si="3"/>
        <v/>
      </c>
      <c r="U1821" s="4">
        <f t="shared" si="4"/>
        <v>2969</v>
      </c>
    </row>
    <row r="1822" ht="15.75" customHeight="1">
      <c r="A1822" s="4" t="s">
        <v>689</v>
      </c>
      <c r="B1822" s="4" t="s">
        <v>13</v>
      </c>
      <c r="C1822" s="4">
        <v>0.1192</v>
      </c>
      <c r="D1822" s="4">
        <v>0.04</v>
      </c>
      <c r="E1822" s="4">
        <v>0.04</v>
      </c>
      <c r="I1822" s="4">
        <v>0.678</v>
      </c>
      <c r="J1822" s="4">
        <v>0.036</v>
      </c>
      <c r="K1822" s="6" t="b">
        <f t="shared" ref="K1822:M1822" si="1787">FALSE()</f>
        <v>0</v>
      </c>
      <c r="L1822" s="6" t="b">
        <f t="shared" si="1787"/>
        <v>0</v>
      </c>
      <c r="M1822" s="6" t="b">
        <f t="shared" si="1787"/>
        <v>0</v>
      </c>
      <c r="N1822" s="4">
        <v>0.112614144369134</v>
      </c>
      <c r="P1822" s="4">
        <v>0.517602608045015</v>
      </c>
      <c r="T1822" s="4">
        <f t="shared" si="3"/>
        <v>1233</v>
      </c>
      <c r="U1822" s="4">
        <f t="shared" si="4"/>
        <v>907</v>
      </c>
    </row>
    <row r="1823" ht="15.75" customHeight="1">
      <c r="A1823" s="4" t="s">
        <v>2999</v>
      </c>
      <c r="B1823" s="4" t="s">
        <v>13</v>
      </c>
      <c r="I1823" s="4">
        <v>0.11</v>
      </c>
      <c r="J1823" s="4">
        <v>0.022</v>
      </c>
      <c r="K1823" s="6" t="b">
        <f t="shared" ref="K1823:M1823" si="1788">FALSE()</f>
        <v>0</v>
      </c>
      <c r="L1823" s="6" t="b">
        <f t="shared" si="1788"/>
        <v>0</v>
      </c>
      <c r="M1823" s="6" t="b">
        <f t="shared" si="1788"/>
        <v>0</v>
      </c>
      <c r="P1823" s="4">
        <v>0.104360015324243</v>
      </c>
      <c r="T1823" s="4" t="str">
        <f t="shared" si="3"/>
        <v/>
      </c>
      <c r="U1823" s="4">
        <f t="shared" si="4"/>
        <v>4040</v>
      </c>
    </row>
    <row r="1824" ht="15.75" customHeight="1">
      <c r="A1824" s="4" t="s">
        <v>3000</v>
      </c>
      <c r="B1824" s="4" t="s">
        <v>13</v>
      </c>
      <c r="I1824" s="4">
        <v>0.055</v>
      </c>
      <c r="J1824" s="4">
        <v>0.007</v>
      </c>
      <c r="K1824" s="6" t="b">
        <f t="shared" ref="K1824:M1824" si="1789">FALSE()</f>
        <v>0</v>
      </c>
      <c r="L1824" s="6" t="b">
        <f t="shared" si="1789"/>
        <v>0</v>
      </c>
      <c r="M1824" s="6" t="b">
        <f t="shared" si="1789"/>
        <v>0</v>
      </c>
      <c r="P1824" s="4">
        <v>0.0535407669280298</v>
      </c>
      <c r="T1824" s="4" t="str">
        <f t="shared" si="3"/>
        <v/>
      </c>
      <c r="U1824" s="4">
        <f t="shared" si="4"/>
        <v>4548</v>
      </c>
    </row>
    <row r="1825" ht="15.75" customHeight="1">
      <c r="A1825" s="4" t="s">
        <v>3001</v>
      </c>
      <c r="B1825" s="4" t="s">
        <v>13</v>
      </c>
      <c r="I1825" s="4">
        <v>0.319</v>
      </c>
      <c r="J1825" s="4">
        <v>0.063</v>
      </c>
      <c r="K1825" s="6" t="b">
        <f t="shared" ref="K1825:M1825" si="1790">FALSE()</f>
        <v>0</v>
      </c>
      <c r="L1825" s="6" t="b">
        <f t="shared" si="1790"/>
        <v>0</v>
      </c>
      <c r="M1825" s="6" t="b">
        <f t="shared" si="1790"/>
        <v>0</v>
      </c>
      <c r="P1825" s="4">
        <v>0.276873873735178</v>
      </c>
      <c r="T1825" s="4" t="str">
        <f t="shared" si="3"/>
        <v/>
      </c>
      <c r="U1825" s="4">
        <f t="shared" si="4"/>
        <v>1303</v>
      </c>
    </row>
    <row r="1826" ht="15.75" customHeight="1">
      <c r="A1826" s="4" t="s">
        <v>3002</v>
      </c>
      <c r="B1826" s="4" t="s">
        <v>13</v>
      </c>
      <c r="I1826" s="4">
        <v>0.215</v>
      </c>
      <c r="J1826" s="4">
        <v>0.029</v>
      </c>
      <c r="K1826" s="6" t="b">
        <f t="shared" ref="K1826:M1826" si="1791">FALSE()</f>
        <v>0</v>
      </c>
      <c r="L1826" s="6" t="b">
        <f t="shared" si="1791"/>
        <v>0</v>
      </c>
      <c r="M1826" s="6" t="b">
        <f t="shared" si="1791"/>
        <v>0</v>
      </c>
      <c r="P1826" s="4">
        <v>0.194744076792512</v>
      </c>
      <c r="T1826" s="4" t="str">
        <f t="shared" si="3"/>
        <v/>
      </c>
      <c r="U1826" s="4">
        <f t="shared" si="4"/>
        <v>2333</v>
      </c>
    </row>
    <row r="1827" ht="15.75" customHeight="1">
      <c r="A1827" s="4" t="s">
        <v>690</v>
      </c>
      <c r="B1827" s="4" t="s">
        <v>13</v>
      </c>
      <c r="C1827" s="4">
        <v>0.028</v>
      </c>
      <c r="D1827" s="4">
        <v>0.0079</v>
      </c>
      <c r="E1827" s="4">
        <v>0.0079</v>
      </c>
      <c r="I1827" s="4">
        <v>0.232</v>
      </c>
      <c r="J1827" s="4">
        <v>0.009</v>
      </c>
      <c r="K1827" s="6" t="b">
        <f t="shared" ref="K1827:M1827" si="1792">FALSE()</f>
        <v>0</v>
      </c>
      <c r="L1827" s="6" t="b">
        <f t="shared" si="1792"/>
        <v>0</v>
      </c>
      <c r="M1827" s="6" t="b">
        <f t="shared" si="1792"/>
        <v>0</v>
      </c>
      <c r="N1827" s="4">
        <v>0.0276151670329733</v>
      </c>
      <c r="P1827" s="4">
        <v>0.208638865111328</v>
      </c>
      <c r="T1827" s="4">
        <f t="shared" si="3"/>
        <v>1585</v>
      </c>
      <c r="U1827" s="4">
        <f t="shared" si="4"/>
        <v>2075</v>
      </c>
    </row>
    <row r="1828" ht="15.75" customHeight="1">
      <c r="A1828" s="4" t="s">
        <v>3003</v>
      </c>
      <c r="B1828" s="4" t="s">
        <v>13</v>
      </c>
      <c r="I1828" s="4">
        <v>0.116</v>
      </c>
      <c r="J1828" s="4">
        <v>0.01</v>
      </c>
      <c r="K1828" s="6" t="b">
        <f t="shared" ref="K1828:M1828" si="1793">FALSE()</f>
        <v>0</v>
      </c>
      <c r="L1828" s="6" t="b">
        <f t="shared" si="1793"/>
        <v>0</v>
      </c>
      <c r="M1828" s="6" t="b">
        <f t="shared" si="1793"/>
        <v>0</v>
      </c>
      <c r="P1828" s="4">
        <v>0.109750863959119</v>
      </c>
      <c r="T1828" s="4" t="str">
        <f t="shared" si="3"/>
        <v/>
      </c>
      <c r="U1828" s="4">
        <f t="shared" si="4"/>
        <v>3949</v>
      </c>
    </row>
    <row r="1829" ht="15.75" customHeight="1">
      <c r="A1829" s="4" t="s">
        <v>3004</v>
      </c>
      <c r="B1829" s="4" t="s">
        <v>13</v>
      </c>
      <c r="I1829" s="4">
        <v>0.098</v>
      </c>
      <c r="J1829" s="4">
        <v>0.016</v>
      </c>
      <c r="K1829" s="6" t="b">
        <f t="shared" ref="K1829:M1829" si="1794">FALSE()</f>
        <v>0</v>
      </c>
      <c r="L1829" s="6" t="b">
        <f t="shared" si="1794"/>
        <v>0</v>
      </c>
      <c r="M1829" s="6" t="b">
        <f t="shared" si="1794"/>
        <v>0</v>
      </c>
      <c r="P1829" s="4">
        <v>0.0934903430873388</v>
      </c>
      <c r="T1829" s="4" t="str">
        <f t="shared" si="3"/>
        <v/>
      </c>
      <c r="U1829" s="4">
        <f t="shared" si="4"/>
        <v>4245</v>
      </c>
    </row>
    <row r="1830" ht="15.75" customHeight="1">
      <c r="A1830" s="4" t="s">
        <v>691</v>
      </c>
      <c r="B1830" s="4" t="s">
        <v>13</v>
      </c>
      <c r="C1830" s="4">
        <v>1.67</v>
      </c>
      <c r="D1830" s="4">
        <v>1.66</v>
      </c>
      <c r="E1830" s="4">
        <v>0.0</v>
      </c>
      <c r="I1830" s="4">
        <v>0.346</v>
      </c>
      <c r="J1830" s="4">
        <v>0.156</v>
      </c>
      <c r="K1830" s="6" t="b">
        <f t="shared" ref="K1830:M1830" si="1795">FALSE()</f>
        <v>0</v>
      </c>
      <c r="L1830" s="6" t="b">
        <f t="shared" si="1795"/>
        <v>0</v>
      </c>
      <c r="M1830" s="6" t="b">
        <f t="shared" si="1795"/>
        <v>0</v>
      </c>
      <c r="N1830" s="4">
        <v>0.982078472412158</v>
      </c>
      <c r="P1830" s="4">
        <v>0.297137231222536</v>
      </c>
      <c r="T1830" s="4">
        <f t="shared" si="3"/>
        <v>488</v>
      </c>
      <c r="U1830" s="4">
        <f t="shared" si="4"/>
        <v>1221</v>
      </c>
    </row>
    <row r="1831" ht="15.75" customHeight="1">
      <c r="A1831" s="4" t="s">
        <v>692</v>
      </c>
      <c r="B1831" s="4" t="s">
        <v>13</v>
      </c>
      <c r="C1831" s="4">
        <v>1.1</v>
      </c>
      <c r="D1831" s="4">
        <v>0.11</v>
      </c>
      <c r="E1831" s="4">
        <v>0.11</v>
      </c>
      <c r="I1831" s="4">
        <v>0.947</v>
      </c>
      <c r="J1831" s="4">
        <v>0.085</v>
      </c>
      <c r="K1831" s="6" t="b">
        <f t="shared" ref="K1831:L1831" si="1796">FALSE()</f>
        <v>0</v>
      </c>
      <c r="L1831" s="6" t="b">
        <f t="shared" si="1796"/>
        <v>0</v>
      </c>
      <c r="M1831" s="6" t="b">
        <f>TRUE()</f>
        <v>1</v>
      </c>
      <c r="N1831" s="4">
        <v>0.741937344729377</v>
      </c>
      <c r="P1831" s="4">
        <v>0.666289726390063</v>
      </c>
      <c r="T1831" s="4">
        <f t="shared" si="3"/>
        <v>627</v>
      </c>
      <c r="U1831" s="4">
        <f t="shared" si="4"/>
        <v>731</v>
      </c>
    </row>
    <row r="1832" ht="15.75" customHeight="1">
      <c r="A1832" s="4" t="s">
        <v>693</v>
      </c>
      <c r="B1832" s="4" t="s">
        <v>13</v>
      </c>
      <c r="C1832" s="4">
        <v>0.101</v>
      </c>
      <c r="D1832" s="4">
        <v>0.025</v>
      </c>
      <c r="E1832" s="4">
        <v>0.025</v>
      </c>
      <c r="I1832" s="4">
        <v>0.464</v>
      </c>
      <c r="J1832" s="4">
        <v>0.017</v>
      </c>
      <c r="K1832" s="6" t="b">
        <f t="shared" ref="K1832:M1832" si="1797">FALSE()</f>
        <v>0</v>
      </c>
      <c r="L1832" s="6" t="b">
        <f t="shared" si="1797"/>
        <v>0</v>
      </c>
      <c r="M1832" s="6" t="b">
        <f t="shared" si="1797"/>
        <v>0</v>
      </c>
      <c r="N1832" s="4">
        <v>0.0962188577405429</v>
      </c>
      <c r="P1832" s="4">
        <v>0.38117241553912</v>
      </c>
      <c r="T1832" s="4">
        <f t="shared" si="3"/>
        <v>1258</v>
      </c>
      <c r="U1832" s="4">
        <f t="shared" si="4"/>
        <v>1048</v>
      </c>
    </row>
    <row r="1833" ht="15.75" customHeight="1">
      <c r="A1833" s="4" t="s">
        <v>694</v>
      </c>
      <c r="B1833" s="4" t="s">
        <v>13</v>
      </c>
      <c r="C1833" s="4">
        <v>0.87</v>
      </c>
      <c r="D1833" s="4">
        <v>0.02</v>
      </c>
      <c r="E1833" s="4">
        <v>0.02</v>
      </c>
      <c r="I1833" s="4">
        <v>1.046</v>
      </c>
      <c r="J1833" s="4">
        <v>0.037</v>
      </c>
      <c r="K1833" s="6" t="b">
        <f t="shared" ref="K1833:L1833" si="1798">FALSE()</f>
        <v>0</v>
      </c>
      <c r="L1833" s="6" t="b">
        <f t="shared" si="1798"/>
        <v>0</v>
      </c>
      <c r="M1833" s="6" t="b">
        <f>TRUE()</f>
        <v>1</v>
      </c>
      <c r="N1833" s="4">
        <v>0.625938430866495</v>
      </c>
      <c r="P1833" s="4">
        <v>0.715886667529435</v>
      </c>
      <c r="T1833" s="4">
        <f t="shared" si="3"/>
        <v>732</v>
      </c>
      <c r="U1833" s="4">
        <f t="shared" si="4"/>
        <v>608</v>
      </c>
    </row>
    <row r="1834" ht="15.75" customHeight="1">
      <c r="A1834" s="4" t="s">
        <v>3005</v>
      </c>
      <c r="B1834" s="4" t="s">
        <v>13</v>
      </c>
      <c r="D1834" s="4">
        <v>0.2</v>
      </c>
      <c r="E1834" s="4">
        <v>0.2</v>
      </c>
      <c r="F1834" s="4">
        <v>8.4</v>
      </c>
      <c r="G1834" s="4">
        <v>0.2</v>
      </c>
      <c r="H1834" s="4">
        <v>0.2</v>
      </c>
      <c r="K1834" s="6" t="b">
        <f t="shared" ref="K1834:K1843" si="1799">FALSE()</f>
        <v>0</v>
      </c>
      <c r="L1834" s="6" t="b">
        <f>TRUE()</f>
        <v>1</v>
      </c>
      <c r="M1834" s="6" t="b">
        <f>FALSE()</f>
        <v>0</v>
      </c>
      <c r="O1834" s="4">
        <v>2.24070968927596</v>
      </c>
      <c r="T1834" s="4" t="str">
        <f t="shared" si="3"/>
        <v/>
      </c>
      <c r="U1834" s="4" t="str">
        <f t="shared" si="4"/>
        <v/>
      </c>
    </row>
    <row r="1835" ht="15.75" customHeight="1">
      <c r="A1835" s="4" t="s">
        <v>3006</v>
      </c>
      <c r="B1835" s="4" t="s">
        <v>13</v>
      </c>
      <c r="I1835" s="4">
        <v>0.201</v>
      </c>
      <c r="J1835" s="4">
        <v>0.086</v>
      </c>
      <c r="K1835" s="6" t="b">
        <f t="shared" si="1799"/>
        <v>0</v>
      </c>
      <c r="L1835" s="6" t="b">
        <f t="shared" ref="L1835:M1835" si="1800">FALSE()</f>
        <v>0</v>
      </c>
      <c r="M1835" s="6" t="b">
        <f t="shared" si="1800"/>
        <v>0</v>
      </c>
      <c r="P1835" s="4">
        <v>0.183154543097847</v>
      </c>
      <c r="T1835" s="4" t="str">
        <f t="shared" si="3"/>
        <v/>
      </c>
      <c r="U1835" s="4">
        <f t="shared" si="4"/>
        <v>2564</v>
      </c>
    </row>
    <row r="1836" ht="15.75" customHeight="1">
      <c r="A1836" s="4" t="s">
        <v>3007</v>
      </c>
      <c r="B1836" s="4" t="s">
        <v>13</v>
      </c>
      <c r="F1836" s="4">
        <v>1.6</v>
      </c>
      <c r="K1836" s="6" t="b">
        <f t="shared" si="1799"/>
        <v>0</v>
      </c>
      <c r="L1836" s="6" t="b">
        <f t="shared" ref="L1836:M1836" si="1801">FALSE()</f>
        <v>0</v>
      </c>
      <c r="M1836" s="6" t="b">
        <f t="shared" si="1801"/>
        <v>0</v>
      </c>
      <c r="O1836" s="4">
        <v>0.955511445027436</v>
      </c>
      <c r="T1836" s="4" t="str">
        <f t="shared" si="3"/>
        <v/>
      </c>
      <c r="U1836" s="4" t="str">
        <f t="shared" si="4"/>
        <v/>
      </c>
    </row>
    <row r="1837" ht="15.75" customHeight="1">
      <c r="A1837" s="4" t="s">
        <v>695</v>
      </c>
      <c r="B1837" s="4" t="s">
        <v>13</v>
      </c>
      <c r="C1837" s="4">
        <v>0.679</v>
      </c>
      <c r="D1837" s="4">
        <v>0.039</v>
      </c>
      <c r="E1837" s="4">
        <v>0.039</v>
      </c>
      <c r="F1837" s="4">
        <v>0.679</v>
      </c>
      <c r="G1837" s="4">
        <v>0.039</v>
      </c>
      <c r="H1837" s="4">
        <v>0.039</v>
      </c>
      <c r="I1837" s="4">
        <v>1.399</v>
      </c>
      <c r="J1837" s="4">
        <v>0.049</v>
      </c>
      <c r="K1837" s="6" t="b">
        <f t="shared" si="1799"/>
        <v>0</v>
      </c>
      <c r="L1837" s="6" t="b">
        <f t="shared" ref="L1837:L1844" si="1802">FALSE()</f>
        <v>0</v>
      </c>
      <c r="M1837" s="6" t="b">
        <f t="shared" ref="M1837:M1852" si="1803">TRUE()</f>
        <v>1</v>
      </c>
      <c r="N1837" s="4">
        <v>0.518198378095404</v>
      </c>
      <c r="O1837" s="4">
        <v>0.518198378095404</v>
      </c>
      <c r="P1837" s="4">
        <v>0.875051983857558</v>
      </c>
      <c r="Q1837" s="4">
        <v>-0.210990560003302</v>
      </c>
      <c r="R1837" s="4">
        <v>-0.221683240929089</v>
      </c>
      <c r="S1837" s="4">
        <v>1.0734497138447</v>
      </c>
      <c r="T1837" s="4">
        <f t="shared" si="3"/>
        <v>833</v>
      </c>
      <c r="U1837" s="4">
        <f t="shared" si="4"/>
        <v>181</v>
      </c>
    </row>
    <row r="1838" ht="15.75" customHeight="1">
      <c r="A1838" s="4" t="s">
        <v>697</v>
      </c>
      <c r="B1838" s="4" t="s">
        <v>13</v>
      </c>
      <c r="C1838" s="4">
        <v>0.195</v>
      </c>
      <c r="D1838" s="4">
        <v>0.019</v>
      </c>
      <c r="E1838" s="4">
        <v>0.019</v>
      </c>
      <c r="I1838" s="4">
        <v>1.3</v>
      </c>
      <c r="J1838" s="4">
        <v>0.12</v>
      </c>
      <c r="K1838" s="6" t="b">
        <f t="shared" si="1799"/>
        <v>0</v>
      </c>
      <c r="L1838" s="6" t="b">
        <f t="shared" si="1802"/>
        <v>0</v>
      </c>
      <c r="M1838" s="6" t="b">
        <f t="shared" si="1803"/>
        <v>1</v>
      </c>
      <c r="N1838" s="4">
        <v>0.178146185383474</v>
      </c>
      <c r="P1838" s="4">
        <v>0.832909122935104</v>
      </c>
      <c r="T1838" s="4">
        <f t="shared" si="3"/>
        <v>1156</v>
      </c>
      <c r="U1838" s="4">
        <f t="shared" si="4"/>
        <v>255</v>
      </c>
    </row>
    <row r="1839" ht="15.75" customHeight="1">
      <c r="A1839" s="4" t="s">
        <v>698</v>
      </c>
      <c r="B1839" s="4" t="s">
        <v>13</v>
      </c>
      <c r="C1839" s="4">
        <v>0.95</v>
      </c>
      <c r="D1839" s="4">
        <v>0.14</v>
      </c>
      <c r="E1839" s="4">
        <v>0.14</v>
      </c>
      <c r="I1839" s="4">
        <v>1.79</v>
      </c>
      <c r="J1839" s="4">
        <v>0.17</v>
      </c>
      <c r="K1839" s="6" t="b">
        <f t="shared" si="1799"/>
        <v>0</v>
      </c>
      <c r="L1839" s="6" t="b">
        <f t="shared" si="1802"/>
        <v>0</v>
      </c>
      <c r="M1839" s="6" t="b">
        <f t="shared" si="1803"/>
        <v>1</v>
      </c>
      <c r="N1839" s="4">
        <v>0.667829372575655</v>
      </c>
      <c r="P1839" s="4">
        <v>1.02604159583327</v>
      </c>
      <c r="T1839" s="4">
        <f t="shared" si="3"/>
        <v>685</v>
      </c>
      <c r="U1839" s="4">
        <f t="shared" si="4"/>
        <v>31</v>
      </c>
    </row>
    <row r="1840" ht="15.75" customHeight="1">
      <c r="A1840" s="4" t="s">
        <v>699</v>
      </c>
      <c r="B1840" s="4" t="s">
        <v>13</v>
      </c>
      <c r="C1840" s="4">
        <v>0.92</v>
      </c>
      <c r="D1840" s="4">
        <v>0.23</v>
      </c>
      <c r="E1840" s="4">
        <v>0.23</v>
      </c>
      <c r="F1840" s="4">
        <v>0.91</v>
      </c>
      <c r="G1840" s="4">
        <v>0.22</v>
      </c>
      <c r="H1840" s="4">
        <v>0.22</v>
      </c>
      <c r="I1840" s="4">
        <v>1.443</v>
      </c>
      <c r="J1840" s="4">
        <v>0.057</v>
      </c>
      <c r="K1840" s="6" t="b">
        <f t="shared" si="1799"/>
        <v>0</v>
      </c>
      <c r="L1840" s="6" t="b">
        <f t="shared" si="1802"/>
        <v>0</v>
      </c>
      <c r="M1840" s="6" t="b">
        <f t="shared" si="1803"/>
        <v>1</v>
      </c>
      <c r="N1840" s="4">
        <v>0.65232518603969</v>
      </c>
      <c r="O1840" s="4">
        <v>0.647103242058539</v>
      </c>
      <c r="P1840" s="4">
        <v>0.893226792275603</v>
      </c>
      <c r="Q1840" s="4">
        <v>-0.0629639696323247</v>
      </c>
      <c r="R1840" s="4">
        <v>-0.075128279597168</v>
      </c>
      <c r="S1840" s="4">
        <v>1.15577454463303</v>
      </c>
      <c r="T1840" s="4">
        <f t="shared" si="3"/>
        <v>703</v>
      </c>
      <c r="U1840" s="4">
        <f t="shared" si="4"/>
        <v>145</v>
      </c>
    </row>
    <row r="1841" ht="15.75" customHeight="1">
      <c r="A1841" s="4" t="s">
        <v>700</v>
      </c>
      <c r="B1841" s="4" t="s">
        <v>13</v>
      </c>
      <c r="C1841" s="4">
        <v>2.75</v>
      </c>
      <c r="D1841" s="4">
        <v>0.15</v>
      </c>
      <c r="E1841" s="4">
        <v>0.16</v>
      </c>
      <c r="F1841" s="4">
        <v>2.74</v>
      </c>
      <c r="G1841" s="4">
        <v>0.15</v>
      </c>
      <c r="H1841" s="4">
        <v>0.15</v>
      </c>
      <c r="I1841" s="4">
        <v>1.415</v>
      </c>
      <c r="J1841" s="4">
        <v>0.067</v>
      </c>
      <c r="K1841" s="6" t="b">
        <f t="shared" si="1799"/>
        <v>0</v>
      </c>
      <c r="L1841" s="6" t="b">
        <f t="shared" si="1802"/>
        <v>0</v>
      </c>
      <c r="M1841" s="6" t="b">
        <f t="shared" si="1803"/>
        <v>1</v>
      </c>
      <c r="N1841" s="4">
        <v>1.32175583998232</v>
      </c>
      <c r="O1841" s="4">
        <v>1.31908561142644</v>
      </c>
      <c r="P1841" s="4">
        <v>0.881699287104536</v>
      </c>
      <c r="Q1841" s="4">
        <v>1.06105536803941</v>
      </c>
      <c r="R1841" s="4">
        <v>1.08589154394142</v>
      </c>
      <c r="S1841" s="4">
        <v>1.10338601594955</v>
      </c>
      <c r="T1841" s="4">
        <f t="shared" si="3"/>
        <v>348</v>
      </c>
      <c r="U1841" s="4">
        <f t="shared" si="4"/>
        <v>167</v>
      </c>
    </row>
    <row r="1842" ht="15.75" customHeight="1">
      <c r="A1842" s="4" t="s">
        <v>701</v>
      </c>
      <c r="B1842" s="4" t="s">
        <v>13</v>
      </c>
      <c r="C1842" s="4">
        <v>1.31</v>
      </c>
      <c r="D1842" s="4">
        <v>0.29</v>
      </c>
      <c r="E1842" s="4">
        <v>0.29</v>
      </c>
      <c r="I1842" s="4">
        <v>1.525</v>
      </c>
      <c r="J1842" s="4">
        <v>0.06</v>
      </c>
      <c r="K1842" s="6" t="b">
        <f t="shared" si="1799"/>
        <v>0</v>
      </c>
      <c r="L1842" s="6" t="b">
        <f t="shared" si="1802"/>
        <v>0</v>
      </c>
      <c r="M1842" s="6" t="b">
        <f t="shared" si="1803"/>
        <v>1</v>
      </c>
      <c r="N1842" s="4">
        <v>0.837247524533702</v>
      </c>
      <c r="P1842" s="4">
        <v>0.926241062727323</v>
      </c>
      <c r="T1842" s="4">
        <f t="shared" si="3"/>
        <v>556</v>
      </c>
      <c r="U1842" s="4">
        <f t="shared" si="4"/>
        <v>104</v>
      </c>
    </row>
    <row r="1843" ht="15.75" customHeight="1">
      <c r="A1843" s="4" t="s">
        <v>703</v>
      </c>
      <c r="B1843" s="4" t="s">
        <v>13</v>
      </c>
      <c r="C1843" s="4">
        <v>1.176</v>
      </c>
      <c r="D1843" s="4">
        <v>0.036</v>
      </c>
      <c r="E1843" s="4">
        <v>0.036</v>
      </c>
      <c r="I1843" s="4">
        <v>1.568</v>
      </c>
      <c r="J1843" s="4">
        <v>0.029</v>
      </c>
      <c r="K1843" s="6" t="b">
        <f t="shared" si="1799"/>
        <v>0</v>
      </c>
      <c r="L1843" s="6" t="b">
        <f t="shared" si="1802"/>
        <v>0</v>
      </c>
      <c r="M1843" s="6" t="b">
        <f t="shared" si="1803"/>
        <v>1</v>
      </c>
      <c r="N1843" s="4">
        <v>0.777488328993696</v>
      </c>
      <c r="P1843" s="4">
        <v>0.943127385827715</v>
      </c>
      <c r="T1843" s="4">
        <f t="shared" si="3"/>
        <v>600</v>
      </c>
      <c r="U1843" s="4">
        <f t="shared" si="4"/>
        <v>91</v>
      </c>
    </row>
    <row r="1844" ht="15.75" customHeight="1">
      <c r="A1844" s="4" t="s">
        <v>704</v>
      </c>
      <c r="B1844" s="4" t="s">
        <v>13</v>
      </c>
      <c r="C1844" s="4">
        <v>4.07</v>
      </c>
      <c r="D1844" s="4">
        <v>4.06</v>
      </c>
      <c r="E1844" s="4">
        <v>0.0</v>
      </c>
      <c r="I1844" s="4">
        <v>1.91</v>
      </c>
      <c r="J1844" s="4">
        <v>0.11</v>
      </c>
      <c r="K1844" s="6" t="b">
        <f>TRUE()</f>
        <v>1</v>
      </c>
      <c r="L1844" s="6" t="b">
        <f t="shared" si="1802"/>
        <v>0</v>
      </c>
      <c r="M1844" s="6" t="b">
        <f t="shared" si="1803"/>
        <v>1</v>
      </c>
      <c r="N1844" s="4">
        <v>1.62334081760309</v>
      </c>
      <c r="P1844" s="4">
        <v>1.0681530811834</v>
      </c>
      <c r="T1844" s="4">
        <f t="shared" si="3"/>
        <v>254</v>
      </c>
      <c r="U1844" s="4">
        <f t="shared" si="4"/>
        <v>17</v>
      </c>
    </row>
    <row r="1845" ht="15.75" customHeight="1">
      <c r="A1845" s="4" t="s">
        <v>705</v>
      </c>
      <c r="B1845" s="4" t="s">
        <v>13</v>
      </c>
      <c r="C1845" s="4">
        <v>3.518</v>
      </c>
      <c r="D1845" s="4">
        <v>3.517</v>
      </c>
      <c r="E1845" s="4">
        <v>0.0</v>
      </c>
      <c r="I1845" s="4">
        <v>1.83</v>
      </c>
      <c r="J1845" s="4">
        <v>0.07</v>
      </c>
      <c r="K1845" s="6" t="b">
        <f t="shared" ref="K1845:L1845" si="1804">FALSE()</f>
        <v>0</v>
      </c>
      <c r="L1845" s="6" t="b">
        <f t="shared" si="1804"/>
        <v>0</v>
      </c>
      <c r="M1845" s="6" t="b">
        <f t="shared" si="1803"/>
        <v>1</v>
      </c>
      <c r="N1845" s="4">
        <v>1.50806941804581</v>
      </c>
      <c r="P1845" s="4">
        <v>1.04027671165515</v>
      </c>
      <c r="T1845" s="4">
        <f t="shared" si="3"/>
        <v>291</v>
      </c>
      <c r="U1845" s="4">
        <f t="shared" si="4"/>
        <v>27</v>
      </c>
    </row>
    <row r="1846" ht="15.75" customHeight="1">
      <c r="A1846" s="4" t="s">
        <v>706</v>
      </c>
      <c r="B1846" s="4" t="s">
        <v>13</v>
      </c>
      <c r="C1846" s="4">
        <v>3.88</v>
      </c>
      <c r="D1846" s="4">
        <v>0.05</v>
      </c>
      <c r="E1846" s="4">
        <v>0.05</v>
      </c>
      <c r="I1846" s="4">
        <v>1.584</v>
      </c>
      <c r="J1846" s="4">
        <v>0.034</v>
      </c>
      <c r="K1846" s="6" t="b">
        <f t="shared" ref="K1846:K1847" si="1805">TRUE()</f>
        <v>1</v>
      </c>
      <c r="L1846" s="6" t="b">
        <f t="shared" ref="L1846:L1847" si="1806">FALSE()</f>
        <v>0</v>
      </c>
      <c r="M1846" s="6" t="b">
        <f t="shared" si="1803"/>
        <v>1</v>
      </c>
      <c r="N1846" s="4">
        <v>1.58514521986506</v>
      </c>
      <c r="P1846" s="4">
        <v>0.949338585920356</v>
      </c>
      <c r="T1846" s="4">
        <f t="shared" si="3"/>
        <v>264</v>
      </c>
      <c r="U1846" s="4">
        <f t="shared" si="4"/>
        <v>83</v>
      </c>
    </row>
    <row r="1847" ht="15.75" customHeight="1">
      <c r="A1847" s="4" t="s">
        <v>707</v>
      </c>
      <c r="B1847" s="4" t="s">
        <v>13</v>
      </c>
      <c r="C1847" s="4">
        <v>3.69</v>
      </c>
      <c r="D1847" s="4">
        <v>0.18</v>
      </c>
      <c r="E1847" s="4">
        <v>0.18</v>
      </c>
      <c r="I1847" s="4">
        <v>1.2</v>
      </c>
      <c r="J1847" s="4">
        <v>0.06</v>
      </c>
      <c r="K1847" s="6" t="b">
        <f t="shared" si="1805"/>
        <v>1</v>
      </c>
      <c r="L1847" s="6" t="b">
        <f t="shared" si="1806"/>
        <v>0</v>
      </c>
      <c r="M1847" s="6" t="b">
        <f t="shared" si="1803"/>
        <v>1</v>
      </c>
      <c r="N1847" s="4">
        <v>1.54543258245819</v>
      </c>
      <c r="P1847" s="4">
        <v>0.78845736036427</v>
      </c>
      <c r="T1847" s="4">
        <f t="shared" si="3"/>
        <v>276</v>
      </c>
      <c r="U1847" s="4">
        <f t="shared" si="4"/>
        <v>383</v>
      </c>
    </row>
    <row r="1848" ht="15.75" customHeight="1">
      <c r="A1848" s="4" t="s">
        <v>708</v>
      </c>
      <c r="B1848" s="4" t="s">
        <v>13</v>
      </c>
      <c r="C1848" s="4">
        <v>0.937</v>
      </c>
      <c r="D1848" s="4">
        <v>0.04</v>
      </c>
      <c r="E1848" s="4">
        <v>0.04</v>
      </c>
      <c r="I1848" s="4">
        <v>1.29</v>
      </c>
      <c r="J1848" s="4">
        <v>0.02</v>
      </c>
      <c r="K1848" s="6" t="b">
        <f t="shared" ref="K1848:L1848" si="1807">FALSE()</f>
        <v>0</v>
      </c>
      <c r="L1848" s="6" t="b">
        <f t="shared" si="1807"/>
        <v>0</v>
      </c>
      <c r="M1848" s="6" t="b">
        <f t="shared" si="1803"/>
        <v>1</v>
      </c>
      <c r="N1848" s="4">
        <v>0.661140384424859</v>
      </c>
      <c r="P1848" s="4">
        <v>0.828551817566148</v>
      </c>
      <c r="T1848" s="4">
        <f t="shared" si="3"/>
        <v>694</v>
      </c>
      <c r="U1848" s="4">
        <f t="shared" si="4"/>
        <v>266</v>
      </c>
    </row>
    <row r="1849" ht="15.75" customHeight="1">
      <c r="A1849" s="4" t="s">
        <v>709</v>
      </c>
      <c r="B1849" s="4" t="s">
        <v>13</v>
      </c>
      <c r="C1849" s="4">
        <v>1.486</v>
      </c>
      <c r="D1849" s="4">
        <v>0.088</v>
      </c>
      <c r="E1849" s="4">
        <v>0.088</v>
      </c>
      <c r="I1849" s="4">
        <v>1.306</v>
      </c>
      <c r="J1849" s="4">
        <v>0.067</v>
      </c>
      <c r="K1849" s="6" t="b">
        <f t="shared" ref="K1849:L1849" si="1808">FALSE()</f>
        <v>0</v>
      </c>
      <c r="L1849" s="6" t="b">
        <f t="shared" si="1808"/>
        <v>0</v>
      </c>
      <c r="M1849" s="6" t="b">
        <f t="shared" si="1803"/>
        <v>1</v>
      </c>
      <c r="N1849" s="4">
        <v>0.910674993088519</v>
      </c>
      <c r="P1849" s="4">
        <v>0.835514421846867</v>
      </c>
      <c r="T1849" s="4">
        <f t="shared" si="3"/>
        <v>515</v>
      </c>
      <c r="U1849" s="4">
        <f t="shared" si="4"/>
        <v>243</v>
      </c>
    </row>
    <row r="1850" ht="15.75" customHeight="1">
      <c r="A1850" s="4" t="s">
        <v>710</v>
      </c>
      <c r="B1850" s="4" t="s">
        <v>13</v>
      </c>
      <c r="C1850" s="4">
        <v>1.47</v>
      </c>
      <c r="D1850" s="4">
        <v>0.07</v>
      </c>
      <c r="E1850" s="4">
        <v>0.07</v>
      </c>
      <c r="I1850" s="4">
        <v>1.35</v>
      </c>
      <c r="J1850" s="4">
        <v>0.07</v>
      </c>
      <c r="K1850" s="6" t="b">
        <f t="shared" ref="K1850:L1850" si="1809">FALSE()</f>
        <v>0</v>
      </c>
      <c r="L1850" s="6" t="b">
        <f t="shared" si="1809"/>
        <v>0</v>
      </c>
      <c r="M1850" s="6" t="b">
        <f t="shared" si="1803"/>
        <v>1</v>
      </c>
      <c r="N1850" s="4">
        <v>0.904218150639886</v>
      </c>
      <c r="P1850" s="4">
        <v>0.854415328156068</v>
      </c>
      <c r="T1850" s="4">
        <f t="shared" si="3"/>
        <v>517</v>
      </c>
      <c r="U1850" s="4">
        <f t="shared" si="4"/>
        <v>208</v>
      </c>
    </row>
    <row r="1851" ht="15.75" customHeight="1">
      <c r="A1851" s="4" t="s">
        <v>711</v>
      </c>
      <c r="B1851" s="4" t="s">
        <v>13</v>
      </c>
      <c r="C1851" s="4">
        <v>0.9</v>
      </c>
      <c r="D1851" s="4">
        <v>0.06</v>
      </c>
      <c r="E1851" s="4">
        <v>0.06</v>
      </c>
      <c r="F1851" s="4">
        <v>0.878</v>
      </c>
      <c r="G1851" s="4">
        <v>0.067</v>
      </c>
      <c r="H1851" s="4">
        <v>0.07</v>
      </c>
      <c r="I1851" s="4">
        <v>1.7</v>
      </c>
      <c r="J1851" s="4">
        <v>0.05</v>
      </c>
      <c r="K1851" s="6" t="b">
        <f t="shared" ref="K1851:L1851" si="1810">FALSE()</f>
        <v>0</v>
      </c>
      <c r="L1851" s="6" t="b">
        <f t="shared" si="1810"/>
        <v>0</v>
      </c>
      <c r="M1851" s="6" t="b">
        <f t="shared" si="1803"/>
        <v>1</v>
      </c>
      <c r="N1851" s="4">
        <v>0.641853886172395</v>
      </c>
      <c r="O1851" s="4">
        <v>0.630207380786071</v>
      </c>
      <c r="P1851" s="4">
        <v>0.993251773010283</v>
      </c>
      <c r="Q1851" s="4">
        <v>-0.0752483339784639</v>
      </c>
      <c r="R1851" s="4">
        <v>-0.0954302655825423</v>
      </c>
      <c r="S1851" s="4">
        <v>1.63662639719213</v>
      </c>
      <c r="T1851" s="4">
        <f t="shared" si="3"/>
        <v>714</v>
      </c>
      <c r="U1851" s="4">
        <f t="shared" si="4"/>
        <v>43</v>
      </c>
    </row>
    <row r="1852" ht="15.75" customHeight="1">
      <c r="A1852" s="4" t="s">
        <v>712</v>
      </c>
      <c r="B1852" s="4" t="s">
        <v>13</v>
      </c>
      <c r="C1852" s="4">
        <v>0.44</v>
      </c>
      <c r="D1852" s="4">
        <v>0.02</v>
      </c>
      <c r="E1852" s="4">
        <v>0.02</v>
      </c>
      <c r="I1852" s="4">
        <v>1.13</v>
      </c>
      <c r="J1852" s="4">
        <v>0.1</v>
      </c>
      <c r="K1852" s="6" t="b">
        <f t="shared" ref="K1852:L1852" si="1811">FALSE()</f>
        <v>0</v>
      </c>
      <c r="L1852" s="6" t="b">
        <f t="shared" si="1811"/>
        <v>0</v>
      </c>
      <c r="M1852" s="6" t="b">
        <f t="shared" si="1803"/>
        <v>1</v>
      </c>
      <c r="N1852" s="4">
        <v>0.364643113587909</v>
      </c>
      <c r="P1852" s="4">
        <v>0.756121979721334</v>
      </c>
      <c r="T1852" s="4">
        <f t="shared" si="3"/>
        <v>987</v>
      </c>
      <c r="U1852" s="4">
        <f t="shared" si="4"/>
        <v>477</v>
      </c>
    </row>
    <row r="1853" ht="15.75" customHeight="1">
      <c r="A1853" s="4" t="s">
        <v>3008</v>
      </c>
      <c r="B1853" s="4" t="s">
        <v>13</v>
      </c>
      <c r="D1853" s="4">
        <v>0.21</v>
      </c>
      <c r="E1853" s="4">
        <v>0.21</v>
      </c>
      <c r="F1853" s="4">
        <v>3.71</v>
      </c>
      <c r="G1853" s="4">
        <v>0.21</v>
      </c>
      <c r="H1853" s="4">
        <v>0.21</v>
      </c>
      <c r="K1853" s="6" t="b">
        <f t="shared" ref="K1853:M1853" si="1812">FALSE()</f>
        <v>0</v>
      </c>
      <c r="L1853" s="6" t="b">
        <f t="shared" si="1812"/>
        <v>0</v>
      </c>
      <c r="M1853" s="6" t="b">
        <f t="shared" si="1812"/>
        <v>0</v>
      </c>
      <c r="O1853" s="4">
        <v>1.54968790802833</v>
      </c>
      <c r="T1853" s="4" t="str">
        <f t="shared" si="3"/>
        <v/>
      </c>
      <c r="U1853" s="4" t="str">
        <f t="shared" si="4"/>
        <v/>
      </c>
    </row>
    <row r="1854" ht="15.75" customHeight="1">
      <c r="A1854" s="4" t="s">
        <v>713</v>
      </c>
      <c r="B1854" s="4" t="s">
        <v>13</v>
      </c>
      <c r="C1854" s="4">
        <v>1.24</v>
      </c>
      <c r="D1854" s="4">
        <v>0.18</v>
      </c>
      <c r="E1854" s="4">
        <v>0.18</v>
      </c>
      <c r="I1854" s="4">
        <v>1.293</v>
      </c>
      <c r="J1854" s="4">
        <v>0.06</v>
      </c>
      <c r="K1854" s="6" t="b">
        <f t="shared" ref="K1854:L1854" si="1813">FALSE()</f>
        <v>0</v>
      </c>
      <c r="L1854" s="6" t="b">
        <f t="shared" si="1813"/>
        <v>0</v>
      </c>
      <c r="M1854" s="6" t="b">
        <f t="shared" ref="M1854:M1856" si="1815">TRUE()</f>
        <v>1</v>
      </c>
      <c r="N1854" s="4">
        <v>0.806475865866949</v>
      </c>
      <c r="P1854" s="4">
        <v>0.829861003875767</v>
      </c>
      <c r="T1854" s="4">
        <f t="shared" si="3"/>
        <v>574</v>
      </c>
      <c r="U1854" s="4">
        <f t="shared" si="4"/>
        <v>263</v>
      </c>
    </row>
    <row r="1855" ht="15.75" customHeight="1">
      <c r="A1855" s="4" t="s">
        <v>714</v>
      </c>
      <c r="B1855" s="4" t="s">
        <v>13</v>
      </c>
      <c r="C1855" s="4">
        <v>0.874</v>
      </c>
      <c r="D1855" s="4">
        <v>0.067</v>
      </c>
      <c r="E1855" s="4">
        <v>0.068</v>
      </c>
      <c r="F1855" s="4">
        <v>0.867</v>
      </c>
      <c r="G1855" s="4">
        <v>0.065</v>
      </c>
      <c r="H1855" s="4">
        <v>0.065</v>
      </c>
      <c r="I1855" s="4">
        <v>1.86</v>
      </c>
      <c r="J1855" s="4">
        <v>0.18</v>
      </c>
      <c r="K1855" s="6" t="b">
        <f t="shared" ref="K1855:L1855" si="1814">FALSE()</f>
        <v>0</v>
      </c>
      <c r="L1855" s="6" t="b">
        <f t="shared" si="1814"/>
        <v>0</v>
      </c>
      <c r="M1855" s="6" t="b">
        <f t="shared" si="1815"/>
        <v>1</v>
      </c>
      <c r="N1855" s="4">
        <v>0.62807518381623</v>
      </c>
      <c r="O1855" s="4">
        <v>0.624332864559586</v>
      </c>
      <c r="P1855" s="4">
        <v>1.05082162483176</v>
      </c>
      <c r="Q1855" s="4">
        <v>-0.091218007628445</v>
      </c>
      <c r="R1855" s="4">
        <v>-0.102409073265015</v>
      </c>
      <c r="S1855" s="4">
        <v>1.9359894182406</v>
      </c>
      <c r="T1855" s="4">
        <f t="shared" si="3"/>
        <v>730</v>
      </c>
      <c r="U1855" s="4">
        <f t="shared" si="4"/>
        <v>26</v>
      </c>
    </row>
    <row r="1856" ht="15.75" customHeight="1">
      <c r="A1856" s="4" t="s">
        <v>715</v>
      </c>
      <c r="B1856" s="4" t="s">
        <v>13</v>
      </c>
      <c r="C1856" s="4">
        <v>2.88</v>
      </c>
      <c r="D1856" s="4">
        <v>0.35</v>
      </c>
      <c r="E1856" s="4">
        <v>0.35</v>
      </c>
      <c r="I1856" s="4">
        <v>1.936</v>
      </c>
      <c r="J1856" s="4">
        <v>0.047</v>
      </c>
      <c r="K1856" s="6" t="b">
        <f t="shared" ref="K1856:L1856" si="1816">FALSE()</f>
        <v>0</v>
      </c>
      <c r="L1856" s="6" t="b">
        <f t="shared" si="1816"/>
        <v>0</v>
      </c>
      <c r="M1856" s="6" t="b">
        <f t="shared" si="1815"/>
        <v>1</v>
      </c>
      <c r="N1856" s="4">
        <v>1.35583515363518</v>
      </c>
      <c r="P1856" s="4">
        <v>1.07704811075227</v>
      </c>
      <c r="T1856" s="4">
        <f t="shared" si="3"/>
        <v>331</v>
      </c>
      <c r="U1856" s="4">
        <f t="shared" si="4"/>
        <v>15</v>
      </c>
    </row>
    <row r="1857" ht="15.75" customHeight="1">
      <c r="A1857" s="4" t="s">
        <v>3009</v>
      </c>
      <c r="B1857" s="4" t="s">
        <v>13</v>
      </c>
      <c r="I1857" s="4">
        <v>0.425</v>
      </c>
      <c r="J1857" s="4">
        <v>0.028</v>
      </c>
      <c r="K1857" s="6" t="b">
        <f t="shared" ref="K1857:M1857" si="1817">FALSE()</f>
        <v>0</v>
      </c>
      <c r="L1857" s="6" t="b">
        <f t="shared" si="1817"/>
        <v>0</v>
      </c>
      <c r="M1857" s="6" t="b">
        <f t="shared" si="1817"/>
        <v>0</v>
      </c>
      <c r="P1857" s="4">
        <v>0.354171813720614</v>
      </c>
      <c r="T1857" s="4" t="str">
        <f t="shared" si="3"/>
        <v/>
      </c>
      <c r="U1857" s="4">
        <f t="shared" si="4"/>
        <v>1084</v>
      </c>
    </row>
    <row r="1858" ht="15.75" customHeight="1">
      <c r="A1858" s="4" t="s">
        <v>3010</v>
      </c>
      <c r="B1858" s="4" t="s">
        <v>13</v>
      </c>
      <c r="I1858" s="4">
        <v>0.281</v>
      </c>
      <c r="J1858" s="4">
        <v>0.043</v>
      </c>
      <c r="K1858" s="6" t="b">
        <f t="shared" ref="K1858:M1858" si="1818">FALSE()</f>
        <v>0</v>
      </c>
      <c r="L1858" s="6" t="b">
        <f t="shared" si="1818"/>
        <v>0</v>
      </c>
      <c r="M1858" s="6" t="b">
        <f t="shared" si="1818"/>
        <v>0</v>
      </c>
      <c r="P1858" s="4">
        <v>0.247641022914597</v>
      </c>
      <c r="T1858" s="4" t="str">
        <f t="shared" si="3"/>
        <v/>
      </c>
      <c r="U1858" s="4">
        <f t="shared" si="4"/>
        <v>1497</v>
      </c>
    </row>
    <row r="1859" ht="15.75" customHeight="1">
      <c r="A1859" s="4" t="s">
        <v>3011</v>
      </c>
      <c r="B1859" s="4" t="s">
        <v>13</v>
      </c>
      <c r="I1859" s="4">
        <v>0.141</v>
      </c>
      <c r="K1859" s="6" t="b">
        <f t="shared" ref="K1859:M1859" si="1819">FALSE()</f>
        <v>0</v>
      </c>
      <c r="L1859" s="6" t="b">
        <f t="shared" si="1819"/>
        <v>0</v>
      </c>
      <c r="M1859" s="6" t="b">
        <f t="shared" si="1819"/>
        <v>0</v>
      </c>
      <c r="P1859" s="4">
        <v>0.131905070879939</v>
      </c>
      <c r="T1859" s="4" t="str">
        <f t="shared" si="3"/>
        <v/>
      </c>
      <c r="U1859" s="4">
        <f t="shared" si="4"/>
        <v>3486</v>
      </c>
    </row>
    <row r="1860" ht="15.75" customHeight="1">
      <c r="A1860" s="4" t="s">
        <v>3012</v>
      </c>
      <c r="B1860" s="4" t="s">
        <v>13</v>
      </c>
      <c r="I1860" s="4">
        <v>0.1561</v>
      </c>
      <c r="J1860" s="4">
        <v>0.008</v>
      </c>
      <c r="K1860" s="6" t="b">
        <f t="shared" ref="K1860:M1860" si="1820">FALSE()</f>
        <v>0</v>
      </c>
      <c r="L1860" s="6" t="b">
        <f t="shared" si="1820"/>
        <v>0</v>
      </c>
      <c r="M1860" s="6" t="b">
        <f t="shared" si="1820"/>
        <v>0</v>
      </c>
      <c r="P1860" s="4">
        <v>0.145052271699139</v>
      </c>
      <c r="T1860" s="4" t="str">
        <f t="shared" si="3"/>
        <v/>
      </c>
      <c r="U1860" s="4">
        <f t="shared" si="4"/>
        <v>3219</v>
      </c>
    </row>
    <row r="1861" ht="15.75" customHeight="1">
      <c r="A1861" s="4" t="s">
        <v>3013</v>
      </c>
      <c r="B1861" s="4" t="s">
        <v>13</v>
      </c>
      <c r="I1861" s="4">
        <v>0.159</v>
      </c>
      <c r="J1861" s="4">
        <v>0.02</v>
      </c>
      <c r="K1861" s="6" t="b">
        <f t="shared" ref="K1861:M1861" si="1821">FALSE()</f>
        <v>0</v>
      </c>
      <c r="L1861" s="6" t="b">
        <f t="shared" si="1821"/>
        <v>0</v>
      </c>
      <c r="M1861" s="6" t="b">
        <f t="shared" si="1821"/>
        <v>0</v>
      </c>
      <c r="P1861" s="4">
        <v>0.147557564357615</v>
      </c>
      <c r="T1861" s="4" t="str">
        <f t="shared" si="3"/>
        <v/>
      </c>
      <c r="U1861" s="4">
        <f t="shared" si="4"/>
        <v>3187</v>
      </c>
    </row>
    <row r="1862" ht="15.75" customHeight="1">
      <c r="A1862" s="4" t="s">
        <v>3014</v>
      </c>
      <c r="B1862" s="4" t="s">
        <v>13</v>
      </c>
      <c r="I1862" s="4">
        <v>0.56</v>
      </c>
      <c r="J1862" s="4">
        <v>0.039</v>
      </c>
      <c r="K1862" s="6" t="b">
        <f t="shared" ref="K1862:M1862" si="1822">FALSE()</f>
        <v>0</v>
      </c>
      <c r="L1862" s="6" t="b">
        <f t="shared" si="1822"/>
        <v>0</v>
      </c>
      <c r="M1862" s="6" t="b">
        <f t="shared" si="1822"/>
        <v>0</v>
      </c>
      <c r="P1862" s="4">
        <v>0.444685821261446</v>
      </c>
      <c r="T1862" s="4" t="str">
        <f t="shared" si="3"/>
        <v/>
      </c>
      <c r="U1862" s="4">
        <f t="shared" si="4"/>
        <v>968</v>
      </c>
    </row>
    <row r="1863" ht="15.75" customHeight="1">
      <c r="A1863" s="4" t="s">
        <v>3015</v>
      </c>
      <c r="B1863" s="4" t="s">
        <v>13</v>
      </c>
      <c r="I1863" s="4">
        <v>0.134</v>
      </c>
      <c r="J1863" s="4">
        <v>0.013</v>
      </c>
      <c r="K1863" s="6" t="b">
        <f t="shared" ref="K1863:M1863" si="1823">FALSE()</f>
        <v>0</v>
      </c>
      <c r="L1863" s="6" t="b">
        <f t="shared" si="1823"/>
        <v>0</v>
      </c>
      <c r="M1863" s="6" t="b">
        <f t="shared" si="1823"/>
        <v>0</v>
      </c>
      <c r="P1863" s="4">
        <v>0.12575120530556</v>
      </c>
      <c r="T1863" s="4" t="str">
        <f t="shared" si="3"/>
        <v/>
      </c>
      <c r="U1863" s="4">
        <f t="shared" si="4"/>
        <v>3624</v>
      </c>
    </row>
    <row r="1864" ht="15.75" customHeight="1">
      <c r="A1864" s="4" t="s">
        <v>3016</v>
      </c>
      <c r="B1864" s="4" t="s">
        <v>13</v>
      </c>
      <c r="I1864" s="4">
        <v>0.137</v>
      </c>
      <c r="J1864" s="4">
        <v>0.012</v>
      </c>
      <c r="K1864" s="6" t="b">
        <f t="shared" ref="K1864:M1864" si="1824">FALSE()</f>
        <v>0</v>
      </c>
      <c r="L1864" s="6" t="b">
        <f t="shared" si="1824"/>
        <v>0</v>
      </c>
      <c r="M1864" s="6" t="b">
        <f t="shared" si="1824"/>
        <v>0</v>
      </c>
      <c r="P1864" s="4">
        <v>0.128393214768399</v>
      </c>
      <c r="T1864" s="4" t="str">
        <f t="shared" si="3"/>
        <v/>
      </c>
      <c r="U1864" s="4">
        <f t="shared" si="4"/>
        <v>3557</v>
      </c>
    </row>
    <row r="1865" ht="15.75" customHeight="1">
      <c r="A1865" s="4" t="s">
        <v>3017</v>
      </c>
      <c r="B1865" s="4" t="s">
        <v>13</v>
      </c>
      <c r="I1865" s="4">
        <v>0.128</v>
      </c>
      <c r="J1865" s="4">
        <v>0.006</v>
      </c>
      <c r="K1865" s="6" t="b">
        <f t="shared" ref="K1865:M1865" si="1825">FALSE()</f>
        <v>0</v>
      </c>
      <c r="L1865" s="6" t="b">
        <f t="shared" si="1825"/>
        <v>0</v>
      </c>
      <c r="M1865" s="6" t="b">
        <f t="shared" si="1825"/>
        <v>0</v>
      </c>
      <c r="P1865" s="4">
        <v>0.120446153075867</v>
      </c>
      <c r="T1865" s="4" t="str">
        <f t="shared" si="3"/>
        <v/>
      </c>
      <c r="U1865" s="4">
        <f t="shared" si="4"/>
        <v>3717</v>
      </c>
    </row>
    <row r="1866" ht="15.75" customHeight="1">
      <c r="A1866" s="4" t="s">
        <v>3018</v>
      </c>
      <c r="B1866" s="4" t="s">
        <v>13</v>
      </c>
      <c r="I1866" s="4">
        <v>0.116</v>
      </c>
      <c r="J1866" s="4">
        <v>0.008</v>
      </c>
      <c r="K1866" s="6" t="b">
        <f t="shared" ref="K1866:M1866" si="1826">FALSE()</f>
        <v>0</v>
      </c>
      <c r="L1866" s="6" t="b">
        <f t="shared" si="1826"/>
        <v>0</v>
      </c>
      <c r="M1866" s="6" t="b">
        <f t="shared" si="1826"/>
        <v>0</v>
      </c>
      <c r="P1866" s="4">
        <v>0.109750863959119</v>
      </c>
      <c r="T1866" s="4" t="str">
        <f t="shared" si="3"/>
        <v/>
      </c>
      <c r="U1866" s="4">
        <f t="shared" si="4"/>
        <v>3950</v>
      </c>
    </row>
    <row r="1867" ht="15.75" customHeight="1">
      <c r="A1867" s="4" t="s">
        <v>3019</v>
      </c>
      <c r="B1867" s="4" t="s">
        <v>13</v>
      </c>
      <c r="I1867" s="4">
        <v>0.194</v>
      </c>
      <c r="J1867" s="4">
        <v>0.021</v>
      </c>
      <c r="K1867" s="6" t="b">
        <f t="shared" ref="K1867:M1867" si="1827">FALSE()</f>
        <v>0</v>
      </c>
      <c r="L1867" s="6" t="b">
        <f t="shared" si="1827"/>
        <v>0</v>
      </c>
      <c r="M1867" s="6" t="b">
        <f t="shared" si="1827"/>
        <v>0</v>
      </c>
      <c r="P1867" s="4">
        <v>0.17730901497041</v>
      </c>
      <c r="T1867" s="4" t="str">
        <f t="shared" si="3"/>
        <v/>
      </c>
      <c r="U1867" s="4">
        <f t="shared" si="4"/>
        <v>2680</v>
      </c>
    </row>
    <row r="1868" ht="15.75" customHeight="1">
      <c r="A1868" s="4" t="s">
        <v>716</v>
      </c>
      <c r="B1868" s="4" t="s">
        <v>13</v>
      </c>
      <c r="C1868" s="4">
        <v>0.023</v>
      </c>
      <c r="D1868" s="4">
        <v>0.01</v>
      </c>
      <c r="E1868" s="4">
        <v>0.01</v>
      </c>
      <c r="F1868" s="4">
        <v>0.0231</v>
      </c>
      <c r="G1868" s="4">
        <v>0.01</v>
      </c>
      <c r="H1868" s="4">
        <v>0.01</v>
      </c>
      <c r="I1868" s="4">
        <v>0.118</v>
      </c>
      <c r="J1868" s="4">
        <v>0.004</v>
      </c>
      <c r="K1868" s="6" t="b">
        <f t="shared" ref="K1868:M1868" si="1828">FALSE()</f>
        <v>0</v>
      </c>
      <c r="L1868" s="6" t="b">
        <f t="shared" si="1828"/>
        <v>0</v>
      </c>
      <c r="M1868" s="6" t="b">
        <f t="shared" si="1828"/>
        <v>0</v>
      </c>
      <c r="N1868" s="4">
        <v>0.0227394869694894</v>
      </c>
      <c r="O1868" s="4">
        <v>0.0228372339027572</v>
      </c>
      <c r="P1868" s="4">
        <v>0.111541374732907</v>
      </c>
      <c r="Q1868" s="4">
        <v>-0.613917710556669</v>
      </c>
      <c r="R1868" s="4">
        <v>-0.637810509923057</v>
      </c>
      <c r="S1868" s="4">
        <v>-1.32332547342459</v>
      </c>
      <c r="T1868" s="4">
        <f t="shared" si="3"/>
        <v>1667</v>
      </c>
      <c r="U1868" s="4">
        <f t="shared" si="4"/>
        <v>3904</v>
      </c>
    </row>
    <row r="1869" ht="15.75" customHeight="1">
      <c r="A1869" s="4" t="s">
        <v>717</v>
      </c>
      <c r="B1869" s="4" t="s">
        <v>13</v>
      </c>
      <c r="C1869" s="4">
        <v>0.02218</v>
      </c>
      <c r="F1869" s="4">
        <v>0.0027</v>
      </c>
      <c r="G1869" s="4">
        <v>0.013</v>
      </c>
      <c r="H1869" s="4">
        <v>0.013</v>
      </c>
      <c r="I1869" s="4">
        <v>0.196</v>
      </c>
      <c r="J1869" s="4">
        <v>0.004</v>
      </c>
      <c r="K1869" s="6" t="b">
        <f t="shared" ref="K1869:M1869" si="1829">FALSE()</f>
        <v>0</v>
      </c>
      <c r="L1869" s="6" t="b">
        <f t="shared" si="1829"/>
        <v>0</v>
      </c>
      <c r="M1869" s="6" t="b">
        <f t="shared" si="1829"/>
        <v>0</v>
      </c>
      <c r="N1869" s="4">
        <v>0.021937601517901</v>
      </c>
      <c r="O1869" s="4">
        <v>0.0026963615477426</v>
      </c>
      <c r="P1869" s="4">
        <v>0.17898265552844</v>
      </c>
      <c r="Q1869" s="4">
        <v>-0.614421369494861</v>
      </c>
      <c r="R1869" s="4">
        <v>-0.650753025988733</v>
      </c>
      <c r="S1869" s="4">
        <v>-1.17738600066346</v>
      </c>
      <c r="T1869" s="4">
        <f t="shared" si="3"/>
        <v>1681</v>
      </c>
      <c r="U1869" s="4">
        <f t="shared" si="4"/>
        <v>2647</v>
      </c>
    </row>
    <row r="1870" ht="15.75" customHeight="1">
      <c r="A1870" s="4" t="s">
        <v>718</v>
      </c>
      <c r="B1870" s="4" t="s">
        <v>13</v>
      </c>
      <c r="C1870" s="4">
        <v>0.00944</v>
      </c>
      <c r="F1870" s="4">
        <v>0.0094</v>
      </c>
      <c r="G1870" s="4">
        <v>0.0094</v>
      </c>
      <c r="H1870" s="4">
        <v>0.0</v>
      </c>
      <c r="I1870" s="4">
        <v>0.144</v>
      </c>
      <c r="J1870" s="4">
        <v>0.004</v>
      </c>
      <c r="K1870" s="6" t="b">
        <f t="shared" ref="K1870:M1870" si="1830">FALSE()</f>
        <v>0</v>
      </c>
      <c r="L1870" s="6" t="b">
        <f t="shared" si="1830"/>
        <v>0</v>
      </c>
      <c r="M1870" s="6" t="b">
        <f t="shared" si="1830"/>
        <v>0</v>
      </c>
      <c r="N1870" s="4">
        <v>0.0093957216403622</v>
      </c>
      <c r="O1870" s="4">
        <v>0.0093560949240249</v>
      </c>
      <c r="P1870" s="4">
        <v>0.134530892957606</v>
      </c>
      <c r="Q1870" s="4">
        <v>-0.622246509583351</v>
      </c>
      <c r="R1870" s="4">
        <v>-0.646502297673045</v>
      </c>
      <c r="S1870" s="4">
        <v>-1.27467898250421</v>
      </c>
      <c r="T1870" s="4">
        <f t="shared" si="3"/>
        <v>1949</v>
      </c>
      <c r="U1870" s="4">
        <f t="shared" si="4"/>
        <v>3438</v>
      </c>
    </row>
    <row r="1871" ht="15.75" customHeight="1">
      <c r="A1871" s="4" t="s">
        <v>3020</v>
      </c>
      <c r="B1871" s="4" t="s">
        <v>13</v>
      </c>
      <c r="D1871" s="4">
        <v>0.01</v>
      </c>
      <c r="E1871" s="4">
        <v>0.01</v>
      </c>
      <c r="F1871" s="4">
        <v>0.076</v>
      </c>
      <c r="G1871" s="4">
        <v>0.01</v>
      </c>
      <c r="H1871" s="4">
        <v>0.01</v>
      </c>
      <c r="K1871" s="6" t="b">
        <f t="shared" ref="K1871:M1871" si="1831">FALSE()</f>
        <v>0</v>
      </c>
      <c r="L1871" s="6" t="b">
        <f t="shared" si="1831"/>
        <v>0</v>
      </c>
      <c r="M1871" s="6" t="b">
        <f t="shared" si="1831"/>
        <v>0</v>
      </c>
      <c r="O1871" s="4">
        <v>0.0732504617395926</v>
      </c>
      <c r="T1871" s="4" t="str">
        <f t="shared" si="3"/>
        <v/>
      </c>
      <c r="U1871" s="4" t="str">
        <f t="shared" si="4"/>
        <v/>
      </c>
    </row>
    <row r="1872" ht="15.75" customHeight="1">
      <c r="A1872" s="4" t="s">
        <v>3021</v>
      </c>
      <c r="B1872" s="4" t="s">
        <v>13</v>
      </c>
      <c r="I1872" s="4">
        <v>0.207</v>
      </c>
      <c r="J1872" s="4">
        <v>0.016</v>
      </c>
      <c r="K1872" s="6" t="b">
        <f t="shared" ref="K1872:M1872" si="1832">FALSE()</f>
        <v>0</v>
      </c>
      <c r="L1872" s="6" t="b">
        <f t="shared" si="1832"/>
        <v>0</v>
      </c>
      <c r="M1872" s="6" t="b">
        <f t="shared" si="1832"/>
        <v>0</v>
      </c>
      <c r="P1872" s="4">
        <v>0.188137942115394</v>
      </c>
      <c r="T1872" s="4" t="str">
        <f t="shared" si="3"/>
        <v/>
      </c>
      <c r="U1872" s="4">
        <f t="shared" si="4"/>
        <v>2463</v>
      </c>
    </row>
    <row r="1873" ht="15.75" customHeight="1">
      <c r="A1873" s="4" t="s">
        <v>3022</v>
      </c>
      <c r="B1873" s="4" t="s">
        <v>13</v>
      </c>
      <c r="I1873" s="4">
        <v>0.256</v>
      </c>
      <c r="J1873" s="4">
        <v>0.039</v>
      </c>
      <c r="K1873" s="6" t="b">
        <f t="shared" ref="K1873:M1873" si="1833">FALSE()</f>
        <v>0</v>
      </c>
      <c r="L1873" s="6" t="b">
        <f t="shared" si="1833"/>
        <v>0</v>
      </c>
      <c r="M1873" s="6" t="b">
        <f t="shared" si="1833"/>
        <v>0</v>
      </c>
      <c r="P1873" s="4">
        <v>0.227932068046007</v>
      </c>
      <c r="T1873" s="4" t="str">
        <f t="shared" si="3"/>
        <v/>
      </c>
      <c r="U1873" s="4">
        <f t="shared" si="4"/>
        <v>1728</v>
      </c>
    </row>
    <row r="1874" ht="15.75" customHeight="1">
      <c r="A1874" s="4" t="s">
        <v>3023</v>
      </c>
      <c r="B1874" s="4" t="s">
        <v>13</v>
      </c>
      <c r="I1874" s="4">
        <v>0.115</v>
      </c>
      <c r="J1874" s="4">
        <v>0.005</v>
      </c>
      <c r="K1874" s="6" t="b">
        <f t="shared" ref="K1874:M1874" si="1834">FALSE()</f>
        <v>0</v>
      </c>
      <c r="L1874" s="6" t="b">
        <f t="shared" si="1834"/>
        <v>0</v>
      </c>
      <c r="M1874" s="6" t="b">
        <f t="shared" si="1834"/>
        <v>0</v>
      </c>
      <c r="P1874" s="4">
        <v>0.108854404912082</v>
      </c>
      <c r="T1874" s="4" t="str">
        <f t="shared" si="3"/>
        <v/>
      </c>
      <c r="U1874" s="4">
        <f t="shared" si="4"/>
        <v>3962</v>
      </c>
    </row>
    <row r="1875" ht="15.75" customHeight="1">
      <c r="A1875" s="4" t="s">
        <v>3024</v>
      </c>
      <c r="B1875" s="4" t="s">
        <v>13</v>
      </c>
      <c r="I1875" s="4">
        <v>0.192</v>
      </c>
      <c r="J1875" s="4">
        <v>0.018</v>
      </c>
      <c r="K1875" s="6" t="b">
        <f t="shared" ref="K1875:M1875" si="1835">FALSE()</f>
        <v>0</v>
      </c>
      <c r="L1875" s="6" t="b">
        <f t="shared" si="1835"/>
        <v>0</v>
      </c>
      <c r="M1875" s="6" t="b">
        <f t="shared" si="1835"/>
        <v>0</v>
      </c>
      <c r="P1875" s="4">
        <v>0.175632568643158</v>
      </c>
      <c r="T1875" s="4" t="str">
        <f t="shared" si="3"/>
        <v/>
      </c>
      <c r="U1875" s="4">
        <f t="shared" si="4"/>
        <v>2710</v>
      </c>
    </row>
    <row r="1876" ht="15.75" customHeight="1">
      <c r="A1876" s="4" t="s">
        <v>3025</v>
      </c>
      <c r="B1876" s="4" t="s">
        <v>13</v>
      </c>
      <c r="I1876" s="4">
        <v>0.213</v>
      </c>
      <c r="J1876" s="4">
        <v>0.022</v>
      </c>
      <c r="K1876" s="6" t="b">
        <f t="shared" ref="K1876:M1876" si="1836">FALSE()</f>
        <v>0</v>
      </c>
      <c r="L1876" s="6" t="b">
        <f t="shared" si="1836"/>
        <v>0</v>
      </c>
      <c r="M1876" s="6" t="b">
        <f t="shared" si="1836"/>
        <v>0</v>
      </c>
      <c r="P1876" s="4">
        <v>0.193096629961913</v>
      </c>
      <c r="T1876" s="4" t="str">
        <f t="shared" si="3"/>
        <v/>
      </c>
      <c r="U1876" s="4">
        <f t="shared" si="4"/>
        <v>2357</v>
      </c>
    </row>
    <row r="1877" ht="15.75" customHeight="1">
      <c r="A1877" s="4" t="s">
        <v>3026</v>
      </c>
      <c r="B1877" s="4" t="s">
        <v>13</v>
      </c>
      <c r="I1877" s="4">
        <v>0.317</v>
      </c>
      <c r="J1877" s="4">
        <v>0.059</v>
      </c>
      <c r="K1877" s="6" t="b">
        <f t="shared" ref="K1877:M1877" si="1837">FALSE()</f>
        <v>0</v>
      </c>
      <c r="L1877" s="6" t="b">
        <f t="shared" si="1837"/>
        <v>0</v>
      </c>
      <c r="M1877" s="6" t="b">
        <f t="shared" si="1837"/>
        <v>0</v>
      </c>
      <c r="P1877" s="4">
        <v>0.275356422761144</v>
      </c>
      <c r="T1877" s="4" t="str">
        <f t="shared" si="3"/>
        <v/>
      </c>
      <c r="U1877" s="4">
        <f t="shared" si="4"/>
        <v>1309</v>
      </c>
    </row>
    <row r="1878" ht="15.75" customHeight="1">
      <c r="A1878" s="4" t="s">
        <v>3027</v>
      </c>
      <c r="B1878" s="4" t="s">
        <v>13</v>
      </c>
      <c r="I1878" s="4">
        <v>0.194</v>
      </c>
      <c r="J1878" s="4">
        <v>0.025</v>
      </c>
      <c r="K1878" s="6" t="b">
        <f t="shared" ref="K1878:M1878" si="1838">FALSE()</f>
        <v>0</v>
      </c>
      <c r="L1878" s="6" t="b">
        <f t="shared" si="1838"/>
        <v>0</v>
      </c>
      <c r="M1878" s="6" t="b">
        <f t="shared" si="1838"/>
        <v>0</v>
      </c>
      <c r="P1878" s="4">
        <v>0.17730901497041</v>
      </c>
      <c r="T1878" s="4" t="str">
        <f t="shared" si="3"/>
        <v/>
      </c>
      <c r="U1878" s="4">
        <f t="shared" si="4"/>
        <v>2681</v>
      </c>
    </row>
    <row r="1879" ht="15.75" customHeight="1">
      <c r="A1879" s="4" t="s">
        <v>3028</v>
      </c>
      <c r="B1879" s="4" t="s">
        <v>13</v>
      </c>
      <c r="I1879" s="4">
        <v>0.328</v>
      </c>
      <c r="J1879" s="4">
        <v>0.033</v>
      </c>
      <c r="K1879" s="6" t="b">
        <f t="shared" ref="K1879:M1879" si="1839">FALSE()</f>
        <v>0</v>
      </c>
      <c r="L1879" s="6" t="b">
        <f t="shared" si="1839"/>
        <v>0</v>
      </c>
      <c r="M1879" s="6" t="b">
        <f t="shared" si="1839"/>
        <v>0</v>
      </c>
      <c r="P1879" s="4">
        <v>0.283674051054242</v>
      </c>
      <c r="T1879" s="4" t="str">
        <f t="shared" si="3"/>
        <v/>
      </c>
      <c r="U1879" s="4">
        <f t="shared" si="4"/>
        <v>1264</v>
      </c>
    </row>
    <row r="1880" ht="15.75" customHeight="1">
      <c r="A1880" s="4" t="s">
        <v>3029</v>
      </c>
      <c r="B1880" s="4" t="s">
        <v>13</v>
      </c>
      <c r="I1880" s="4">
        <v>0.178</v>
      </c>
      <c r="J1880" s="4">
        <v>0.011</v>
      </c>
      <c r="K1880" s="6" t="b">
        <f t="shared" ref="K1880:M1880" si="1840">FALSE()</f>
        <v>0</v>
      </c>
      <c r="L1880" s="6" t="b">
        <f t="shared" si="1840"/>
        <v>0</v>
      </c>
      <c r="M1880" s="6" t="b">
        <f t="shared" si="1840"/>
        <v>0</v>
      </c>
      <c r="P1880" s="4">
        <v>0.163818085229395</v>
      </c>
      <c r="T1880" s="4" t="str">
        <f t="shared" si="3"/>
        <v/>
      </c>
      <c r="U1880" s="4">
        <f t="shared" si="4"/>
        <v>2912</v>
      </c>
    </row>
    <row r="1881" ht="15.75" customHeight="1">
      <c r="A1881" s="4" t="s">
        <v>3030</v>
      </c>
      <c r="B1881" s="4" t="s">
        <v>13</v>
      </c>
      <c r="I1881" s="4">
        <v>0.23</v>
      </c>
      <c r="J1881" s="4">
        <v>0.017</v>
      </c>
      <c r="K1881" s="6" t="b">
        <f t="shared" ref="K1881:M1881" si="1841">FALSE()</f>
        <v>0</v>
      </c>
      <c r="L1881" s="6" t="b">
        <f t="shared" si="1841"/>
        <v>0</v>
      </c>
      <c r="M1881" s="6" t="b">
        <f t="shared" si="1841"/>
        <v>0</v>
      </c>
      <c r="P1881" s="4">
        <v>0.207014169384326</v>
      </c>
      <c r="T1881" s="4" t="str">
        <f t="shared" si="3"/>
        <v/>
      </c>
      <c r="U1881" s="4">
        <f t="shared" si="4"/>
        <v>2109</v>
      </c>
    </row>
    <row r="1882" ht="15.75" customHeight="1">
      <c r="A1882" s="4" t="s">
        <v>3031</v>
      </c>
      <c r="B1882" s="4" t="s">
        <v>13</v>
      </c>
      <c r="I1882" s="4">
        <v>0.1526</v>
      </c>
      <c r="J1882" s="4">
        <v>0.009</v>
      </c>
      <c r="K1882" s="6" t="b">
        <f t="shared" ref="K1882:M1882" si="1842">FALSE()</f>
        <v>0</v>
      </c>
      <c r="L1882" s="6" t="b">
        <f t="shared" si="1842"/>
        <v>0</v>
      </c>
      <c r="M1882" s="6" t="b">
        <f t="shared" si="1842"/>
        <v>0</v>
      </c>
      <c r="P1882" s="4">
        <v>0.142020260020429</v>
      </c>
      <c r="T1882" s="4" t="str">
        <f t="shared" si="3"/>
        <v/>
      </c>
      <c r="U1882" s="4">
        <f t="shared" si="4"/>
        <v>3287</v>
      </c>
    </row>
    <row r="1883" ht="15.75" customHeight="1">
      <c r="A1883" s="4" t="s">
        <v>719</v>
      </c>
      <c r="B1883" s="4" t="s">
        <v>13</v>
      </c>
      <c r="C1883" s="4">
        <v>0.16</v>
      </c>
      <c r="D1883" s="4">
        <v>0.01</v>
      </c>
      <c r="E1883" s="4">
        <v>0.02</v>
      </c>
      <c r="I1883" s="4">
        <v>0.51</v>
      </c>
      <c r="J1883" s="4">
        <v>0.07</v>
      </c>
      <c r="K1883" s="6" t="b">
        <f t="shared" ref="K1883:M1883" si="1843">FALSE()</f>
        <v>0</v>
      </c>
      <c r="L1883" s="6" t="b">
        <f t="shared" si="1843"/>
        <v>0</v>
      </c>
      <c r="M1883" s="6" t="b">
        <f t="shared" si="1843"/>
        <v>0</v>
      </c>
      <c r="N1883" s="4">
        <v>0.148420005118273</v>
      </c>
      <c r="P1883" s="4">
        <v>0.412109650826833</v>
      </c>
      <c r="T1883" s="4">
        <f t="shared" si="3"/>
        <v>1189</v>
      </c>
      <c r="U1883" s="4">
        <f t="shared" si="4"/>
        <v>1004</v>
      </c>
    </row>
    <row r="1884" ht="15.75" customHeight="1">
      <c r="A1884" s="4" t="s">
        <v>720</v>
      </c>
      <c r="B1884" s="4" t="s">
        <v>13</v>
      </c>
      <c r="C1884" s="4">
        <v>0.01</v>
      </c>
      <c r="I1884" s="4">
        <v>0.112</v>
      </c>
      <c r="J1884" s="4">
        <v>0.015</v>
      </c>
      <c r="K1884" s="6" t="b">
        <f t="shared" ref="K1884:M1884" si="1844">FALSE()</f>
        <v>0</v>
      </c>
      <c r="L1884" s="6" t="b">
        <f t="shared" si="1844"/>
        <v>0</v>
      </c>
      <c r="M1884" s="6" t="b">
        <f t="shared" si="1844"/>
        <v>0</v>
      </c>
      <c r="N1884" s="4">
        <v>0.009950330853168</v>
      </c>
      <c r="P1884" s="4">
        <v>0.106160195828391</v>
      </c>
      <c r="T1884" s="4">
        <f t="shared" si="3"/>
        <v>1940</v>
      </c>
      <c r="U1884" s="4">
        <f t="shared" si="4"/>
        <v>4002</v>
      </c>
    </row>
    <row r="1885" ht="15.75" customHeight="1">
      <c r="A1885" s="4" t="s">
        <v>3032</v>
      </c>
      <c r="B1885" s="4" t="s">
        <v>13</v>
      </c>
      <c r="I1885" s="4">
        <v>0.203</v>
      </c>
      <c r="J1885" s="4">
        <v>0.008</v>
      </c>
      <c r="K1885" s="6" t="b">
        <f t="shared" ref="K1885:M1885" si="1845">FALSE()</f>
        <v>0</v>
      </c>
      <c r="L1885" s="6" t="b">
        <f t="shared" si="1845"/>
        <v>0</v>
      </c>
      <c r="M1885" s="6" t="b">
        <f t="shared" si="1845"/>
        <v>0</v>
      </c>
      <c r="P1885" s="4">
        <v>0.184818436992542</v>
      </c>
      <c r="T1885" s="4" t="str">
        <f t="shared" si="3"/>
        <v/>
      </c>
      <c r="U1885" s="4">
        <f t="shared" si="4"/>
        <v>2522</v>
      </c>
    </row>
    <row r="1886" ht="15.75" customHeight="1">
      <c r="A1886" s="4" t="s">
        <v>3033</v>
      </c>
      <c r="B1886" s="4" t="s">
        <v>13</v>
      </c>
      <c r="I1886" s="4">
        <v>0.208</v>
      </c>
      <c r="J1886" s="4">
        <v>0.016</v>
      </c>
      <c r="K1886" s="6" t="b">
        <f t="shared" ref="K1886:M1886" si="1846">FALSE()</f>
        <v>0</v>
      </c>
      <c r="L1886" s="6" t="b">
        <f t="shared" si="1846"/>
        <v>0</v>
      </c>
      <c r="M1886" s="6" t="b">
        <f t="shared" si="1846"/>
        <v>0</v>
      </c>
      <c r="P1886" s="4">
        <v>0.188966099512623</v>
      </c>
      <c r="T1886" s="4" t="str">
        <f t="shared" si="3"/>
        <v/>
      </c>
      <c r="U1886" s="4">
        <f t="shared" si="4"/>
        <v>2445</v>
      </c>
    </row>
    <row r="1887" ht="15.75" customHeight="1">
      <c r="A1887" s="4" t="s">
        <v>3034</v>
      </c>
      <c r="B1887" s="4" t="s">
        <v>13</v>
      </c>
      <c r="I1887" s="4">
        <v>0.211</v>
      </c>
      <c r="J1887" s="4">
        <v>0.025</v>
      </c>
      <c r="K1887" s="6" t="b">
        <f t="shared" ref="K1887:M1887" si="1847">FALSE()</f>
        <v>0</v>
      </c>
      <c r="L1887" s="6" t="b">
        <f t="shared" si="1847"/>
        <v>0</v>
      </c>
      <c r="M1887" s="6" t="b">
        <f t="shared" si="1847"/>
        <v>0</v>
      </c>
      <c r="P1887" s="4">
        <v>0.191446464570955</v>
      </c>
      <c r="T1887" s="4" t="str">
        <f t="shared" si="3"/>
        <v/>
      </c>
      <c r="U1887" s="4">
        <f t="shared" si="4"/>
        <v>2386</v>
      </c>
    </row>
    <row r="1888" ht="15.75" customHeight="1">
      <c r="A1888" s="4" t="s">
        <v>3035</v>
      </c>
      <c r="B1888" s="4" t="s">
        <v>13</v>
      </c>
      <c r="I1888" s="4">
        <v>0.235</v>
      </c>
      <c r="J1888" s="4">
        <v>0.016</v>
      </c>
      <c r="K1888" s="6" t="b">
        <f t="shared" ref="K1888:M1888" si="1848">FALSE()</f>
        <v>0</v>
      </c>
      <c r="L1888" s="6" t="b">
        <f t="shared" si="1848"/>
        <v>0</v>
      </c>
      <c r="M1888" s="6" t="b">
        <f t="shared" si="1848"/>
        <v>0</v>
      </c>
      <c r="P1888" s="4">
        <v>0.211070970079941</v>
      </c>
      <c r="T1888" s="4" t="str">
        <f t="shared" si="3"/>
        <v/>
      </c>
      <c r="U1888" s="4">
        <f t="shared" si="4"/>
        <v>2028</v>
      </c>
    </row>
    <row r="1889" ht="15.75" customHeight="1">
      <c r="A1889" s="4" t="s">
        <v>3036</v>
      </c>
      <c r="B1889" s="4" t="s">
        <v>13</v>
      </c>
      <c r="I1889" s="4">
        <v>0.349</v>
      </c>
      <c r="J1889" s="4">
        <v>0.023</v>
      </c>
      <c r="K1889" s="6" t="b">
        <f t="shared" ref="K1889:M1889" si="1849">FALSE()</f>
        <v>0</v>
      </c>
      <c r="L1889" s="6" t="b">
        <f t="shared" si="1849"/>
        <v>0</v>
      </c>
      <c r="M1889" s="6" t="b">
        <f t="shared" si="1849"/>
        <v>0</v>
      </c>
      <c r="P1889" s="4">
        <v>0.299363577225619</v>
      </c>
      <c r="T1889" s="4" t="str">
        <f t="shared" si="3"/>
        <v/>
      </c>
      <c r="U1889" s="4">
        <f t="shared" si="4"/>
        <v>1210</v>
      </c>
    </row>
    <row r="1890" ht="15.75" customHeight="1">
      <c r="A1890" s="4" t="s">
        <v>3037</v>
      </c>
      <c r="B1890" s="4" t="s">
        <v>13</v>
      </c>
      <c r="I1890" s="4">
        <v>0.177</v>
      </c>
      <c r="J1890" s="4">
        <v>0.02</v>
      </c>
      <c r="K1890" s="6" t="b">
        <f t="shared" ref="K1890:M1890" si="1850">FALSE()</f>
        <v>0</v>
      </c>
      <c r="L1890" s="6" t="b">
        <f t="shared" si="1850"/>
        <v>0</v>
      </c>
      <c r="M1890" s="6" t="b">
        <f t="shared" si="1850"/>
        <v>0</v>
      </c>
      <c r="P1890" s="4">
        <v>0.16296882827814</v>
      </c>
      <c r="T1890" s="4" t="str">
        <f t="shared" si="3"/>
        <v/>
      </c>
      <c r="U1890" s="4">
        <f t="shared" si="4"/>
        <v>2946</v>
      </c>
    </row>
    <row r="1891" ht="15.75" customHeight="1">
      <c r="A1891" s="4" t="s">
        <v>3038</v>
      </c>
      <c r="B1891" s="4" t="s">
        <v>13</v>
      </c>
      <c r="I1891" s="4">
        <v>0.197</v>
      </c>
      <c r="J1891" s="4">
        <v>0.013</v>
      </c>
      <c r="K1891" s="6" t="b">
        <f t="shared" ref="K1891:M1891" si="1851">FALSE()</f>
        <v>0</v>
      </c>
      <c r="L1891" s="6" t="b">
        <f t="shared" si="1851"/>
        <v>0</v>
      </c>
      <c r="M1891" s="6" t="b">
        <f t="shared" si="1851"/>
        <v>0</v>
      </c>
      <c r="P1891" s="4">
        <v>0.179818426575836</v>
      </c>
      <c r="T1891" s="4" t="str">
        <f t="shared" si="3"/>
        <v/>
      </c>
      <c r="U1891" s="4">
        <f t="shared" si="4"/>
        <v>2631</v>
      </c>
    </row>
    <row r="1892" ht="15.75" customHeight="1">
      <c r="A1892" s="4" t="s">
        <v>3039</v>
      </c>
      <c r="B1892" s="4" t="s">
        <v>13</v>
      </c>
      <c r="I1892" s="4">
        <v>0.079</v>
      </c>
      <c r="J1892" s="4">
        <v>0.002</v>
      </c>
      <c r="K1892" s="6" t="b">
        <f t="shared" ref="K1892:M1892" si="1852">FALSE()</f>
        <v>0</v>
      </c>
      <c r="L1892" s="6" t="b">
        <f t="shared" si="1852"/>
        <v>0</v>
      </c>
      <c r="M1892" s="6" t="b">
        <f t="shared" si="1852"/>
        <v>0</v>
      </c>
      <c r="P1892" s="4">
        <v>0.0760346862759976</v>
      </c>
      <c r="T1892" s="4" t="str">
        <f t="shared" si="3"/>
        <v/>
      </c>
      <c r="U1892" s="4">
        <f t="shared" si="4"/>
        <v>4417</v>
      </c>
    </row>
    <row r="1893" ht="15.75" customHeight="1">
      <c r="A1893" s="4" t="s">
        <v>3040</v>
      </c>
      <c r="B1893" s="4" t="s">
        <v>13</v>
      </c>
      <c r="I1893" s="4">
        <v>0.119</v>
      </c>
      <c r="J1893" s="4">
        <v>0.01</v>
      </c>
      <c r="K1893" s="6" t="b">
        <f t="shared" ref="K1893:M1893" si="1853">FALSE()</f>
        <v>0</v>
      </c>
      <c r="L1893" s="6" t="b">
        <f t="shared" si="1853"/>
        <v>0</v>
      </c>
      <c r="M1893" s="6" t="b">
        <f t="shared" si="1853"/>
        <v>0</v>
      </c>
      <c r="P1893" s="4">
        <v>0.112435429329788</v>
      </c>
      <c r="T1893" s="4" t="str">
        <f t="shared" si="3"/>
        <v/>
      </c>
      <c r="U1893" s="4">
        <f t="shared" si="4"/>
        <v>3881</v>
      </c>
    </row>
    <row r="1894" ht="15.75" customHeight="1">
      <c r="A1894" s="4" t="s">
        <v>3041</v>
      </c>
      <c r="B1894" s="4" t="s">
        <v>13</v>
      </c>
      <c r="I1894" s="4">
        <v>0.112</v>
      </c>
      <c r="J1894" s="4">
        <v>0.006</v>
      </c>
      <c r="K1894" s="6" t="b">
        <f t="shared" ref="K1894:M1894" si="1854">FALSE()</f>
        <v>0</v>
      </c>
      <c r="L1894" s="6" t="b">
        <f t="shared" si="1854"/>
        <v>0</v>
      </c>
      <c r="M1894" s="6" t="b">
        <f t="shared" si="1854"/>
        <v>0</v>
      </c>
      <c r="P1894" s="4">
        <v>0.106160195828391</v>
      </c>
      <c r="T1894" s="4" t="str">
        <f t="shared" si="3"/>
        <v/>
      </c>
      <c r="U1894" s="4">
        <f t="shared" si="4"/>
        <v>4003</v>
      </c>
    </row>
    <row r="1895" ht="15.75" customHeight="1">
      <c r="A1895" s="4" t="s">
        <v>722</v>
      </c>
      <c r="B1895" s="4" t="s">
        <v>13</v>
      </c>
      <c r="C1895" s="4">
        <v>0.01353</v>
      </c>
      <c r="D1895" s="4">
        <v>0.0135</v>
      </c>
      <c r="E1895" s="4">
        <v>0.0</v>
      </c>
      <c r="I1895" s="4">
        <v>0.042</v>
      </c>
      <c r="J1895" s="4">
        <v>0.002</v>
      </c>
      <c r="K1895" s="6" t="b">
        <f t="shared" ref="K1895:M1895" si="1855">FALSE()</f>
        <v>0</v>
      </c>
      <c r="L1895" s="6" t="b">
        <f t="shared" si="1855"/>
        <v>0</v>
      </c>
      <c r="M1895" s="6" t="b">
        <f t="shared" si="1855"/>
        <v>0</v>
      </c>
      <c r="N1895" s="4">
        <v>0.0134392868665065</v>
      </c>
      <c r="P1895" s="4">
        <v>0.0411419433311751</v>
      </c>
      <c r="T1895" s="4">
        <f t="shared" si="3"/>
        <v>1854</v>
      </c>
      <c r="U1895" s="4">
        <f t="shared" si="4"/>
        <v>4564</v>
      </c>
    </row>
    <row r="1896" ht="15.75" customHeight="1">
      <c r="A1896" s="4" t="s">
        <v>723</v>
      </c>
      <c r="B1896" s="4" t="s">
        <v>13</v>
      </c>
      <c r="C1896" s="4">
        <v>0.00944</v>
      </c>
      <c r="D1896" s="4">
        <v>0.00944</v>
      </c>
      <c r="E1896" s="4">
        <v>0.0</v>
      </c>
      <c r="F1896" s="4">
        <v>0.009</v>
      </c>
      <c r="G1896" s="4">
        <v>0.00899</v>
      </c>
      <c r="H1896" s="4">
        <v>0.0</v>
      </c>
      <c r="I1896" s="4">
        <v>0.052</v>
      </c>
      <c r="J1896" s="4">
        <v>0.002</v>
      </c>
      <c r="K1896" s="6" t="b">
        <f t="shared" ref="K1896:M1896" si="1856">FALSE()</f>
        <v>0</v>
      </c>
      <c r="L1896" s="6" t="b">
        <f t="shared" si="1856"/>
        <v>0</v>
      </c>
      <c r="M1896" s="6" t="b">
        <f t="shared" si="1856"/>
        <v>0</v>
      </c>
      <c r="N1896" s="4">
        <v>0.0093957216403622</v>
      </c>
      <c r="O1896" s="4">
        <v>0.0089597413714719</v>
      </c>
      <c r="P1896" s="4">
        <v>0.0506931143155181</v>
      </c>
      <c r="Q1896" s="4">
        <v>-0.622246509583351</v>
      </c>
      <c r="R1896" s="4">
        <v>-0.646756072497862</v>
      </c>
      <c r="S1896" s="4">
        <v>-1.44681271960708</v>
      </c>
      <c r="T1896" s="4">
        <f t="shared" si="3"/>
        <v>1950</v>
      </c>
      <c r="U1896" s="4">
        <f t="shared" si="4"/>
        <v>4552</v>
      </c>
    </row>
    <row r="1897" ht="15.75" customHeight="1">
      <c r="A1897" s="4" t="s">
        <v>724</v>
      </c>
      <c r="B1897" s="4" t="s">
        <v>13</v>
      </c>
      <c r="C1897" s="4">
        <v>0.012</v>
      </c>
      <c r="D1897" s="4">
        <v>0.006</v>
      </c>
      <c r="E1897" s="4">
        <v>0.006</v>
      </c>
      <c r="I1897" s="4">
        <v>0.105</v>
      </c>
      <c r="J1897" s="4">
        <v>0.004</v>
      </c>
      <c r="K1897" s="6" t="b">
        <f t="shared" ref="K1897:M1897" si="1857">FALSE()</f>
        <v>0</v>
      </c>
      <c r="L1897" s="6" t="b">
        <f t="shared" si="1857"/>
        <v>0</v>
      </c>
      <c r="M1897" s="6" t="b">
        <f t="shared" si="1857"/>
        <v>0</v>
      </c>
      <c r="N1897" s="4">
        <v>0.0119285708652738</v>
      </c>
      <c r="P1897" s="4">
        <v>0.0998453349697161</v>
      </c>
      <c r="T1897" s="4">
        <f t="shared" si="3"/>
        <v>1897</v>
      </c>
      <c r="U1897" s="4">
        <f t="shared" si="4"/>
        <v>4137</v>
      </c>
    </row>
    <row r="1898" ht="15.75" customHeight="1">
      <c r="A1898" s="4" t="s">
        <v>725</v>
      </c>
      <c r="B1898" s="4" t="s">
        <v>13</v>
      </c>
      <c r="C1898" s="4">
        <v>0.028</v>
      </c>
      <c r="D1898" s="4">
        <v>0.006</v>
      </c>
      <c r="E1898" s="4">
        <v>0.006</v>
      </c>
      <c r="I1898" s="4">
        <v>0.198</v>
      </c>
      <c r="J1898" s="4">
        <v>0.006</v>
      </c>
      <c r="K1898" s="6" t="b">
        <f t="shared" ref="K1898:M1898" si="1858">FALSE()</f>
        <v>0</v>
      </c>
      <c r="L1898" s="6" t="b">
        <f t="shared" si="1858"/>
        <v>0</v>
      </c>
      <c r="M1898" s="6" t="b">
        <f t="shared" si="1858"/>
        <v>0</v>
      </c>
      <c r="N1898" s="4">
        <v>0.0276151670329733</v>
      </c>
      <c r="P1898" s="4">
        <v>0.180653499693258</v>
      </c>
      <c r="T1898" s="4">
        <f t="shared" si="3"/>
        <v>1586</v>
      </c>
      <c r="U1898" s="4">
        <f t="shared" si="4"/>
        <v>2615</v>
      </c>
    </row>
    <row r="1899" ht="15.75" customHeight="1">
      <c r="A1899" s="4" t="s">
        <v>726</v>
      </c>
      <c r="B1899" s="4" t="s">
        <v>13</v>
      </c>
      <c r="C1899" s="4">
        <v>0.01636</v>
      </c>
      <c r="D1899" s="4">
        <v>0.01636</v>
      </c>
      <c r="E1899" s="4">
        <v>0.0</v>
      </c>
      <c r="I1899" s="4">
        <v>0.079</v>
      </c>
      <c r="J1899" s="4">
        <v>0.003</v>
      </c>
      <c r="K1899" s="6" t="b">
        <f t="shared" ref="K1899:M1899" si="1859">FALSE()</f>
        <v>0</v>
      </c>
      <c r="L1899" s="6" t="b">
        <f t="shared" si="1859"/>
        <v>0</v>
      </c>
      <c r="M1899" s="6" t="b">
        <f t="shared" si="1859"/>
        <v>0</v>
      </c>
      <c r="N1899" s="4">
        <v>0.0162276171046508</v>
      </c>
      <c r="P1899" s="4">
        <v>0.0760346862759976</v>
      </c>
      <c r="T1899" s="4">
        <f t="shared" si="3"/>
        <v>1800</v>
      </c>
      <c r="U1899" s="4">
        <f t="shared" si="4"/>
        <v>4418</v>
      </c>
    </row>
    <row r="1900" ht="15.75" customHeight="1">
      <c r="A1900" s="4" t="s">
        <v>3042</v>
      </c>
      <c r="B1900" s="4" t="s">
        <v>13</v>
      </c>
      <c r="I1900" s="4">
        <v>0.221</v>
      </c>
      <c r="J1900" s="4">
        <v>0.016</v>
      </c>
      <c r="K1900" s="6" t="b">
        <f t="shared" ref="K1900:M1900" si="1860">FALSE()</f>
        <v>0</v>
      </c>
      <c r="L1900" s="6" t="b">
        <f t="shared" si="1860"/>
        <v>0</v>
      </c>
      <c r="M1900" s="6" t="b">
        <f t="shared" si="1860"/>
        <v>0</v>
      </c>
      <c r="P1900" s="4">
        <v>0.199670195128568</v>
      </c>
      <c r="T1900" s="4" t="str">
        <f t="shared" si="3"/>
        <v/>
      </c>
      <c r="U1900" s="4">
        <f t="shared" si="4"/>
        <v>2246</v>
      </c>
    </row>
    <row r="1901" ht="15.75" customHeight="1">
      <c r="A1901" s="4" t="s">
        <v>3043</v>
      </c>
      <c r="B1901" s="4" t="s">
        <v>13</v>
      </c>
      <c r="I1901" s="4">
        <v>0.078</v>
      </c>
      <c r="J1901" s="4">
        <v>0.01</v>
      </c>
      <c r="K1901" s="6" t="b">
        <f t="shared" ref="K1901:M1901" si="1861">FALSE()</f>
        <v>0</v>
      </c>
      <c r="L1901" s="6" t="b">
        <f t="shared" si="1861"/>
        <v>0</v>
      </c>
      <c r="M1901" s="6" t="b">
        <f t="shared" si="1861"/>
        <v>0</v>
      </c>
      <c r="P1901" s="4">
        <v>0.0751074724868054</v>
      </c>
      <c r="T1901" s="4" t="str">
        <f t="shared" si="3"/>
        <v/>
      </c>
      <c r="U1901" s="4">
        <f t="shared" si="4"/>
        <v>4431</v>
      </c>
    </row>
    <row r="1902" ht="15.75" customHeight="1">
      <c r="A1902" s="4" t="s">
        <v>3044</v>
      </c>
      <c r="B1902" s="4" t="s">
        <v>13</v>
      </c>
      <c r="I1902" s="4">
        <v>0.167</v>
      </c>
      <c r="J1902" s="4">
        <v>0.007</v>
      </c>
      <c r="K1902" s="6" t="b">
        <f t="shared" ref="K1902:M1902" si="1862">FALSE()</f>
        <v>0</v>
      </c>
      <c r="L1902" s="6" t="b">
        <f t="shared" si="1862"/>
        <v>0</v>
      </c>
      <c r="M1902" s="6" t="b">
        <f t="shared" si="1862"/>
        <v>0</v>
      </c>
      <c r="P1902" s="4">
        <v>0.154436353304419</v>
      </c>
      <c r="T1902" s="4" t="str">
        <f t="shared" si="3"/>
        <v/>
      </c>
      <c r="U1902" s="4">
        <f t="shared" si="4"/>
        <v>3086</v>
      </c>
    </row>
    <row r="1903" ht="15.75" customHeight="1">
      <c r="A1903" s="4" t="s">
        <v>3045</v>
      </c>
      <c r="B1903" s="4" t="s">
        <v>13</v>
      </c>
      <c r="I1903" s="4">
        <v>0.224</v>
      </c>
      <c r="J1903" s="4">
        <v>0.016</v>
      </c>
      <c r="K1903" s="6" t="b">
        <f t="shared" ref="K1903:M1903" si="1863">FALSE()</f>
        <v>0</v>
      </c>
      <c r="L1903" s="6" t="b">
        <f t="shared" si="1863"/>
        <v>0</v>
      </c>
      <c r="M1903" s="6" t="b">
        <f t="shared" si="1863"/>
        <v>0</v>
      </c>
      <c r="P1903" s="4">
        <v>0.202124184090134</v>
      </c>
      <c r="T1903" s="4" t="str">
        <f t="shared" si="3"/>
        <v/>
      </c>
      <c r="U1903" s="4">
        <f t="shared" si="4"/>
        <v>2196</v>
      </c>
    </row>
    <row r="1904" ht="15.75" customHeight="1">
      <c r="A1904" s="4" t="s">
        <v>3046</v>
      </c>
      <c r="B1904" s="4" t="s">
        <v>13</v>
      </c>
      <c r="I1904" s="4">
        <v>0.202</v>
      </c>
      <c r="J1904" s="4">
        <v>0.012</v>
      </c>
      <c r="K1904" s="6" t="b">
        <f t="shared" ref="K1904:M1904" si="1864">FALSE()</f>
        <v>0</v>
      </c>
      <c r="L1904" s="6" t="b">
        <f t="shared" si="1864"/>
        <v>0</v>
      </c>
      <c r="M1904" s="6" t="b">
        <f t="shared" si="1864"/>
        <v>0</v>
      </c>
      <c r="P1904" s="4">
        <v>0.183986836113016</v>
      </c>
      <c r="T1904" s="4" t="str">
        <f t="shared" si="3"/>
        <v/>
      </c>
      <c r="U1904" s="4">
        <f t="shared" si="4"/>
        <v>2550</v>
      </c>
    </row>
    <row r="1905" ht="15.75" customHeight="1">
      <c r="A1905" s="4" t="s">
        <v>3047</v>
      </c>
      <c r="B1905" s="4" t="s">
        <v>13</v>
      </c>
      <c r="I1905" s="4">
        <v>0.1231</v>
      </c>
      <c r="J1905" s="4">
        <v>0.008</v>
      </c>
      <c r="K1905" s="6" t="b">
        <f t="shared" ref="K1905:M1905" si="1865">FALSE()</f>
        <v>0</v>
      </c>
      <c r="L1905" s="6" t="b">
        <f t="shared" si="1865"/>
        <v>0</v>
      </c>
      <c r="M1905" s="6" t="b">
        <f t="shared" si="1865"/>
        <v>0</v>
      </c>
      <c r="P1905" s="4">
        <v>0.116092718986853</v>
      </c>
      <c r="T1905" s="4" t="str">
        <f t="shared" si="3"/>
        <v/>
      </c>
      <c r="U1905" s="4">
        <f t="shared" si="4"/>
        <v>3808</v>
      </c>
    </row>
    <row r="1906" ht="15.75" customHeight="1">
      <c r="A1906" s="4" t="s">
        <v>3048</v>
      </c>
      <c r="B1906" s="4" t="s">
        <v>13</v>
      </c>
      <c r="I1906" s="4">
        <v>0.269</v>
      </c>
      <c r="J1906" s="4">
        <v>0.047</v>
      </c>
      <c r="K1906" s="6" t="b">
        <f t="shared" ref="K1906:M1906" si="1866">FALSE()</f>
        <v>0</v>
      </c>
      <c r="L1906" s="6" t="b">
        <f t="shared" si="1866"/>
        <v>0</v>
      </c>
      <c r="M1906" s="6" t="b">
        <f t="shared" si="1866"/>
        <v>0</v>
      </c>
      <c r="P1906" s="4">
        <v>0.238229188732251</v>
      </c>
      <c r="T1906" s="4" t="str">
        <f t="shared" si="3"/>
        <v/>
      </c>
      <c r="U1906" s="4">
        <f t="shared" si="4"/>
        <v>1598</v>
      </c>
    </row>
    <row r="1907" ht="15.75" customHeight="1">
      <c r="A1907" s="4" t="s">
        <v>3049</v>
      </c>
      <c r="B1907" s="4" t="s">
        <v>13</v>
      </c>
      <c r="I1907" s="4">
        <v>0.114</v>
      </c>
      <c r="J1907" s="4">
        <v>0.006</v>
      </c>
      <c r="K1907" s="6" t="b">
        <f t="shared" ref="K1907:M1907" si="1867">FALSE()</f>
        <v>0</v>
      </c>
      <c r="L1907" s="6" t="b">
        <f t="shared" si="1867"/>
        <v>0</v>
      </c>
      <c r="M1907" s="6" t="b">
        <f t="shared" si="1867"/>
        <v>0</v>
      </c>
      <c r="P1907" s="4">
        <v>0.107957141505092</v>
      </c>
      <c r="T1907" s="4" t="str">
        <f t="shared" si="3"/>
        <v/>
      </c>
      <c r="U1907" s="4">
        <f t="shared" si="4"/>
        <v>3981</v>
      </c>
    </row>
    <row r="1908" ht="15.75" customHeight="1">
      <c r="A1908" s="4" t="s">
        <v>3050</v>
      </c>
      <c r="B1908" s="4" t="s">
        <v>13</v>
      </c>
      <c r="I1908" s="4">
        <v>0.315</v>
      </c>
      <c r="J1908" s="4">
        <v>0.035</v>
      </c>
      <c r="K1908" s="6" t="b">
        <f t="shared" ref="K1908:M1908" si="1868">FALSE()</f>
        <v>0</v>
      </c>
      <c r="L1908" s="6" t="b">
        <f t="shared" si="1868"/>
        <v>0</v>
      </c>
      <c r="M1908" s="6" t="b">
        <f t="shared" si="1868"/>
        <v>0</v>
      </c>
      <c r="P1908" s="4">
        <v>0.273836665629728</v>
      </c>
      <c r="T1908" s="4" t="str">
        <f t="shared" si="3"/>
        <v/>
      </c>
      <c r="U1908" s="4">
        <f t="shared" si="4"/>
        <v>1320</v>
      </c>
    </row>
    <row r="1909" ht="15.75" customHeight="1">
      <c r="A1909" s="4" t="s">
        <v>3051</v>
      </c>
      <c r="B1909" s="4" t="s">
        <v>13</v>
      </c>
      <c r="I1909" s="4">
        <v>0.12633</v>
      </c>
      <c r="K1909" s="6" t="b">
        <f t="shared" ref="K1909:M1909" si="1869">FALSE()</f>
        <v>0</v>
      </c>
      <c r="L1909" s="6" t="b">
        <f t="shared" si="1869"/>
        <v>0</v>
      </c>
      <c r="M1909" s="6" t="b">
        <f t="shared" si="1869"/>
        <v>0</v>
      </c>
      <c r="P1909" s="4">
        <v>0.118964559604204</v>
      </c>
      <c r="T1909" s="4" t="str">
        <f t="shared" si="3"/>
        <v/>
      </c>
      <c r="U1909" s="4">
        <f t="shared" si="4"/>
        <v>3756</v>
      </c>
    </row>
    <row r="1910" ht="15.75" customHeight="1">
      <c r="A1910" s="4" t="s">
        <v>3052</v>
      </c>
      <c r="B1910" s="4" t="s">
        <v>13</v>
      </c>
      <c r="I1910" s="4">
        <v>0.13</v>
      </c>
      <c r="J1910" s="4">
        <v>0.02</v>
      </c>
      <c r="K1910" s="6" t="b">
        <f t="shared" ref="K1910:M1910" si="1870">FALSE()</f>
        <v>0</v>
      </c>
      <c r="L1910" s="6" t="b">
        <f t="shared" si="1870"/>
        <v>0</v>
      </c>
      <c r="M1910" s="6" t="b">
        <f t="shared" si="1870"/>
        <v>0</v>
      </c>
      <c r="P1910" s="4">
        <v>0.122217632724249</v>
      </c>
      <c r="T1910" s="4" t="str">
        <f t="shared" si="3"/>
        <v/>
      </c>
      <c r="U1910" s="4">
        <f t="shared" si="4"/>
        <v>3686</v>
      </c>
    </row>
    <row r="1911" ht="15.75" customHeight="1">
      <c r="A1911" s="4" t="s">
        <v>728</v>
      </c>
      <c r="B1911" s="4" t="s">
        <v>13</v>
      </c>
      <c r="C1911" s="4">
        <v>0.031</v>
      </c>
      <c r="D1911" s="4">
        <v>0.027</v>
      </c>
      <c r="E1911" s="4">
        <v>0.027</v>
      </c>
      <c r="I1911" s="4">
        <v>0.301</v>
      </c>
      <c r="J1911" s="4">
        <v>0.008</v>
      </c>
      <c r="K1911" s="6" t="b">
        <f t="shared" ref="K1911:M1911" si="1871">FALSE()</f>
        <v>0</v>
      </c>
      <c r="L1911" s="6" t="b">
        <f t="shared" si="1871"/>
        <v>0</v>
      </c>
      <c r="M1911" s="6" t="b">
        <f t="shared" si="1871"/>
        <v>0</v>
      </c>
      <c r="N1911" s="4">
        <v>0.0305292050348228</v>
      </c>
      <c r="P1911" s="4">
        <v>0.263133199530368</v>
      </c>
      <c r="T1911" s="4">
        <f t="shared" si="3"/>
        <v>1536</v>
      </c>
      <c r="U1911" s="4">
        <f t="shared" si="4"/>
        <v>1375</v>
      </c>
    </row>
    <row r="1912" ht="15.75" customHeight="1">
      <c r="A1912" s="4" t="s">
        <v>729</v>
      </c>
      <c r="B1912" s="4" t="s">
        <v>13</v>
      </c>
      <c r="C1912" s="4">
        <v>0.114</v>
      </c>
      <c r="D1912" s="4">
        <v>0.079</v>
      </c>
      <c r="E1912" s="4">
        <v>0.079</v>
      </c>
      <c r="I1912" s="4">
        <v>0.459</v>
      </c>
      <c r="J1912" s="4">
        <v>0.012</v>
      </c>
      <c r="K1912" s="6" t="b">
        <f t="shared" ref="K1912:M1912" si="1872">FALSE()</f>
        <v>0</v>
      </c>
      <c r="L1912" s="6" t="b">
        <f t="shared" si="1872"/>
        <v>0</v>
      </c>
      <c r="M1912" s="6" t="b">
        <f t="shared" si="1872"/>
        <v>0</v>
      </c>
      <c r="N1912" s="4">
        <v>0.107957141505092</v>
      </c>
      <c r="P1912" s="4">
        <v>0.377751269540649</v>
      </c>
      <c r="T1912" s="4">
        <f t="shared" si="3"/>
        <v>1240</v>
      </c>
      <c r="U1912" s="4">
        <f t="shared" si="4"/>
        <v>1050</v>
      </c>
    </row>
    <row r="1913" ht="15.75" customHeight="1">
      <c r="A1913" s="4" t="s">
        <v>3053</v>
      </c>
      <c r="B1913" s="4" t="s">
        <v>13</v>
      </c>
      <c r="I1913" s="4">
        <v>0.2034</v>
      </c>
      <c r="J1913" s="4">
        <v>0.018</v>
      </c>
      <c r="K1913" s="6" t="b">
        <f t="shared" ref="K1913:M1913" si="1873">FALSE()</f>
        <v>0</v>
      </c>
      <c r="L1913" s="6" t="b">
        <f t="shared" si="1873"/>
        <v>0</v>
      </c>
      <c r="M1913" s="6" t="b">
        <f t="shared" si="1873"/>
        <v>0</v>
      </c>
      <c r="P1913" s="4">
        <v>0.185150883804114</v>
      </c>
      <c r="T1913" s="4" t="str">
        <f t="shared" si="3"/>
        <v/>
      </c>
      <c r="U1913" s="4">
        <f t="shared" si="4"/>
        <v>2518</v>
      </c>
    </row>
    <row r="1914" ht="15.75" customHeight="1">
      <c r="A1914" s="4" t="s">
        <v>3054</v>
      </c>
      <c r="B1914" s="4" t="s">
        <v>13</v>
      </c>
      <c r="I1914" s="4">
        <v>0.262</v>
      </c>
      <c r="J1914" s="4">
        <v>0.047</v>
      </c>
      <c r="K1914" s="6" t="b">
        <f t="shared" ref="K1914:M1914" si="1874">FALSE()</f>
        <v>0</v>
      </c>
      <c r="L1914" s="6" t="b">
        <f t="shared" si="1874"/>
        <v>0</v>
      </c>
      <c r="M1914" s="6" t="b">
        <f t="shared" si="1874"/>
        <v>0</v>
      </c>
      <c r="P1914" s="4">
        <v>0.232697764119021</v>
      </c>
      <c r="T1914" s="4" t="str">
        <f t="shared" si="3"/>
        <v/>
      </c>
      <c r="U1914" s="4">
        <f t="shared" si="4"/>
        <v>1655</v>
      </c>
    </row>
    <row r="1915" ht="15.75" customHeight="1">
      <c r="A1915" s="4" t="s">
        <v>3055</v>
      </c>
      <c r="B1915" s="4" t="s">
        <v>13</v>
      </c>
      <c r="I1915" s="4">
        <v>0.195</v>
      </c>
      <c r="J1915" s="4">
        <v>0.014</v>
      </c>
      <c r="K1915" s="6" t="b">
        <f t="shared" ref="K1915:M1915" si="1875">FALSE()</f>
        <v>0</v>
      </c>
      <c r="L1915" s="6" t="b">
        <f t="shared" si="1875"/>
        <v>0</v>
      </c>
      <c r="M1915" s="6" t="b">
        <f t="shared" si="1875"/>
        <v>0</v>
      </c>
      <c r="P1915" s="4">
        <v>0.178146185383474</v>
      </c>
      <c r="T1915" s="4" t="str">
        <f t="shared" si="3"/>
        <v/>
      </c>
      <c r="U1915" s="4">
        <f t="shared" si="4"/>
        <v>2666</v>
      </c>
    </row>
    <row r="1916" ht="15.75" customHeight="1">
      <c r="A1916" s="4" t="s">
        <v>3056</v>
      </c>
      <c r="B1916" s="4" t="s">
        <v>13</v>
      </c>
      <c r="I1916" s="4">
        <v>0.227</v>
      </c>
      <c r="J1916" s="4">
        <v>0.021</v>
      </c>
      <c r="K1916" s="6" t="b">
        <f t="shared" ref="K1916:M1916" si="1876">FALSE()</f>
        <v>0</v>
      </c>
      <c r="L1916" s="6" t="b">
        <f t="shared" si="1876"/>
        <v>0</v>
      </c>
      <c r="M1916" s="6" t="b">
        <f t="shared" si="1876"/>
        <v>0</v>
      </c>
      <c r="P1916" s="4">
        <v>0.204572165728774</v>
      </c>
      <c r="T1916" s="4" t="str">
        <f t="shared" si="3"/>
        <v/>
      </c>
      <c r="U1916" s="4">
        <f t="shared" si="4"/>
        <v>2152</v>
      </c>
    </row>
    <row r="1917" ht="15.75" customHeight="1">
      <c r="A1917" s="4" t="s">
        <v>3057</v>
      </c>
      <c r="B1917" s="4" t="s">
        <v>13</v>
      </c>
      <c r="I1917" s="4">
        <v>0.238</v>
      </c>
      <c r="J1917" s="4">
        <v>0.026</v>
      </c>
      <c r="K1917" s="6" t="b">
        <f t="shared" ref="K1917:M1917" si="1877">FALSE()</f>
        <v>0</v>
      </c>
      <c r="L1917" s="6" t="b">
        <f t="shared" si="1877"/>
        <v>0</v>
      </c>
      <c r="M1917" s="6" t="b">
        <f t="shared" si="1877"/>
        <v>0</v>
      </c>
      <c r="P1917" s="4">
        <v>0.213497174262404</v>
      </c>
      <c r="T1917" s="4" t="str">
        <f t="shared" si="3"/>
        <v/>
      </c>
      <c r="U1917" s="4">
        <f t="shared" si="4"/>
        <v>1974</v>
      </c>
    </row>
    <row r="1918" ht="15.75" customHeight="1">
      <c r="A1918" s="4" t="s">
        <v>3058</v>
      </c>
      <c r="B1918" s="4" t="s">
        <v>13</v>
      </c>
      <c r="I1918" s="4">
        <v>0.24</v>
      </c>
      <c r="J1918" s="4">
        <v>0.014</v>
      </c>
      <c r="K1918" s="6" t="b">
        <f t="shared" ref="K1918:M1918" si="1878">FALSE()</f>
        <v>0</v>
      </c>
      <c r="L1918" s="6" t="b">
        <f t="shared" si="1878"/>
        <v>0</v>
      </c>
      <c r="M1918" s="6" t="b">
        <f t="shared" si="1878"/>
        <v>0</v>
      </c>
      <c r="P1918" s="4">
        <v>0.215111379616946</v>
      </c>
      <c r="T1918" s="4" t="str">
        <f t="shared" si="3"/>
        <v/>
      </c>
      <c r="U1918" s="4">
        <f t="shared" si="4"/>
        <v>1946</v>
      </c>
    </row>
    <row r="1919" ht="15.75" customHeight="1">
      <c r="A1919" s="4" t="s">
        <v>3059</v>
      </c>
      <c r="B1919" s="4" t="s">
        <v>13</v>
      </c>
      <c r="I1919" s="4">
        <v>0.153</v>
      </c>
      <c r="J1919" s="4">
        <v>0.01</v>
      </c>
      <c r="K1919" s="6" t="b">
        <f t="shared" ref="K1919:M1919" si="1879">FALSE()</f>
        <v>0</v>
      </c>
      <c r="L1919" s="6" t="b">
        <f t="shared" si="1879"/>
        <v>0</v>
      </c>
      <c r="M1919" s="6" t="b">
        <f t="shared" si="1879"/>
        <v>0</v>
      </c>
      <c r="P1919" s="4">
        <v>0.142367241286922</v>
      </c>
      <c r="T1919" s="4" t="str">
        <f t="shared" si="3"/>
        <v/>
      </c>
      <c r="U1919" s="4">
        <f t="shared" si="4"/>
        <v>3271</v>
      </c>
    </row>
    <row r="1920" ht="15.75" customHeight="1">
      <c r="A1920" s="4" t="s">
        <v>3060</v>
      </c>
      <c r="B1920" s="4" t="s">
        <v>13</v>
      </c>
      <c r="I1920" s="4">
        <v>0.186</v>
      </c>
      <c r="J1920" s="4">
        <v>0.015</v>
      </c>
      <c r="K1920" s="6" t="b">
        <f t="shared" ref="K1920:M1920" si="1880">FALSE()</f>
        <v>0</v>
      </c>
      <c r="L1920" s="6" t="b">
        <f t="shared" si="1880"/>
        <v>0</v>
      </c>
      <c r="M1920" s="6" t="b">
        <f t="shared" si="1880"/>
        <v>0</v>
      </c>
      <c r="P1920" s="4">
        <v>0.170586300575534</v>
      </c>
      <c r="T1920" s="4" t="str">
        <f t="shared" si="3"/>
        <v/>
      </c>
      <c r="U1920" s="4">
        <f t="shared" si="4"/>
        <v>2799</v>
      </c>
    </row>
    <row r="1921" ht="15.75" customHeight="1">
      <c r="A1921" s="4" t="s">
        <v>3061</v>
      </c>
      <c r="B1921" s="4" t="s">
        <v>13</v>
      </c>
      <c r="I1921" s="4">
        <v>0.088</v>
      </c>
      <c r="J1921" s="4">
        <v>0.008</v>
      </c>
      <c r="K1921" s="6" t="b">
        <f t="shared" ref="K1921:M1921" si="1881">FALSE()</f>
        <v>0</v>
      </c>
      <c r="L1921" s="6" t="b">
        <f t="shared" si="1881"/>
        <v>0</v>
      </c>
      <c r="M1921" s="6" t="b">
        <f t="shared" si="1881"/>
        <v>0</v>
      </c>
      <c r="P1921" s="4">
        <v>0.0843411484337508</v>
      </c>
      <c r="T1921" s="4" t="str">
        <f t="shared" si="3"/>
        <v/>
      </c>
      <c r="U1921" s="4">
        <f t="shared" si="4"/>
        <v>4350</v>
      </c>
    </row>
    <row r="1922" ht="15.75" customHeight="1">
      <c r="A1922" s="4" t="s">
        <v>3062</v>
      </c>
      <c r="B1922" s="4" t="s">
        <v>13</v>
      </c>
      <c r="I1922" s="4">
        <v>0.144</v>
      </c>
      <c r="J1922" s="4">
        <v>0.007</v>
      </c>
      <c r="K1922" s="6" t="b">
        <f t="shared" ref="K1922:M1922" si="1882">FALSE()</f>
        <v>0</v>
      </c>
      <c r="L1922" s="6" t="b">
        <f t="shared" si="1882"/>
        <v>0</v>
      </c>
      <c r="M1922" s="6" t="b">
        <f t="shared" si="1882"/>
        <v>0</v>
      </c>
      <c r="P1922" s="4">
        <v>0.134530892957606</v>
      </c>
      <c r="T1922" s="4" t="str">
        <f t="shared" si="3"/>
        <v/>
      </c>
      <c r="U1922" s="4">
        <f t="shared" si="4"/>
        <v>3439</v>
      </c>
    </row>
    <row r="1923" ht="15.75" customHeight="1">
      <c r="A1923" s="4" t="s">
        <v>3063</v>
      </c>
      <c r="B1923" s="4" t="s">
        <v>13</v>
      </c>
      <c r="I1923" s="4">
        <v>0.085</v>
      </c>
      <c r="J1923" s="4">
        <v>0.014</v>
      </c>
      <c r="K1923" s="6" t="b">
        <f t="shared" ref="K1923:M1923" si="1883">FALSE()</f>
        <v>0</v>
      </c>
      <c r="L1923" s="6" t="b">
        <f t="shared" si="1883"/>
        <v>0</v>
      </c>
      <c r="M1923" s="6" t="b">
        <f t="shared" si="1883"/>
        <v>0</v>
      </c>
      <c r="P1923" s="4">
        <v>0.0815799869924228</v>
      </c>
      <c r="T1923" s="4" t="str">
        <f t="shared" si="3"/>
        <v/>
      </c>
      <c r="U1923" s="4">
        <f t="shared" si="4"/>
        <v>4375</v>
      </c>
    </row>
    <row r="1924" ht="15.75" customHeight="1">
      <c r="A1924" s="4" t="s">
        <v>730</v>
      </c>
      <c r="B1924" s="4" t="s">
        <v>13</v>
      </c>
      <c r="C1924" s="4">
        <v>0.031314</v>
      </c>
      <c r="D1924" s="4">
        <v>0.008848</v>
      </c>
      <c r="E1924" s="4">
        <v>0.008848</v>
      </c>
      <c r="F1924" s="4">
        <v>0.03129</v>
      </c>
      <c r="G1924" s="4">
        <v>0.00884</v>
      </c>
      <c r="H1924" s="4">
        <v>0.00884</v>
      </c>
      <c r="I1924" s="4">
        <v>0.2123</v>
      </c>
      <c r="J1924" s="4">
        <v>0.0054</v>
      </c>
      <c r="K1924" s="6" t="b">
        <f t="shared" ref="K1924:M1924" si="1884">FALSE()</f>
        <v>0</v>
      </c>
      <c r="L1924" s="6" t="b">
        <f t="shared" si="1884"/>
        <v>0</v>
      </c>
      <c r="M1924" s="6" t="b">
        <f t="shared" si="1884"/>
        <v>0</v>
      </c>
      <c r="N1924" s="4">
        <v>0.0308337173471345</v>
      </c>
      <c r="O1924" s="4">
        <v>0.0308104457933112</v>
      </c>
      <c r="P1924" s="4">
        <v>0.192519381770401</v>
      </c>
      <c r="Q1924" s="4">
        <v>-0.608811100297979</v>
      </c>
      <c r="R1924" s="4">
        <v>-0.632614470384925</v>
      </c>
      <c r="S1924" s="4">
        <v>-1.14688839289415</v>
      </c>
      <c r="T1924" s="4">
        <f t="shared" si="3"/>
        <v>1529</v>
      </c>
      <c r="U1924" s="4">
        <f t="shared" si="4"/>
        <v>2371</v>
      </c>
    </row>
    <row r="1925" ht="15.75" customHeight="1">
      <c r="A1925" s="4" t="s">
        <v>731</v>
      </c>
      <c r="B1925" s="4" t="s">
        <v>13</v>
      </c>
      <c r="C1925" s="4">
        <v>0.0224785</v>
      </c>
      <c r="D1925" s="4">
        <v>0.012249</v>
      </c>
      <c r="E1925" s="4">
        <v>0.012249</v>
      </c>
      <c r="I1925" s="4">
        <v>0.2105</v>
      </c>
      <c r="J1925" s="4">
        <v>0.00687</v>
      </c>
      <c r="K1925" s="6" t="b">
        <f t="shared" ref="K1925:M1925" si="1885">FALSE()</f>
        <v>0</v>
      </c>
      <c r="L1925" s="6" t="b">
        <f t="shared" si="1885"/>
        <v>0</v>
      </c>
      <c r="M1925" s="6" t="b">
        <f t="shared" si="1885"/>
        <v>0</v>
      </c>
      <c r="N1925" s="4">
        <v>0.0222295818188859</v>
      </c>
      <c r="P1925" s="4">
        <v>0.191033497395976</v>
      </c>
      <c r="T1925" s="4">
        <f t="shared" si="3"/>
        <v>1677</v>
      </c>
      <c r="U1925" s="4">
        <f t="shared" si="4"/>
        <v>2409</v>
      </c>
    </row>
    <row r="1926" ht="15.75" customHeight="1">
      <c r="A1926" s="4" t="s">
        <v>732</v>
      </c>
      <c r="B1926" s="4" t="s">
        <v>13</v>
      </c>
      <c r="C1926" s="4">
        <v>5.54</v>
      </c>
      <c r="D1926" s="4">
        <v>4.629</v>
      </c>
      <c r="E1926" s="4">
        <v>4.629</v>
      </c>
      <c r="F1926" s="4">
        <v>5.54</v>
      </c>
      <c r="G1926" s="4">
        <v>4.628</v>
      </c>
      <c r="H1926" s="4">
        <v>4.628</v>
      </c>
      <c r="I1926" s="4">
        <v>0.23508</v>
      </c>
      <c r="J1926" s="4">
        <v>0.01285</v>
      </c>
      <c r="K1926" s="6" t="b">
        <f>TRUE()</f>
        <v>1</v>
      </c>
      <c r="L1926" s="6" t="b">
        <f t="shared" ref="L1926:M1926" si="1886">FALSE()</f>
        <v>0</v>
      </c>
      <c r="M1926" s="6" t="b">
        <f t="shared" si="1886"/>
        <v>0</v>
      </c>
      <c r="N1926" s="4">
        <v>1.87793716546911</v>
      </c>
      <c r="O1926" s="4">
        <v>1.87793716546911</v>
      </c>
      <c r="P1926" s="4">
        <v>0.211135745309915</v>
      </c>
      <c r="Q1926" s="4">
        <v>2.77472419432584</v>
      </c>
      <c r="R1926" s="4">
        <v>2.86231531766167</v>
      </c>
      <c r="S1926" s="4">
        <v>-1.10426658277237</v>
      </c>
      <c r="T1926" s="4">
        <f t="shared" si="3"/>
        <v>187</v>
      </c>
      <c r="U1926" s="4">
        <f t="shared" si="4"/>
        <v>2026</v>
      </c>
    </row>
    <row r="1927" ht="15.75" customHeight="1">
      <c r="A1927" s="4" t="s">
        <v>3064</v>
      </c>
      <c r="B1927" s="4" t="s">
        <v>13</v>
      </c>
      <c r="I1927" s="4">
        <v>0.143</v>
      </c>
      <c r="J1927" s="4">
        <v>0.016</v>
      </c>
      <c r="K1927" s="6" t="b">
        <f t="shared" ref="K1927:M1927" si="1887">FALSE()</f>
        <v>0</v>
      </c>
      <c r="L1927" s="6" t="b">
        <f t="shared" si="1887"/>
        <v>0</v>
      </c>
      <c r="M1927" s="6" t="b">
        <f t="shared" si="1887"/>
        <v>0</v>
      </c>
      <c r="P1927" s="4">
        <v>0.133656384812674</v>
      </c>
      <c r="T1927" s="4" t="str">
        <f t="shared" si="3"/>
        <v/>
      </c>
      <c r="U1927" s="4">
        <f t="shared" si="4"/>
        <v>3452</v>
      </c>
    </row>
    <row r="1928" ht="15.75" customHeight="1">
      <c r="A1928" s="4" t="s">
        <v>3065</v>
      </c>
      <c r="B1928" s="4" t="s">
        <v>13</v>
      </c>
      <c r="I1928" s="4">
        <v>0.132</v>
      </c>
      <c r="J1928" s="4">
        <v>0.014</v>
      </c>
      <c r="K1928" s="6" t="b">
        <f t="shared" ref="K1928:M1928" si="1888">FALSE()</f>
        <v>0</v>
      </c>
      <c r="L1928" s="6" t="b">
        <f t="shared" si="1888"/>
        <v>0</v>
      </c>
      <c r="M1928" s="6" t="b">
        <f t="shared" si="1888"/>
        <v>0</v>
      </c>
      <c r="P1928" s="4">
        <v>0.123985979780991</v>
      </c>
      <c r="T1928" s="4" t="str">
        <f t="shared" si="3"/>
        <v/>
      </c>
      <c r="U1928" s="4">
        <f t="shared" si="4"/>
        <v>3657</v>
      </c>
    </row>
    <row r="1929" ht="15.75" customHeight="1">
      <c r="A1929" s="4" t="s">
        <v>3066</v>
      </c>
      <c r="B1929" s="4" t="s">
        <v>13</v>
      </c>
      <c r="I1929" s="4">
        <v>0.303</v>
      </c>
      <c r="J1929" s="4">
        <v>0.06</v>
      </c>
      <c r="K1929" s="6" t="b">
        <f t="shared" ref="K1929:M1929" si="1889">FALSE()</f>
        <v>0</v>
      </c>
      <c r="L1929" s="6" t="b">
        <f t="shared" si="1889"/>
        <v>0</v>
      </c>
      <c r="M1929" s="6" t="b">
        <f t="shared" si="1889"/>
        <v>0</v>
      </c>
      <c r="P1929" s="4">
        <v>0.264669298142708</v>
      </c>
      <c r="T1929" s="4" t="str">
        <f t="shared" si="3"/>
        <v/>
      </c>
      <c r="U1929" s="4">
        <f t="shared" si="4"/>
        <v>1358</v>
      </c>
    </row>
    <row r="1930" ht="15.75" customHeight="1">
      <c r="A1930" s="4" t="s">
        <v>3067</v>
      </c>
      <c r="B1930" s="4" t="s">
        <v>13</v>
      </c>
      <c r="I1930" s="4">
        <v>0.261</v>
      </c>
      <c r="J1930" s="4">
        <v>0.028</v>
      </c>
      <c r="K1930" s="6" t="b">
        <f t="shared" ref="K1930:M1930" si="1890">FALSE()</f>
        <v>0</v>
      </c>
      <c r="L1930" s="6" t="b">
        <f t="shared" si="1890"/>
        <v>0</v>
      </c>
      <c r="M1930" s="6" t="b">
        <f t="shared" si="1890"/>
        <v>0</v>
      </c>
      <c r="P1930" s="4">
        <v>0.231905056982783</v>
      </c>
      <c r="T1930" s="4" t="str">
        <f t="shared" si="3"/>
        <v/>
      </c>
      <c r="U1930" s="4">
        <f t="shared" si="4"/>
        <v>1671</v>
      </c>
    </row>
    <row r="1931" ht="15.75" customHeight="1">
      <c r="A1931" s="4" t="s">
        <v>3068</v>
      </c>
      <c r="B1931" s="4" t="s">
        <v>13</v>
      </c>
      <c r="I1931" s="4">
        <v>0.087</v>
      </c>
      <c r="J1931" s="4">
        <v>0.004</v>
      </c>
      <c r="K1931" s="6" t="b">
        <f t="shared" ref="K1931:M1931" si="1891">FALSE()</f>
        <v>0</v>
      </c>
      <c r="L1931" s="6" t="b">
        <f t="shared" si="1891"/>
        <v>0</v>
      </c>
      <c r="M1931" s="6" t="b">
        <f t="shared" si="1891"/>
        <v>0</v>
      </c>
      <c r="P1931" s="4">
        <v>0.0834216081390723</v>
      </c>
      <c r="T1931" s="4" t="str">
        <f t="shared" si="3"/>
        <v/>
      </c>
      <c r="U1931" s="4">
        <f t="shared" si="4"/>
        <v>4356</v>
      </c>
    </row>
    <row r="1932" ht="15.75" customHeight="1">
      <c r="A1932" s="4" t="s">
        <v>3069</v>
      </c>
      <c r="B1932" s="4" t="s">
        <v>13</v>
      </c>
      <c r="I1932" s="4">
        <v>0.235</v>
      </c>
      <c r="J1932" s="4">
        <v>0.047</v>
      </c>
      <c r="K1932" s="6" t="b">
        <f t="shared" ref="K1932:M1932" si="1892">FALSE()</f>
        <v>0</v>
      </c>
      <c r="L1932" s="6" t="b">
        <f t="shared" si="1892"/>
        <v>0</v>
      </c>
      <c r="M1932" s="6" t="b">
        <f t="shared" si="1892"/>
        <v>0</v>
      </c>
      <c r="P1932" s="4">
        <v>0.211070970079941</v>
      </c>
      <c r="T1932" s="4" t="str">
        <f t="shared" si="3"/>
        <v/>
      </c>
      <c r="U1932" s="4">
        <f t="shared" si="4"/>
        <v>2029</v>
      </c>
    </row>
    <row r="1933" ht="15.75" customHeight="1">
      <c r="A1933" s="4" t="s">
        <v>3070</v>
      </c>
      <c r="B1933" s="4" t="s">
        <v>13</v>
      </c>
      <c r="I1933" s="4">
        <v>0.11</v>
      </c>
      <c r="J1933" s="4">
        <v>0.005</v>
      </c>
      <c r="K1933" s="6" t="b">
        <f t="shared" ref="K1933:M1933" si="1893">FALSE()</f>
        <v>0</v>
      </c>
      <c r="L1933" s="6" t="b">
        <f t="shared" si="1893"/>
        <v>0</v>
      </c>
      <c r="M1933" s="6" t="b">
        <f t="shared" si="1893"/>
        <v>0</v>
      </c>
      <c r="P1933" s="4">
        <v>0.104360015324243</v>
      </c>
      <c r="T1933" s="4" t="str">
        <f t="shared" si="3"/>
        <v/>
      </c>
      <c r="U1933" s="4">
        <f t="shared" si="4"/>
        <v>4041</v>
      </c>
    </row>
    <row r="1934" ht="15.75" customHeight="1">
      <c r="A1934" s="4" t="s">
        <v>3071</v>
      </c>
      <c r="B1934" s="4" t="s">
        <v>13</v>
      </c>
      <c r="I1934" s="4">
        <v>0.269</v>
      </c>
      <c r="J1934" s="4">
        <v>0.054</v>
      </c>
      <c r="K1934" s="6" t="b">
        <f t="shared" ref="K1934:M1934" si="1894">FALSE()</f>
        <v>0</v>
      </c>
      <c r="L1934" s="6" t="b">
        <f t="shared" si="1894"/>
        <v>0</v>
      </c>
      <c r="M1934" s="6" t="b">
        <f t="shared" si="1894"/>
        <v>0</v>
      </c>
      <c r="P1934" s="4">
        <v>0.238229188732251</v>
      </c>
      <c r="T1934" s="4" t="str">
        <f t="shared" si="3"/>
        <v/>
      </c>
      <c r="U1934" s="4">
        <f t="shared" si="4"/>
        <v>1599</v>
      </c>
    </row>
    <row r="1935" ht="15.75" customHeight="1">
      <c r="A1935" s="4" t="s">
        <v>3072</v>
      </c>
      <c r="B1935" s="4" t="s">
        <v>13</v>
      </c>
      <c r="I1935" s="4">
        <v>0.3</v>
      </c>
      <c r="J1935" s="4">
        <v>0.046</v>
      </c>
      <c r="K1935" s="6" t="b">
        <f t="shared" ref="K1935:M1935" si="1895">FALSE()</f>
        <v>0</v>
      </c>
      <c r="L1935" s="6" t="b">
        <f t="shared" si="1895"/>
        <v>0</v>
      </c>
      <c r="M1935" s="6" t="b">
        <f t="shared" si="1895"/>
        <v>0</v>
      </c>
      <c r="P1935" s="4">
        <v>0.262364264467491</v>
      </c>
      <c r="T1935" s="4" t="str">
        <f t="shared" si="3"/>
        <v/>
      </c>
      <c r="U1935" s="4">
        <f t="shared" si="4"/>
        <v>1379</v>
      </c>
    </row>
    <row r="1936" ht="15.75" customHeight="1">
      <c r="A1936" s="4" t="s">
        <v>3073</v>
      </c>
      <c r="B1936" s="4" t="s">
        <v>13</v>
      </c>
      <c r="I1936" s="4">
        <v>0.1882</v>
      </c>
      <c r="J1936" s="4">
        <v>0.017</v>
      </c>
      <c r="K1936" s="6" t="b">
        <f t="shared" ref="K1936:M1936" si="1896">FALSE()</f>
        <v>0</v>
      </c>
      <c r="L1936" s="6" t="b">
        <f t="shared" si="1896"/>
        <v>0</v>
      </c>
      <c r="M1936" s="6" t="b">
        <f t="shared" si="1896"/>
        <v>0</v>
      </c>
      <c r="P1936" s="4">
        <v>0.172439556939504</v>
      </c>
      <c r="T1936" s="4" t="str">
        <f t="shared" si="3"/>
        <v/>
      </c>
      <c r="U1936" s="4">
        <f t="shared" si="4"/>
        <v>2771</v>
      </c>
    </row>
    <row r="1937" ht="15.75" customHeight="1">
      <c r="A1937" s="4" t="s">
        <v>3074</v>
      </c>
      <c r="B1937" s="4" t="s">
        <v>13</v>
      </c>
      <c r="I1937" s="4">
        <v>0.154</v>
      </c>
      <c r="J1937" s="4">
        <v>0.013</v>
      </c>
      <c r="K1937" s="6" t="b">
        <f t="shared" ref="K1937:M1937" si="1897">FALSE()</f>
        <v>0</v>
      </c>
      <c r="L1937" s="6" t="b">
        <f t="shared" si="1897"/>
        <v>0</v>
      </c>
      <c r="M1937" s="6" t="b">
        <f t="shared" si="1897"/>
        <v>0</v>
      </c>
      <c r="P1937" s="4">
        <v>0.143234168085908</v>
      </c>
      <c r="T1937" s="4" t="str">
        <f t="shared" si="3"/>
        <v/>
      </c>
      <c r="U1937" s="4">
        <f t="shared" si="4"/>
        <v>3252</v>
      </c>
    </row>
    <row r="1938" ht="15.75" customHeight="1">
      <c r="A1938" s="4" t="s">
        <v>733</v>
      </c>
      <c r="B1938" s="4" t="s">
        <v>13</v>
      </c>
      <c r="C1938" s="4">
        <v>0.016</v>
      </c>
      <c r="D1938" s="4">
        <v>0.0129</v>
      </c>
      <c r="E1938" s="4">
        <v>0.0198</v>
      </c>
      <c r="I1938" s="4">
        <v>0.429</v>
      </c>
      <c r="J1938" s="4">
        <v>0.136</v>
      </c>
      <c r="K1938" s="6" t="b">
        <f t="shared" ref="K1938:M1938" si="1898">FALSE()</f>
        <v>0</v>
      </c>
      <c r="L1938" s="6" t="b">
        <f t="shared" si="1898"/>
        <v>0</v>
      </c>
      <c r="M1938" s="6" t="b">
        <f t="shared" si="1898"/>
        <v>0</v>
      </c>
      <c r="N1938" s="4">
        <v>0.0158733491562901</v>
      </c>
      <c r="P1938" s="4">
        <v>0.35697489894773</v>
      </c>
      <c r="T1938" s="4">
        <f t="shared" si="3"/>
        <v>1806</v>
      </c>
      <c r="U1938" s="4">
        <f t="shared" si="4"/>
        <v>1080</v>
      </c>
    </row>
    <row r="1939" ht="15.75" customHeight="1">
      <c r="A1939" s="4" t="s">
        <v>734</v>
      </c>
      <c r="B1939" s="4" t="s">
        <v>13</v>
      </c>
      <c r="C1939" s="4">
        <v>0.01447</v>
      </c>
      <c r="D1939" s="4">
        <v>0.00267</v>
      </c>
      <c r="E1939" s="4">
        <v>0.00289</v>
      </c>
      <c r="I1939" s="4">
        <v>0.117</v>
      </c>
      <c r="J1939" s="4">
        <v>0.006</v>
      </c>
      <c r="K1939" s="6" t="b">
        <f t="shared" ref="K1939:M1939" si="1899">FALSE()</f>
        <v>0</v>
      </c>
      <c r="L1939" s="6" t="b">
        <f t="shared" si="1899"/>
        <v>0</v>
      </c>
      <c r="M1939" s="6" t="b">
        <f t="shared" si="1899"/>
        <v>0</v>
      </c>
      <c r="N1939" s="4">
        <v>0.0143663086291468</v>
      </c>
      <c r="P1939" s="4">
        <v>0.110646520087064</v>
      </c>
      <c r="T1939" s="4">
        <f t="shared" si="3"/>
        <v>1836</v>
      </c>
      <c r="U1939" s="4">
        <f t="shared" si="4"/>
        <v>3928</v>
      </c>
    </row>
    <row r="1940" ht="15.75" customHeight="1">
      <c r="A1940" s="4" t="s">
        <v>3075</v>
      </c>
      <c r="B1940" s="4" t="s">
        <v>13</v>
      </c>
      <c r="I1940" s="4">
        <v>0.212</v>
      </c>
      <c r="J1940" s="4">
        <v>0.026</v>
      </c>
      <c r="K1940" s="6" t="b">
        <f t="shared" ref="K1940:M1940" si="1900">FALSE()</f>
        <v>0</v>
      </c>
      <c r="L1940" s="6" t="b">
        <f t="shared" si="1900"/>
        <v>0</v>
      </c>
      <c r="M1940" s="6" t="b">
        <f t="shared" si="1900"/>
        <v>0</v>
      </c>
      <c r="P1940" s="4">
        <v>0.192271887647123</v>
      </c>
      <c r="T1940" s="4" t="str">
        <f t="shared" si="3"/>
        <v/>
      </c>
      <c r="U1940" s="4">
        <f t="shared" si="4"/>
        <v>2375</v>
      </c>
    </row>
    <row r="1941" ht="15.75" customHeight="1">
      <c r="A1941" s="4" t="s">
        <v>3076</v>
      </c>
      <c r="B1941" s="4" t="s">
        <v>13</v>
      </c>
      <c r="I1941" s="4">
        <v>0.177</v>
      </c>
      <c r="J1941" s="4">
        <v>0.033</v>
      </c>
      <c r="K1941" s="6" t="b">
        <f t="shared" ref="K1941:M1941" si="1901">FALSE()</f>
        <v>0</v>
      </c>
      <c r="L1941" s="6" t="b">
        <f t="shared" si="1901"/>
        <v>0</v>
      </c>
      <c r="M1941" s="6" t="b">
        <f t="shared" si="1901"/>
        <v>0</v>
      </c>
      <c r="P1941" s="4">
        <v>0.16296882827814</v>
      </c>
      <c r="T1941" s="4" t="str">
        <f t="shared" si="3"/>
        <v/>
      </c>
      <c r="U1941" s="4">
        <f t="shared" si="4"/>
        <v>2947</v>
      </c>
    </row>
    <row r="1942" ht="15.75" customHeight="1">
      <c r="A1942" s="4" t="s">
        <v>3077</v>
      </c>
      <c r="B1942" s="4" t="s">
        <v>13</v>
      </c>
      <c r="I1942" s="4">
        <v>0.157</v>
      </c>
      <c r="J1942" s="4">
        <v>0.009</v>
      </c>
      <c r="K1942" s="6" t="b">
        <f t="shared" ref="K1942:M1942" si="1902">FALSE()</f>
        <v>0</v>
      </c>
      <c r="L1942" s="6" t="b">
        <f t="shared" si="1902"/>
        <v>0</v>
      </c>
      <c r="M1942" s="6" t="b">
        <f t="shared" si="1902"/>
        <v>0</v>
      </c>
      <c r="P1942" s="4">
        <v>0.14583044821154</v>
      </c>
      <c r="T1942" s="4" t="str">
        <f t="shared" si="3"/>
        <v/>
      </c>
      <c r="U1942" s="4">
        <f t="shared" si="4"/>
        <v>3214</v>
      </c>
    </row>
    <row r="1943" ht="15.75" customHeight="1">
      <c r="A1943" s="4" t="s">
        <v>3078</v>
      </c>
      <c r="B1943" s="4" t="s">
        <v>13</v>
      </c>
      <c r="I1943" s="4">
        <v>0.1856</v>
      </c>
      <c r="J1943" s="4">
        <v>0.0491</v>
      </c>
      <c r="K1943" s="6" t="b">
        <f t="shared" ref="K1943:M1943" si="1903">FALSE()</f>
        <v>0</v>
      </c>
      <c r="L1943" s="6" t="b">
        <f t="shared" si="1903"/>
        <v>0</v>
      </c>
      <c r="M1943" s="6" t="b">
        <f t="shared" si="1903"/>
        <v>0</v>
      </c>
      <c r="P1943" s="4">
        <v>0.170248975559685</v>
      </c>
      <c r="T1943" s="4" t="str">
        <f t="shared" si="3"/>
        <v/>
      </c>
      <c r="U1943" s="4">
        <f t="shared" si="4"/>
        <v>2817</v>
      </c>
    </row>
    <row r="1944" ht="15.75" customHeight="1">
      <c r="A1944" s="4" t="s">
        <v>3079</v>
      </c>
      <c r="B1944" s="4" t="s">
        <v>13</v>
      </c>
      <c r="I1944" s="4">
        <v>0.138</v>
      </c>
      <c r="J1944" s="4">
        <v>0.004</v>
      </c>
      <c r="K1944" s="6" t="b">
        <f t="shared" ref="K1944:M1944" si="1904">FALSE()</f>
        <v>0</v>
      </c>
      <c r="L1944" s="6" t="b">
        <f t="shared" si="1904"/>
        <v>0</v>
      </c>
      <c r="M1944" s="6" t="b">
        <f t="shared" si="1904"/>
        <v>0</v>
      </c>
      <c r="P1944" s="4">
        <v>0.129272335704139</v>
      </c>
      <c r="T1944" s="4" t="str">
        <f t="shared" si="3"/>
        <v/>
      </c>
      <c r="U1944" s="4">
        <f t="shared" si="4"/>
        <v>3539</v>
      </c>
    </row>
    <row r="1945" ht="15.75" customHeight="1">
      <c r="A1945" s="4" t="s">
        <v>3080</v>
      </c>
      <c r="B1945" s="4" t="s">
        <v>13</v>
      </c>
      <c r="I1945" s="4">
        <v>0.333</v>
      </c>
      <c r="J1945" s="4">
        <v>0.032</v>
      </c>
      <c r="K1945" s="6" t="b">
        <f t="shared" ref="K1945:M1945" si="1905">FALSE()</f>
        <v>0</v>
      </c>
      <c r="L1945" s="6" t="b">
        <f t="shared" si="1905"/>
        <v>0</v>
      </c>
      <c r="M1945" s="6" t="b">
        <f t="shared" si="1905"/>
        <v>0</v>
      </c>
      <c r="P1945" s="4">
        <v>0.287432041196572</v>
      </c>
      <c r="T1945" s="4" t="str">
        <f t="shared" si="3"/>
        <v/>
      </c>
      <c r="U1945" s="4">
        <f t="shared" si="4"/>
        <v>1250</v>
      </c>
    </row>
    <row r="1946" ht="15.75" customHeight="1">
      <c r="A1946" s="4" t="s">
        <v>3081</v>
      </c>
      <c r="B1946" s="4" t="s">
        <v>13</v>
      </c>
      <c r="I1946" s="4">
        <v>0.143</v>
      </c>
      <c r="J1946" s="4">
        <v>0.015</v>
      </c>
      <c r="K1946" s="6" t="b">
        <f t="shared" ref="K1946:M1946" si="1906">FALSE()</f>
        <v>0</v>
      </c>
      <c r="L1946" s="6" t="b">
        <f t="shared" si="1906"/>
        <v>0</v>
      </c>
      <c r="M1946" s="6" t="b">
        <f t="shared" si="1906"/>
        <v>0</v>
      </c>
      <c r="P1946" s="4">
        <v>0.133656384812674</v>
      </c>
      <c r="T1946" s="4" t="str">
        <f t="shared" si="3"/>
        <v/>
      </c>
      <c r="U1946" s="4">
        <f t="shared" si="4"/>
        <v>3453</v>
      </c>
    </row>
    <row r="1947" ht="15.75" customHeight="1">
      <c r="A1947" s="4" t="s">
        <v>3082</v>
      </c>
      <c r="B1947" s="4" t="s">
        <v>13</v>
      </c>
      <c r="I1947" s="4">
        <v>0.211</v>
      </c>
      <c r="J1947" s="4">
        <v>0.029</v>
      </c>
      <c r="K1947" s="6" t="b">
        <f t="shared" ref="K1947:M1947" si="1907">FALSE()</f>
        <v>0</v>
      </c>
      <c r="L1947" s="6" t="b">
        <f t="shared" si="1907"/>
        <v>0</v>
      </c>
      <c r="M1947" s="6" t="b">
        <f t="shared" si="1907"/>
        <v>0</v>
      </c>
      <c r="P1947" s="4">
        <v>0.191446464570955</v>
      </c>
      <c r="T1947" s="4" t="str">
        <f t="shared" si="3"/>
        <v/>
      </c>
      <c r="U1947" s="4">
        <f t="shared" si="4"/>
        <v>2387</v>
      </c>
    </row>
    <row r="1948" ht="15.75" customHeight="1">
      <c r="A1948" s="4" t="s">
        <v>3083</v>
      </c>
      <c r="B1948" s="4" t="s">
        <v>13</v>
      </c>
      <c r="I1948" s="4">
        <v>0.071</v>
      </c>
      <c r="J1948" s="4">
        <v>0.005</v>
      </c>
      <c r="K1948" s="6" t="b">
        <f t="shared" ref="K1948:M1948" si="1908">FALSE()</f>
        <v>0</v>
      </c>
      <c r="L1948" s="6" t="b">
        <f t="shared" si="1908"/>
        <v>0</v>
      </c>
      <c r="M1948" s="6" t="b">
        <f t="shared" si="1908"/>
        <v>0</v>
      </c>
      <c r="P1948" s="4">
        <v>0.0685927914656117</v>
      </c>
      <c r="T1948" s="4" t="str">
        <f t="shared" si="3"/>
        <v/>
      </c>
      <c r="U1948" s="4">
        <f t="shared" si="4"/>
        <v>4478</v>
      </c>
    </row>
    <row r="1949" ht="15.75" customHeight="1">
      <c r="A1949" s="4" t="s">
        <v>3084</v>
      </c>
      <c r="B1949" s="4" t="s">
        <v>13</v>
      </c>
      <c r="I1949" s="4">
        <v>0.15584</v>
      </c>
      <c r="K1949" s="6" t="b">
        <f t="shared" ref="K1949:M1949" si="1909">FALSE()</f>
        <v>0</v>
      </c>
      <c r="L1949" s="6" t="b">
        <f t="shared" si="1909"/>
        <v>0</v>
      </c>
      <c r="M1949" s="6" t="b">
        <f t="shared" si="1909"/>
        <v>0</v>
      </c>
      <c r="P1949" s="4">
        <v>0.144827352366374</v>
      </c>
      <c r="T1949" s="4" t="str">
        <f t="shared" si="3"/>
        <v/>
      </c>
      <c r="U1949" s="4">
        <f t="shared" si="4"/>
        <v>3236</v>
      </c>
    </row>
    <row r="1950" ht="15.75" customHeight="1">
      <c r="A1950" s="4" t="s">
        <v>3085</v>
      </c>
      <c r="B1950" s="4" t="s">
        <v>13</v>
      </c>
      <c r="I1950" s="4">
        <v>0.324</v>
      </c>
      <c r="J1950" s="4">
        <v>0.033</v>
      </c>
      <c r="K1950" s="6" t="b">
        <f t="shared" ref="K1950:M1950" si="1910">FALSE()</f>
        <v>0</v>
      </c>
      <c r="L1950" s="6" t="b">
        <f t="shared" si="1910"/>
        <v>0</v>
      </c>
      <c r="M1950" s="6" t="b">
        <f t="shared" si="1910"/>
        <v>0</v>
      </c>
      <c r="P1950" s="4">
        <v>0.280657457514816</v>
      </c>
      <c r="T1950" s="4" t="str">
        <f t="shared" si="3"/>
        <v/>
      </c>
      <c r="U1950" s="4">
        <f t="shared" si="4"/>
        <v>1286</v>
      </c>
    </row>
    <row r="1951" ht="15.75" customHeight="1">
      <c r="A1951" s="4" t="s">
        <v>3086</v>
      </c>
      <c r="B1951" s="4" t="s">
        <v>13</v>
      </c>
      <c r="I1951" s="4">
        <v>0.143</v>
      </c>
      <c r="J1951" s="4">
        <v>0.012</v>
      </c>
      <c r="K1951" s="6" t="b">
        <f t="shared" ref="K1951:M1951" si="1911">FALSE()</f>
        <v>0</v>
      </c>
      <c r="L1951" s="6" t="b">
        <f t="shared" si="1911"/>
        <v>0</v>
      </c>
      <c r="M1951" s="6" t="b">
        <f t="shared" si="1911"/>
        <v>0</v>
      </c>
      <c r="P1951" s="4">
        <v>0.133656384812674</v>
      </c>
      <c r="T1951" s="4" t="str">
        <f t="shared" si="3"/>
        <v/>
      </c>
      <c r="U1951" s="4">
        <f t="shared" si="4"/>
        <v>3454</v>
      </c>
    </row>
    <row r="1952" ht="15.75" customHeight="1">
      <c r="A1952" s="4" t="s">
        <v>735</v>
      </c>
      <c r="B1952" s="4" t="s">
        <v>13</v>
      </c>
      <c r="C1952" s="4">
        <v>0.01668</v>
      </c>
      <c r="F1952" s="4">
        <v>4.7E-4</v>
      </c>
      <c r="G1952" s="4">
        <v>0.0088</v>
      </c>
      <c r="H1952" s="4">
        <v>0.0088</v>
      </c>
      <c r="I1952" s="4">
        <v>0.073</v>
      </c>
      <c r="J1952" s="4">
        <v>0.01</v>
      </c>
      <c r="K1952" s="6" t="b">
        <f t="shared" ref="K1952:M1952" si="1912">FALSE()</f>
        <v>0</v>
      </c>
      <c r="L1952" s="6" t="b">
        <f t="shared" si="1912"/>
        <v>0</v>
      </c>
      <c r="M1952" s="6" t="b">
        <f t="shared" si="1912"/>
        <v>0</v>
      </c>
      <c r="N1952" s="4">
        <v>0.0165424166193112</v>
      </c>
      <c r="O1952" s="4">
        <v>4.698895845954E-4</v>
      </c>
      <c r="P1952" s="4">
        <v>0.0704584636485614</v>
      </c>
      <c r="Q1952" s="4">
        <v>-0.617799569690049</v>
      </c>
      <c r="R1952" s="4">
        <v>-0.652167820637088</v>
      </c>
      <c r="S1952" s="4">
        <v>-1.40752132309447</v>
      </c>
      <c r="T1952" s="4">
        <f t="shared" si="3"/>
        <v>1794</v>
      </c>
      <c r="U1952" s="4">
        <f t="shared" si="4"/>
        <v>4464</v>
      </c>
    </row>
    <row r="1953" ht="15.75" customHeight="1">
      <c r="A1953" s="4" t="s">
        <v>736</v>
      </c>
      <c r="B1953" s="4" t="s">
        <v>13</v>
      </c>
      <c r="C1953" s="4">
        <v>0.033</v>
      </c>
      <c r="D1953" s="4">
        <v>0.01</v>
      </c>
      <c r="E1953" s="4">
        <v>0.01</v>
      </c>
      <c r="I1953" s="4">
        <v>0.223</v>
      </c>
      <c r="J1953" s="4">
        <v>0.029</v>
      </c>
      <c r="K1953" s="6" t="b">
        <f t="shared" ref="K1953:M1953" si="1913">FALSE()</f>
        <v>0</v>
      </c>
      <c r="L1953" s="6" t="b">
        <f t="shared" si="1913"/>
        <v>0</v>
      </c>
      <c r="M1953" s="6" t="b">
        <f t="shared" si="1913"/>
        <v>0</v>
      </c>
      <c r="N1953" s="4">
        <v>0.0324671901375014</v>
      </c>
      <c r="P1953" s="4">
        <v>0.201306856705035</v>
      </c>
      <c r="T1953" s="4">
        <f t="shared" si="3"/>
        <v>1514</v>
      </c>
      <c r="U1953" s="4">
        <f t="shared" si="4"/>
        <v>2210</v>
      </c>
    </row>
    <row r="1954" ht="15.75" customHeight="1">
      <c r="A1954" s="4" t="s">
        <v>737</v>
      </c>
      <c r="B1954" s="4" t="s">
        <v>13</v>
      </c>
      <c r="C1954" s="4">
        <v>0.02549</v>
      </c>
      <c r="I1954" s="4">
        <v>0.085</v>
      </c>
      <c r="J1954" s="4">
        <v>0.012</v>
      </c>
      <c r="K1954" s="6" t="b">
        <f t="shared" ref="K1954:M1954" si="1914">FALSE()</f>
        <v>0</v>
      </c>
      <c r="L1954" s="6" t="b">
        <f t="shared" si="1914"/>
        <v>0</v>
      </c>
      <c r="M1954" s="6" t="b">
        <f t="shared" si="1914"/>
        <v>0</v>
      </c>
      <c r="N1954" s="4">
        <v>0.0251705471419442</v>
      </c>
      <c r="P1954" s="4">
        <v>0.0815799869924228</v>
      </c>
      <c r="T1954" s="4">
        <f t="shared" si="3"/>
        <v>1627</v>
      </c>
      <c r="U1954" s="4">
        <f t="shared" si="4"/>
        <v>4376</v>
      </c>
    </row>
    <row r="1955" ht="15.75" customHeight="1">
      <c r="A1955" s="4" t="s">
        <v>738</v>
      </c>
      <c r="B1955" s="4" t="s">
        <v>13</v>
      </c>
      <c r="C1955" s="4">
        <v>0.035</v>
      </c>
      <c r="D1955" s="4">
        <v>0.018</v>
      </c>
      <c r="E1955" s="4">
        <v>0.018</v>
      </c>
      <c r="F1955" s="4">
        <v>0.03514</v>
      </c>
      <c r="G1955" s="4">
        <v>0.018</v>
      </c>
      <c r="H1955" s="4">
        <v>0.018</v>
      </c>
      <c r="I1955" s="4">
        <v>0.228</v>
      </c>
      <c r="J1955" s="4">
        <v>0.029</v>
      </c>
      <c r="K1955" s="6" t="b">
        <f t="shared" ref="K1955:M1955" si="1915">FALSE()</f>
        <v>0</v>
      </c>
      <c r="L1955" s="6" t="b">
        <f t="shared" si="1915"/>
        <v>0</v>
      </c>
      <c r="M1955" s="6" t="b">
        <f t="shared" si="1915"/>
        <v>0</v>
      </c>
      <c r="N1955" s="4">
        <v>0.0344014267173324</v>
      </c>
      <c r="O1955" s="4">
        <v>0.0345366832702355</v>
      </c>
      <c r="P1955" s="4">
        <v>0.205386829724951</v>
      </c>
      <c r="Q1955" s="4">
        <v>-0.606547091948985</v>
      </c>
      <c r="R1955" s="4">
        <v>-0.63017188769606</v>
      </c>
      <c r="S1955" s="4">
        <v>-1.11751339645377</v>
      </c>
      <c r="T1955" s="4">
        <f t="shared" si="3"/>
        <v>1487</v>
      </c>
      <c r="U1955" s="4">
        <f t="shared" si="4"/>
        <v>2139</v>
      </c>
    </row>
    <row r="1956" ht="15.75" customHeight="1">
      <c r="A1956" s="4" t="s">
        <v>3087</v>
      </c>
      <c r="B1956" s="4" t="s">
        <v>13</v>
      </c>
      <c r="I1956" s="4">
        <v>0.154</v>
      </c>
      <c r="J1956" s="4">
        <v>0.022</v>
      </c>
      <c r="K1956" s="6" t="b">
        <f t="shared" ref="K1956:M1956" si="1916">FALSE()</f>
        <v>0</v>
      </c>
      <c r="L1956" s="6" t="b">
        <f t="shared" si="1916"/>
        <v>0</v>
      </c>
      <c r="M1956" s="6" t="b">
        <f t="shared" si="1916"/>
        <v>0</v>
      </c>
      <c r="P1956" s="4">
        <v>0.143234168085908</v>
      </c>
      <c r="T1956" s="4" t="str">
        <f t="shared" si="3"/>
        <v/>
      </c>
      <c r="U1956" s="4">
        <f t="shared" si="4"/>
        <v>3253</v>
      </c>
    </row>
    <row r="1957" ht="15.75" customHeight="1">
      <c r="A1957" s="4" t="s">
        <v>3088</v>
      </c>
      <c r="B1957" s="4" t="s">
        <v>13</v>
      </c>
      <c r="I1957" s="4">
        <v>0.212</v>
      </c>
      <c r="J1957" s="4">
        <v>0.012</v>
      </c>
      <c r="K1957" s="6" t="b">
        <f t="shared" ref="K1957:M1957" si="1917">FALSE()</f>
        <v>0</v>
      </c>
      <c r="L1957" s="6" t="b">
        <f t="shared" si="1917"/>
        <v>0</v>
      </c>
      <c r="M1957" s="6" t="b">
        <f t="shared" si="1917"/>
        <v>0</v>
      </c>
      <c r="P1957" s="4">
        <v>0.192271887647123</v>
      </c>
      <c r="T1957" s="4" t="str">
        <f t="shared" si="3"/>
        <v/>
      </c>
      <c r="U1957" s="4">
        <f t="shared" si="4"/>
        <v>2376</v>
      </c>
    </row>
    <row r="1958" ht="15.75" customHeight="1">
      <c r="A1958" s="4" t="s">
        <v>3089</v>
      </c>
      <c r="B1958" s="4" t="s">
        <v>13</v>
      </c>
      <c r="I1958" s="4">
        <v>0.141</v>
      </c>
      <c r="J1958" s="4">
        <v>0.021</v>
      </c>
      <c r="K1958" s="6" t="b">
        <f t="shared" ref="K1958:M1958" si="1918">FALSE()</f>
        <v>0</v>
      </c>
      <c r="L1958" s="6" t="b">
        <f t="shared" si="1918"/>
        <v>0</v>
      </c>
      <c r="M1958" s="6" t="b">
        <f t="shared" si="1918"/>
        <v>0</v>
      </c>
      <c r="P1958" s="4">
        <v>0.131905070879939</v>
      </c>
      <c r="T1958" s="4" t="str">
        <f t="shared" si="3"/>
        <v/>
      </c>
      <c r="U1958" s="4">
        <f t="shared" si="4"/>
        <v>3487</v>
      </c>
    </row>
    <row r="1959" ht="15.75" customHeight="1">
      <c r="A1959" s="4" t="s">
        <v>3090</v>
      </c>
      <c r="B1959" s="4" t="s">
        <v>13</v>
      </c>
      <c r="I1959" s="4">
        <v>0.205</v>
      </c>
      <c r="J1959" s="4">
        <v>0.022</v>
      </c>
      <c r="K1959" s="6" t="b">
        <f t="shared" ref="K1959:M1959" si="1919">FALSE()</f>
        <v>0</v>
      </c>
      <c r="L1959" s="6" t="b">
        <f t="shared" si="1919"/>
        <v>0</v>
      </c>
      <c r="M1959" s="6" t="b">
        <f t="shared" si="1919"/>
        <v>0</v>
      </c>
      <c r="P1959" s="4">
        <v>0.186479566942618</v>
      </c>
      <c r="T1959" s="4" t="str">
        <f t="shared" si="3"/>
        <v/>
      </c>
      <c r="U1959" s="4">
        <f t="shared" si="4"/>
        <v>2490</v>
      </c>
    </row>
    <row r="1960" ht="15.75" customHeight="1">
      <c r="A1960" s="4" t="s">
        <v>3091</v>
      </c>
      <c r="B1960" s="4" t="s">
        <v>13</v>
      </c>
      <c r="I1960" s="4">
        <v>0.146</v>
      </c>
      <c r="J1960" s="4">
        <v>0.016</v>
      </c>
      <c r="K1960" s="6" t="b">
        <f t="shared" ref="K1960:M1960" si="1920">FALSE()</f>
        <v>0</v>
      </c>
      <c r="L1960" s="6" t="b">
        <f t="shared" si="1920"/>
        <v>0</v>
      </c>
      <c r="M1960" s="6" t="b">
        <f t="shared" si="1920"/>
        <v>0</v>
      </c>
      <c r="P1960" s="4">
        <v>0.136277618292548</v>
      </c>
      <c r="T1960" s="4" t="str">
        <f t="shared" si="3"/>
        <v/>
      </c>
      <c r="U1960" s="4">
        <f t="shared" si="4"/>
        <v>3388</v>
      </c>
    </row>
    <row r="1961" ht="15.75" customHeight="1">
      <c r="A1961" s="4" t="s">
        <v>3092</v>
      </c>
      <c r="B1961" s="4" t="s">
        <v>13</v>
      </c>
      <c r="I1961" s="4">
        <v>0.132725</v>
      </c>
      <c r="K1961" s="6" t="b">
        <f t="shared" ref="K1961:M1961" si="1921">FALSE()</f>
        <v>0</v>
      </c>
      <c r="L1961" s="6" t="b">
        <f t="shared" si="1921"/>
        <v>0</v>
      </c>
      <c r="M1961" s="6" t="b">
        <f t="shared" si="1921"/>
        <v>0</v>
      </c>
      <c r="P1961" s="4">
        <v>0.124626234138378</v>
      </c>
      <c r="T1961" s="4" t="str">
        <f t="shared" si="3"/>
        <v/>
      </c>
      <c r="U1961" s="4">
        <f t="shared" si="4"/>
        <v>3652</v>
      </c>
    </row>
    <row r="1962" ht="15.75" customHeight="1">
      <c r="A1962" s="4" t="s">
        <v>3093</v>
      </c>
      <c r="B1962" s="4" t="s">
        <v>13</v>
      </c>
      <c r="I1962" s="4">
        <v>0.112</v>
      </c>
      <c r="J1962" s="4">
        <v>0.008</v>
      </c>
      <c r="K1962" s="6" t="b">
        <f t="shared" ref="K1962:M1962" si="1922">FALSE()</f>
        <v>0</v>
      </c>
      <c r="L1962" s="6" t="b">
        <f t="shared" si="1922"/>
        <v>0</v>
      </c>
      <c r="M1962" s="6" t="b">
        <f t="shared" si="1922"/>
        <v>0</v>
      </c>
      <c r="P1962" s="4">
        <v>0.106160195828391</v>
      </c>
      <c r="T1962" s="4" t="str">
        <f t="shared" si="3"/>
        <v/>
      </c>
      <c r="U1962" s="4">
        <f t="shared" si="4"/>
        <v>4004</v>
      </c>
    </row>
    <row r="1963" ht="15.75" customHeight="1">
      <c r="A1963" s="4" t="s">
        <v>3094</v>
      </c>
      <c r="B1963" s="4" t="s">
        <v>13</v>
      </c>
      <c r="I1963" s="4">
        <v>0.127</v>
      </c>
      <c r="J1963" s="4">
        <v>0.029</v>
      </c>
      <c r="K1963" s="6" t="b">
        <f t="shared" ref="K1963:M1963" si="1923">FALSE()</f>
        <v>0</v>
      </c>
      <c r="L1963" s="6" t="b">
        <f t="shared" si="1923"/>
        <v>0</v>
      </c>
      <c r="M1963" s="6" t="b">
        <f t="shared" si="1923"/>
        <v>0</v>
      </c>
      <c r="P1963" s="4">
        <v>0.119559235057639</v>
      </c>
      <c r="T1963" s="4" t="str">
        <f t="shared" si="3"/>
        <v/>
      </c>
      <c r="U1963" s="4">
        <f t="shared" si="4"/>
        <v>3742</v>
      </c>
    </row>
    <row r="1964" ht="15.75" customHeight="1">
      <c r="A1964" s="4" t="s">
        <v>3095</v>
      </c>
      <c r="B1964" s="4" t="s">
        <v>13</v>
      </c>
      <c r="I1964" s="4">
        <v>0.071</v>
      </c>
      <c r="J1964" s="4">
        <v>0.003</v>
      </c>
      <c r="K1964" s="6" t="b">
        <f t="shared" ref="K1964:M1964" si="1924">FALSE()</f>
        <v>0</v>
      </c>
      <c r="L1964" s="6" t="b">
        <f t="shared" si="1924"/>
        <v>0</v>
      </c>
      <c r="M1964" s="6" t="b">
        <f t="shared" si="1924"/>
        <v>0</v>
      </c>
      <c r="P1964" s="4">
        <v>0.0685927914656117</v>
      </c>
      <c r="T1964" s="4" t="str">
        <f t="shared" si="3"/>
        <v/>
      </c>
      <c r="U1964" s="4">
        <f t="shared" si="4"/>
        <v>4479</v>
      </c>
    </row>
    <row r="1965" ht="15.75" customHeight="1">
      <c r="A1965" s="4" t="s">
        <v>3096</v>
      </c>
      <c r="B1965" s="4" t="s">
        <v>13</v>
      </c>
      <c r="I1965" s="4">
        <v>0.247</v>
      </c>
      <c r="J1965" s="4">
        <v>0.029</v>
      </c>
      <c r="K1965" s="6" t="b">
        <f t="shared" ref="K1965:M1965" si="1925">FALSE()</f>
        <v>0</v>
      </c>
      <c r="L1965" s="6" t="b">
        <f t="shared" si="1925"/>
        <v>0</v>
      </c>
      <c r="M1965" s="6" t="b">
        <f t="shared" si="1925"/>
        <v>0</v>
      </c>
      <c r="P1965" s="4">
        <v>0.220740666697899</v>
      </c>
      <c r="T1965" s="4" t="str">
        <f t="shared" si="3"/>
        <v/>
      </c>
      <c r="U1965" s="4">
        <f t="shared" si="4"/>
        <v>1849</v>
      </c>
    </row>
    <row r="1966" ht="15.75" customHeight="1">
      <c r="A1966" s="4" t="s">
        <v>3097</v>
      </c>
      <c r="B1966" s="4" t="s">
        <v>13</v>
      </c>
      <c r="I1966" s="4">
        <v>0.17</v>
      </c>
      <c r="J1966" s="4">
        <v>0.029</v>
      </c>
      <c r="K1966" s="6" t="b">
        <f t="shared" ref="K1966:M1966" si="1926">FALSE()</f>
        <v>0</v>
      </c>
      <c r="L1966" s="6" t="b">
        <f t="shared" si="1926"/>
        <v>0</v>
      </c>
      <c r="M1966" s="6" t="b">
        <f t="shared" si="1926"/>
        <v>0</v>
      </c>
      <c r="P1966" s="4">
        <v>0.157003748809665</v>
      </c>
      <c r="T1966" s="4" t="str">
        <f t="shared" si="3"/>
        <v/>
      </c>
      <c r="U1966" s="4">
        <f t="shared" si="4"/>
        <v>3037</v>
      </c>
    </row>
    <row r="1967" ht="15.75" customHeight="1">
      <c r="A1967" s="4" t="s">
        <v>3098</v>
      </c>
      <c r="B1967" s="4" t="s">
        <v>13</v>
      </c>
      <c r="I1967" s="4">
        <v>0.1579</v>
      </c>
      <c r="J1967" s="4">
        <v>0.0339</v>
      </c>
      <c r="K1967" s="6" t="b">
        <f t="shared" ref="K1967:M1967" si="1927">FALSE()</f>
        <v>0</v>
      </c>
      <c r="L1967" s="6" t="b">
        <f t="shared" si="1927"/>
        <v>0</v>
      </c>
      <c r="M1967" s="6" t="b">
        <f t="shared" si="1927"/>
        <v>0</v>
      </c>
      <c r="P1967" s="4">
        <v>0.14660801963609</v>
      </c>
      <c r="T1967" s="4" t="str">
        <f t="shared" si="3"/>
        <v/>
      </c>
      <c r="U1967" s="4">
        <f t="shared" si="4"/>
        <v>3210</v>
      </c>
    </row>
    <row r="1968" ht="15.75" customHeight="1">
      <c r="A1968" s="4" t="s">
        <v>739</v>
      </c>
      <c r="B1968" s="4" t="s">
        <v>13</v>
      </c>
      <c r="C1968" s="4">
        <v>0.01104</v>
      </c>
      <c r="D1968" s="4">
        <v>0.00478</v>
      </c>
      <c r="E1968" s="4">
        <v>0.00478</v>
      </c>
      <c r="I1968" s="4">
        <v>0.137</v>
      </c>
      <c r="J1968" s="4">
        <v>0.002</v>
      </c>
      <c r="K1968" s="6" t="b">
        <f t="shared" ref="K1968:M1968" si="1928">FALSE()</f>
        <v>0</v>
      </c>
      <c r="L1968" s="6" t="b">
        <f t="shared" si="1928"/>
        <v>0</v>
      </c>
      <c r="M1968" s="6" t="b">
        <f t="shared" si="1928"/>
        <v>0</v>
      </c>
      <c r="N1968" s="4">
        <v>0.010979504043008</v>
      </c>
      <c r="P1968" s="4">
        <v>0.128393214768399</v>
      </c>
      <c r="T1968" s="4">
        <f t="shared" si="3"/>
        <v>1916</v>
      </c>
      <c r="U1968" s="4">
        <f t="shared" si="4"/>
        <v>3558</v>
      </c>
    </row>
    <row r="1969" ht="15.75" customHeight="1">
      <c r="A1969" s="4" t="s">
        <v>740</v>
      </c>
      <c r="B1969" s="4" t="s">
        <v>13</v>
      </c>
      <c r="C1969" s="4">
        <v>0.02954</v>
      </c>
      <c r="D1969" s="4">
        <v>0.00557</v>
      </c>
      <c r="E1969" s="4">
        <v>0.00557</v>
      </c>
      <c r="I1969" s="4">
        <v>0.142</v>
      </c>
      <c r="J1969" s="4">
        <v>0.002</v>
      </c>
      <c r="K1969" s="6" t="b">
        <f t="shared" ref="K1969:M1969" si="1929">FALSE()</f>
        <v>0</v>
      </c>
      <c r="L1969" s="6" t="b">
        <f t="shared" si="1929"/>
        <v>0</v>
      </c>
      <c r="M1969" s="6" t="b">
        <f t="shared" si="1929"/>
        <v>0</v>
      </c>
      <c r="N1969" s="4">
        <v>0.0291121005434476</v>
      </c>
      <c r="P1969" s="4">
        <v>0.132781111233818</v>
      </c>
      <c r="T1969" s="4">
        <f t="shared" si="3"/>
        <v>1561</v>
      </c>
      <c r="U1969" s="4">
        <f t="shared" si="4"/>
        <v>3472</v>
      </c>
    </row>
    <row r="1970" ht="15.75" customHeight="1">
      <c r="A1970" s="4" t="s">
        <v>741</v>
      </c>
      <c r="B1970" s="4" t="s">
        <v>13</v>
      </c>
      <c r="C1970" s="4">
        <v>0.01196</v>
      </c>
      <c r="I1970" s="4">
        <v>0.077</v>
      </c>
      <c r="J1970" s="4">
        <v>0.005</v>
      </c>
      <c r="K1970" s="6" t="b">
        <f t="shared" ref="K1970:M1970" si="1930">FALSE()</f>
        <v>0</v>
      </c>
      <c r="L1970" s="6" t="b">
        <f t="shared" si="1930"/>
        <v>0</v>
      </c>
      <c r="M1970" s="6" t="b">
        <f t="shared" si="1930"/>
        <v>0</v>
      </c>
      <c r="N1970" s="4">
        <v>0.0118890443924134</v>
      </c>
      <c r="P1970" s="4">
        <v>0.0741793981742515</v>
      </c>
      <c r="T1970" s="4">
        <f t="shared" si="3"/>
        <v>1903</v>
      </c>
      <c r="U1970" s="4">
        <f t="shared" si="4"/>
        <v>4440</v>
      </c>
    </row>
    <row r="1971" ht="15.75" customHeight="1">
      <c r="A1971" s="4" t="s">
        <v>742</v>
      </c>
      <c r="B1971" s="4" t="s">
        <v>13</v>
      </c>
      <c r="C1971" s="4">
        <v>0.02706</v>
      </c>
      <c r="D1971" s="4">
        <v>0.01133</v>
      </c>
      <c r="E1971" s="4">
        <v>0.01133</v>
      </c>
      <c r="I1971" s="4">
        <v>0.259</v>
      </c>
      <c r="J1971" s="4">
        <v>0.003</v>
      </c>
      <c r="K1971" s="6" t="b">
        <f t="shared" ref="K1971:M1971" si="1931">FALSE()</f>
        <v>0</v>
      </c>
      <c r="L1971" s="6" t="b">
        <f t="shared" si="1931"/>
        <v>0</v>
      </c>
      <c r="M1971" s="6" t="b">
        <f t="shared" si="1931"/>
        <v>0</v>
      </c>
      <c r="N1971" s="4">
        <v>0.0267003518299562</v>
      </c>
      <c r="P1971" s="4">
        <v>0.23031775506221</v>
      </c>
      <c r="T1971" s="4">
        <f t="shared" si="3"/>
        <v>1602</v>
      </c>
      <c r="U1971" s="4">
        <f t="shared" si="4"/>
        <v>1692</v>
      </c>
    </row>
    <row r="1972" ht="15.75" customHeight="1">
      <c r="A1972" s="4" t="s">
        <v>3099</v>
      </c>
      <c r="B1972" s="4" t="s">
        <v>13</v>
      </c>
      <c r="I1972" s="4">
        <v>0.293</v>
      </c>
      <c r="J1972" s="4">
        <v>0.045</v>
      </c>
      <c r="K1972" s="6" t="b">
        <f t="shared" ref="K1972:M1972" si="1932">FALSE()</f>
        <v>0</v>
      </c>
      <c r="L1972" s="6" t="b">
        <f t="shared" si="1932"/>
        <v>0</v>
      </c>
      <c r="M1972" s="6" t="b">
        <f t="shared" si="1932"/>
        <v>0</v>
      </c>
      <c r="P1972" s="4">
        <v>0.25696509978972</v>
      </c>
      <c r="T1972" s="4" t="str">
        <f t="shared" si="3"/>
        <v/>
      </c>
      <c r="U1972" s="4">
        <f t="shared" si="4"/>
        <v>1421</v>
      </c>
    </row>
    <row r="1973" ht="15.75" customHeight="1">
      <c r="A1973" s="4" t="s">
        <v>3100</v>
      </c>
      <c r="B1973" s="4" t="s">
        <v>13</v>
      </c>
      <c r="I1973" s="4">
        <v>0.09</v>
      </c>
      <c r="J1973" s="4">
        <v>0.006</v>
      </c>
      <c r="K1973" s="6" t="b">
        <f t="shared" ref="K1973:M1973" si="1933">FALSE()</f>
        <v>0</v>
      </c>
      <c r="L1973" s="6" t="b">
        <f t="shared" si="1933"/>
        <v>0</v>
      </c>
      <c r="M1973" s="6" t="b">
        <f t="shared" si="1933"/>
        <v>0</v>
      </c>
      <c r="P1973" s="4">
        <v>0.0861776962410523</v>
      </c>
      <c r="T1973" s="4" t="str">
        <f t="shared" si="3"/>
        <v/>
      </c>
      <c r="U1973" s="4">
        <f t="shared" si="4"/>
        <v>4331</v>
      </c>
    </row>
    <row r="1974" ht="15.75" customHeight="1">
      <c r="A1974" s="4" t="s">
        <v>3101</v>
      </c>
      <c r="B1974" s="4" t="s">
        <v>13</v>
      </c>
      <c r="I1974" s="4">
        <v>0.1</v>
      </c>
      <c r="J1974" s="4">
        <v>0.012</v>
      </c>
      <c r="K1974" s="6" t="b">
        <f t="shared" ref="K1974:M1974" si="1934">FALSE()</f>
        <v>0</v>
      </c>
      <c r="L1974" s="6" t="b">
        <f t="shared" si="1934"/>
        <v>0</v>
      </c>
      <c r="M1974" s="6" t="b">
        <f t="shared" si="1934"/>
        <v>0</v>
      </c>
      <c r="P1974" s="4">
        <v>0.0953101798043248</v>
      </c>
      <c r="T1974" s="4" t="str">
        <f t="shared" si="3"/>
        <v/>
      </c>
      <c r="U1974" s="4">
        <f t="shared" si="4"/>
        <v>4211</v>
      </c>
    </row>
    <row r="1975" ht="15.75" customHeight="1">
      <c r="A1975" s="4" t="s">
        <v>3102</v>
      </c>
      <c r="B1975" s="4" t="s">
        <v>13</v>
      </c>
      <c r="I1975" s="4">
        <v>0.3</v>
      </c>
      <c r="J1975" s="4">
        <v>0.056</v>
      </c>
      <c r="K1975" s="6" t="b">
        <f t="shared" ref="K1975:M1975" si="1935">FALSE()</f>
        <v>0</v>
      </c>
      <c r="L1975" s="6" t="b">
        <f t="shared" si="1935"/>
        <v>0</v>
      </c>
      <c r="M1975" s="6" t="b">
        <f t="shared" si="1935"/>
        <v>0</v>
      </c>
      <c r="P1975" s="4">
        <v>0.262364264467491</v>
      </c>
      <c r="T1975" s="4" t="str">
        <f t="shared" si="3"/>
        <v/>
      </c>
      <c r="U1975" s="4">
        <f t="shared" si="4"/>
        <v>1380</v>
      </c>
    </row>
    <row r="1976" ht="15.75" customHeight="1">
      <c r="A1976" s="4" t="s">
        <v>3103</v>
      </c>
      <c r="B1976" s="4" t="s">
        <v>13</v>
      </c>
      <c r="I1976" s="4">
        <v>0.099</v>
      </c>
      <c r="J1976" s="4">
        <v>0.013</v>
      </c>
      <c r="K1976" s="6" t="b">
        <f t="shared" ref="K1976:M1976" si="1936">FALSE()</f>
        <v>0</v>
      </c>
      <c r="L1976" s="6" t="b">
        <f t="shared" si="1936"/>
        <v>0</v>
      </c>
      <c r="M1976" s="6" t="b">
        <f t="shared" si="1936"/>
        <v>0</v>
      </c>
      <c r="P1976" s="4">
        <v>0.0944006754214843</v>
      </c>
      <c r="T1976" s="4" t="str">
        <f t="shared" si="3"/>
        <v/>
      </c>
      <c r="U1976" s="4">
        <f t="shared" si="4"/>
        <v>4230</v>
      </c>
    </row>
    <row r="1977" ht="15.75" customHeight="1">
      <c r="A1977" s="4" t="s">
        <v>3104</v>
      </c>
      <c r="B1977" s="4" t="s">
        <v>13</v>
      </c>
      <c r="I1977" s="4">
        <v>0.644</v>
      </c>
      <c r="J1977" s="4">
        <v>0.066</v>
      </c>
      <c r="K1977" s="6" t="b">
        <f t="shared" ref="K1977:M1977" si="1937">FALSE()</f>
        <v>0</v>
      </c>
      <c r="L1977" s="6" t="b">
        <f t="shared" si="1937"/>
        <v>0</v>
      </c>
      <c r="M1977" s="6" t="b">
        <f t="shared" si="1937"/>
        <v>0</v>
      </c>
      <c r="P1977" s="4">
        <v>0.497132296633988</v>
      </c>
      <c r="T1977" s="4" t="str">
        <f t="shared" si="3"/>
        <v/>
      </c>
      <c r="U1977" s="4">
        <f t="shared" si="4"/>
        <v>920</v>
      </c>
    </row>
    <row r="1978" ht="15.75" customHeight="1">
      <c r="A1978" s="4" t="s">
        <v>3105</v>
      </c>
      <c r="B1978" s="4" t="s">
        <v>13</v>
      </c>
      <c r="I1978" s="4">
        <v>0.292</v>
      </c>
      <c r="K1978" s="6" t="b">
        <f t="shared" ref="K1978:M1978" si="1938">FALSE()</f>
        <v>0</v>
      </c>
      <c r="L1978" s="6" t="b">
        <f t="shared" si="1938"/>
        <v>0</v>
      </c>
      <c r="M1978" s="6" t="b">
        <f t="shared" si="1938"/>
        <v>0</v>
      </c>
      <c r="P1978" s="4">
        <v>0.25619140536041</v>
      </c>
      <c r="T1978" s="4" t="str">
        <f t="shared" si="3"/>
        <v/>
      </c>
      <c r="U1978" s="4">
        <f t="shared" si="4"/>
        <v>1425</v>
      </c>
    </row>
    <row r="1979" ht="15.75" customHeight="1">
      <c r="A1979" s="4" t="s">
        <v>3106</v>
      </c>
      <c r="B1979" s="4" t="s">
        <v>13</v>
      </c>
      <c r="I1979" s="4">
        <v>0.1909</v>
      </c>
      <c r="J1979" s="4">
        <v>0.009</v>
      </c>
      <c r="K1979" s="6" t="b">
        <f t="shared" ref="K1979:M1979" si="1939">FALSE()</f>
        <v>0</v>
      </c>
      <c r="L1979" s="6" t="b">
        <f t="shared" si="1939"/>
        <v>0</v>
      </c>
      <c r="M1979" s="6" t="b">
        <f t="shared" si="1939"/>
        <v>0</v>
      </c>
      <c r="P1979" s="4">
        <v>0.174709323791813</v>
      </c>
      <c r="T1979" s="4" t="str">
        <f t="shared" si="3"/>
        <v/>
      </c>
      <c r="U1979" s="4">
        <f t="shared" si="4"/>
        <v>2728</v>
      </c>
    </row>
    <row r="1980" ht="15.75" customHeight="1">
      <c r="A1980" s="4" t="s">
        <v>3107</v>
      </c>
      <c r="B1980" s="4" t="s">
        <v>13</v>
      </c>
      <c r="I1980" s="4">
        <v>0.2569</v>
      </c>
      <c r="J1980" s="4">
        <v>0.0116</v>
      </c>
      <c r="K1980" s="6" t="b">
        <f t="shared" ref="K1980:M1980" si="1940">FALSE()</f>
        <v>0</v>
      </c>
      <c r="L1980" s="6" t="b">
        <f t="shared" si="1940"/>
        <v>0</v>
      </c>
      <c r="M1980" s="6" t="b">
        <f t="shared" si="1940"/>
        <v>0</v>
      </c>
      <c r="P1980" s="4">
        <v>0.228648371948655</v>
      </c>
      <c r="T1980" s="4" t="str">
        <f t="shared" si="3"/>
        <v/>
      </c>
      <c r="U1980" s="4">
        <f t="shared" si="4"/>
        <v>1717</v>
      </c>
    </row>
    <row r="1981" ht="15.75" customHeight="1">
      <c r="A1981" s="4" t="s">
        <v>3108</v>
      </c>
      <c r="B1981" s="4" t="s">
        <v>13</v>
      </c>
      <c r="I1981" s="4">
        <v>0.074</v>
      </c>
      <c r="J1981" s="4">
        <v>0.017</v>
      </c>
      <c r="K1981" s="6" t="b">
        <f t="shared" ref="K1981:M1981" si="1941">FALSE()</f>
        <v>0</v>
      </c>
      <c r="L1981" s="6" t="b">
        <f t="shared" si="1941"/>
        <v>0</v>
      </c>
      <c r="M1981" s="6" t="b">
        <f t="shared" si="1941"/>
        <v>0</v>
      </c>
      <c r="P1981" s="4">
        <v>0.0713899960866729</v>
      </c>
      <c r="T1981" s="4" t="str">
        <f t="shared" si="3"/>
        <v/>
      </c>
      <c r="U1981" s="4">
        <f t="shared" si="4"/>
        <v>4460</v>
      </c>
    </row>
    <row r="1982" ht="15.75" customHeight="1">
      <c r="A1982" s="4" t="s">
        <v>3109</v>
      </c>
      <c r="B1982" s="4" t="s">
        <v>13</v>
      </c>
      <c r="I1982" s="4">
        <v>0.127</v>
      </c>
      <c r="J1982" s="4">
        <v>0.009</v>
      </c>
      <c r="K1982" s="6" t="b">
        <f t="shared" ref="K1982:M1982" si="1942">FALSE()</f>
        <v>0</v>
      </c>
      <c r="L1982" s="6" t="b">
        <f t="shared" si="1942"/>
        <v>0</v>
      </c>
      <c r="M1982" s="6" t="b">
        <f t="shared" si="1942"/>
        <v>0</v>
      </c>
      <c r="P1982" s="4">
        <v>0.119559235057639</v>
      </c>
      <c r="T1982" s="4" t="str">
        <f t="shared" si="3"/>
        <v/>
      </c>
      <c r="U1982" s="4">
        <f t="shared" si="4"/>
        <v>3743</v>
      </c>
    </row>
    <row r="1983" ht="15.75" customHeight="1">
      <c r="A1983" s="4" t="s">
        <v>3110</v>
      </c>
      <c r="B1983" s="4" t="s">
        <v>13</v>
      </c>
      <c r="I1983" s="4">
        <v>0.163</v>
      </c>
      <c r="J1983" s="4">
        <v>0.03</v>
      </c>
      <c r="K1983" s="6" t="b">
        <f t="shared" ref="K1983:M1983" si="1943">FALSE()</f>
        <v>0</v>
      </c>
      <c r="L1983" s="6" t="b">
        <f t="shared" si="1943"/>
        <v>0</v>
      </c>
      <c r="M1983" s="6" t="b">
        <f t="shared" si="1943"/>
        <v>0</v>
      </c>
      <c r="P1983" s="4">
        <v>0.151002873536527</v>
      </c>
      <c r="T1983" s="4" t="str">
        <f t="shared" si="3"/>
        <v/>
      </c>
      <c r="U1983" s="4">
        <f t="shared" si="4"/>
        <v>3139</v>
      </c>
    </row>
    <row r="1984" ht="15.75" customHeight="1">
      <c r="A1984" s="4" t="s">
        <v>3111</v>
      </c>
      <c r="B1984" s="4" t="s">
        <v>13</v>
      </c>
      <c r="I1984" s="4">
        <v>0.732</v>
      </c>
      <c r="J1984" s="4">
        <v>0.0491</v>
      </c>
      <c r="K1984" s="6" t="b">
        <f t="shared" ref="K1984:M1984" si="1944">FALSE()</f>
        <v>0</v>
      </c>
      <c r="L1984" s="6" t="b">
        <f t="shared" si="1944"/>
        <v>0</v>
      </c>
      <c r="M1984" s="6" t="b">
        <f t="shared" si="1944"/>
        <v>0</v>
      </c>
      <c r="P1984" s="4">
        <v>0.549276810140243</v>
      </c>
      <c r="T1984" s="4" t="str">
        <f t="shared" si="3"/>
        <v/>
      </c>
      <c r="U1984" s="4">
        <f t="shared" si="4"/>
        <v>882</v>
      </c>
    </row>
    <row r="1985" ht="15.75" customHeight="1">
      <c r="A1985" s="4" t="s">
        <v>3112</v>
      </c>
      <c r="B1985" s="4" t="s">
        <v>13</v>
      </c>
      <c r="I1985" s="4">
        <v>0.6941</v>
      </c>
      <c r="J1985" s="4">
        <v>0.0464</v>
      </c>
      <c r="K1985" s="6" t="b">
        <f t="shared" ref="K1985:M1985" si="1945">FALSE()</f>
        <v>0</v>
      </c>
      <c r="L1985" s="6" t="b">
        <f t="shared" si="1945"/>
        <v>0</v>
      </c>
      <c r="M1985" s="6" t="b">
        <f t="shared" si="1945"/>
        <v>0</v>
      </c>
      <c r="P1985" s="4">
        <v>0.527151626364764</v>
      </c>
      <c r="T1985" s="4" t="str">
        <f t="shared" si="3"/>
        <v/>
      </c>
      <c r="U1985" s="4">
        <f t="shared" si="4"/>
        <v>898</v>
      </c>
    </row>
    <row r="1986" ht="15.75" customHeight="1">
      <c r="A1986" s="4" t="s">
        <v>3113</v>
      </c>
      <c r="B1986" s="4" t="s">
        <v>13</v>
      </c>
      <c r="I1986" s="4">
        <v>0.201</v>
      </c>
      <c r="J1986" s="4">
        <v>0.015</v>
      </c>
      <c r="K1986" s="6" t="b">
        <f t="shared" ref="K1986:M1986" si="1946">FALSE()</f>
        <v>0</v>
      </c>
      <c r="L1986" s="6" t="b">
        <f t="shared" si="1946"/>
        <v>0</v>
      </c>
      <c r="M1986" s="6" t="b">
        <f t="shared" si="1946"/>
        <v>0</v>
      </c>
      <c r="P1986" s="4">
        <v>0.183154543097847</v>
      </c>
      <c r="T1986" s="4" t="str">
        <f t="shared" si="3"/>
        <v/>
      </c>
      <c r="U1986" s="4">
        <f t="shared" si="4"/>
        <v>2565</v>
      </c>
    </row>
    <row r="1987" ht="15.75" customHeight="1">
      <c r="A1987" s="4" t="s">
        <v>3114</v>
      </c>
      <c r="B1987" s="4" t="s">
        <v>13</v>
      </c>
      <c r="I1987" s="4">
        <v>0.29369</v>
      </c>
      <c r="K1987" s="6" t="b">
        <f t="shared" ref="K1987:M1987" si="1947">FALSE()</f>
        <v>0</v>
      </c>
      <c r="L1987" s="6" t="b">
        <f t="shared" si="1947"/>
        <v>0</v>
      </c>
      <c r="M1987" s="6" t="b">
        <f t="shared" si="1947"/>
        <v>0</v>
      </c>
      <c r="P1987" s="4">
        <v>0.25749860014451</v>
      </c>
      <c r="T1987" s="4" t="str">
        <f t="shared" si="3"/>
        <v/>
      </c>
      <c r="U1987" s="4">
        <f t="shared" si="4"/>
        <v>1417</v>
      </c>
    </row>
    <row r="1988" ht="15.75" customHeight="1">
      <c r="A1988" s="4" t="s">
        <v>3115</v>
      </c>
      <c r="B1988" s="4" t="s">
        <v>13</v>
      </c>
      <c r="I1988" s="4">
        <v>0.13</v>
      </c>
      <c r="J1988" s="4">
        <v>0.017</v>
      </c>
      <c r="K1988" s="6" t="b">
        <f t="shared" ref="K1988:M1988" si="1948">FALSE()</f>
        <v>0</v>
      </c>
      <c r="L1988" s="6" t="b">
        <f t="shared" si="1948"/>
        <v>0</v>
      </c>
      <c r="M1988" s="6" t="b">
        <f t="shared" si="1948"/>
        <v>0</v>
      </c>
      <c r="P1988" s="4">
        <v>0.122217632724249</v>
      </c>
      <c r="T1988" s="4" t="str">
        <f t="shared" si="3"/>
        <v/>
      </c>
      <c r="U1988" s="4">
        <f t="shared" si="4"/>
        <v>3687</v>
      </c>
    </row>
    <row r="1989" ht="15.75" customHeight="1">
      <c r="A1989" s="4" t="s">
        <v>3116</v>
      </c>
      <c r="B1989" s="4" t="s">
        <v>13</v>
      </c>
      <c r="I1989" s="4">
        <v>0.185</v>
      </c>
      <c r="J1989" s="4">
        <v>0.021</v>
      </c>
      <c r="K1989" s="6" t="b">
        <f t="shared" ref="K1989:M1989" si="1949">FALSE()</f>
        <v>0</v>
      </c>
      <c r="L1989" s="6" t="b">
        <f t="shared" si="1949"/>
        <v>0</v>
      </c>
      <c r="M1989" s="6" t="b">
        <f t="shared" si="1949"/>
        <v>0</v>
      </c>
      <c r="P1989" s="4">
        <v>0.169742774587095</v>
      </c>
      <c r="T1989" s="4" t="str">
        <f t="shared" si="3"/>
        <v/>
      </c>
      <c r="U1989" s="4">
        <f t="shared" si="4"/>
        <v>2823</v>
      </c>
    </row>
    <row r="1990" ht="15.75" customHeight="1">
      <c r="A1990" s="4" t="s">
        <v>3117</v>
      </c>
      <c r="B1990" s="4" t="s">
        <v>13</v>
      </c>
      <c r="I1990" s="4">
        <v>0.174</v>
      </c>
      <c r="J1990" s="4">
        <v>0.022</v>
      </c>
      <c r="K1990" s="6" t="b">
        <f t="shared" ref="K1990:M1990" si="1950">FALSE()</f>
        <v>0</v>
      </c>
      <c r="L1990" s="6" t="b">
        <f t="shared" si="1950"/>
        <v>0</v>
      </c>
      <c r="M1990" s="6" t="b">
        <f t="shared" si="1950"/>
        <v>0</v>
      </c>
      <c r="P1990" s="4">
        <v>0.160416721405905</v>
      </c>
      <c r="T1990" s="4" t="str">
        <f t="shared" si="3"/>
        <v/>
      </c>
      <c r="U1990" s="4">
        <f t="shared" si="4"/>
        <v>2991</v>
      </c>
    </row>
    <row r="1991" ht="15.75" customHeight="1">
      <c r="A1991" s="4" t="s">
        <v>3118</v>
      </c>
      <c r="B1991" s="4" t="s">
        <v>13</v>
      </c>
      <c r="I1991" s="4">
        <v>0.175</v>
      </c>
      <c r="J1991" s="4">
        <v>0.024</v>
      </c>
      <c r="K1991" s="6" t="b">
        <f t="shared" ref="K1991:M1991" si="1951">FALSE()</f>
        <v>0</v>
      </c>
      <c r="L1991" s="6" t="b">
        <f t="shared" si="1951"/>
        <v>0</v>
      </c>
      <c r="M1991" s="6" t="b">
        <f t="shared" si="1951"/>
        <v>0</v>
      </c>
      <c r="P1991" s="4">
        <v>0.161268147596122</v>
      </c>
      <c r="T1991" s="4" t="str">
        <f t="shared" si="3"/>
        <v/>
      </c>
      <c r="U1991" s="4">
        <f t="shared" si="4"/>
        <v>2970</v>
      </c>
    </row>
    <row r="1992" ht="15.75" customHeight="1">
      <c r="A1992" s="4" t="s">
        <v>3119</v>
      </c>
      <c r="B1992" s="4" t="s">
        <v>13</v>
      </c>
      <c r="I1992" s="4">
        <v>0.284</v>
      </c>
      <c r="J1992" s="4">
        <v>0.041</v>
      </c>
      <c r="K1992" s="6" t="b">
        <f t="shared" ref="K1992:M1992" si="1952">FALSE()</f>
        <v>0</v>
      </c>
      <c r="L1992" s="6" t="b">
        <f t="shared" si="1952"/>
        <v>0</v>
      </c>
      <c r="M1992" s="6" t="b">
        <f t="shared" si="1952"/>
        <v>0</v>
      </c>
      <c r="P1992" s="4">
        <v>0.249980205267769</v>
      </c>
      <c r="T1992" s="4" t="str">
        <f t="shared" si="3"/>
        <v/>
      </c>
      <c r="U1992" s="4">
        <f t="shared" si="4"/>
        <v>1478</v>
      </c>
    </row>
    <row r="1993" ht="15.75" customHeight="1">
      <c r="A1993" s="4" t="s">
        <v>3120</v>
      </c>
      <c r="B1993" s="4" t="s">
        <v>13</v>
      </c>
      <c r="I1993" s="4">
        <v>0.108</v>
      </c>
      <c r="J1993" s="4">
        <v>0.011</v>
      </c>
      <c r="K1993" s="6" t="b">
        <f t="shared" ref="K1993:M1993" si="1953">FALSE()</f>
        <v>0</v>
      </c>
      <c r="L1993" s="6" t="b">
        <f t="shared" si="1953"/>
        <v>0</v>
      </c>
      <c r="M1993" s="6" t="b">
        <f t="shared" si="1953"/>
        <v>0</v>
      </c>
      <c r="P1993" s="4">
        <v>0.102556588325092</v>
      </c>
      <c r="T1993" s="4" t="str">
        <f t="shared" si="3"/>
        <v/>
      </c>
      <c r="U1993" s="4">
        <f t="shared" si="4"/>
        <v>4078</v>
      </c>
    </row>
    <row r="1994" ht="15.75" customHeight="1">
      <c r="A1994" s="4" t="s">
        <v>3121</v>
      </c>
      <c r="B1994" s="4" t="s">
        <v>13</v>
      </c>
      <c r="I1994" s="4">
        <v>0.111</v>
      </c>
      <c r="J1994" s="4">
        <v>0.007</v>
      </c>
      <c r="K1994" s="6" t="b">
        <f t="shared" ref="K1994:M1994" si="1954">FALSE()</f>
        <v>0</v>
      </c>
      <c r="L1994" s="6" t="b">
        <f t="shared" si="1954"/>
        <v>0</v>
      </c>
      <c r="M1994" s="6" t="b">
        <f t="shared" si="1954"/>
        <v>0</v>
      </c>
      <c r="P1994" s="4">
        <v>0.105260510657493</v>
      </c>
      <c r="T1994" s="4" t="str">
        <f t="shared" si="3"/>
        <v/>
      </c>
      <c r="U1994" s="4">
        <f t="shared" si="4"/>
        <v>4024</v>
      </c>
    </row>
    <row r="1995" ht="15.75" customHeight="1">
      <c r="A1995" s="4" t="s">
        <v>3122</v>
      </c>
      <c r="B1995" s="4" t="s">
        <v>13</v>
      </c>
      <c r="I1995" s="4">
        <v>0.291</v>
      </c>
      <c r="J1995" s="4">
        <v>0.023</v>
      </c>
      <c r="K1995" s="6" t="b">
        <f t="shared" ref="K1995:M1995" si="1955">FALSE()</f>
        <v>0</v>
      </c>
      <c r="L1995" s="6" t="b">
        <f t="shared" si="1955"/>
        <v>0</v>
      </c>
      <c r="M1995" s="6" t="b">
        <f t="shared" si="1955"/>
        <v>0</v>
      </c>
      <c r="P1995" s="4">
        <v>0.255417111864505</v>
      </c>
      <c r="T1995" s="4" t="str">
        <f t="shared" si="3"/>
        <v/>
      </c>
      <c r="U1995" s="4">
        <f t="shared" si="4"/>
        <v>1429</v>
      </c>
    </row>
    <row r="1996" ht="15.75" customHeight="1">
      <c r="A1996" s="4" t="s">
        <v>3123</v>
      </c>
      <c r="B1996" s="4" t="s">
        <v>13</v>
      </c>
      <c r="I1996" s="4">
        <v>0.116</v>
      </c>
      <c r="J1996" s="4">
        <v>0.012</v>
      </c>
      <c r="K1996" s="6" t="b">
        <f t="shared" ref="K1996:M1996" si="1956">FALSE()</f>
        <v>0</v>
      </c>
      <c r="L1996" s="6" t="b">
        <f t="shared" si="1956"/>
        <v>0</v>
      </c>
      <c r="M1996" s="6" t="b">
        <f t="shared" si="1956"/>
        <v>0</v>
      </c>
      <c r="P1996" s="4">
        <v>0.109750863959119</v>
      </c>
      <c r="T1996" s="4" t="str">
        <f t="shared" si="3"/>
        <v/>
      </c>
      <c r="U1996" s="4">
        <f t="shared" si="4"/>
        <v>3951</v>
      </c>
    </row>
    <row r="1997" ht="15.75" customHeight="1">
      <c r="A1997" s="4" t="s">
        <v>3124</v>
      </c>
      <c r="B1997" s="4" t="s">
        <v>13</v>
      </c>
      <c r="I1997" s="4">
        <v>0.252</v>
      </c>
      <c r="J1997" s="4">
        <v>0.045</v>
      </c>
      <c r="K1997" s="6" t="b">
        <f t="shared" ref="K1997:M1997" si="1957">FALSE()</f>
        <v>0</v>
      </c>
      <c r="L1997" s="6" t="b">
        <f t="shared" si="1957"/>
        <v>0</v>
      </c>
      <c r="M1997" s="6" t="b">
        <f t="shared" si="1957"/>
        <v>0</v>
      </c>
      <c r="P1997" s="4">
        <v>0.224742272677907</v>
      </c>
      <c r="T1997" s="4" t="str">
        <f t="shared" si="3"/>
        <v/>
      </c>
      <c r="U1997" s="4">
        <f t="shared" si="4"/>
        <v>1779</v>
      </c>
    </row>
    <row r="1998" ht="15.75" customHeight="1">
      <c r="A1998" s="4" t="s">
        <v>743</v>
      </c>
      <c r="B1998" s="4" t="s">
        <v>13</v>
      </c>
      <c r="C1998" s="4">
        <v>0.02297</v>
      </c>
      <c r="D1998" s="4">
        <v>0.02297</v>
      </c>
      <c r="E1998" s="4">
        <v>0.0</v>
      </c>
      <c r="I1998" s="4">
        <v>0.211</v>
      </c>
      <c r="J1998" s="4">
        <v>0.006</v>
      </c>
      <c r="K1998" s="6" t="b">
        <f t="shared" ref="K1998:M1998" si="1958">FALSE()</f>
        <v>0</v>
      </c>
      <c r="L1998" s="6" t="b">
        <f t="shared" si="1958"/>
        <v>0</v>
      </c>
      <c r="M1998" s="6" t="b">
        <f t="shared" si="1958"/>
        <v>0</v>
      </c>
      <c r="N1998" s="4">
        <v>0.0227101610262916</v>
      </c>
      <c r="P1998" s="4">
        <v>0.191446464570955</v>
      </c>
      <c r="T1998" s="4">
        <f t="shared" si="3"/>
        <v>1671</v>
      </c>
      <c r="U1998" s="4">
        <f t="shared" si="4"/>
        <v>2388</v>
      </c>
    </row>
    <row r="1999" ht="15.75" customHeight="1">
      <c r="A1999" s="4" t="s">
        <v>744</v>
      </c>
      <c r="B1999" s="4" t="s">
        <v>13</v>
      </c>
      <c r="C1999" s="4">
        <v>0.06859</v>
      </c>
      <c r="D1999" s="4">
        <v>0.06859</v>
      </c>
      <c r="E1999" s="4">
        <v>0.0</v>
      </c>
      <c r="I1999" s="4">
        <v>0.225</v>
      </c>
      <c r="J1999" s="4">
        <v>0.006</v>
      </c>
      <c r="K1999" s="6" t="b">
        <f t="shared" ref="K1999:M1999" si="1959">FALSE()</f>
        <v>0</v>
      </c>
      <c r="L1999" s="6" t="b">
        <f t="shared" si="1959"/>
        <v>0</v>
      </c>
      <c r="M1999" s="6" t="b">
        <f t="shared" si="1959"/>
        <v>0</v>
      </c>
      <c r="N1999" s="4">
        <v>0.066340022459192</v>
      </c>
      <c r="P1999" s="4">
        <v>0.20294084399669</v>
      </c>
      <c r="T1999" s="4">
        <f t="shared" si="3"/>
        <v>1330</v>
      </c>
      <c r="U1999" s="4">
        <f t="shared" si="4"/>
        <v>2185</v>
      </c>
    </row>
    <row r="2000" ht="15.75" customHeight="1">
      <c r="A2000" s="4" t="s">
        <v>746</v>
      </c>
      <c r="B2000" s="4" t="s">
        <v>13</v>
      </c>
      <c r="C2000" s="4">
        <v>0.01019</v>
      </c>
      <c r="D2000" s="4">
        <v>0.00101</v>
      </c>
      <c r="E2000" s="4">
        <v>0.00101</v>
      </c>
      <c r="I2000" s="4">
        <v>0.1311</v>
      </c>
      <c r="J2000" s="4">
        <v>0.0018</v>
      </c>
      <c r="K2000" s="6" t="b">
        <f t="shared" ref="K2000:M2000" si="1960">FALSE()</f>
        <v>0</v>
      </c>
      <c r="L2000" s="6" t="b">
        <f t="shared" si="1960"/>
        <v>0</v>
      </c>
      <c r="M2000" s="6" t="b">
        <f t="shared" si="1960"/>
        <v>0</v>
      </c>
      <c r="N2000" s="4">
        <v>0.0101384319729243</v>
      </c>
      <c r="P2000" s="4">
        <v>0.123190610555198</v>
      </c>
      <c r="T2000" s="4">
        <f t="shared" si="3"/>
        <v>1935</v>
      </c>
      <c r="U2000" s="4">
        <f t="shared" si="4"/>
        <v>3670</v>
      </c>
    </row>
    <row r="2001" ht="15.75" customHeight="1">
      <c r="A2001" s="4" t="s">
        <v>747</v>
      </c>
      <c r="B2001" s="4" t="s">
        <v>13</v>
      </c>
      <c r="C2001" s="4">
        <v>0.03552</v>
      </c>
      <c r="D2001" s="4">
        <v>0.0038</v>
      </c>
      <c r="E2001" s="4">
        <v>0.0038</v>
      </c>
      <c r="I2001" s="4">
        <v>0.2101</v>
      </c>
      <c r="J2001" s="4">
        <v>0.00196</v>
      </c>
      <c r="K2001" s="6" t="b">
        <f t="shared" ref="K2001:M2001" si="1961">FALSE()</f>
        <v>0</v>
      </c>
      <c r="L2001" s="6" t="b">
        <f t="shared" si="1961"/>
        <v>0</v>
      </c>
      <c r="M2001" s="6" t="b">
        <f t="shared" si="1961"/>
        <v>0</v>
      </c>
      <c r="N2001" s="4">
        <v>0.0349037160078804</v>
      </c>
      <c r="P2001" s="4">
        <v>0.19070300082187</v>
      </c>
      <c r="T2001" s="4">
        <f t="shared" si="3"/>
        <v>1483</v>
      </c>
      <c r="U2001" s="4">
        <f t="shared" si="4"/>
        <v>2414</v>
      </c>
    </row>
    <row r="2002" ht="15.75" customHeight="1">
      <c r="A2002" s="4" t="s">
        <v>3125</v>
      </c>
      <c r="B2002" s="4" t="s">
        <v>13</v>
      </c>
      <c r="D2002" s="4">
        <v>0.00676</v>
      </c>
      <c r="E2002" s="4">
        <v>0.00676</v>
      </c>
      <c r="F2002" s="4">
        <v>0.038</v>
      </c>
      <c r="G2002" s="4">
        <v>0.00676</v>
      </c>
      <c r="H2002" s="4">
        <v>0.00676</v>
      </c>
      <c r="K2002" s="6" t="b">
        <f t="shared" ref="K2002:M2002" si="1962">FALSE()</f>
        <v>0</v>
      </c>
      <c r="L2002" s="6" t="b">
        <f t="shared" si="1962"/>
        <v>0</v>
      </c>
      <c r="M2002" s="6" t="b">
        <f t="shared" si="1962"/>
        <v>0</v>
      </c>
      <c r="O2002" s="4">
        <v>0.0372957847436968</v>
      </c>
      <c r="T2002" s="4" t="str">
        <f t="shared" si="3"/>
        <v/>
      </c>
      <c r="U2002" s="4" t="str">
        <f t="shared" si="4"/>
        <v/>
      </c>
    </row>
    <row r="2003" ht="15.75" customHeight="1">
      <c r="A2003" s="4" t="s">
        <v>3126</v>
      </c>
      <c r="B2003" s="4" t="s">
        <v>13</v>
      </c>
      <c r="I2003" s="4">
        <v>0.156</v>
      </c>
      <c r="J2003" s="4">
        <v>0.026</v>
      </c>
      <c r="K2003" s="6" t="b">
        <f t="shared" ref="K2003:M2003" si="1963">FALSE()</f>
        <v>0</v>
      </c>
      <c r="L2003" s="6" t="b">
        <f t="shared" si="1963"/>
        <v>0</v>
      </c>
      <c r="M2003" s="6" t="b">
        <f t="shared" si="1963"/>
        <v>0</v>
      </c>
      <c r="P2003" s="4">
        <v>0.144965770250186</v>
      </c>
      <c r="T2003" s="4" t="str">
        <f t="shared" si="3"/>
        <v/>
      </c>
      <c r="U2003" s="4">
        <f t="shared" si="4"/>
        <v>3224</v>
      </c>
    </row>
    <row r="2004" ht="15.75" customHeight="1">
      <c r="A2004" s="4" t="s">
        <v>3127</v>
      </c>
      <c r="B2004" s="4" t="s">
        <v>13</v>
      </c>
      <c r="I2004" s="4">
        <v>0.22</v>
      </c>
      <c r="J2004" s="4">
        <v>0.019</v>
      </c>
      <c r="K2004" s="6" t="b">
        <f t="shared" ref="K2004:M2004" si="1964">FALSE()</f>
        <v>0</v>
      </c>
      <c r="L2004" s="6" t="b">
        <f t="shared" si="1964"/>
        <v>0</v>
      </c>
      <c r="M2004" s="6" t="b">
        <f t="shared" si="1964"/>
        <v>0</v>
      </c>
      <c r="P2004" s="4">
        <v>0.198850858745165</v>
      </c>
      <c r="T2004" s="4" t="str">
        <f t="shared" si="3"/>
        <v/>
      </c>
      <c r="U2004" s="4">
        <f t="shared" si="4"/>
        <v>2257</v>
      </c>
    </row>
    <row r="2005" ht="15.75" customHeight="1">
      <c r="A2005" s="4" t="s">
        <v>3128</v>
      </c>
      <c r="B2005" s="4" t="s">
        <v>13</v>
      </c>
      <c r="I2005" s="4">
        <v>0.237</v>
      </c>
      <c r="J2005" s="4">
        <v>0.021</v>
      </c>
      <c r="K2005" s="6" t="b">
        <f t="shared" ref="K2005:M2005" si="1965">FALSE()</f>
        <v>0</v>
      </c>
      <c r="L2005" s="6" t="b">
        <f t="shared" si="1965"/>
        <v>0</v>
      </c>
      <c r="M2005" s="6" t="b">
        <f t="shared" si="1965"/>
        <v>0</v>
      </c>
      <c r="P2005" s="4">
        <v>0.212689093410351</v>
      </c>
      <c r="T2005" s="4" t="str">
        <f t="shared" si="3"/>
        <v/>
      </c>
      <c r="U2005" s="4">
        <f t="shared" si="4"/>
        <v>1989</v>
      </c>
    </row>
    <row r="2006" ht="15.75" customHeight="1">
      <c r="A2006" s="4" t="s">
        <v>3129</v>
      </c>
      <c r="B2006" s="4" t="s">
        <v>13</v>
      </c>
      <c r="I2006" s="4">
        <v>0.203</v>
      </c>
      <c r="J2006" s="4">
        <v>0.024</v>
      </c>
      <c r="K2006" s="6" t="b">
        <f t="shared" ref="K2006:M2006" si="1966">FALSE()</f>
        <v>0</v>
      </c>
      <c r="L2006" s="6" t="b">
        <f t="shared" si="1966"/>
        <v>0</v>
      </c>
      <c r="M2006" s="6" t="b">
        <f t="shared" si="1966"/>
        <v>0</v>
      </c>
      <c r="P2006" s="4">
        <v>0.184818436992542</v>
      </c>
      <c r="T2006" s="4" t="str">
        <f t="shared" si="3"/>
        <v/>
      </c>
      <c r="U2006" s="4">
        <f t="shared" si="4"/>
        <v>2523</v>
      </c>
    </row>
    <row r="2007" ht="15.75" customHeight="1">
      <c r="A2007" s="4" t="s">
        <v>3130</v>
      </c>
      <c r="B2007" s="4" t="s">
        <v>13</v>
      </c>
      <c r="I2007" s="4">
        <v>0.11</v>
      </c>
      <c r="J2007" s="4">
        <v>0.009</v>
      </c>
      <c r="K2007" s="6" t="b">
        <f t="shared" ref="K2007:M2007" si="1967">FALSE()</f>
        <v>0</v>
      </c>
      <c r="L2007" s="6" t="b">
        <f t="shared" si="1967"/>
        <v>0</v>
      </c>
      <c r="M2007" s="6" t="b">
        <f t="shared" si="1967"/>
        <v>0</v>
      </c>
      <c r="P2007" s="4">
        <v>0.104360015324243</v>
      </c>
      <c r="T2007" s="4" t="str">
        <f t="shared" si="3"/>
        <v/>
      </c>
      <c r="U2007" s="4">
        <f t="shared" si="4"/>
        <v>4042</v>
      </c>
    </row>
    <row r="2008" ht="15.75" customHeight="1">
      <c r="A2008" s="4" t="s">
        <v>3131</v>
      </c>
      <c r="B2008" s="4" t="s">
        <v>13</v>
      </c>
      <c r="I2008" s="4">
        <v>0.179</v>
      </c>
      <c r="J2008" s="4">
        <v>0.022</v>
      </c>
      <c r="K2008" s="6" t="b">
        <f t="shared" ref="K2008:M2008" si="1968">FALSE()</f>
        <v>0</v>
      </c>
      <c r="L2008" s="6" t="b">
        <f t="shared" si="1968"/>
        <v>0</v>
      </c>
      <c r="M2008" s="6" t="b">
        <f t="shared" si="1968"/>
        <v>0</v>
      </c>
      <c r="P2008" s="4">
        <v>0.164666621555234</v>
      </c>
      <c r="T2008" s="4" t="str">
        <f t="shared" si="3"/>
        <v/>
      </c>
      <c r="U2008" s="4">
        <f t="shared" si="4"/>
        <v>2899</v>
      </c>
    </row>
    <row r="2009" ht="15.75" customHeight="1">
      <c r="A2009" s="4" t="s">
        <v>3132</v>
      </c>
      <c r="B2009" s="4" t="s">
        <v>13</v>
      </c>
      <c r="I2009" s="4">
        <v>0.147</v>
      </c>
      <c r="J2009" s="4">
        <v>0.021</v>
      </c>
      <c r="K2009" s="6" t="b">
        <f t="shared" ref="K2009:M2009" si="1969">FALSE()</f>
        <v>0</v>
      </c>
      <c r="L2009" s="6" t="b">
        <f t="shared" si="1969"/>
        <v>0</v>
      </c>
      <c r="M2009" s="6" t="b">
        <f t="shared" si="1969"/>
        <v>0</v>
      </c>
      <c r="P2009" s="4">
        <v>0.137149838147234</v>
      </c>
      <c r="T2009" s="4" t="str">
        <f t="shared" si="3"/>
        <v/>
      </c>
      <c r="U2009" s="4">
        <f t="shared" si="4"/>
        <v>3375</v>
      </c>
    </row>
    <row r="2010" ht="15.75" customHeight="1">
      <c r="A2010" s="4" t="s">
        <v>3133</v>
      </c>
      <c r="B2010" s="4" t="s">
        <v>13</v>
      </c>
      <c r="I2010" s="4">
        <v>0.12</v>
      </c>
      <c r="J2010" s="4">
        <v>0.007</v>
      </c>
      <c r="K2010" s="6" t="b">
        <f t="shared" ref="K2010:M2010" si="1970">FALSE()</f>
        <v>0</v>
      </c>
      <c r="L2010" s="6" t="b">
        <f t="shared" si="1970"/>
        <v>0</v>
      </c>
      <c r="M2010" s="6" t="b">
        <f t="shared" si="1970"/>
        <v>0</v>
      </c>
      <c r="P2010" s="4">
        <v>0.113328685307003</v>
      </c>
      <c r="T2010" s="4" t="str">
        <f t="shared" si="3"/>
        <v/>
      </c>
      <c r="U2010" s="4">
        <f t="shared" si="4"/>
        <v>3858</v>
      </c>
    </row>
    <row r="2011" ht="15.75" customHeight="1">
      <c r="A2011" s="4" t="s">
        <v>3134</v>
      </c>
      <c r="B2011" s="4" t="s">
        <v>13</v>
      </c>
      <c r="I2011" s="4">
        <v>0.13</v>
      </c>
      <c r="J2011" s="4">
        <v>0.01</v>
      </c>
      <c r="K2011" s="6" t="b">
        <f t="shared" ref="K2011:M2011" si="1971">FALSE()</f>
        <v>0</v>
      </c>
      <c r="L2011" s="6" t="b">
        <f t="shared" si="1971"/>
        <v>0</v>
      </c>
      <c r="M2011" s="6" t="b">
        <f t="shared" si="1971"/>
        <v>0</v>
      </c>
      <c r="P2011" s="4">
        <v>0.122217632724249</v>
      </c>
      <c r="T2011" s="4" t="str">
        <f t="shared" si="3"/>
        <v/>
      </c>
      <c r="U2011" s="4">
        <f t="shared" si="4"/>
        <v>3688</v>
      </c>
    </row>
    <row r="2012" ht="15.75" customHeight="1">
      <c r="A2012" s="4" t="s">
        <v>3135</v>
      </c>
      <c r="B2012" s="4" t="s">
        <v>13</v>
      </c>
      <c r="I2012" s="4">
        <v>0.195</v>
      </c>
      <c r="J2012" s="4">
        <v>0.021</v>
      </c>
      <c r="K2012" s="6" t="b">
        <f t="shared" ref="K2012:M2012" si="1972">FALSE()</f>
        <v>0</v>
      </c>
      <c r="L2012" s="6" t="b">
        <f t="shared" si="1972"/>
        <v>0</v>
      </c>
      <c r="M2012" s="6" t="b">
        <f t="shared" si="1972"/>
        <v>0</v>
      </c>
      <c r="P2012" s="4">
        <v>0.178146185383474</v>
      </c>
      <c r="T2012" s="4" t="str">
        <f t="shared" si="3"/>
        <v/>
      </c>
      <c r="U2012" s="4">
        <f t="shared" si="4"/>
        <v>2667</v>
      </c>
    </row>
    <row r="2013" ht="15.75" customHeight="1">
      <c r="A2013" s="4" t="s">
        <v>3136</v>
      </c>
      <c r="B2013" s="4" t="s">
        <v>13</v>
      </c>
      <c r="I2013" s="4">
        <v>0.163</v>
      </c>
      <c r="J2013" s="4">
        <v>0.032</v>
      </c>
      <c r="K2013" s="6" t="b">
        <f t="shared" ref="K2013:M2013" si="1973">FALSE()</f>
        <v>0</v>
      </c>
      <c r="L2013" s="6" t="b">
        <f t="shared" si="1973"/>
        <v>0</v>
      </c>
      <c r="M2013" s="6" t="b">
        <f t="shared" si="1973"/>
        <v>0</v>
      </c>
      <c r="P2013" s="4">
        <v>0.151002873536527</v>
      </c>
      <c r="T2013" s="4" t="str">
        <f t="shared" si="3"/>
        <v/>
      </c>
      <c r="U2013" s="4">
        <f t="shared" si="4"/>
        <v>3140</v>
      </c>
    </row>
    <row r="2014" ht="15.75" customHeight="1">
      <c r="A2014" s="4" t="s">
        <v>3137</v>
      </c>
      <c r="B2014" s="4" t="s">
        <v>13</v>
      </c>
      <c r="I2014" s="4">
        <v>0.197</v>
      </c>
      <c r="J2014" s="4">
        <v>0.039</v>
      </c>
      <c r="K2014" s="6" t="b">
        <f t="shared" ref="K2014:M2014" si="1974">FALSE()</f>
        <v>0</v>
      </c>
      <c r="L2014" s="6" t="b">
        <f t="shared" si="1974"/>
        <v>0</v>
      </c>
      <c r="M2014" s="6" t="b">
        <f t="shared" si="1974"/>
        <v>0</v>
      </c>
      <c r="P2014" s="4">
        <v>0.179818426575836</v>
      </c>
      <c r="T2014" s="4" t="str">
        <f t="shared" si="3"/>
        <v/>
      </c>
      <c r="U2014" s="4">
        <f t="shared" si="4"/>
        <v>2632</v>
      </c>
    </row>
    <row r="2015" ht="15.75" customHeight="1">
      <c r="A2015" s="4" t="s">
        <v>3138</v>
      </c>
      <c r="B2015" s="4" t="s">
        <v>13</v>
      </c>
      <c r="I2015" s="4">
        <v>0.237</v>
      </c>
      <c r="J2015" s="4">
        <v>0.023</v>
      </c>
      <c r="K2015" s="6" t="b">
        <f t="shared" ref="K2015:M2015" si="1975">FALSE()</f>
        <v>0</v>
      </c>
      <c r="L2015" s="6" t="b">
        <f t="shared" si="1975"/>
        <v>0</v>
      </c>
      <c r="M2015" s="6" t="b">
        <f t="shared" si="1975"/>
        <v>0</v>
      </c>
      <c r="P2015" s="4">
        <v>0.212689093410351</v>
      </c>
      <c r="T2015" s="4" t="str">
        <f t="shared" si="3"/>
        <v/>
      </c>
      <c r="U2015" s="4">
        <f t="shared" si="4"/>
        <v>1990</v>
      </c>
    </row>
    <row r="2016" ht="15.75" customHeight="1">
      <c r="A2016" s="4" t="s">
        <v>3139</v>
      </c>
      <c r="B2016" s="4" t="s">
        <v>13</v>
      </c>
      <c r="I2016" s="4">
        <v>0.178</v>
      </c>
      <c r="J2016" s="4">
        <v>0.023</v>
      </c>
      <c r="K2016" s="6" t="b">
        <f t="shared" ref="K2016:M2016" si="1976">FALSE()</f>
        <v>0</v>
      </c>
      <c r="L2016" s="6" t="b">
        <f t="shared" si="1976"/>
        <v>0</v>
      </c>
      <c r="M2016" s="6" t="b">
        <f t="shared" si="1976"/>
        <v>0</v>
      </c>
      <c r="P2016" s="4">
        <v>0.163818085229395</v>
      </c>
      <c r="T2016" s="4" t="str">
        <f t="shared" si="3"/>
        <v/>
      </c>
      <c r="U2016" s="4">
        <f t="shared" si="4"/>
        <v>2913</v>
      </c>
    </row>
    <row r="2017" ht="15.75" customHeight="1">
      <c r="A2017" s="4" t="s">
        <v>3140</v>
      </c>
      <c r="B2017" s="4" t="s">
        <v>13</v>
      </c>
      <c r="I2017" s="4">
        <v>0.269</v>
      </c>
      <c r="J2017" s="4">
        <v>0.046</v>
      </c>
      <c r="K2017" s="6" t="b">
        <f t="shared" ref="K2017:M2017" si="1977">FALSE()</f>
        <v>0</v>
      </c>
      <c r="L2017" s="6" t="b">
        <f t="shared" si="1977"/>
        <v>0</v>
      </c>
      <c r="M2017" s="6" t="b">
        <f t="shared" si="1977"/>
        <v>0</v>
      </c>
      <c r="P2017" s="4">
        <v>0.238229188732251</v>
      </c>
      <c r="T2017" s="4" t="str">
        <f t="shared" si="3"/>
        <v/>
      </c>
      <c r="U2017" s="4">
        <f t="shared" si="4"/>
        <v>1600</v>
      </c>
    </row>
    <row r="2018" ht="15.75" customHeight="1">
      <c r="A2018" s="4" t="s">
        <v>3141</v>
      </c>
      <c r="B2018" s="4" t="s">
        <v>13</v>
      </c>
      <c r="I2018" s="4">
        <v>0.251</v>
      </c>
      <c r="J2018" s="4">
        <v>0.032</v>
      </c>
      <c r="K2018" s="6" t="b">
        <f t="shared" ref="K2018:M2018" si="1978">FALSE()</f>
        <v>0</v>
      </c>
      <c r="L2018" s="6" t="b">
        <f t="shared" si="1978"/>
        <v>0</v>
      </c>
      <c r="M2018" s="6" t="b">
        <f t="shared" si="1978"/>
        <v>0</v>
      </c>
      <c r="P2018" s="4">
        <v>0.223943231484774</v>
      </c>
      <c r="T2018" s="4" t="str">
        <f t="shared" si="3"/>
        <v/>
      </c>
      <c r="U2018" s="4">
        <f t="shared" si="4"/>
        <v>1795</v>
      </c>
    </row>
    <row r="2019" ht="15.75" customHeight="1">
      <c r="A2019" s="4" t="s">
        <v>3142</v>
      </c>
      <c r="B2019" s="4" t="s">
        <v>13</v>
      </c>
      <c r="I2019" s="4">
        <v>0.12</v>
      </c>
      <c r="J2019" s="4">
        <v>0.006</v>
      </c>
      <c r="K2019" s="6" t="b">
        <f t="shared" ref="K2019:M2019" si="1979">FALSE()</f>
        <v>0</v>
      </c>
      <c r="L2019" s="6" t="b">
        <f t="shared" si="1979"/>
        <v>0</v>
      </c>
      <c r="M2019" s="6" t="b">
        <f t="shared" si="1979"/>
        <v>0</v>
      </c>
      <c r="P2019" s="4">
        <v>0.113328685307003</v>
      </c>
      <c r="T2019" s="4" t="str">
        <f t="shared" si="3"/>
        <v/>
      </c>
      <c r="U2019" s="4">
        <f t="shared" si="4"/>
        <v>3859</v>
      </c>
    </row>
    <row r="2020" ht="15.75" customHeight="1">
      <c r="A2020" s="4" t="s">
        <v>3143</v>
      </c>
      <c r="B2020" s="4" t="s">
        <v>13</v>
      </c>
      <c r="I2020" s="4">
        <v>0.152</v>
      </c>
      <c r="J2020" s="4">
        <v>0.018</v>
      </c>
      <c r="K2020" s="6" t="b">
        <f t="shared" ref="K2020:M2020" si="1980">FALSE()</f>
        <v>0</v>
      </c>
      <c r="L2020" s="6" t="b">
        <f t="shared" si="1980"/>
        <v>0</v>
      </c>
      <c r="M2020" s="6" t="b">
        <f t="shared" si="1980"/>
        <v>0</v>
      </c>
      <c r="P2020" s="4">
        <v>0.1414995622737</v>
      </c>
      <c r="T2020" s="4" t="str">
        <f t="shared" si="3"/>
        <v/>
      </c>
      <c r="U2020" s="4">
        <f t="shared" si="4"/>
        <v>3294</v>
      </c>
    </row>
    <row r="2021" ht="15.75" customHeight="1">
      <c r="A2021" s="4" t="s">
        <v>3144</v>
      </c>
      <c r="B2021" s="4" t="s">
        <v>13</v>
      </c>
      <c r="I2021" s="4">
        <v>0.227</v>
      </c>
      <c r="J2021" s="4">
        <v>0.02</v>
      </c>
      <c r="K2021" s="6" t="b">
        <f t="shared" ref="K2021:M2021" si="1981">FALSE()</f>
        <v>0</v>
      </c>
      <c r="L2021" s="6" t="b">
        <f t="shared" si="1981"/>
        <v>0</v>
      </c>
      <c r="M2021" s="6" t="b">
        <f t="shared" si="1981"/>
        <v>0</v>
      </c>
      <c r="P2021" s="4">
        <v>0.204572165728774</v>
      </c>
      <c r="T2021" s="4" t="str">
        <f t="shared" si="3"/>
        <v/>
      </c>
      <c r="U2021" s="4">
        <f t="shared" si="4"/>
        <v>2153</v>
      </c>
    </row>
    <row r="2022" ht="15.75" customHeight="1">
      <c r="A2022" s="4" t="s">
        <v>3145</v>
      </c>
      <c r="B2022" s="4" t="s">
        <v>13</v>
      </c>
      <c r="I2022" s="4">
        <v>0.099</v>
      </c>
      <c r="J2022" s="4">
        <v>0.007</v>
      </c>
      <c r="K2022" s="6" t="b">
        <f t="shared" ref="K2022:M2022" si="1982">FALSE()</f>
        <v>0</v>
      </c>
      <c r="L2022" s="6" t="b">
        <f t="shared" si="1982"/>
        <v>0</v>
      </c>
      <c r="M2022" s="6" t="b">
        <f t="shared" si="1982"/>
        <v>0</v>
      </c>
      <c r="P2022" s="4">
        <v>0.0944006754214843</v>
      </c>
      <c r="T2022" s="4" t="str">
        <f t="shared" si="3"/>
        <v/>
      </c>
      <c r="U2022" s="4">
        <f t="shared" si="4"/>
        <v>4231</v>
      </c>
    </row>
    <row r="2023" ht="15.75" customHeight="1">
      <c r="A2023" s="4" t="s">
        <v>3146</v>
      </c>
      <c r="B2023" s="4" t="s">
        <v>13</v>
      </c>
      <c r="I2023" s="4">
        <v>0.244</v>
      </c>
      <c r="J2023" s="4">
        <v>0.038</v>
      </c>
      <c r="K2023" s="6" t="b">
        <f t="shared" ref="K2023:M2023" si="1983">FALSE()</f>
        <v>0</v>
      </c>
      <c r="L2023" s="6" t="b">
        <f t="shared" si="1983"/>
        <v>0</v>
      </c>
      <c r="M2023" s="6" t="b">
        <f t="shared" si="1983"/>
        <v>0</v>
      </c>
      <c r="P2023" s="4">
        <v>0.218331994316988</v>
      </c>
      <c r="T2023" s="4" t="str">
        <f t="shared" si="3"/>
        <v/>
      </c>
      <c r="U2023" s="4">
        <f t="shared" si="4"/>
        <v>1884</v>
      </c>
    </row>
    <row r="2024" ht="15.75" customHeight="1">
      <c r="A2024" s="4" t="s">
        <v>3147</v>
      </c>
      <c r="B2024" s="4" t="s">
        <v>13</v>
      </c>
      <c r="I2024" s="4">
        <v>0.171</v>
      </c>
      <c r="J2024" s="4">
        <v>0.027</v>
      </c>
      <c r="K2024" s="6" t="b">
        <f t="shared" ref="K2024:M2024" si="1984">FALSE()</f>
        <v>0</v>
      </c>
      <c r="L2024" s="6" t="b">
        <f t="shared" si="1984"/>
        <v>0</v>
      </c>
      <c r="M2024" s="6" t="b">
        <f t="shared" si="1984"/>
        <v>0</v>
      </c>
      <c r="P2024" s="4">
        <v>0.15785808461558</v>
      </c>
      <c r="T2024" s="4" t="str">
        <f t="shared" si="3"/>
        <v/>
      </c>
      <c r="U2024" s="4">
        <f t="shared" si="4"/>
        <v>3029</v>
      </c>
    </row>
    <row r="2025" ht="15.75" customHeight="1">
      <c r="A2025" s="4" t="s">
        <v>3148</v>
      </c>
      <c r="B2025" s="4" t="s">
        <v>13</v>
      </c>
      <c r="I2025" s="4">
        <v>0.141</v>
      </c>
      <c r="J2025" s="4">
        <v>0.018</v>
      </c>
      <c r="K2025" s="6" t="b">
        <f t="shared" ref="K2025:M2025" si="1985">FALSE()</f>
        <v>0</v>
      </c>
      <c r="L2025" s="6" t="b">
        <f t="shared" si="1985"/>
        <v>0</v>
      </c>
      <c r="M2025" s="6" t="b">
        <f t="shared" si="1985"/>
        <v>0</v>
      </c>
      <c r="P2025" s="4">
        <v>0.131905070879939</v>
      </c>
      <c r="T2025" s="4" t="str">
        <f t="shared" si="3"/>
        <v/>
      </c>
      <c r="U2025" s="4">
        <f t="shared" si="4"/>
        <v>3488</v>
      </c>
    </row>
    <row r="2026" ht="15.75" customHeight="1">
      <c r="A2026" s="4" t="s">
        <v>3149</v>
      </c>
      <c r="B2026" s="4" t="s">
        <v>13</v>
      </c>
      <c r="I2026" s="4">
        <v>0.651</v>
      </c>
      <c r="J2026" s="4">
        <v>0.081</v>
      </c>
      <c r="K2026" s="6" t="b">
        <f t="shared" ref="K2026:M2026" si="1986">FALSE()</f>
        <v>0</v>
      </c>
      <c r="L2026" s="6" t="b">
        <f t="shared" si="1986"/>
        <v>0</v>
      </c>
      <c r="M2026" s="6" t="b">
        <f t="shared" si="1986"/>
        <v>0</v>
      </c>
      <c r="P2026" s="4">
        <v>0.501381164937991</v>
      </c>
      <c r="T2026" s="4" t="str">
        <f t="shared" si="3"/>
        <v/>
      </c>
      <c r="U2026" s="4">
        <f t="shared" si="4"/>
        <v>913</v>
      </c>
    </row>
    <row r="2027" ht="15.75" customHeight="1">
      <c r="A2027" s="4" t="s">
        <v>3150</v>
      </c>
      <c r="B2027" s="4" t="s">
        <v>13</v>
      </c>
      <c r="I2027" s="4">
        <v>0.123</v>
      </c>
      <c r="J2027" s="4">
        <v>0.006</v>
      </c>
      <c r="K2027" s="6" t="b">
        <f t="shared" ref="K2027:M2027" si="1987">FALSE()</f>
        <v>0</v>
      </c>
      <c r="L2027" s="6" t="b">
        <f t="shared" si="1987"/>
        <v>0</v>
      </c>
      <c r="M2027" s="6" t="b">
        <f t="shared" si="1987"/>
        <v>0</v>
      </c>
      <c r="P2027" s="4">
        <v>0.116003675756306</v>
      </c>
      <c r="T2027" s="4" t="str">
        <f t="shared" si="3"/>
        <v/>
      </c>
      <c r="U2027" s="4">
        <f t="shared" si="4"/>
        <v>3814</v>
      </c>
    </row>
    <row r="2028" ht="15.75" customHeight="1">
      <c r="A2028" s="4" t="s">
        <v>3151</v>
      </c>
      <c r="B2028" s="4" t="s">
        <v>13</v>
      </c>
      <c r="I2028" s="4">
        <v>0.17</v>
      </c>
      <c r="J2028" s="4">
        <v>0.041</v>
      </c>
      <c r="K2028" s="6" t="b">
        <f t="shared" ref="K2028:M2028" si="1988">FALSE()</f>
        <v>0</v>
      </c>
      <c r="L2028" s="6" t="b">
        <f t="shared" si="1988"/>
        <v>0</v>
      </c>
      <c r="M2028" s="6" t="b">
        <f t="shared" si="1988"/>
        <v>0</v>
      </c>
      <c r="P2028" s="4">
        <v>0.157003748809665</v>
      </c>
      <c r="T2028" s="4" t="str">
        <f t="shared" si="3"/>
        <v/>
      </c>
      <c r="U2028" s="4">
        <f t="shared" si="4"/>
        <v>3038</v>
      </c>
    </row>
    <row r="2029" ht="15.75" customHeight="1">
      <c r="A2029" s="4" t="s">
        <v>3152</v>
      </c>
      <c r="B2029" s="4" t="s">
        <v>13</v>
      </c>
      <c r="I2029" s="4">
        <v>0.182</v>
      </c>
      <c r="J2029" s="4">
        <v>0.012</v>
      </c>
      <c r="K2029" s="6" t="b">
        <f t="shared" ref="K2029:M2029" si="1989">FALSE()</f>
        <v>0</v>
      </c>
      <c r="L2029" s="6" t="b">
        <f t="shared" si="1989"/>
        <v>0</v>
      </c>
      <c r="M2029" s="6" t="b">
        <f t="shared" si="1989"/>
        <v>0</v>
      </c>
      <c r="P2029" s="4">
        <v>0.167207918983906</v>
      </c>
      <c r="T2029" s="4" t="str">
        <f t="shared" si="3"/>
        <v/>
      </c>
      <c r="U2029" s="4">
        <f t="shared" si="4"/>
        <v>2865</v>
      </c>
    </row>
    <row r="2030" ht="15.75" customHeight="1">
      <c r="A2030" s="4" t="s">
        <v>3153</v>
      </c>
      <c r="B2030" s="4" t="s">
        <v>13</v>
      </c>
      <c r="I2030" s="4">
        <v>0.149</v>
      </c>
      <c r="J2030" s="4">
        <v>0.01</v>
      </c>
      <c r="K2030" s="6" t="b">
        <f t="shared" ref="K2030:M2030" si="1990">FALSE()</f>
        <v>0</v>
      </c>
      <c r="L2030" s="6" t="b">
        <f t="shared" si="1990"/>
        <v>0</v>
      </c>
      <c r="M2030" s="6" t="b">
        <f t="shared" si="1990"/>
        <v>0</v>
      </c>
      <c r="P2030" s="4">
        <v>0.138891998866619</v>
      </c>
      <c r="T2030" s="4" t="str">
        <f t="shared" si="3"/>
        <v/>
      </c>
      <c r="U2030" s="4">
        <f t="shared" si="4"/>
        <v>3343</v>
      </c>
    </row>
    <row r="2031" ht="15.75" customHeight="1">
      <c r="A2031" s="4" t="s">
        <v>3154</v>
      </c>
      <c r="B2031" s="4" t="s">
        <v>13</v>
      </c>
      <c r="I2031" s="4">
        <v>0.114</v>
      </c>
      <c r="J2031" s="4">
        <v>0.006</v>
      </c>
      <c r="K2031" s="6" t="b">
        <f t="shared" ref="K2031:M2031" si="1991">FALSE()</f>
        <v>0</v>
      </c>
      <c r="L2031" s="6" t="b">
        <f t="shared" si="1991"/>
        <v>0</v>
      </c>
      <c r="M2031" s="6" t="b">
        <f t="shared" si="1991"/>
        <v>0</v>
      </c>
      <c r="P2031" s="4">
        <v>0.107957141505092</v>
      </c>
      <c r="T2031" s="4" t="str">
        <f t="shared" si="3"/>
        <v/>
      </c>
      <c r="U2031" s="4">
        <f t="shared" si="4"/>
        <v>3982</v>
      </c>
    </row>
    <row r="2032" ht="15.75" customHeight="1">
      <c r="A2032" s="4" t="s">
        <v>3155</v>
      </c>
      <c r="B2032" s="4" t="s">
        <v>13</v>
      </c>
      <c r="I2032" s="4">
        <v>0.164</v>
      </c>
      <c r="J2032" s="4">
        <v>0.016</v>
      </c>
      <c r="K2032" s="6" t="b">
        <f t="shared" ref="K2032:M2032" si="1992">FALSE()</f>
        <v>0</v>
      </c>
      <c r="L2032" s="6" t="b">
        <f t="shared" si="1992"/>
        <v>0</v>
      </c>
      <c r="M2032" s="6" t="b">
        <f t="shared" si="1992"/>
        <v>0</v>
      </c>
      <c r="P2032" s="4">
        <v>0.151862349309246</v>
      </c>
      <c r="T2032" s="4" t="str">
        <f t="shared" si="3"/>
        <v/>
      </c>
      <c r="U2032" s="4">
        <f t="shared" si="4"/>
        <v>3119</v>
      </c>
    </row>
    <row r="2033" ht="15.75" customHeight="1">
      <c r="A2033" s="4" t="s">
        <v>3156</v>
      </c>
      <c r="B2033" s="4" t="s">
        <v>13</v>
      </c>
      <c r="I2033" s="4">
        <v>0.154</v>
      </c>
      <c r="J2033" s="4">
        <v>0.012</v>
      </c>
      <c r="K2033" s="6" t="b">
        <f t="shared" ref="K2033:M2033" si="1993">FALSE()</f>
        <v>0</v>
      </c>
      <c r="L2033" s="6" t="b">
        <f t="shared" si="1993"/>
        <v>0</v>
      </c>
      <c r="M2033" s="6" t="b">
        <f t="shared" si="1993"/>
        <v>0</v>
      </c>
      <c r="P2033" s="4">
        <v>0.143234168085908</v>
      </c>
      <c r="T2033" s="4" t="str">
        <f t="shared" si="3"/>
        <v/>
      </c>
      <c r="U2033" s="4">
        <f t="shared" si="4"/>
        <v>3254</v>
      </c>
    </row>
    <row r="2034" ht="15.75" customHeight="1">
      <c r="A2034" s="4" t="s">
        <v>3157</v>
      </c>
      <c r="B2034" s="4" t="s">
        <v>13</v>
      </c>
      <c r="I2034" s="4">
        <v>0.15006</v>
      </c>
      <c r="K2034" s="6" t="b">
        <f t="shared" ref="K2034:M2034" si="1994">FALSE()</f>
        <v>0</v>
      </c>
      <c r="L2034" s="6" t="b">
        <f t="shared" si="1994"/>
        <v>0</v>
      </c>
      <c r="M2034" s="6" t="b">
        <f t="shared" si="1994"/>
        <v>0</v>
      </c>
      <c r="P2034" s="4">
        <v>0.139814114927191</v>
      </c>
      <c r="T2034" s="4" t="str">
        <f t="shared" si="3"/>
        <v/>
      </c>
      <c r="U2034" s="4">
        <f t="shared" si="4"/>
        <v>3319</v>
      </c>
    </row>
    <row r="2035" ht="15.75" customHeight="1">
      <c r="A2035" s="4" t="s">
        <v>3158</v>
      </c>
      <c r="B2035" s="4" t="s">
        <v>13</v>
      </c>
      <c r="I2035" s="4">
        <v>0.175</v>
      </c>
      <c r="J2035" s="4">
        <v>0.037</v>
      </c>
      <c r="K2035" s="6" t="b">
        <f t="shared" ref="K2035:M2035" si="1995">FALSE()</f>
        <v>0</v>
      </c>
      <c r="L2035" s="6" t="b">
        <f t="shared" si="1995"/>
        <v>0</v>
      </c>
      <c r="M2035" s="6" t="b">
        <f t="shared" si="1995"/>
        <v>0</v>
      </c>
      <c r="P2035" s="4">
        <v>0.161268147596122</v>
      </c>
      <c r="T2035" s="4" t="str">
        <f t="shared" si="3"/>
        <v/>
      </c>
      <c r="U2035" s="4">
        <f t="shared" si="4"/>
        <v>2971</v>
      </c>
    </row>
    <row r="2036" ht="15.75" customHeight="1">
      <c r="A2036" s="4" t="s">
        <v>3159</v>
      </c>
      <c r="B2036" s="4" t="s">
        <v>13</v>
      </c>
      <c r="I2036" s="4">
        <v>0.326</v>
      </c>
      <c r="J2036" s="4">
        <v>0.03</v>
      </c>
      <c r="K2036" s="6" t="b">
        <f t="shared" ref="K2036:M2036" si="1996">FALSE()</f>
        <v>0</v>
      </c>
      <c r="L2036" s="6" t="b">
        <f t="shared" si="1996"/>
        <v>0</v>
      </c>
      <c r="M2036" s="6" t="b">
        <f t="shared" si="1996"/>
        <v>0</v>
      </c>
      <c r="P2036" s="4">
        <v>0.282166891763671</v>
      </c>
      <c r="T2036" s="4" t="str">
        <f t="shared" si="3"/>
        <v/>
      </c>
      <c r="U2036" s="4">
        <f t="shared" si="4"/>
        <v>1273</v>
      </c>
    </row>
    <row r="2037" ht="15.75" customHeight="1">
      <c r="A2037" s="4" t="s">
        <v>3160</v>
      </c>
      <c r="B2037" s="4" t="s">
        <v>13</v>
      </c>
      <c r="I2037" s="4">
        <v>0.264</v>
      </c>
      <c r="J2037" s="4">
        <v>0.029</v>
      </c>
      <c r="K2037" s="6" t="b">
        <f t="shared" ref="K2037:M2037" si="1997">FALSE()</f>
        <v>0</v>
      </c>
      <c r="L2037" s="6" t="b">
        <f t="shared" si="1997"/>
        <v>0</v>
      </c>
      <c r="M2037" s="6" t="b">
        <f t="shared" si="1997"/>
        <v>0</v>
      </c>
      <c r="P2037" s="4">
        <v>0.234281295724666</v>
      </c>
      <c r="T2037" s="4" t="str">
        <f t="shared" si="3"/>
        <v/>
      </c>
      <c r="U2037" s="4">
        <f t="shared" si="4"/>
        <v>1634</v>
      </c>
    </row>
    <row r="2038" ht="15.75" customHeight="1">
      <c r="A2038" s="4" t="s">
        <v>3161</v>
      </c>
      <c r="B2038" s="4" t="s">
        <v>13</v>
      </c>
      <c r="I2038" s="4">
        <v>0.244</v>
      </c>
      <c r="J2038" s="4">
        <v>0.024</v>
      </c>
      <c r="K2038" s="6" t="b">
        <f t="shared" ref="K2038:M2038" si="1998">FALSE()</f>
        <v>0</v>
      </c>
      <c r="L2038" s="6" t="b">
        <f t="shared" si="1998"/>
        <v>0</v>
      </c>
      <c r="M2038" s="6" t="b">
        <f t="shared" si="1998"/>
        <v>0</v>
      </c>
      <c r="P2038" s="4">
        <v>0.218331994316988</v>
      </c>
      <c r="T2038" s="4" t="str">
        <f t="shared" si="3"/>
        <v/>
      </c>
      <c r="U2038" s="4">
        <f t="shared" si="4"/>
        <v>1885</v>
      </c>
    </row>
    <row r="2039" ht="15.75" customHeight="1">
      <c r="A2039" s="4" t="s">
        <v>3162</v>
      </c>
      <c r="B2039" s="4" t="s">
        <v>13</v>
      </c>
      <c r="I2039" s="4">
        <v>0.211</v>
      </c>
      <c r="J2039" s="4">
        <v>0.051</v>
      </c>
      <c r="K2039" s="6" t="b">
        <f t="shared" ref="K2039:M2039" si="1999">FALSE()</f>
        <v>0</v>
      </c>
      <c r="L2039" s="6" t="b">
        <f t="shared" si="1999"/>
        <v>0</v>
      </c>
      <c r="M2039" s="6" t="b">
        <f t="shared" si="1999"/>
        <v>0</v>
      </c>
      <c r="P2039" s="4">
        <v>0.191446464570955</v>
      </c>
      <c r="T2039" s="4" t="str">
        <f t="shared" si="3"/>
        <v/>
      </c>
      <c r="U2039" s="4">
        <f t="shared" si="4"/>
        <v>2389</v>
      </c>
    </row>
    <row r="2040" ht="15.75" customHeight="1">
      <c r="A2040" s="4" t="s">
        <v>3163</v>
      </c>
      <c r="B2040" s="4" t="s">
        <v>13</v>
      </c>
      <c r="I2040" s="4">
        <v>0.214</v>
      </c>
      <c r="J2040" s="4">
        <v>0.052</v>
      </c>
      <c r="K2040" s="6" t="b">
        <f t="shared" ref="K2040:M2040" si="2000">FALSE()</f>
        <v>0</v>
      </c>
      <c r="L2040" s="6" t="b">
        <f t="shared" si="2000"/>
        <v>0</v>
      </c>
      <c r="M2040" s="6" t="b">
        <f t="shared" si="2000"/>
        <v>0</v>
      </c>
      <c r="P2040" s="4">
        <v>0.193920692637307</v>
      </c>
      <c r="T2040" s="4" t="str">
        <f t="shared" si="3"/>
        <v/>
      </c>
      <c r="U2040" s="4">
        <f t="shared" si="4"/>
        <v>2345</v>
      </c>
    </row>
    <row r="2041" ht="15.75" customHeight="1">
      <c r="A2041" s="4" t="s">
        <v>3164</v>
      </c>
      <c r="B2041" s="4" t="s">
        <v>13</v>
      </c>
      <c r="I2041" s="4">
        <v>0.07565</v>
      </c>
      <c r="J2041" s="4">
        <v>0.009</v>
      </c>
      <c r="K2041" s="6" t="b">
        <f t="shared" ref="K2041:M2041" si="2001">FALSE()</f>
        <v>0</v>
      </c>
      <c r="L2041" s="6" t="b">
        <f t="shared" si="2001"/>
        <v>0</v>
      </c>
      <c r="M2041" s="6" t="b">
        <f t="shared" si="2001"/>
        <v>0</v>
      </c>
      <c r="P2041" s="4">
        <v>0.0729251300145565</v>
      </c>
      <c r="T2041" s="4" t="str">
        <f t="shared" si="3"/>
        <v/>
      </c>
      <c r="U2041" s="4">
        <f t="shared" si="4"/>
        <v>4452</v>
      </c>
    </row>
    <row r="2042" ht="15.75" customHeight="1">
      <c r="A2042" s="4" t="s">
        <v>3165</v>
      </c>
      <c r="B2042" s="4" t="s">
        <v>13</v>
      </c>
      <c r="I2042" s="4">
        <v>0.05745</v>
      </c>
      <c r="J2042" s="4">
        <v>0.0027</v>
      </c>
      <c r="K2042" s="6" t="b">
        <f t="shared" ref="K2042:M2042" si="2002">FALSE()</f>
        <v>0</v>
      </c>
      <c r="L2042" s="6" t="b">
        <f t="shared" si="2002"/>
        <v>0</v>
      </c>
      <c r="M2042" s="6" t="b">
        <f t="shared" si="2002"/>
        <v>0</v>
      </c>
      <c r="P2042" s="4">
        <v>0.0558603494966218</v>
      </c>
      <c r="T2042" s="4" t="str">
        <f t="shared" si="3"/>
        <v/>
      </c>
      <c r="U2042" s="4">
        <f t="shared" si="4"/>
        <v>4541</v>
      </c>
    </row>
    <row r="2043" ht="15.75" customHeight="1">
      <c r="A2043" s="4" t="s">
        <v>3166</v>
      </c>
      <c r="B2043" s="4" t="s">
        <v>13</v>
      </c>
      <c r="I2043" s="4">
        <v>0.05701</v>
      </c>
      <c r="J2043" s="4">
        <v>2.59E-4</v>
      </c>
      <c r="K2043" s="6" t="b">
        <f t="shared" ref="K2043:M2043" si="2003">FALSE()</f>
        <v>0</v>
      </c>
      <c r="L2043" s="6" t="b">
        <f t="shared" si="2003"/>
        <v>0</v>
      </c>
      <c r="M2043" s="6" t="b">
        <f t="shared" si="2003"/>
        <v>0</v>
      </c>
      <c r="P2043" s="4">
        <v>0.0554441675812856</v>
      </c>
      <c r="T2043" s="4" t="str">
        <f t="shared" si="3"/>
        <v/>
      </c>
      <c r="U2043" s="4">
        <f t="shared" si="4"/>
        <v>4542</v>
      </c>
    </row>
    <row r="2044" ht="15.75" customHeight="1">
      <c r="A2044" s="4" t="s">
        <v>3167</v>
      </c>
      <c r="B2044" s="4" t="s">
        <v>13</v>
      </c>
      <c r="I2044" s="4">
        <v>0.142</v>
      </c>
      <c r="J2044" s="4">
        <v>0.013</v>
      </c>
      <c r="K2044" s="6" t="b">
        <f t="shared" ref="K2044:M2044" si="2004">FALSE()</f>
        <v>0</v>
      </c>
      <c r="L2044" s="6" t="b">
        <f t="shared" si="2004"/>
        <v>0</v>
      </c>
      <c r="M2044" s="6" t="b">
        <f t="shared" si="2004"/>
        <v>0</v>
      </c>
      <c r="P2044" s="4">
        <v>0.132781111233818</v>
      </c>
      <c r="T2044" s="4" t="str">
        <f t="shared" si="3"/>
        <v/>
      </c>
      <c r="U2044" s="4">
        <f t="shared" si="4"/>
        <v>3473</v>
      </c>
    </row>
    <row r="2045" ht="15.75" customHeight="1">
      <c r="A2045" s="4" t="s">
        <v>3168</v>
      </c>
      <c r="B2045" s="4" t="s">
        <v>13</v>
      </c>
      <c r="I2045" s="4">
        <v>0.21</v>
      </c>
      <c r="J2045" s="4">
        <v>0.015</v>
      </c>
      <c r="K2045" s="6" t="b">
        <f t="shared" ref="K2045:M2045" si="2005">FALSE()</f>
        <v>0</v>
      </c>
      <c r="L2045" s="6" t="b">
        <f t="shared" si="2005"/>
        <v>0</v>
      </c>
      <c r="M2045" s="6" t="b">
        <f t="shared" si="2005"/>
        <v>0</v>
      </c>
      <c r="P2045" s="4">
        <v>0.19062035960865</v>
      </c>
      <c r="T2045" s="4" t="str">
        <f t="shared" si="3"/>
        <v/>
      </c>
      <c r="U2045" s="4">
        <f t="shared" si="4"/>
        <v>2417</v>
      </c>
    </row>
    <row r="2046" ht="15.75" customHeight="1">
      <c r="A2046" s="4" t="s">
        <v>3169</v>
      </c>
      <c r="B2046" s="4" t="s">
        <v>13</v>
      </c>
      <c r="I2046" s="4">
        <v>0.176</v>
      </c>
      <c r="J2046" s="4">
        <v>0.013</v>
      </c>
      <c r="K2046" s="6" t="b">
        <f t="shared" ref="K2046:M2046" si="2006">FALSE()</f>
        <v>0</v>
      </c>
      <c r="L2046" s="6" t="b">
        <f t="shared" si="2006"/>
        <v>0</v>
      </c>
      <c r="M2046" s="6" t="b">
        <f t="shared" si="2006"/>
        <v>0</v>
      </c>
      <c r="P2046" s="4">
        <v>0.162118849476435</v>
      </c>
      <c r="T2046" s="4" t="str">
        <f t="shared" si="3"/>
        <v/>
      </c>
      <c r="U2046" s="4">
        <f t="shared" si="4"/>
        <v>2957</v>
      </c>
    </row>
    <row r="2047" ht="15.75" customHeight="1">
      <c r="A2047" s="4" t="s">
        <v>3170</v>
      </c>
      <c r="B2047" s="4" t="s">
        <v>13</v>
      </c>
      <c r="I2047" s="4">
        <v>0.236</v>
      </c>
      <c r="J2047" s="4">
        <v>0.023</v>
      </c>
      <c r="K2047" s="6" t="b">
        <f t="shared" ref="K2047:M2047" si="2007">FALSE()</f>
        <v>0</v>
      </c>
      <c r="L2047" s="6" t="b">
        <f t="shared" si="2007"/>
        <v>0</v>
      </c>
      <c r="M2047" s="6" t="b">
        <f t="shared" si="2007"/>
        <v>0</v>
      </c>
      <c r="P2047" s="4">
        <v>0.211880359035499</v>
      </c>
      <c r="T2047" s="4" t="str">
        <f t="shared" si="3"/>
        <v/>
      </c>
      <c r="U2047" s="4">
        <f t="shared" si="4"/>
        <v>2012</v>
      </c>
    </row>
    <row r="2048" ht="15.75" customHeight="1">
      <c r="A2048" s="4" t="s">
        <v>3171</v>
      </c>
      <c r="B2048" s="4" t="s">
        <v>13</v>
      </c>
      <c r="I2048" s="4">
        <v>0.165</v>
      </c>
      <c r="J2048" s="4">
        <v>0.014</v>
      </c>
      <c r="K2048" s="6" t="b">
        <f t="shared" ref="K2048:M2048" si="2008">FALSE()</f>
        <v>0</v>
      </c>
      <c r="L2048" s="6" t="b">
        <f t="shared" si="2008"/>
        <v>0</v>
      </c>
      <c r="M2048" s="6" t="b">
        <f t="shared" si="2008"/>
        <v>0</v>
      </c>
      <c r="P2048" s="4">
        <v>0.152721087017664</v>
      </c>
      <c r="T2048" s="4" t="str">
        <f t="shared" si="3"/>
        <v/>
      </c>
      <c r="U2048" s="4">
        <f t="shared" si="4"/>
        <v>3104</v>
      </c>
    </row>
    <row r="2049" ht="15.75" customHeight="1">
      <c r="A2049" s="4" t="s">
        <v>3172</v>
      </c>
      <c r="B2049" s="4" t="s">
        <v>13</v>
      </c>
      <c r="I2049" s="4">
        <v>0.146</v>
      </c>
      <c r="J2049" s="4">
        <v>0.008</v>
      </c>
      <c r="K2049" s="6" t="b">
        <f t="shared" ref="K2049:M2049" si="2009">FALSE()</f>
        <v>0</v>
      </c>
      <c r="L2049" s="6" t="b">
        <f t="shared" si="2009"/>
        <v>0</v>
      </c>
      <c r="M2049" s="6" t="b">
        <f t="shared" si="2009"/>
        <v>0</v>
      </c>
      <c r="P2049" s="4">
        <v>0.136277618292548</v>
      </c>
      <c r="T2049" s="4" t="str">
        <f t="shared" si="3"/>
        <v/>
      </c>
      <c r="U2049" s="4">
        <f t="shared" si="4"/>
        <v>3389</v>
      </c>
    </row>
    <row r="2050" ht="15.75" customHeight="1">
      <c r="A2050" s="4" t="s">
        <v>3173</v>
      </c>
      <c r="B2050" s="4" t="s">
        <v>13</v>
      </c>
      <c r="I2050" s="4">
        <v>0.196</v>
      </c>
      <c r="J2050" s="4">
        <v>0.036</v>
      </c>
      <c r="K2050" s="6" t="b">
        <f t="shared" ref="K2050:M2050" si="2010">FALSE()</f>
        <v>0</v>
      </c>
      <c r="L2050" s="6" t="b">
        <f t="shared" si="2010"/>
        <v>0</v>
      </c>
      <c r="M2050" s="6" t="b">
        <f t="shared" si="2010"/>
        <v>0</v>
      </c>
      <c r="P2050" s="4">
        <v>0.17898265552844</v>
      </c>
      <c r="T2050" s="4" t="str">
        <f t="shared" si="3"/>
        <v/>
      </c>
      <c r="U2050" s="4">
        <f t="shared" si="4"/>
        <v>2648</v>
      </c>
    </row>
    <row r="2051" ht="15.75" customHeight="1">
      <c r="A2051" s="4" t="s">
        <v>3174</v>
      </c>
      <c r="B2051" s="4" t="s">
        <v>13</v>
      </c>
      <c r="I2051" s="4">
        <v>0.152</v>
      </c>
      <c r="J2051" s="4">
        <v>0.012</v>
      </c>
      <c r="K2051" s="6" t="b">
        <f t="shared" ref="K2051:M2051" si="2011">FALSE()</f>
        <v>0</v>
      </c>
      <c r="L2051" s="6" t="b">
        <f t="shared" si="2011"/>
        <v>0</v>
      </c>
      <c r="M2051" s="6" t="b">
        <f t="shared" si="2011"/>
        <v>0</v>
      </c>
      <c r="P2051" s="4">
        <v>0.1414995622737</v>
      </c>
      <c r="T2051" s="4" t="str">
        <f t="shared" si="3"/>
        <v/>
      </c>
      <c r="U2051" s="4">
        <f t="shared" si="4"/>
        <v>3295</v>
      </c>
    </row>
    <row r="2052" ht="15.75" customHeight="1">
      <c r="A2052" s="4" t="s">
        <v>3175</v>
      </c>
      <c r="B2052" s="4" t="s">
        <v>13</v>
      </c>
      <c r="I2052" s="4">
        <v>0.106</v>
      </c>
      <c r="J2052" s="4">
        <v>0.007</v>
      </c>
      <c r="K2052" s="6" t="b">
        <f t="shared" ref="K2052:M2052" si="2012">FALSE()</f>
        <v>0</v>
      </c>
      <c r="L2052" s="6" t="b">
        <f t="shared" si="2012"/>
        <v>0</v>
      </c>
      <c r="M2052" s="6" t="b">
        <f t="shared" si="2012"/>
        <v>0</v>
      </c>
      <c r="P2052" s="4">
        <v>0.100749903100143</v>
      </c>
      <c r="T2052" s="4" t="str">
        <f t="shared" si="3"/>
        <v/>
      </c>
      <c r="U2052" s="4">
        <f t="shared" si="4"/>
        <v>4116</v>
      </c>
    </row>
    <row r="2053" ht="15.75" customHeight="1">
      <c r="A2053" s="4" t="s">
        <v>748</v>
      </c>
      <c r="B2053" s="4" t="s">
        <v>13</v>
      </c>
      <c r="C2053" s="4">
        <v>0.037</v>
      </c>
      <c r="D2053" s="4">
        <v>0.013</v>
      </c>
      <c r="E2053" s="4">
        <v>0.013</v>
      </c>
      <c r="I2053" s="4">
        <v>0.162</v>
      </c>
      <c r="J2053" s="4">
        <v>0.004</v>
      </c>
      <c r="K2053" s="6" t="b">
        <f t="shared" ref="K2053:M2053" si="2013">FALSE()</f>
        <v>0</v>
      </c>
      <c r="L2053" s="6" t="b">
        <f t="shared" si="2013"/>
        <v>0</v>
      </c>
      <c r="M2053" s="6" t="b">
        <f t="shared" si="2013"/>
        <v>0</v>
      </c>
      <c r="N2053" s="4">
        <v>0.0363319292473902</v>
      </c>
      <c r="P2053" s="4">
        <v>0.15014265842972</v>
      </c>
      <c r="T2053" s="4">
        <f t="shared" si="3"/>
        <v>1478</v>
      </c>
      <c r="U2053" s="4">
        <f t="shared" si="4"/>
        <v>3147</v>
      </c>
    </row>
    <row r="2054" ht="15.75" customHeight="1">
      <c r="A2054" s="4" t="s">
        <v>749</v>
      </c>
      <c r="B2054" s="4" t="s">
        <v>13</v>
      </c>
      <c r="C2054" s="4">
        <v>0.02737</v>
      </c>
      <c r="F2054" s="4">
        <v>0.027</v>
      </c>
      <c r="G2054" s="4">
        <v>0.027</v>
      </c>
      <c r="H2054" s="4">
        <v>0.0</v>
      </c>
      <c r="I2054" s="4">
        <v>0.194</v>
      </c>
      <c r="J2054" s="4">
        <v>0.005</v>
      </c>
      <c r="K2054" s="6" t="b">
        <f t="shared" ref="K2054:M2054" si="2014">FALSE()</f>
        <v>0</v>
      </c>
      <c r="L2054" s="6" t="b">
        <f t="shared" si="2014"/>
        <v>0</v>
      </c>
      <c r="M2054" s="6" t="b">
        <f t="shared" si="2014"/>
        <v>0</v>
      </c>
      <c r="N2054" s="4">
        <v>0.0270021387025708</v>
      </c>
      <c r="O2054" s="4">
        <v>0.0266419309464211</v>
      </c>
      <c r="P2054" s="4">
        <v>0.17730901497041</v>
      </c>
      <c r="Q2054" s="4">
        <v>-0.611233576947037</v>
      </c>
      <c r="R2054" s="4">
        <v>-0.635336205381089</v>
      </c>
      <c r="S2054" s="4">
        <v>-1.18112803842657</v>
      </c>
      <c r="T2054" s="4">
        <f t="shared" si="3"/>
        <v>1599</v>
      </c>
      <c r="U2054" s="4">
        <f t="shared" si="4"/>
        <v>2682</v>
      </c>
    </row>
    <row r="2055" ht="15.75" customHeight="1">
      <c r="A2055" s="4" t="s">
        <v>3176</v>
      </c>
      <c r="B2055" s="4" t="s">
        <v>13</v>
      </c>
      <c r="I2055" s="4">
        <v>0.247</v>
      </c>
      <c r="J2055" s="4">
        <v>0.033</v>
      </c>
      <c r="K2055" s="6" t="b">
        <f t="shared" ref="K2055:M2055" si="2015">FALSE()</f>
        <v>0</v>
      </c>
      <c r="L2055" s="6" t="b">
        <f t="shared" si="2015"/>
        <v>0</v>
      </c>
      <c r="M2055" s="6" t="b">
        <f t="shared" si="2015"/>
        <v>0</v>
      </c>
      <c r="P2055" s="4">
        <v>0.220740666697899</v>
      </c>
      <c r="T2055" s="4" t="str">
        <f t="shared" si="3"/>
        <v/>
      </c>
      <c r="U2055" s="4">
        <f t="shared" si="4"/>
        <v>1850</v>
      </c>
    </row>
    <row r="2056" ht="15.75" customHeight="1">
      <c r="A2056" s="4" t="s">
        <v>3177</v>
      </c>
      <c r="B2056" s="4" t="s">
        <v>13</v>
      </c>
      <c r="I2056" s="4">
        <v>0.073</v>
      </c>
      <c r="J2056" s="4">
        <v>0.007</v>
      </c>
      <c r="K2056" s="6" t="b">
        <f t="shared" ref="K2056:M2056" si="2016">FALSE()</f>
        <v>0</v>
      </c>
      <c r="L2056" s="6" t="b">
        <f t="shared" si="2016"/>
        <v>0</v>
      </c>
      <c r="M2056" s="6" t="b">
        <f t="shared" si="2016"/>
        <v>0</v>
      </c>
      <c r="P2056" s="4">
        <v>0.0704584636485614</v>
      </c>
      <c r="T2056" s="4" t="str">
        <f t="shared" si="3"/>
        <v/>
      </c>
      <c r="U2056" s="4">
        <f t="shared" si="4"/>
        <v>4465</v>
      </c>
    </row>
    <row r="2057" ht="15.75" customHeight="1">
      <c r="A2057" s="4" t="s">
        <v>3178</v>
      </c>
      <c r="B2057" s="4" t="s">
        <v>13</v>
      </c>
      <c r="I2057" s="4">
        <v>0.131</v>
      </c>
      <c r="J2057" s="4">
        <v>0.016</v>
      </c>
      <c r="K2057" s="6" t="b">
        <f t="shared" ref="K2057:M2057" si="2017">FALSE()</f>
        <v>0</v>
      </c>
      <c r="L2057" s="6" t="b">
        <f t="shared" si="2017"/>
        <v>0</v>
      </c>
      <c r="M2057" s="6" t="b">
        <f t="shared" si="2017"/>
        <v>0</v>
      </c>
      <c r="P2057" s="4">
        <v>0.123102197133983</v>
      </c>
      <c r="T2057" s="4" t="str">
        <f t="shared" si="3"/>
        <v/>
      </c>
      <c r="U2057" s="4">
        <f t="shared" si="4"/>
        <v>3672</v>
      </c>
    </row>
    <row r="2058" ht="15.75" customHeight="1">
      <c r="A2058" s="4" t="s">
        <v>3179</v>
      </c>
      <c r="B2058" s="4" t="s">
        <v>13</v>
      </c>
      <c r="I2058" s="4">
        <v>0.149</v>
      </c>
      <c r="J2058" s="4">
        <v>0.01</v>
      </c>
      <c r="K2058" s="6" t="b">
        <f t="shared" ref="K2058:M2058" si="2018">FALSE()</f>
        <v>0</v>
      </c>
      <c r="L2058" s="6" t="b">
        <f t="shared" si="2018"/>
        <v>0</v>
      </c>
      <c r="M2058" s="6" t="b">
        <f t="shared" si="2018"/>
        <v>0</v>
      </c>
      <c r="P2058" s="4">
        <v>0.138891998866619</v>
      </c>
      <c r="T2058" s="4" t="str">
        <f t="shared" si="3"/>
        <v/>
      </c>
      <c r="U2058" s="4">
        <f t="shared" si="4"/>
        <v>3344</v>
      </c>
    </row>
    <row r="2059" ht="15.75" customHeight="1">
      <c r="A2059" s="4" t="s">
        <v>3180</v>
      </c>
      <c r="B2059" s="4" t="s">
        <v>13</v>
      </c>
      <c r="I2059" s="4">
        <v>0.321</v>
      </c>
      <c r="J2059" s="4">
        <v>0.031</v>
      </c>
      <c r="K2059" s="6" t="b">
        <f t="shared" ref="K2059:M2059" si="2019">FALSE()</f>
        <v>0</v>
      </c>
      <c r="L2059" s="6" t="b">
        <f t="shared" si="2019"/>
        <v>0</v>
      </c>
      <c r="M2059" s="6" t="b">
        <f t="shared" si="2019"/>
        <v>0</v>
      </c>
      <c r="P2059" s="4">
        <v>0.278389025540188</v>
      </c>
      <c r="T2059" s="4" t="str">
        <f t="shared" si="3"/>
        <v/>
      </c>
      <c r="U2059" s="4">
        <f t="shared" si="4"/>
        <v>1295</v>
      </c>
    </row>
    <row r="2060" ht="15.75" customHeight="1">
      <c r="A2060" s="4" t="s">
        <v>3181</v>
      </c>
      <c r="B2060" s="4" t="s">
        <v>13</v>
      </c>
      <c r="I2060" s="4">
        <v>0.178</v>
      </c>
      <c r="J2060" s="4">
        <v>0.014</v>
      </c>
      <c r="K2060" s="6" t="b">
        <f t="shared" ref="K2060:M2060" si="2020">FALSE()</f>
        <v>0</v>
      </c>
      <c r="L2060" s="6" t="b">
        <f t="shared" si="2020"/>
        <v>0</v>
      </c>
      <c r="M2060" s="6" t="b">
        <f t="shared" si="2020"/>
        <v>0</v>
      </c>
      <c r="P2060" s="4">
        <v>0.163818085229395</v>
      </c>
      <c r="T2060" s="4" t="str">
        <f t="shared" si="3"/>
        <v/>
      </c>
      <c r="U2060" s="4">
        <f t="shared" si="4"/>
        <v>2914</v>
      </c>
    </row>
    <row r="2061" ht="15.75" customHeight="1">
      <c r="A2061" s="4" t="s">
        <v>3182</v>
      </c>
      <c r="B2061" s="4" t="s">
        <v>13</v>
      </c>
      <c r="I2061" s="4">
        <v>0.125</v>
      </c>
      <c r="J2061" s="4">
        <v>0.01</v>
      </c>
      <c r="K2061" s="6" t="b">
        <f t="shared" ref="K2061:M2061" si="2021">FALSE()</f>
        <v>0</v>
      </c>
      <c r="L2061" s="6" t="b">
        <f t="shared" si="2021"/>
        <v>0</v>
      </c>
      <c r="M2061" s="6" t="b">
        <f t="shared" si="2021"/>
        <v>0</v>
      </c>
      <c r="P2061" s="4">
        <v>0.117783035656383</v>
      </c>
      <c r="T2061" s="4" t="str">
        <f t="shared" si="3"/>
        <v/>
      </c>
      <c r="U2061" s="4">
        <f t="shared" si="4"/>
        <v>3783</v>
      </c>
    </row>
    <row r="2062" ht="15.75" customHeight="1">
      <c r="A2062" s="4" t="s">
        <v>3183</v>
      </c>
      <c r="B2062" s="4" t="s">
        <v>13</v>
      </c>
      <c r="I2062" s="4">
        <v>0.11</v>
      </c>
      <c r="J2062" s="4">
        <v>0.007</v>
      </c>
      <c r="K2062" s="6" t="b">
        <f t="shared" ref="K2062:M2062" si="2022">FALSE()</f>
        <v>0</v>
      </c>
      <c r="L2062" s="6" t="b">
        <f t="shared" si="2022"/>
        <v>0</v>
      </c>
      <c r="M2062" s="6" t="b">
        <f t="shared" si="2022"/>
        <v>0</v>
      </c>
      <c r="P2062" s="4">
        <v>0.104360015324243</v>
      </c>
      <c r="T2062" s="4" t="str">
        <f t="shared" si="3"/>
        <v/>
      </c>
      <c r="U2062" s="4">
        <f t="shared" si="4"/>
        <v>4043</v>
      </c>
    </row>
    <row r="2063" ht="15.75" customHeight="1">
      <c r="A2063" s="4" t="s">
        <v>3184</v>
      </c>
      <c r="B2063" s="4" t="s">
        <v>13</v>
      </c>
      <c r="I2063" s="4">
        <v>0.233</v>
      </c>
      <c r="J2063" s="4">
        <v>0.045</v>
      </c>
      <c r="K2063" s="6" t="b">
        <f t="shared" ref="K2063:M2063" si="2023">FALSE()</f>
        <v>0</v>
      </c>
      <c r="L2063" s="6" t="b">
        <f t="shared" si="2023"/>
        <v>0</v>
      </c>
      <c r="M2063" s="6" t="b">
        <f t="shared" si="2023"/>
        <v>0</v>
      </c>
      <c r="P2063" s="4">
        <v>0.209450224182207</v>
      </c>
      <c r="T2063" s="4" t="str">
        <f t="shared" si="3"/>
        <v/>
      </c>
      <c r="U2063" s="4">
        <f t="shared" si="4"/>
        <v>2053</v>
      </c>
    </row>
    <row r="2064" ht="15.75" customHeight="1">
      <c r="A2064" s="4" t="s">
        <v>3185</v>
      </c>
      <c r="B2064" s="4" t="s">
        <v>13</v>
      </c>
      <c r="I2064" s="4">
        <v>0.151</v>
      </c>
      <c r="J2064" s="4">
        <v>0.008</v>
      </c>
      <c r="K2064" s="6" t="b">
        <f t="shared" ref="K2064:M2064" si="2024">FALSE()</f>
        <v>0</v>
      </c>
      <c r="L2064" s="6" t="b">
        <f t="shared" si="2024"/>
        <v>0</v>
      </c>
      <c r="M2064" s="6" t="b">
        <f t="shared" si="2024"/>
        <v>0</v>
      </c>
      <c r="P2064" s="4">
        <v>0.140631129739746</v>
      </c>
      <c r="T2064" s="4" t="str">
        <f t="shared" si="3"/>
        <v/>
      </c>
      <c r="U2064" s="4">
        <f t="shared" si="4"/>
        <v>3306</v>
      </c>
    </row>
    <row r="2065" ht="15.75" customHeight="1">
      <c r="A2065" s="4" t="s">
        <v>3186</v>
      </c>
      <c r="B2065" s="4" t="s">
        <v>13</v>
      </c>
      <c r="I2065" s="4">
        <v>0.128</v>
      </c>
      <c r="J2065" s="4">
        <v>0.015</v>
      </c>
      <c r="K2065" s="6" t="b">
        <f t="shared" ref="K2065:M2065" si="2025">FALSE()</f>
        <v>0</v>
      </c>
      <c r="L2065" s="6" t="b">
        <f t="shared" si="2025"/>
        <v>0</v>
      </c>
      <c r="M2065" s="6" t="b">
        <f t="shared" si="2025"/>
        <v>0</v>
      </c>
      <c r="P2065" s="4">
        <v>0.120446153075867</v>
      </c>
      <c r="T2065" s="4" t="str">
        <f t="shared" si="3"/>
        <v/>
      </c>
      <c r="U2065" s="4">
        <f t="shared" si="4"/>
        <v>3718</v>
      </c>
    </row>
    <row r="2066" ht="15.75" customHeight="1">
      <c r="A2066" s="4" t="s">
        <v>750</v>
      </c>
      <c r="B2066" s="4" t="s">
        <v>13</v>
      </c>
      <c r="C2066" s="4">
        <v>0.022</v>
      </c>
      <c r="D2066" s="4">
        <v>0.01</v>
      </c>
      <c r="E2066" s="4">
        <v>0.01</v>
      </c>
      <c r="I2066" s="4">
        <v>0.112</v>
      </c>
      <c r="J2066" s="4">
        <v>0.012</v>
      </c>
      <c r="K2066" s="6" t="b">
        <f t="shared" ref="K2066:M2066" si="2026">FALSE()</f>
        <v>0</v>
      </c>
      <c r="L2066" s="6" t="b">
        <f t="shared" si="2026"/>
        <v>0</v>
      </c>
      <c r="M2066" s="6" t="b">
        <f t="shared" si="2026"/>
        <v>0</v>
      </c>
      <c r="N2066" s="4">
        <v>0.0217614917815126</v>
      </c>
      <c r="P2066" s="4">
        <v>0.106160195828391</v>
      </c>
      <c r="T2066" s="4">
        <f t="shared" si="3"/>
        <v>1682</v>
      </c>
      <c r="U2066" s="4">
        <f t="shared" si="4"/>
        <v>4005</v>
      </c>
    </row>
    <row r="2067" ht="15.75" customHeight="1">
      <c r="A2067" s="4" t="s">
        <v>752</v>
      </c>
      <c r="B2067" s="4" t="s">
        <v>13</v>
      </c>
      <c r="C2067" s="4">
        <v>0.009</v>
      </c>
      <c r="D2067" s="4">
        <v>0.002</v>
      </c>
      <c r="E2067" s="4">
        <v>0.002</v>
      </c>
      <c r="I2067" s="4">
        <v>0.143</v>
      </c>
      <c r="J2067" s="4">
        <v>0.016</v>
      </c>
      <c r="K2067" s="6" t="b">
        <f t="shared" ref="K2067:M2067" si="2027">FALSE()</f>
        <v>0</v>
      </c>
      <c r="L2067" s="6" t="b">
        <f t="shared" si="2027"/>
        <v>0</v>
      </c>
      <c r="M2067" s="6" t="b">
        <f t="shared" si="2027"/>
        <v>0</v>
      </c>
      <c r="N2067" s="4">
        <v>0.0089597413714719</v>
      </c>
      <c r="P2067" s="4">
        <v>0.133656384812674</v>
      </c>
      <c r="T2067" s="4">
        <f t="shared" si="3"/>
        <v>1956</v>
      </c>
      <c r="U2067" s="4">
        <f t="shared" si="4"/>
        <v>3455</v>
      </c>
    </row>
    <row r="2068" ht="15.75" customHeight="1">
      <c r="A2068" s="4" t="s">
        <v>753</v>
      </c>
      <c r="B2068" s="4" t="s">
        <v>13</v>
      </c>
      <c r="C2068" s="4">
        <v>0.012</v>
      </c>
      <c r="D2068" s="4">
        <v>0.005</v>
      </c>
      <c r="E2068" s="4">
        <v>0.005</v>
      </c>
      <c r="I2068" s="4">
        <v>0.226</v>
      </c>
      <c r="J2068" s="4">
        <v>0.007</v>
      </c>
      <c r="K2068" s="6" t="b">
        <f t="shared" ref="K2068:M2068" si="2028">FALSE()</f>
        <v>0</v>
      </c>
      <c r="L2068" s="6" t="b">
        <f t="shared" si="2028"/>
        <v>0</v>
      </c>
      <c r="M2068" s="6" t="b">
        <f t="shared" si="2028"/>
        <v>0</v>
      </c>
      <c r="N2068" s="4">
        <v>0.0119285708652738</v>
      </c>
      <c r="P2068" s="4">
        <v>0.20375683751402</v>
      </c>
      <c r="T2068" s="4">
        <f t="shared" si="3"/>
        <v>1898</v>
      </c>
      <c r="U2068" s="4">
        <f t="shared" si="4"/>
        <v>2173</v>
      </c>
    </row>
    <row r="2069" ht="15.75" customHeight="1">
      <c r="A2069" s="4" t="s">
        <v>3187</v>
      </c>
      <c r="B2069" s="4" t="s">
        <v>13</v>
      </c>
      <c r="I2069" s="4">
        <v>0.2079</v>
      </c>
      <c r="J2069" s="4">
        <v>0.1187</v>
      </c>
      <c r="K2069" s="6" t="b">
        <f t="shared" ref="K2069:M2069" si="2029">FALSE()</f>
        <v>0</v>
      </c>
      <c r="L2069" s="6" t="b">
        <f t="shared" si="2029"/>
        <v>0</v>
      </c>
      <c r="M2069" s="6" t="b">
        <f t="shared" si="2029"/>
        <v>0</v>
      </c>
      <c r="P2069" s="4">
        <v>0.188883314629096</v>
      </c>
      <c r="T2069" s="4" t="str">
        <f t="shared" si="3"/>
        <v/>
      </c>
      <c r="U2069" s="4">
        <f t="shared" si="4"/>
        <v>2453</v>
      </c>
    </row>
    <row r="2070" ht="15.75" customHeight="1">
      <c r="A2070" s="4" t="s">
        <v>3188</v>
      </c>
      <c r="B2070" s="4" t="s">
        <v>13</v>
      </c>
      <c r="I2070" s="4">
        <v>0.198</v>
      </c>
      <c r="J2070" s="4">
        <v>0.015</v>
      </c>
      <c r="K2070" s="6" t="b">
        <f t="shared" ref="K2070:M2070" si="2030">FALSE()</f>
        <v>0</v>
      </c>
      <c r="L2070" s="6" t="b">
        <f t="shared" si="2030"/>
        <v>0</v>
      </c>
      <c r="M2070" s="6" t="b">
        <f t="shared" si="2030"/>
        <v>0</v>
      </c>
      <c r="P2070" s="4">
        <v>0.180653499693258</v>
      </c>
      <c r="T2070" s="4" t="str">
        <f t="shared" si="3"/>
        <v/>
      </c>
      <c r="U2070" s="4">
        <f t="shared" si="4"/>
        <v>2616</v>
      </c>
    </row>
    <row r="2071" ht="15.75" customHeight="1">
      <c r="A2071" s="4" t="s">
        <v>3189</v>
      </c>
      <c r="B2071" s="4" t="s">
        <v>13</v>
      </c>
      <c r="I2071" s="4">
        <v>0.078</v>
      </c>
      <c r="J2071" s="4">
        <v>0.005</v>
      </c>
      <c r="K2071" s="6" t="b">
        <f t="shared" ref="K2071:M2071" si="2031">FALSE()</f>
        <v>0</v>
      </c>
      <c r="L2071" s="6" t="b">
        <f t="shared" si="2031"/>
        <v>0</v>
      </c>
      <c r="M2071" s="6" t="b">
        <f t="shared" si="2031"/>
        <v>0</v>
      </c>
      <c r="P2071" s="4">
        <v>0.0751074724868054</v>
      </c>
      <c r="T2071" s="4" t="str">
        <f t="shared" si="3"/>
        <v/>
      </c>
      <c r="U2071" s="4">
        <f t="shared" si="4"/>
        <v>4432</v>
      </c>
    </row>
    <row r="2072" ht="15.75" customHeight="1">
      <c r="A2072" s="4" t="s">
        <v>3190</v>
      </c>
      <c r="B2072" s="4" t="s">
        <v>13</v>
      </c>
      <c r="I2072" s="4">
        <v>0.154</v>
      </c>
      <c r="J2072" s="4">
        <v>0.01</v>
      </c>
      <c r="K2072" s="6" t="b">
        <f t="shared" ref="K2072:M2072" si="2032">FALSE()</f>
        <v>0</v>
      </c>
      <c r="L2072" s="6" t="b">
        <f t="shared" si="2032"/>
        <v>0</v>
      </c>
      <c r="M2072" s="6" t="b">
        <f t="shared" si="2032"/>
        <v>0</v>
      </c>
      <c r="P2072" s="4">
        <v>0.143234168085908</v>
      </c>
      <c r="T2072" s="4" t="str">
        <f t="shared" si="3"/>
        <v/>
      </c>
      <c r="U2072" s="4">
        <f t="shared" si="4"/>
        <v>3255</v>
      </c>
    </row>
    <row r="2073" ht="15.75" customHeight="1">
      <c r="A2073" s="4" t="s">
        <v>3191</v>
      </c>
      <c r="B2073" s="4" t="s">
        <v>13</v>
      </c>
      <c r="I2073" s="4">
        <v>0.209</v>
      </c>
      <c r="J2073" s="4">
        <v>0.044</v>
      </c>
      <c r="K2073" s="6" t="b">
        <f t="shared" ref="K2073:M2073" si="2033">FALSE()</f>
        <v>0</v>
      </c>
      <c r="L2073" s="6" t="b">
        <f t="shared" si="2033"/>
        <v>0</v>
      </c>
      <c r="M2073" s="6" t="b">
        <f t="shared" si="2033"/>
        <v>0</v>
      </c>
      <c r="P2073" s="4">
        <v>0.189793571632656</v>
      </c>
      <c r="T2073" s="4" t="str">
        <f t="shared" si="3"/>
        <v/>
      </c>
      <c r="U2073" s="4">
        <f t="shared" si="4"/>
        <v>2430</v>
      </c>
    </row>
    <row r="2074" ht="15.75" customHeight="1">
      <c r="A2074" s="4" t="s">
        <v>3192</v>
      </c>
      <c r="B2074" s="4" t="s">
        <v>13</v>
      </c>
      <c r="I2074" s="4">
        <v>0.211</v>
      </c>
      <c r="J2074" s="4">
        <v>0.044</v>
      </c>
      <c r="K2074" s="6" t="b">
        <f t="shared" ref="K2074:M2074" si="2034">FALSE()</f>
        <v>0</v>
      </c>
      <c r="L2074" s="6" t="b">
        <f t="shared" si="2034"/>
        <v>0</v>
      </c>
      <c r="M2074" s="6" t="b">
        <f t="shared" si="2034"/>
        <v>0</v>
      </c>
      <c r="P2074" s="4">
        <v>0.191446464570955</v>
      </c>
      <c r="T2074" s="4" t="str">
        <f t="shared" si="3"/>
        <v/>
      </c>
      <c r="U2074" s="4">
        <f t="shared" si="4"/>
        <v>2390</v>
      </c>
    </row>
    <row r="2075" ht="15.75" customHeight="1">
      <c r="A2075" s="4" t="s">
        <v>3193</v>
      </c>
      <c r="B2075" s="4" t="s">
        <v>13</v>
      </c>
      <c r="I2075" s="4">
        <v>0.181</v>
      </c>
      <c r="J2075" s="4">
        <v>0.018</v>
      </c>
      <c r="K2075" s="6" t="b">
        <f t="shared" ref="K2075:M2075" si="2035">FALSE()</f>
        <v>0</v>
      </c>
      <c r="L2075" s="6" t="b">
        <f t="shared" si="2035"/>
        <v>0</v>
      </c>
      <c r="M2075" s="6" t="b">
        <f t="shared" si="2035"/>
        <v>0</v>
      </c>
      <c r="P2075" s="4">
        <v>0.166361537215225</v>
      </c>
      <c r="T2075" s="4" t="str">
        <f t="shared" si="3"/>
        <v/>
      </c>
      <c r="U2075" s="4">
        <f t="shared" si="4"/>
        <v>2878</v>
      </c>
    </row>
    <row r="2076" ht="15.75" customHeight="1">
      <c r="A2076" s="4" t="s">
        <v>3194</v>
      </c>
      <c r="B2076" s="4" t="s">
        <v>13</v>
      </c>
      <c r="I2076" s="4">
        <v>0.118</v>
      </c>
      <c r="J2076" s="4">
        <v>0.008</v>
      </c>
      <c r="K2076" s="6" t="b">
        <f t="shared" ref="K2076:M2076" si="2036">FALSE()</f>
        <v>0</v>
      </c>
      <c r="L2076" s="6" t="b">
        <f t="shared" si="2036"/>
        <v>0</v>
      </c>
      <c r="M2076" s="6" t="b">
        <f t="shared" si="2036"/>
        <v>0</v>
      </c>
      <c r="P2076" s="4">
        <v>0.111541374732907</v>
      </c>
      <c r="T2076" s="4" t="str">
        <f t="shared" si="3"/>
        <v/>
      </c>
      <c r="U2076" s="4">
        <f t="shared" si="4"/>
        <v>3905</v>
      </c>
    </row>
    <row r="2077" ht="15.75" customHeight="1">
      <c r="A2077" s="4" t="s">
        <v>3195</v>
      </c>
      <c r="B2077" s="4" t="s">
        <v>13</v>
      </c>
      <c r="I2077" s="4">
        <v>0.0705</v>
      </c>
      <c r="J2077" s="4">
        <v>0.0062</v>
      </c>
      <c r="K2077" s="6" t="b">
        <f t="shared" ref="K2077:M2077" si="2037">FALSE()</f>
        <v>0</v>
      </c>
      <c r="L2077" s="6" t="b">
        <f t="shared" si="2037"/>
        <v>0</v>
      </c>
      <c r="M2077" s="6" t="b">
        <f t="shared" si="2037"/>
        <v>0</v>
      </c>
      <c r="P2077" s="4">
        <v>0.0681258290476004</v>
      </c>
      <c r="T2077" s="4" t="str">
        <f t="shared" si="3"/>
        <v/>
      </c>
      <c r="U2077" s="4">
        <f t="shared" si="4"/>
        <v>4485</v>
      </c>
    </row>
    <row r="2078" ht="15.75" customHeight="1">
      <c r="A2078" s="4" t="s">
        <v>3196</v>
      </c>
      <c r="B2078" s="4" t="s">
        <v>13</v>
      </c>
      <c r="I2078" s="4">
        <v>0.209</v>
      </c>
      <c r="J2078" s="4">
        <v>0.041</v>
      </c>
      <c r="K2078" s="6" t="b">
        <f t="shared" ref="K2078:M2078" si="2038">FALSE()</f>
        <v>0</v>
      </c>
      <c r="L2078" s="6" t="b">
        <f t="shared" si="2038"/>
        <v>0</v>
      </c>
      <c r="M2078" s="6" t="b">
        <f t="shared" si="2038"/>
        <v>0</v>
      </c>
      <c r="P2078" s="4">
        <v>0.189793571632656</v>
      </c>
      <c r="T2078" s="4" t="str">
        <f t="shared" si="3"/>
        <v/>
      </c>
      <c r="U2078" s="4">
        <f t="shared" si="4"/>
        <v>2431</v>
      </c>
    </row>
    <row r="2079" ht="15.75" customHeight="1">
      <c r="A2079" s="4" t="s">
        <v>3197</v>
      </c>
      <c r="B2079" s="4" t="s">
        <v>13</v>
      </c>
      <c r="I2079" s="4">
        <v>0.211</v>
      </c>
      <c r="J2079" s="4">
        <v>0.033</v>
      </c>
      <c r="K2079" s="6" t="b">
        <f t="shared" ref="K2079:M2079" si="2039">FALSE()</f>
        <v>0</v>
      </c>
      <c r="L2079" s="6" t="b">
        <f t="shared" si="2039"/>
        <v>0</v>
      </c>
      <c r="M2079" s="6" t="b">
        <f t="shared" si="2039"/>
        <v>0</v>
      </c>
      <c r="P2079" s="4">
        <v>0.191446464570955</v>
      </c>
      <c r="T2079" s="4" t="str">
        <f t="shared" si="3"/>
        <v/>
      </c>
      <c r="U2079" s="4">
        <f t="shared" si="4"/>
        <v>2391</v>
      </c>
    </row>
    <row r="2080" ht="15.75" customHeight="1">
      <c r="A2080" s="4" t="s">
        <v>3198</v>
      </c>
      <c r="B2080" s="4" t="s">
        <v>13</v>
      </c>
      <c r="I2080" s="4">
        <v>0.097</v>
      </c>
      <c r="J2080" s="4">
        <v>0.019</v>
      </c>
      <c r="K2080" s="6" t="b">
        <f t="shared" ref="K2080:M2080" si="2040">FALSE()</f>
        <v>0</v>
      </c>
      <c r="L2080" s="6" t="b">
        <f t="shared" si="2040"/>
        <v>0</v>
      </c>
      <c r="M2080" s="6" t="b">
        <f t="shared" si="2040"/>
        <v>0</v>
      </c>
      <c r="P2080" s="4">
        <v>0.0925791812930932</v>
      </c>
      <c r="T2080" s="4" t="str">
        <f t="shared" si="3"/>
        <v/>
      </c>
      <c r="U2080" s="4">
        <f t="shared" si="4"/>
        <v>4256</v>
      </c>
    </row>
    <row r="2081" ht="15.75" customHeight="1">
      <c r="A2081" s="4" t="s">
        <v>3199</v>
      </c>
      <c r="B2081" s="4" t="s">
        <v>13</v>
      </c>
      <c r="I2081" s="4">
        <v>0.232</v>
      </c>
      <c r="J2081" s="4">
        <v>0.045</v>
      </c>
      <c r="K2081" s="6" t="b">
        <f t="shared" ref="K2081:M2081" si="2041">FALSE()</f>
        <v>0</v>
      </c>
      <c r="L2081" s="6" t="b">
        <f t="shared" si="2041"/>
        <v>0</v>
      </c>
      <c r="M2081" s="6" t="b">
        <f t="shared" si="2041"/>
        <v>0</v>
      </c>
      <c r="P2081" s="4">
        <v>0.208638865111328</v>
      </c>
      <c r="T2081" s="4" t="str">
        <f t="shared" si="3"/>
        <v/>
      </c>
      <c r="U2081" s="4">
        <f t="shared" si="4"/>
        <v>2076</v>
      </c>
    </row>
    <row r="2082" ht="15.75" customHeight="1">
      <c r="A2082" s="4" t="s">
        <v>3200</v>
      </c>
      <c r="B2082" s="4" t="s">
        <v>13</v>
      </c>
      <c r="I2082" s="4">
        <v>0.191</v>
      </c>
      <c r="J2082" s="4">
        <v>0.012</v>
      </c>
      <c r="K2082" s="6" t="b">
        <f t="shared" ref="K2082:M2082" si="2042">FALSE()</f>
        <v>0</v>
      </c>
      <c r="L2082" s="6" t="b">
        <f t="shared" si="2042"/>
        <v>0</v>
      </c>
      <c r="M2082" s="6" t="b">
        <f t="shared" si="2042"/>
        <v>0</v>
      </c>
      <c r="P2082" s="4">
        <v>0.174793290373163</v>
      </c>
      <c r="T2082" s="4" t="str">
        <f t="shared" si="3"/>
        <v/>
      </c>
      <c r="U2082" s="4">
        <f t="shared" si="4"/>
        <v>2723</v>
      </c>
    </row>
    <row r="2083" ht="15.75" customHeight="1">
      <c r="A2083" s="4" t="s">
        <v>3201</v>
      </c>
      <c r="B2083" s="4" t="s">
        <v>13</v>
      </c>
      <c r="I2083" s="4">
        <v>0.19</v>
      </c>
      <c r="J2083" s="4">
        <v>0.012</v>
      </c>
      <c r="K2083" s="6" t="b">
        <f t="shared" ref="K2083:M2083" si="2043">FALSE()</f>
        <v>0</v>
      </c>
      <c r="L2083" s="6" t="b">
        <f t="shared" si="2043"/>
        <v>0</v>
      </c>
      <c r="M2083" s="6" t="b">
        <f t="shared" si="2043"/>
        <v>0</v>
      </c>
      <c r="P2083" s="4">
        <v>0.173953307123438</v>
      </c>
      <c r="T2083" s="4" t="str">
        <f t="shared" si="3"/>
        <v/>
      </c>
      <c r="U2083" s="4">
        <f t="shared" si="4"/>
        <v>2733</v>
      </c>
    </row>
    <row r="2084" ht="15.75" customHeight="1">
      <c r="A2084" s="4" t="s">
        <v>3202</v>
      </c>
      <c r="B2084" s="4" t="s">
        <v>13</v>
      </c>
      <c r="I2084" s="4">
        <v>0.197</v>
      </c>
      <c r="J2084" s="4">
        <v>0.019</v>
      </c>
      <c r="K2084" s="6" t="b">
        <f t="shared" ref="K2084:M2084" si="2044">FALSE()</f>
        <v>0</v>
      </c>
      <c r="L2084" s="6" t="b">
        <f t="shared" si="2044"/>
        <v>0</v>
      </c>
      <c r="M2084" s="6" t="b">
        <f t="shared" si="2044"/>
        <v>0</v>
      </c>
      <c r="P2084" s="4">
        <v>0.179818426575836</v>
      </c>
      <c r="T2084" s="4" t="str">
        <f t="shared" si="3"/>
        <v/>
      </c>
      <c r="U2084" s="4">
        <f t="shared" si="4"/>
        <v>2633</v>
      </c>
    </row>
    <row r="2085" ht="15.75" customHeight="1">
      <c r="A2085" s="4" t="s">
        <v>3203</v>
      </c>
      <c r="B2085" s="4" t="s">
        <v>13</v>
      </c>
      <c r="I2085" s="4">
        <v>0.092</v>
      </c>
      <c r="J2085" s="4">
        <v>0.01</v>
      </c>
      <c r="K2085" s="6" t="b">
        <f t="shared" ref="K2085:M2085" si="2045">FALSE()</f>
        <v>0</v>
      </c>
      <c r="L2085" s="6" t="b">
        <f t="shared" si="2045"/>
        <v>0</v>
      </c>
      <c r="M2085" s="6" t="b">
        <f t="shared" si="2045"/>
        <v>0</v>
      </c>
      <c r="P2085" s="4">
        <v>0.0880108773227133</v>
      </c>
      <c r="T2085" s="4" t="str">
        <f t="shared" si="3"/>
        <v/>
      </c>
      <c r="U2085" s="4">
        <f t="shared" si="4"/>
        <v>4306</v>
      </c>
    </row>
    <row r="2086" ht="15.75" customHeight="1">
      <c r="A2086" s="4" t="s">
        <v>3204</v>
      </c>
      <c r="B2086" s="4" t="s">
        <v>13</v>
      </c>
      <c r="I2086" s="4">
        <v>0.1</v>
      </c>
      <c r="J2086" s="4">
        <v>0.006</v>
      </c>
      <c r="K2086" s="6" t="b">
        <f t="shared" ref="K2086:M2086" si="2046">FALSE()</f>
        <v>0</v>
      </c>
      <c r="L2086" s="6" t="b">
        <f t="shared" si="2046"/>
        <v>0</v>
      </c>
      <c r="M2086" s="6" t="b">
        <f t="shared" si="2046"/>
        <v>0</v>
      </c>
      <c r="P2086" s="4">
        <v>0.0953101798043248</v>
      </c>
      <c r="T2086" s="4" t="str">
        <f t="shared" si="3"/>
        <v/>
      </c>
      <c r="U2086" s="4">
        <f t="shared" si="4"/>
        <v>4212</v>
      </c>
    </row>
    <row r="2087" ht="15.75" customHeight="1">
      <c r="A2087" s="4" t="s">
        <v>3205</v>
      </c>
      <c r="B2087" s="4" t="s">
        <v>13</v>
      </c>
      <c r="I2087" s="4">
        <v>0.138</v>
      </c>
      <c r="J2087" s="4">
        <v>0.017</v>
      </c>
      <c r="K2087" s="6" t="b">
        <f t="shared" ref="K2087:M2087" si="2047">FALSE()</f>
        <v>0</v>
      </c>
      <c r="L2087" s="6" t="b">
        <f t="shared" si="2047"/>
        <v>0</v>
      </c>
      <c r="M2087" s="6" t="b">
        <f t="shared" si="2047"/>
        <v>0</v>
      </c>
      <c r="P2087" s="4">
        <v>0.129272335704139</v>
      </c>
      <c r="T2087" s="4" t="str">
        <f t="shared" si="3"/>
        <v/>
      </c>
      <c r="U2087" s="4">
        <f t="shared" si="4"/>
        <v>3540</v>
      </c>
    </row>
    <row r="2088" ht="15.75" customHeight="1">
      <c r="A2088" s="4" t="s">
        <v>3206</v>
      </c>
      <c r="B2088" s="4" t="s">
        <v>13</v>
      </c>
      <c r="I2088" s="4">
        <v>0.2998</v>
      </c>
      <c r="K2088" s="6" t="b">
        <f t="shared" ref="K2088:M2088" si="2048">FALSE()</f>
        <v>0</v>
      </c>
      <c r="L2088" s="6" t="b">
        <f t="shared" si="2048"/>
        <v>0</v>
      </c>
      <c r="M2088" s="6" t="b">
        <f t="shared" si="2048"/>
        <v>0</v>
      </c>
      <c r="P2088" s="4">
        <v>0.262210406478111</v>
      </c>
      <c r="T2088" s="4" t="str">
        <f t="shared" si="3"/>
        <v/>
      </c>
      <c r="U2088" s="4">
        <f t="shared" si="4"/>
        <v>1387</v>
      </c>
    </row>
    <row r="2089" ht="15.75" customHeight="1">
      <c r="A2089" s="4" t="s">
        <v>3207</v>
      </c>
      <c r="B2089" s="4" t="s">
        <v>13</v>
      </c>
      <c r="I2089" s="4">
        <v>0.151</v>
      </c>
      <c r="J2089" s="4">
        <v>0.012</v>
      </c>
      <c r="K2089" s="6" t="b">
        <f t="shared" ref="K2089:M2089" si="2049">FALSE()</f>
        <v>0</v>
      </c>
      <c r="L2089" s="6" t="b">
        <f t="shared" si="2049"/>
        <v>0</v>
      </c>
      <c r="M2089" s="6" t="b">
        <f t="shared" si="2049"/>
        <v>0</v>
      </c>
      <c r="P2089" s="4">
        <v>0.140631129739746</v>
      </c>
      <c r="T2089" s="4" t="str">
        <f t="shared" si="3"/>
        <v/>
      </c>
      <c r="U2089" s="4">
        <f t="shared" si="4"/>
        <v>3307</v>
      </c>
    </row>
    <row r="2090" ht="15.75" customHeight="1">
      <c r="A2090" s="4" t="s">
        <v>3208</v>
      </c>
      <c r="B2090" s="4" t="s">
        <v>13</v>
      </c>
      <c r="I2090" s="4">
        <v>0.153</v>
      </c>
      <c r="J2090" s="4">
        <v>0.011</v>
      </c>
      <c r="K2090" s="6" t="b">
        <f t="shared" ref="K2090:M2090" si="2050">FALSE()</f>
        <v>0</v>
      </c>
      <c r="L2090" s="6" t="b">
        <f t="shared" si="2050"/>
        <v>0</v>
      </c>
      <c r="M2090" s="6" t="b">
        <f t="shared" si="2050"/>
        <v>0</v>
      </c>
      <c r="P2090" s="4">
        <v>0.142367241286922</v>
      </c>
      <c r="T2090" s="4" t="str">
        <f t="shared" si="3"/>
        <v/>
      </c>
      <c r="U2090" s="4">
        <f t="shared" si="4"/>
        <v>3272</v>
      </c>
    </row>
    <row r="2091" ht="15.75" customHeight="1">
      <c r="A2091" s="4" t="s">
        <v>3209</v>
      </c>
      <c r="B2091" s="4" t="s">
        <v>13</v>
      </c>
      <c r="I2091" s="4">
        <v>0.223</v>
      </c>
      <c r="J2091" s="4">
        <v>0.012</v>
      </c>
      <c r="K2091" s="6" t="b">
        <f t="shared" ref="K2091:M2091" si="2051">FALSE()</f>
        <v>0</v>
      </c>
      <c r="L2091" s="6" t="b">
        <f t="shared" si="2051"/>
        <v>0</v>
      </c>
      <c r="M2091" s="6" t="b">
        <f t="shared" si="2051"/>
        <v>0</v>
      </c>
      <c r="P2091" s="4">
        <v>0.201306856705035</v>
      </c>
      <c r="T2091" s="4" t="str">
        <f t="shared" si="3"/>
        <v/>
      </c>
      <c r="U2091" s="4">
        <f t="shared" si="4"/>
        <v>2211</v>
      </c>
    </row>
    <row r="2092" ht="15.75" customHeight="1">
      <c r="A2092" s="4" t="s">
        <v>3210</v>
      </c>
      <c r="B2092" s="4" t="s">
        <v>13</v>
      </c>
      <c r="I2092" s="4">
        <v>0.084</v>
      </c>
      <c r="J2092" s="4">
        <v>0.005</v>
      </c>
      <c r="K2092" s="6" t="b">
        <f t="shared" ref="K2092:M2092" si="2052">FALSE()</f>
        <v>0</v>
      </c>
      <c r="L2092" s="6" t="b">
        <f t="shared" si="2052"/>
        <v>0</v>
      </c>
      <c r="M2092" s="6" t="b">
        <f t="shared" si="2052"/>
        <v>0</v>
      </c>
      <c r="P2092" s="4">
        <v>0.0806579030174544</v>
      </c>
      <c r="T2092" s="4" t="str">
        <f t="shared" si="3"/>
        <v/>
      </c>
      <c r="U2092" s="4">
        <f t="shared" si="4"/>
        <v>4380</v>
      </c>
    </row>
    <row r="2093" ht="15.75" customHeight="1">
      <c r="A2093" s="4" t="s">
        <v>3211</v>
      </c>
      <c r="B2093" s="4" t="s">
        <v>13</v>
      </c>
      <c r="I2093" s="4">
        <v>0.305</v>
      </c>
      <c r="J2093" s="4">
        <v>0.058</v>
      </c>
      <c r="K2093" s="6" t="b">
        <f t="shared" ref="K2093:M2093" si="2053">FALSE()</f>
        <v>0</v>
      </c>
      <c r="L2093" s="6" t="b">
        <f t="shared" si="2053"/>
        <v>0</v>
      </c>
      <c r="M2093" s="6" t="b">
        <f t="shared" si="2053"/>
        <v>0</v>
      </c>
      <c r="P2093" s="4">
        <v>0.266203040774657</v>
      </c>
      <c r="T2093" s="4" t="str">
        <f t="shared" si="3"/>
        <v/>
      </c>
      <c r="U2093" s="4">
        <f t="shared" si="4"/>
        <v>1350</v>
      </c>
    </row>
    <row r="2094" ht="15.75" customHeight="1">
      <c r="A2094" s="4" t="s">
        <v>3212</v>
      </c>
      <c r="B2094" s="4" t="s">
        <v>13</v>
      </c>
      <c r="I2094" s="4">
        <v>0.205</v>
      </c>
      <c r="J2094" s="4">
        <v>0.039</v>
      </c>
      <c r="K2094" s="6" t="b">
        <f t="shared" ref="K2094:M2094" si="2054">FALSE()</f>
        <v>0</v>
      </c>
      <c r="L2094" s="6" t="b">
        <f t="shared" si="2054"/>
        <v>0</v>
      </c>
      <c r="M2094" s="6" t="b">
        <f t="shared" si="2054"/>
        <v>0</v>
      </c>
      <c r="P2094" s="4">
        <v>0.186479566942618</v>
      </c>
      <c r="T2094" s="4" t="str">
        <f t="shared" si="3"/>
        <v/>
      </c>
      <c r="U2094" s="4">
        <f t="shared" si="4"/>
        <v>2491</v>
      </c>
    </row>
    <row r="2095" ht="15.75" customHeight="1">
      <c r="A2095" s="4" t="s">
        <v>3213</v>
      </c>
      <c r="B2095" s="4" t="s">
        <v>13</v>
      </c>
      <c r="I2095" s="4">
        <v>0.215</v>
      </c>
      <c r="J2095" s="4">
        <v>0.015</v>
      </c>
      <c r="K2095" s="6" t="b">
        <f t="shared" ref="K2095:M2095" si="2055">FALSE()</f>
        <v>0</v>
      </c>
      <c r="L2095" s="6" t="b">
        <f t="shared" si="2055"/>
        <v>0</v>
      </c>
      <c r="M2095" s="6" t="b">
        <f t="shared" si="2055"/>
        <v>0</v>
      </c>
      <c r="P2095" s="4">
        <v>0.194744076792512</v>
      </c>
      <c r="T2095" s="4" t="str">
        <f t="shared" si="3"/>
        <v/>
      </c>
      <c r="U2095" s="4">
        <f t="shared" si="4"/>
        <v>2334</v>
      </c>
    </row>
    <row r="2096" ht="15.75" customHeight="1">
      <c r="A2096" s="4" t="s">
        <v>3214</v>
      </c>
      <c r="B2096" s="4" t="s">
        <v>13</v>
      </c>
      <c r="I2096" s="4">
        <v>0.228</v>
      </c>
      <c r="J2096" s="4">
        <v>0.045</v>
      </c>
      <c r="K2096" s="6" t="b">
        <f t="shared" ref="K2096:M2096" si="2056">FALSE()</f>
        <v>0</v>
      </c>
      <c r="L2096" s="6" t="b">
        <f t="shared" si="2056"/>
        <v>0</v>
      </c>
      <c r="M2096" s="6" t="b">
        <f t="shared" si="2056"/>
        <v>0</v>
      </c>
      <c r="P2096" s="4">
        <v>0.205386829724951</v>
      </c>
      <c r="T2096" s="4" t="str">
        <f t="shared" si="3"/>
        <v/>
      </c>
      <c r="U2096" s="4">
        <f t="shared" si="4"/>
        <v>2140</v>
      </c>
    </row>
    <row r="2097" ht="15.75" customHeight="1">
      <c r="A2097" s="4" t="s">
        <v>3215</v>
      </c>
      <c r="B2097" s="4" t="s">
        <v>13</v>
      </c>
      <c r="I2097" s="4">
        <v>0.285</v>
      </c>
      <c r="J2097" s="4">
        <v>0.025</v>
      </c>
      <c r="K2097" s="6" t="b">
        <f t="shared" ref="K2097:M2097" si="2057">FALSE()</f>
        <v>0</v>
      </c>
      <c r="L2097" s="6" t="b">
        <f t="shared" si="2057"/>
        <v>0</v>
      </c>
      <c r="M2097" s="6" t="b">
        <f t="shared" si="2057"/>
        <v>0</v>
      </c>
      <c r="P2097" s="4">
        <v>0.250758718347183</v>
      </c>
      <c r="T2097" s="4" t="str">
        <f t="shared" si="3"/>
        <v/>
      </c>
      <c r="U2097" s="4">
        <f t="shared" si="4"/>
        <v>1463</v>
      </c>
    </row>
    <row r="2098" ht="15.75" customHeight="1">
      <c r="A2098" s="4" t="s">
        <v>3216</v>
      </c>
      <c r="B2098" s="4" t="s">
        <v>13</v>
      </c>
      <c r="I2098" s="4">
        <v>0.079</v>
      </c>
      <c r="J2098" s="4">
        <v>0.006</v>
      </c>
      <c r="K2098" s="6" t="b">
        <f t="shared" ref="K2098:M2098" si="2058">FALSE()</f>
        <v>0</v>
      </c>
      <c r="L2098" s="6" t="b">
        <f t="shared" si="2058"/>
        <v>0</v>
      </c>
      <c r="M2098" s="6" t="b">
        <f t="shared" si="2058"/>
        <v>0</v>
      </c>
      <c r="P2098" s="4">
        <v>0.0760346862759976</v>
      </c>
      <c r="T2098" s="4" t="str">
        <f t="shared" si="3"/>
        <v/>
      </c>
      <c r="U2098" s="4">
        <f t="shared" si="4"/>
        <v>4419</v>
      </c>
    </row>
    <row r="2099" ht="15.75" customHeight="1">
      <c r="A2099" s="4" t="s">
        <v>3217</v>
      </c>
      <c r="B2099" s="4" t="s">
        <v>13</v>
      </c>
      <c r="I2099" s="4">
        <v>0.142</v>
      </c>
      <c r="J2099" s="4">
        <v>0.014</v>
      </c>
      <c r="K2099" s="6" t="b">
        <f t="shared" ref="K2099:M2099" si="2059">FALSE()</f>
        <v>0</v>
      </c>
      <c r="L2099" s="6" t="b">
        <f t="shared" si="2059"/>
        <v>0</v>
      </c>
      <c r="M2099" s="6" t="b">
        <f t="shared" si="2059"/>
        <v>0</v>
      </c>
      <c r="P2099" s="4">
        <v>0.132781111233818</v>
      </c>
      <c r="T2099" s="4" t="str">
        <f t="shared" si="3"/>
        <v/>
      </c>
      <c r="U2099" s="4">
        <f t="shared" si="4"/>
        <v>3474</v>
      </c>
    </row>
    <row r="2100" ht="15.75" customHeight="1">
      <c r="A2100" s="4" t="s">
        <v>3218</v>
      </c>
      <c r="B2100" s="4" t="s">
        <v>13</v>
      </c>
      <c r="I2100" s="4">
        <v>0.267</v>
      </c>
      <c r="J2100" s="4">
        <v>0.021</v>
      </c>
      <c r="K2100" s="6" t="b">
        <f t="shared" ref="K2100:M2100" si="2060">FALSE()</f>
        <v>0</v>
      </c>
      <c r="L2100" s="6" t="b">
        <f t="shared" si="2060"/>
        <v>0</v>
      </c>
      <c r="M2100" s="6" t="b">
        <f t="shared" si="2060"/>
        <v>0</v>
      </c>
      <c r="P2100" s="4">
        <v>0.236651901339002</v>
      </c>
      <c r="T2100" s="4" t="str">
        <f t="shared" si="3"/>
        <v/>
      </c>
      <c r="U2100" s="4">
        <f t="shared" si="4"/>
        <v>1616</v>
      </c>
    </row>
    <row r="2101" ht="15.75" customHeight="1">
      <c r="A2101" s="4" t="s">
        <v>3219</v>
      </c>
      <c r="B2101" s="4" t="s">
        <v>13</v>
      </c>
      <c r="I2101" s="4">
        <v>0.219</v>
      </c>
      <c r="J2101" s="4">
        <v>0.029</v>
      </c>
      <c r="K2101" s="6" t="b">
        <f t="shared" ref="K2101:M2101" si="2061">FALSE()</f>
        <v>0</v>
      </c>
      <c r="L2101" s="6" t="b">
        <f t="shared" si="2061"/>
        <v>0</v>
      </c>
      <c r="M2101" s="6" t="b">
        <f t="shared" si="2061"/>
        <v>0</v>
      </c>
      <c r="P2101" s="4">
        <v>0.198030850499134</v>
      </c>
      <c r="T2101" s="4" t="str">
        <f t="shared" si="3"/>
        <v/>
      </c>
      <c r="U2101" s="4">
        <f t="shared" si="4"/>
        <v>2276</v>
      </c>
    </row>
    <row r="2102" ht="15.75" customHeight="1">
      <c r="A2102" s="4" t="s">
        <v>3220</v>
      </c>
      <c r="B2102" s="4" t="s">
        <v>13</v>
      </c>
      <c r="I2102" s="4">
        <v>0.17</v>
      </c>
      <c r="J2102" s="4">
        <v>0.011</v>
      </c>
      <c r="K2102" s="6" t="b">
        <f t="shared" ref="K2102:M2102" si="2062">FALSE()</f>
        <v>0</v>
      </c>
      <c r="L2102" s="6" t="b">
        <f t="shared" si="2062"/>
        <v>0</v>
      </c>
      <c r="M2102" s="6" t="b">
        <f t="shared" si="2062"/>
        <v>0</v>
      </c>
      <c r="P2102" s="4">
        <v>0.157003748809665</v>
      </c>
      <c r="T2102" s="4" t="str">
        <f t="shared" si="3"/>
        <v/>
      </c>
      <c r="U2102" s="4">
        <f t="shared" si="4"/>
        <v>3039</v>
      </c>
    </row>
    <row r="2103" ht="15.75" customHeight="1">
      <c r="A2103" s="4" t="s">
        <v>3221</v>
      </c>
      <c r="B2103" s="4" t="s">
        <v>13</v>
      </c>
      <c r="I2103" s="4">
        <v>0.0562</v>
      </c>
      <c r="J2103" s="4">
        <v>0.0036</v>
      </c>
      <c r="K2103" s="6" t="b">
        <f t="shared" ref="K2103:M2103" si="2063">FALSE()</f>
        <v>0</v>
      </c>
      <c r="L2103" s="6" t="b">
        <f t="shared" si="2063"/>
        <v>0</v>
      </c>
      <c r="M2103" s="6" t="b">
        <f t="shared" si="2063"/>
        <v>0</v>
      </c>
      <c r="P2103" s="4">
        <v>0.0546775612906957</v>
      </c>
      <c r="T2103" s="4" t="str">
        <f t="shared" si="3"/>
        <v/>
      </c>
      <c r="U2103" s="4">
        <f t="shared" si="4"/>
        <v>4544</v>
      </c>
    </row>
    <row r="2104" ht="15.75" customHeight="1">
      <c r="A2104" s="4" t="s">
        <v>3222</v>
      </c>
      <c r="B2104" s="4" t="s">
        <v>13</v>
      </c>
      <c r="I2104" s="4">
        <v>0.118</v>
      </c>
      <c r="J2104" s="4">
        <v>0.007</v>
      </c>
      <c r="K2104" s="6" t="b">
        <f t="shared" ref="K2104:M2104" si="2064">FALSE()</f>
        <v>0</v>
      </c>
      <c r="L2104" s="6" t="b">
        <f t="shared" si="2064"/>
        <v>0</v>
      </c>
      <c r="M2104" s="6" t="b">
        <f t="shared" si="2064"/>
        <v>0</v>
      </c>
      <c r="P2104" s="4">
        <v>0.111541374732907</v>
      </c>
      <c r="T2104" s="4" t="str">
        <f t="shared" si="3"/>
        <v/>
      </c>
      <c r="U2104" s="4">
        <f t="shared" si="4"/>
        <v>3906</v>
      </c>
    </row>
    <row r="2105" ht="15.75" customHeight="1">
      <c r="A2105" s="4" t="s">
        <v>754</v>
      </c>
      <c r="B2105" s="4" t="s">
        <v>13</v>
      </c>
      <c r="C2105" s="4">
        <v>0.094</v>
      </c>
      <c r="D2105" s="4">
        <v>0.033</v>
      </c>
      <c r="E2105" s="4">
        <v>0.033</v>
      </c>
      <c r="I2105" s="4">
        <v>0.719</v>
      </c>
      <c r="J2105" s="4">
        <v>0.024</v>
      </c>
      <c r="K2105" s="6" t="b">
        <f t="shared" ref="K2105:M2105" si="2065">FALSE()</f>
        <v>0</v>
      </c>
      <c r="L2105" s="6" t="b">
        <f t="shared" si="2065"/>
        <v>0</v>
      </c>
      <c r="M2105" s="6" t="b">
        <f t="shared" si="2065"/>
        <v>0</v>
      </c>
      <c r="N2105" s="4">
        <v>0.0898407039997894</v>
      </c>
      <c r="P2105" s="4">
        <v>0.541742726400712</v>
      </c>
      <c r="T2105" s="4">
        <f t="shared" si="3"/>
        <v>1271</v>
      </c>
      <c r="U2105" s="4">
        <f t="shared" si="4"/>
        <v>892</v>
      </c>
    </row>
    <row r="2106" ht="15.75" customHeight="1">
      <c r="A2106" s="4" t="s">
        <v>755</v>
      </c>
      <c r="B2106" s="4" t="s">
        <v>13</v>
      </c>
      <c r="C2106" s="4">
        <v>1.84</v>
      </c>
      <c r="D2106" s="4">
        <v>0.18</v>
      </c>
      <c r="E2106" s="4">
        <v>0.18</v>
      </c>
      <c r="I2106" s="4">
        <v>1.101</v>
      </c>
      <c r="J2106" s="4">
        <v>0.035</v>
      </c>
      <c r="K2106" s="6" t="b">
        <f t="shared" ref="K2106:L2106" si="2066">FALSE()</f>
        <v>0</v>
      </c>
      <c r="L2106" s="6" t="b">
        <f t="shared" si="2066"/>
        <v>0</v>
      </c>
      <c r="M2106" s="6" t="b">
        <f>TRUE()</f>
        <v>1</v>
      </c>
      <c r="N2106" s="4">
        <v>1.04380405217312</v>
      </c>
      <c r="P2106" s="4">
        <v>0.742413421862863</v>
      </c>
      <c r="T2106" s="4">
        <f t="shared" si="3"/>
        <v>464</v>
      </c>
      <c r="U2106" s="4">
        <f t="shared" si="4"/>
        <v>510</v>
      </c>
    </row>
    <row r="2107" ht="15.75" customHeight="1">
      <c r="A2107" s="4" t="s">
        <v>3223</v>
      </c>
      <c r="B2107" s="4" t="s">
        <v>13</v>
      </c>
      <c r="I2107" s="4">
        <v>0.178</v>
      </c>
      <c r="J2107" s="4">
        <v>0.024</v>
      </c>
      <c r="K2107" s="6" t="b">
        <f t="shared" ref="K2107:M2107" si="2067">FALSE()</f>
        <v>0</v>
      </c>
      <c r="L2107" s="6" t="b">
        <f t="shared" si="2067"/>
        <v>0</v>
      </c>
      <c r="M2107" s="6" t="b">
        <f t="shared" si="2067"/>
        <v>0</v>
      </c>
      <c r="P2107" s="4">
        <v>0.163818085229395</v>
      </c>
      <c r="T2107" s="4" t="str">
        <f t="shared" si="3"/>
        <v/>
      </c>
      <c r="U2107" s="4">
        <f t="shared" si="4"/>
        <v>2915</v>
      </c>
    </row>
    <row r="2108" ht="15.75" customHeight="1">
      <c r="A2108" s="4" t="s">
        <v>3224</v>
      </c>
      <c r="B2108" s="4" t="s">
        <v>13</v>
      </c>
      <c r="I2108" s="4">
        <v>0.14</v>
      </c>
      <c r="J2108" s="4">
        <v>0.023</v>
      </c>
      <c r="K2108" s="6" t="b">
        <f t="shared" ref="K2108:M2108" si="2068">FALSE()</f>
        <v>0</v>
      </c>
      <c r="L2108" s="6" t="b">
        <f t="shared" si="2068"/>
        <v>0</v>
      </c>
      <c r="M2108" s="6" t="b">
        <f t="shared" si="2068"/>
        <v>0</v>
      </c>
      <c r="P2108" s="4">
        <v>0.131028262406404</v>
      </c>
      <c r="T2108" s="4" t="str">
        <f t="shared" si="3"/>
        <v/>
      </c>
      <c r="U2108" s="4">
        <f t="shared" si="4"/>
        <v>3502</v>
      </c>
    </row>
    <row r="2109" ht="15.75" customHeight="1">
      <c r="A2109" s="4" t="s">
        <v>3225</v>
      </c>
      <c r="B2109" s="4" t="s">
        <v>13</v>
      </c>
      <c r="I2109" s="4">
        <v>0.215</v>
      </c>
      <c r="J2109" s="4">
        <v>0.045</v>
      </c>
      <c r="K2109" s="6" t="b">
        <f t="shared" ref="K2109:M2109" si="2069">FALSE()</f>
        <v>0</v>
      </c>
      <c r="L2109" s="6" t="b">
        <f t="shared" si="2069"/>
        <v>0</v>
      </c>
      <c r="M2109" s="6" t="b">
        <f t="shared" si="2069"/>
        <v>0</v>
      </c>
      <c r="P2109" s="4">
        <v>0.194744076792512</v>
      </c>
      <c r="T2109" s="4" t="str">
        <f t="shared" si="3"/>
        <v/>
      </c>
      <c r="U2109" s="4">
        <f t="shared" si="4"/>
        <v>2335</v>
      </c>
    </row>
    <row r="2110" ht="15.75" customHeight="1">
      <c r="A2110" s="4" t="s">
        <v>3226</v>
      </c>
      <c r="B2110" s="4" t="s">
        <v>13</v>
      </c>
      <c r="I2110" s="4">
        <v>0.252</v>
      </c>
      <c r="J2110" s="4">
        <v>0.027</v>
      </c>
      <c r="K2110" s="6" t="b">
        <f t="shared" ref="K2110:M2110" si="2070">FALSE()</f>
        <v>0</v>
      </c>
      <c r="L2110" s="6" t="b">
        <f t="shared" si="2070"/>
        <v>0</v>
      </c>
      <c r="M2110" s="6" t="b">
        <f t="shared" si="2070"/>
        <v>0</v>
      </c>
      <c r="P2110" s="4">
        <v>0.224742272677907</v>
      </c>
      <c r="T2110" s="4" t="str">
        <f t="shared" si="3"/>
        <v/>
      </c>
      <c r="U2110" s="4">
        <f t="shared" si="4"/>
        <v>1780</v>
      </c>
    </row>
    <row r="2111" ht="15.75" customHeight="1">
      <c r="A2111" s="4" t="s">
        <v>3227</v>
      </c>
      <c r="B2111" s="4" t="s">
        <v>13</v>
      </c>
      <c r="I2111" s="4">
        <v>0.239</v>
      </c>
      <c r="J2111" s="4">
        <v>0.027</v>
      </c>
      <c r="K2111" s="6" t="b">
        <f t="shared" ref="K2111:M2111" si="2071">FALSE()</f>
        <v>0</v>
      </c>
      <c r="L2111" s="6" t="b">
        <f t="shared" si="2071"/>
        <v>0</v>
      </c>
      <c r="M2111" s="6" t="b">
        <f t="shared" si="2071"/>
        <v>0</v>
      </c>
      <c r="P2111" s="4">
        <v>0.214304602647005</v>
      </c>
      <c r="T2111" s="4" t="str">
        <f t="shared" si="3"/>
        <v/>
      </c>
      <c r="U2111" s="4">
        <f t="shared" si="4"/>
        <v>1962</v>
      </c>
    </row>
    <row r="2112" ht="15.75" customHeight="1">
      <c r="A2112" s="4" t="s">
        <v>3228</v>
      </c>
      <c r="B2112" s="4" t="s">
        <v>13</v>
      </c>
      <c r="I2112" s="4">
        <v>0.119</v>
      </c>
      <c r="J2112" s="4">
        <v>0.004</v>
      </c>
      <c r="K2112" s="6" t="b">
        <f t="shared" ref="K2112:M2112" si="2072">FALSE()</f>
        <v>0</v>
      </c>
      <c r="L2112" s="6" t="b">
        <f t="shared" si="2072"/>
        <v>0</v>
      </c>
      <c r="M2112" s="6" t="b">
        <f t="shared" si="2072"/>
        <v>0</v>
      </c>
      <c r="P2112" s="4">
        <v>0.112435429329788</v>
      </c>
      <c r="T2112" s="4" t="str">
        <f t="shared" si="3"/>
        <v/>
      </c>
      <c r="U2112" s="4">
        <f t="shared" si="4"/>
        <v>3882</v>
      </c>
    </row>
    <row r="2113" ht="15.75" customHeight="1">
      <c r="A2113" s="4" t="s">
        <v>3229</v>
      </c>
      <c r="B2113" s="4" t="s">
        <v>13</v>
      </c>
      <c r="I2113" s="4">
        <v>0.199</v>
      </c>
      <c r="J2113" s="4">
        <v>0.02</v>
      </c>
      <c r="K2113" s="6" t="b">
        <f t="shared" ref="K2113:M2113" si="2073">FALSE()</f>
        <v>0</v>
      </c>
      <c r="L2113" s="6" t="b">
        <f t="shared" si="2073"/>
        <v>0</v>
      </c>
      <c r="M2113" s="6" t="b">
        <f t="shared" si="2073"/>
        <v>0</v>
      </c>
      <c r="P2113" s="4">
        <v>0.181487876045377</v>
      </c>
      <c r="T2113" s="4" t="str">
        <f t="shared" si="3"/>
        <v/>
      </c>
      <c r="U2113" s="4">
        <f t="shared" si="4"/>
        <v>2597</v>
      </c>
    </row>
    <row r="2114" ht="15.75" customHeight="1">
      <c r="A2114" s="4" t="s">
        <v>3230</v>
      </c>
      <c r="B2114" s="4" t="s">
        <v>13</v>
      </c>
      <c r="I2114" s="4">
        <v>0.233</v>
      </c>
      <c r="J2114" s="4">
        <v>0.025</v>
      </c>
      <c r="K2114" s="6" t="b">
        <f t="shared" ref="K2114:M2114" si="2074">FALSE()</f>
        <v>0</v>
      </c>
      <c r="L2114" s="6" t="b">
        <f t="shared" si="2074"/>
        <v>0</v>
      </c>
      <c r="M2114" s="6" t="b">
        <f t="shared" si="2074"/>
        <v>0</v>
      </c>
      <c r="P2114" s="4">
        <v>0.209450224182207</v>
      </c>
      <c r="T2114" s="4" t="str">
        <f t="shared" si="3"/>
        <v/>
      </c>
      <c r="U2114" s="4">
        <f t="shared" si="4"/>
        <v>2054</v>
      </c>
    </row>
    <row r="2115" ht="15.75" customHeight="1">
      <c r="A2115" s="4" t="s">
        <v>3231</v>
      </c>
      <c r="B2115" s="4" t="s">
        <v>13</v>
      </c>
      <c r="I2115" s="4">
        <v>0.186</v>
      </c>
      <c r="J2115" s="4">
        <v>0.02</v>
      </c>
      <c r="K2115" s="6" t="b">
        <f t="shared" ref="K2115:M2115" si="2075">FALSE()</f>
        <v>0</v>
      </c>
      <c r="L2115" s="6" t="b">
        <f t="shared" si="2075"/>
        <v>0</v>
      </c>
      <c r="M2115" s="6" t="b">
        <f t="shared" si="2075"/>
        <v>0</v>
      </c>
      <c r="P2115" s="4">
        <v>0.170586300575534</v>
      </c>
      <c r="T2115" s="4" t="str">
        <f t="shared" si="3"/>
        <v/>
      </c>
      <c r="U2115" s="4">
        <f t="shared" si="4"/>
        <v>2800</v>
      </c>
    </row>
    <row r="2116" ht="15.75" customHeight="1">
      <c r="A2116" s="4" t="s">
        <v>3232</v>
      </c>
      <c r="B2116" s="4" t="s">
        <v>13</v>
      </c>
      <c r="I2116" s="4">
        <v>0.158</v>
      </c>
      <c r="J2116" s="4">
        <v>0.043</v>
      </c>
      <c r="K2116" s="6" t="b">
        <f t="shared" ref="K2116:M2116" si="2076">FALSE()</f>
        <v>0</v>
      </c>
      <c r="L2116" s="6" t="b">
        <f t="shared" si="2076"/>
        <v>0</v>
      </c>
      <c r="M2116" s="6" t="b">
        <f t="shared" si="2076"/>
        <v>0</v>
      </c>
      <c r="P2116" s="4">
        <v>0.146694379150804</v>
      </c>
      <c r="T2116" s="4" t="str">
        <f t="shared" si="3"/>
        <v/>
      </c>
      <c r="U2116" s="4">
        <f t="shared" si="4"/>
        <v>3196</v>
      </c>
    </row>
    <row r="2117" ht="15.75" customHeight="1">
      <c r="A2117" s="4" t="s">
        <v>3233</v>
      </c>
      <c r="B2117" s="4" t="s">
        <v>13</v>
      </c>
      <c r="I2117" s="4">
        <v>0.175</v>
      </c>
      <c r="J2117" s="4">
        <v>0.084</v>
      </c>
      <c r="K2117" s="6" t="b">
        <f t="shared" ref="K2117:M2117" si="2077">FALSE()</f>
        <v>0</v>
      </c>
      <c r="L2117" s="6" t="b">
        <f t="shared" si="2077"/>
        <v>0</v>
      </c>
      <c r="M2117" s="6" t="b">
        <f t="shared" si="2077"/>
        <v>0</v>
      </c>
      <c r="P2117" s="4">
        <v>0.161268147596122</v>
      </c>
      <c r="T2117" s="4" t="str">
        <f t="shared" si="3"/>
        <v/>
      </c>
      <c r="U2117" s="4">
        <f t="shared" si="4"/>
        <v>2972</v>
      </c>
    </row>
    <row r="2118" ht="15.75" customHeight="1">
      <c r="A2118" s="4" t="s">
        <v>3234</v>
      </c>
      <c r="B2118" s="4" t="s">
        <v>13</v>
      </c>
      <c r="I2118" s="4">
        <v>0.685</v>
      </c>
      <c r="J2118" s="4">
        <v>0.306</v>
      </c>
      <c r="K2118" s="6" t="b">
        <f t="shared" ref="K2118:M2118" si="2078">FALSE()</f>
        <v>0</v>
      </c>
      <c r="L2118" s="6" t="b">
        <f t="shared" si="2078"/>
        <v>0</v>
      </c>
      <c r="M2118" s="6" t="b">
        <f t="shared" si="2078"/>
        <v>0</v>
      </c>
      <c r="P2118" s="4">
        <v>0.521765563804325</v>
      </c>
      <c r="T2118" s="4" t="str">
        <f t="shared" si="3"/>
        <v/>
      </c>
      <c r="U2118" s="4">
        <f t="shared" si="4"/>
        <v>903</v>
      </c>
    </row>
    <row r="2119" ht="15.75" customHeight="1">
      <c r="A2119" s="4" t="s">
        <v>3235</v>
      </c>
      <c r="B2119" s="4" t="s">
        <v>13</v>
      </c>
      <c r="I2119" s="4">
        <v>0.119</v>
      </c>
      <c r="J2119" s="4">
        <v>0.01</v>
      </c>
      <c r="K2119" s="6" t="b">
        <f t="shared" ref="K2119:M2119" si="2079">FALSE()</f>
        <v>0</v>
      </c>
      <c r="L2119" s="6" t="b">
        <f t="shared" si="2079"/>
        <v>0</v>
      </c>
      <c r="M2119" s="6" t="b">
        <f t="shared" si="2079"/>
        <v>0</v>
      </c>
      <c r="P2119" s="4">
        <v>0.112435429329788</v>
      </c>
      <c r="T2119" s="4" t="str">
        <f t="shared" si="3"/>
        <v/>
      </c>
      <c r="U2119" s="4">
        <f t="shared" si="4"/>
        <v>3883</v>
      </c>
    </row>
    <row r="2120" ht="15.75" customHeight="1">
      <c r="A2120" s="4" t="s">
        <v>3236</v>
      </c>
      <c r="B2120" s="4" t="s">
        <v>13</v>
      </c>
      <c r="I2120" s="4">
        <v>0.135</v>
      </c>
      <c r="J2120" s="4">
        <v>0.01</v>
      </c>
      <c r="K2120" s="6" t="b">
        <f t="shared" ref="K2120:M2120" si="2080">FALSE()</f>
        <v>0</v>
      </c>
      <c r="L2120" s="6" t="b">
        <f t="shared" si="2080"/>
        <v>0</v>
      </c>
      <c r="M2120" s="6" t="b">
        <f t="shared" si="2080"/>
        <v>0</v>
      </c>
      <c r="P2120" s="4">
        <v>0.126632650933366</v>
      </c>
      <c r="T2120" s="4" t="str">
        <f t="shared" si="3"/>
        <v/>
      </c>
      <c r="U2120" s="4">
        <f t="shared" si="4"/>
        <v>3609</v>
      </c>
    </row>
    <row r="2121" ht="15.75" customHeight="1">
      <c r="A2121" s="4" t="s">
        <v>3237</v>
      </c>
      <c r="B2121" s="4" t="s">
        <v>13</v>
      </c>
      <c r="I2121" s="4">
        <v>0.211</v>
      </c>
      <c r="J2121" s="4">
        <v>0.02</v>
      </c>
      <c r="K2121" s="6" t="b">
        <f t="shared" ref="K2121:M2121" si="2081">FALSE()</f>
        <v>0</v>
      </c>
      <c r="L2121" s="6" t="b">
        <f t="shared" si="2081"/>
        <v>0</v>
      </c>
      <c r="M2121" s="6" t="b">
        <f t="shared" si="2081"/>
        <v>0</v>
      </c>
      <c r="P2121" s="4">
        <v>0.191446464570955</v>
      </c>
      <c r="T2121" s="4" t="str">
        <f t="shared" si="3"/>
        <v/>
      </c>
      <c r="U2121" s="4">
        <f t="shared" si="4"/>
        <v>2392</v>
      </c>
    </row>
    <row r="2122" ht="15.75" customHeight="1">
      <c r="A2122" s="4" t="s">
        <v>3238</v>
      </c>
      <c r="B2122" s="4" t="s">
        <v>13</v>
      </c>
      <c r="I2122" s="4">
        <v>0.118</v>
      </c>
      <c r="J2122" s="4">
        <v>0.015</v>
      </c>
      <c r="K2122" s="6" t="b">
        <f t="shared" ref="K2122:M2122" si="2082">FALSE()</f>
        <v>0</v>
      </c>
      <c r="L2122" s="6" t="b">
        <f t="shared" si="2082"/>
        <v>0</v>
      </c>
      <c r="M2122" s="6" t="b">
        <f t="shared" si="2082"/>
        <v>0</v>
      </c>
      <c r="P2122" s="4">
        <v>0.111541374732907</v>
      </c>
      <c r="T2122" s="4" t="str">
        <f t="shared" si="3"/>
        <v/>
      </c>
      <c r="U2122" s="4">
        <f t="shared" si="4"/>
        <v>3907</v>
      </c>
    </row>
    <row r="2123" ht="15.75" customHeight="1">
      <c r="A2123" s="4" t="s">
        <v>3239</v>
      </c>
      <c r="B2123" s="4" t="s">
        <v>13</v>
      </c>
      <c r="I2123" s="4">
        <v>0.135</v>
      </c>
      <c r="J2123" s="4">
        <v>0.008</v>
      </c>
      <c r="K2123" s="6" t="b">
        <f t="shared" ref="K2123:M2123" si="2083">FALSE()</f>
        <v>0</v>
      </c>
      <c r="L2123" s="6" t="b">
        <f t="shared" si="2083"/>
        <v>0</v>
      </c>
      <c r="M2123" s="6" t="b">
        <f t="shared" si="2083"/>
        <v>0</v>
      </c>
      <c r="P2123" s="4">
        <v>0.126632650933366</v>
      </c>
      <c r="T2123" s="4" t="str">
        <f t="shared" si="3"/>
        <v/>
      </c>
      <c r="U2123" s="4">
        <f t="shared" si="4"/>
        <v>3610</v>
      </c>
    </row>
    <row r="2124" ht="15.75" customHeight="1">
      <c r="A2124" s="4" t="s">
        <v>3240</v>
      </c>
      <c r="B2124" s="4" t="s">
        <v>13</v>
      </c>
      <c r="I2124" s="4">
        <v>0.186</v>
      </c>
      <c r="J2124" s="4">
        <v>0.015</v>
      </c>
      <c r="K2124" s="6" t="b">
        <f t="shared" ref="K2124:M2124" si="2084">FALSE()</f>
        <v>0</v>
      </c>
      <c r="L2124" s="6" t="b">
        <f t="shared" si="2084"/>
        <v>0</v>
      </c>
      <c r="M2124" s="6" t="b">
        <f t="shared" si="2084"/>
        <v>0</v>
      </c>
      <c r="P2124" s="4">
        <v>0.170586300575534</v>
      </c>
      <c r="T2124" s="4" t="str">
        <f t="shared" si="3"/>
        <v/>
      </c>
      <c r="U2124" s="4">
        <f t="shared" si="4"/>
        <v>2801</v>
      </c>
    </row>
    <row r="2125" ht="15.75" customHeight="1">
      <c r="A2125" s="4" t="s">
        <v>3241</v>
      </c>
      <c r="B2125" s="4" t="s">
        <v>13</v>
      </c>
      <c r="I2125" s="4">
        <v>0.199</v>
      </c>
      <c r="J2125" s="4">
        <v>0.019</v>
      </c>
      <c r="K2125" s="6" t="b">
        <f t="shared" ref="K2125:M2125" si="2085">FALSE()</f>
        <v>0</v>
      </c>
      <c r="L2125" s="6" t="b">
        <f t="shared" si="2085"/>
        <v>0</v>
      </c>
      <c r="M2125" s="6" t="b">
        <f t="shared" si="2085"/>
        <v>0</v>
      </c>
      <c r="P2125" s="4">
        <v>0.181487876045377</v>
      </c>
      <c r="T2125" s="4" t="str">
        <f t="shared" si="3"/>
        <v/>
      </c>
      <c r="U2125" s="4">
        <f t="shared" si="4"/>
        <v>2598</v>
      </c>
    </row>
    <row r="2126" ht="15.75" customHeight="1">
      <c r="A2126" s="4" t="s">
        <v>3242</v>
      </c>
      <c r="B2126" s="4" t="s">
        <v>13</v>
      </c>
      <c r="I2126" s="4">
        <v>0.0999</v>
      </c>
      <c r="J2126" s="4">
        <v>0.0027</v>
      </c>
      <c r="K2126" s="6" t="b">
        <f t="shared" ref="K2126:M2126" si="2086">FALSE()</f>
        <v>0</v>
      </c>
      <c r="L2126" s="6" t="b">
        <f t="shared" si="2086"/>
        <v>0</v>
      </c>
      <c r="M2126" s="6" t="b">
        <f t="shared" si="2086"/>
        <v>0</v>
      </c>
      <c r="P2126" s="4">
        <v>0.0952192665809339</v>
      </c>
      <c r="T2126" s="4" t="str">
        <f t="shared" si="3"/>
        <v/>
      </c>
      <c r="U2126" s="4">
        <f t="shared" si="4"/>
        <v>4225</v>
      </c>
    </row>
    <row r="2127" ht="15.75" customHeight="1">
      <c r="A2127" s="4" t="s">
        <v>3243</v>
      </c>
      <c r="B2127" s="4" t="s">
        <v>13</v>
      </c>
      <c r="I2127" s="4">
        <v>0.131</v>
      </c>
      <c r="J2127" s="4">
        <v>0.009</v>
      </c>
      <c r="K2127" s="6" t="b">
        <f t="shared" ref="K2127:M2127" si="2087">FALSE()</f>
        <v>0</v>
      </c>
      <c r="L2127" s="6" t="b">
        <f t="shared" si="2087"/>
        <v>0</v>
      </c>
      <c r="M2127" s="6" t="b">
        <f t="shared" si="2087"/>
        <v>0</v>
      </c>
      <c r="P2127" s="4">
        <v>0.123102197133983</v>
      </c>
      <c r="T2127" s="4" t="str">
        <f t="shared" si="3"/>
        <v/>
      </c>
      <c r="U2127" s="4">
        <f t="shared" si="4"/>
        <v>3673</v>
      </c>
    </row>
    <row r="2128" ht="15.75" customHeight="1">
      <c r="A2128" s="4" t="s">
        <v>3244</v>
      </c>
      <c r="B2128" s="4" t="s">
        <v>13</v>
      </c>
      <c r="I2128" s="4">
        <v>0.103</v>
      </c>
      <c r="J2128" s="4">
        <v>0.014</v>
      </c>
      <c r="K2128" s="6" t="b">
        <f t="shared" ref="K2128:M2128" si="2088">FALSE()</f>
        <v>0</v>
      </c>
      <c r="L2128" s="6" t="b">
        <f t="shared" si="2088"/>
        <v>0</v>
      </c>
      <c r="M2128" s="6" t="b">
        <f t="shared" si="2088"/>
        <v>0</v>
      </c>
      <c r="P2128" s="4">
        <v>0.0980337402713654</v>
      </c>
      <c r="T2128" s="4" t="str">
        <f t="shared" si="3"/>
        <v/>
      </c>
      <c r="U2128" s="4">
        <f t="shared" si="4"/>
        <v>4171</v>
      </c>
    </row>
    <row r="2129" ht="15.75" customHeight="1">
      <c r="A2129" s="4" t="s">
        <v>3245</v>
      </c>
      <c r="B2129" s="4" t="s">
        <v>13</v>
      </c>
      <c r="I2129" s="4">
        <v>0.321</v>
      </c>
      <c r="J2129" s="4">
        <v>0.122</v>
      </c>
      <c r="K2129" s="6" t="b">
        <f t="shared" ref="K2129:M2129" si="2089">FALSE()</f>
        <v>0</v>
      </c>
      <c r="L2129" s="6" t="b">
        <f t="shared" si="2089"/>
        <v>0</v>
      </c>
      <c r="M2129" s="6" t="b">
        <f t="shared" si="2089"/>
        <v>0</v>
      </c>
      <c r="P2129" s="4">
        <v>0.278389025540188</v>
      </c>
      <c r="T2129" s="4" t="str">
        <f t="shared" si="3"/>
        <v/>
      </c>
      <c r="U2129" s="4">
        <f t="shared" si="4"/>
        <v>1296</v>
      </c>
    </row>
    <row r="2130" ht="15.75" customHeight="1">
      <c r="A2130" s="4" t="s">
        <v>3246</v>
      </c>
      <c r="B2130" s="4" t="s">
        <v>13</v>
      </c>
      <c r="I2130" s="4">
        <v>0.082</v>
      </c>
      <c r="J2130" s="4">
        <v>0.031</v>
      </c>
      <c r="K2130" s="6" t="b">
        <f t="shared" ref="K2130:M2130" si="2090">FALSE()</f>
        <v>0</v>
      </c>
      <c r="L2130" s="6" t="b">
        <f t="shared" si="2090"/>
        <v>0</v>
      </c>
      <c r="M2130" s="6" t="b">
        <f t="shared" si="2090"/>
        <v>0</v>
      </c>
      <c r="P2130" s="4">
        <v>0.0788111804242897</v>
      </c>
      <c r="T2130" s="4" t="str">
        <f t="shared" si="3"/>
        <v/>
      </c>
      <c r="U2130" s="4">
        <f t="shared" si="4"/>
        <v>4397</v>
      </c>
    </row>
    <row r="2131" ht="15.75" customHeight="1">
      <c r="A2131" s="4" t="s">
        <v>756</v>
      </c>
      <c r="B2131" s="4" t="s">
        <v>13</v>
      </c>
      <c r="C2131" s="4">
        <v>0.006</v>
      </c>
      <c r="D2131" s="4">
        <v>0.003</v>
      </c>
      <c r="E2131" s="4">
        <v>0.004</v>
      </c>
      <c r="I2131" s="4">
        <v>0.161</v>
      </c>
      <c r="J2131" s="4">
        <v>0.004</v>
      </c>
      <c r="K2131" s="6" t="b">
        <f t="shared" ref="K2131:M2131" si="2091">FALSE()</f>
        <v>0</v>
      </c>
      <c r="L2131" s="6" t="b">
        <f t="shared" si="2091"/>
        <v>0</v>
      </c>
      <c r="M2131" s="6" t="b">
        <f t="shared" si="2091"/>
        <v>0</v>
      </c>
      <c r="N2131" s="4">
        <v>0.0059820716775474</v>
      </c>
      <c r="P2131" s="4">
        <v>0.149281702715754</v>
      </c>
      <c r="T2131" s="4">
        <f t="shared" si="3"/>
        <v>2009</v>
      </c>
      <c r="U2131" s="4">
        <f t="shared" si="4"/>
        <v>3163</v>
      </c>
    </row>
    <row r="2132" ht="15.75" customHeight="1">
      <c r="A2132" s="4" t="s">
        <v>757</v>
      </c>
      <c r="B2132" s="4" t="s">
        <v>13</v>
      </c>
      <c r="C2132" s="4">
        <v>0.009</v>
      </c>
      <c r="D2132" s="4">
        <v>0.005</v>
      </c>
      <c r="E2132" s="4">
        <v>0.009</v>
      </c>
      <c r="I2132" s="4">
        <v>0.256</v>
      </c>
      <c r="J2132" s="4">
        <v>0.005</v>
      </c>
      <c r="K2132" s="6" t="b">
        <f t="shared" ref="K2132:M2132" si="2092">FALSE()</f>
        <v>0</v>
      </c>
      <c r="L2132" s="6" t="b">
        <f t="shared" si="2092"/>
        <v>0</v>
      </c>
      <c r="M2132" s="6" t="b">
        <f t="shared" si="2092"/>
        <v>0</v>
      </c>
      <c r="N2132" s="4">
        <v>0.0089597413714719</v>
      </c>
      <c r="P2132" s="4">
        <v>0.227932068046007</v>
      </c>
      <c r="T2132" s="4">
        <f t="shared" si="3"/>
        <v>1957</v>
      </c>
      <c r="U2132" s="4">
        <f t="shared" si="4"/>
        <v>1729</v>
      </c>
    </row>
    <row r="2133" ht="15.75" customHeight="1">
      <c r="A2133" s="4" t="s">
        <v>759</v>
      </c>
      <c r="B2133" s="4" t="s">
        <v>13</v>
      </c>
      <c r="C2133" s="4">
        <v>0.023</v>
      </c>
      <c r="D2133" s="4">
        <v>0.005</v>
      </c>
      <c r="E2133" s="4">
        <v>0.003</v>
      </c>
      <c r="I2133" s="4">
        <v>0.278</v>
      </c>
      <c r="J2133" s="4">
        <v>0.006</v>
      </c>
      <c r="K2133" s="6" t="b">
        <f t="shared" ref="K2133:M2133" si="2093">FALSE()</f>
        <v>0</v>
      </c>
      <c r="L2133" s="6" t="b">
        <f t="shared" si="2093"/>
        <v>0</v>
      </c>
      <c r="M2133" s="6" t="b">
        <f t="shared" si="2093"/>
        <v>0</v>
      </c>
      <c r="N2133" s="4">
        <v>0.0227394869694894</v>
      </c>
      <c r="P2133" s="4">
        <v>0.245296355955343</v>
      </c>
      <c r="T2133" s="4">
        <f t="shared" si="3"/>
        <v>1668</v>
      </c>
      <c r="U2133" s="4">
        <f t="shared" si="4"/>
        <v>1521</v>
      </c>
    </row>
    <row r="2134" ht="15.75" customHeight="1">
      <c r="A2134" s="4" t="s">
        <v>760</v>
      </c>
      <c r="B2134" s="4" t="s">
        <v>13</v>
      </c>
      <c r="C2134" s="4">
        <v>0.025</v>
      </c>
      <c r="D2134" s="4">
        <v>0.007</v>
      </c>
      <c r="E2134" s="4">
        <v>0.005</v>
      </c>
      <c r="I2134" s="4">
        <v>0.374</v>
      </c>
      <c r="J2134" s="4">
        <v>0.008</v>
      </c>
      <c r="K2134" s="6" t="b">
        <f t="shared" ref="K2134:M2134" si="2094">FALSE()</f>
        <v>0</v>
      </c>
      <c r="L2134" s="6" t="b">
        <f t="shared" si="2094"/>
        <v>0</v>
      </c>
      <c r="M2134" s="6" t="b">
        <f t="shared" si="2094"/>
        <v>0</v>
      </c>
      <c r="N2134" s="4">
        <v>0.0246926125903715</v>
      </c>
      <c r="P2134" s="4">
        <v>0.317726193800158</v>
      </c>
      <c r="T2134" s="4">
        <f t="shared" si="3"/>
        <v>1634</v>
      </c>
      <c r="U2134" s="4">
        <f t="shared" si="4"/>
        <v>1156</v>
      </c>
    </row>
    <row r="2135" ht="15.75" customHeight="1">
      <c r="A2135" s="4" t="s">
        <v>761</v>
      </c>
      <c r="B2135" s="4" t="s">
        <v>13</v>
      </c>
      <c r="C2135" s="4">
        <v>0.006</v>
      </c>
      <c r="D2135" s="4">
        <v>0.003</v>
      </c>
      <c r="E2135" s="4">
        <v>0.003</v>
      </c>
      <c r="I2135" s="4">
        <v>0.222</v>
      </c>
      <c r="J2135" s="4">
        <v>0.006</v>
      </c>
      <c r="K2135" s="6" t="b">
        <f t="shared" ref="K2135:M2135" si="2095">FALSE()</f>
        <v>0</v>
      </c>
      <c r="L2135" s="6" t="b">
        <f t="shared" si="2095"/>
        <v>0</v>
      </c>
      <c r="M2135" s="6" t="b">
        <f t="shared" si="2095"/>
        <v>0</v>
      </c>
      <c r="N2135" s="4">
        <v>0.0059820716775474</v>
      </c>
      <c r="P2135" s="4">
        <v>0.200488860749404</v>
      </c>
      <c r="T2135" s="4">
        <f t="shared" si="3"/>
        <v>2010</v>
      </c>
      <c r="U2135" s="4">
        <f t="shared" si="4"/>
        <v>2230</v>
      </c>
    </row>
    <row r="2136" ht="15.75" customHeight="1">
      <c r="A2136" s="4" t="s">
        <v>762</v>
      </c>
      <c r="B2136" s="4" t="s">
        <v>13</v>
      </c>
      <c r="C2136" s="4">
        <v>0.079</v>
      </c>
      <c r="I2136" s="4">
        <v>0.297</v>
      </c>
      <c r="J2136" s="4">
        <v>0.007</v>
      </c>
      <c r="K2136" s="6" t="b">
        <f t="shared" ref="K2136:M2136" si="2096">FALSE()</f>
        <v>0</v>
      </c>
      <c r="L2136" s="6" t="b">
        <f t="shared" si="2096"/>
        <v>0</v>
      </c>
      <c r="M2136" s="6" t="b">
        <f t="shared" si="2096"/>
        <v>0</v>
      </c>
      <c r="N2136" s="4">
        <v>0.0760346862759976</v>
      </c>
      <c r="P2136" s="4">
        <v>0.260053905334307</v>
      </c>
      <c r="T2136" s="4">
        <f t="shared" si="3"/>
        <v>1299</v>
      </c>
      <c r="U2136" s="4">
        <f t="shared" si="4"/>
        <v>1397</v>
      </c>
    </row>
    <row r="2137" ht="15.75" customHeight="1">
      <c r="A2137" s="4" t="s">
        <v>3247</v>
      </c>
      <c r="B2137" s="4" t="s">
        <v>13</v>
      </c>
      <c r="I2137" s="4">
        <v>0.095</v>
      </c>
      <c r="J2137" s="4">
        <v>0.007</v>
      </c>
      <c r="K2137" s="6" t="b">
        <f t="shared" ref="K2137:M2137" si="2097">FALSE()</f>
        <v>0</v>
      </c>
      <c r="L2137" s="6" t="b">
        <f t="shared" si="2097"/>
        <v>0</v>
      </c>
      <c r="M2137" s="6" t="b">
        <f t="shared" si="2097"/>
        <v>0</v>
      </c>
      <c r="P2137" s="4">
        <v>0.0907543632684641</v>
      </c>
      <c r="T2137" s="4" t="str">
        <f t="shared" si="3"/>
        <v/>
      </c>
      <c r="U2137" s="4">
        <f t="shared" si="4"/>
        <v>4272</v>
      </c>
    </row>
    <row r="2138" ht="15.75" customHeight="1">
      <c r="A2138" s="4" t="s">
        <v>3248</v>
      </c>
      <c r="B2138" s="4" t="s">
        <v>13</v>
      </c>
      <c r="I2138" s="4">
        <v>0.204</v>
      </c>
      <c r="J2138" s="4">
        <v>0.038</v>
      </c>
      <c r="K2138" s="6" t="b">
        <f t="shared" ref="K2138:M2138" si="2098">FALSE()</f>
        <v>0</v>
      </c>
      <c r="L2138" s="6" t="b">
        <f t="shared" si="2098"/>
        <v>0</v>
      </c>
      <c r="M2138" s="6" t="b">
        <f t="shared" si="2098"/>
        <v>0</v>
      </c>
      <c r="P2138" s="4">
        <v>0.185649346886629</v>
      </c>
      <c r="T2138" s="4" t="str">
        <f t="shared" si="3"/>
        <v/>
      </c>
      <c r="U2138" s="4">
        <f t="shared" si="4"/>
        <v>2507</v>
      </c>
    </row>
    <row r="2139" ht="15.75" customHeight="1">
      <c r="A2139" s="4" t="s">
        <v>3249</v>
      </c>
      <c r="B2139" s="4" t="s">
        <v>13</v>
      </c>
      <c r="I2139" s="4">
        <v>0.262</v>
      </c>
      <c r="J2139" s="4">
        <v>0.028</v>
      </c>
      <c r="K2139" s="6" t="b">
        <f t="shared" ref="K2139:M2139" si="2099">FALSE()</f>
        <v>0</v>
      </c>
      <c r="L2139" s="6" t="b">
        <f t="shared" si="2099"/>
        <v>0</v>
      </c>
      <c r="M2139" s="6" t="b">
        <f t="shared" si="2099"/>
        <v>0</v>
      </c>
      <c r="P2139" s="4">
        <v>0.232697764119021</v>
      </c>
      <c r="T2139" s="4" t="str">
        <f t="shared" si="3"/>
        <v/>
      </c>
      <c r="U2139" s="4">
        <f t="shared" si="4"/>
        <v>1656</v>
      </c>
    </row>
    <row r="2140" ht="15.75" customHeight="1">
      <c r="A2140" s="4" t="s">
        <v>3250</v>
      </c>
      <c r="B2140" s="4" t="s">
        <v>13</v>
      </c>
      <c r="I2140" s="4">
        <v>0.095</v>
      </c>
      <c r="J2140" s="4">
        <v>0.004</v>
      </c>
      <c r="K2140" s="6" t="b">
        <f t="shared" ref="K2140:M2140" si="2100">FALSE()</f>
        <v>0</v>
      </c>
      <c r="L2140" s="6" t="b">
        <f t="shared" si="2100"/>
        <v>0</v>
      </c>
      <c r="M2140" s="6" t="b">
        <f t="shared" si="2100"/>
        <v>0</v>
      </c>
      <c r="P2140" s="4">
        <v>0.0907543632684641</v>
      </c>
      <c r="T2140" s="4" t="str">
        <f t="shared" si="3"/>
        <v/>
      </c>
      <c r="U2140" s="4">
        <f t="shared" si="4"/>
        <v>4273</v>
      </c>
    </row>
    <row r="2141" ht="15.75" customHeight="1">
      <c r="A2141" s="4" t="s">
        <v>3251</v>
      </c>
      <c r="B2141" s="4" t="s">
        <v>13</v>
      </c>
      <c r="I2141" s="4">
        <v>0.272</v>
      </c>
      <c r="J2141" s="4">
        <v>0.027</v>
      </c>
      <c r="K2141" s="6" t="b">
        <f t="shared" ref="K2141:M2141" si="2101">FALSE()</f>
        <v>0</v>
      </c>
      <c r="L2141" s="6" t="b">
        <f t="shared" si="2101"/>
        <v>0</v>
      </c>
      <c r="M2141" s="6" t="b">
        <f t="shared" si="2101"/>
        <v>0</v>
      </c>
      <c r="P2141" s="4">
        <v>0.24059046491793</v>
      </c>
      <c r="T2141" s="4" t="str">
        <f t="shared" si="3"/>
        <v/>
      </c>
      <c r="U2141" s="4">
        <f t="shared" si="4"/>
        <v>1571</v>
      </c>
    </row>
    <row r="2142" ht="15.75" customHeight="1">
      <c r="A2142" s="4" t="s">
        <v>3252</v>
      </c>
      <c r="B2142" s="4" t="s">
        <v>13</v>
      </c>
      <c r="I2142" s="4">
        <v>0.126</v>
      </c>
      <c r="J2142" s="4">
        <v>0.008</v>
      </c>
      <c r="K2142" s="6" t="b">
        <f t="shared" ref="K2142:M2142" si="2102">FALSE()</f>
        <v>0</v>
      </c>
      <c r="L2142" s="6" t="b">
        <f t="shared" si="2102"/>
        <v>0</v>
      </c>
      <c r="M2142" s="6" t="b">
        <f t="shared" si="2102"/>
        <v>0</v>
      </c>
      <c r="P2142" s="4">
        <v>0.118671529717499</v>
      </c>
      <c r="T2142" s="4" t="str">
        <f t="shared" si="3"/>
        <v/>
      </c>
      <c r="U2142" s="4">
        <f t="shared" si="4"/>
        <v>3761</v>
      </c>
    </row>
    <row r="2143" ht="15.75" customHeight="1">
      <c r="A2143" s="4" t="s">
        <v>3253</v>
      </c>
      <c r="B2143" s="4" t="s">
        <v>13</v>
      </c>
      <c r="I2143" s="4">
        <v>0.146</v>
      </c>
      <c r="J2143" s="4">
        <v>0.007</v>
      </c>
      <c r="K2143" s="6" t="b">
        <f t="shared" ref="K2143:M2143" si="2103">FALSE()</f>
        <v>0</v>
      </c>
      <c r="L2143" s="6" t="b">
        <f t="shared" si="2103"/>
        <v>0</v>
      </c>
      <c r="M2143" s="6" t="b">
        <f t="shared" si="2103"/>
        <v>0</v>
      </c>
      <c r="P2143" s="4">
        <v>0.136277618292548</v>
      </c>
      <c r="T2143" s="4" t="str">
        <f t="shared" si="3"/>
        <v/>
      </c>
      <c r="U2143" s="4">
        <f t="shared" si="4"/>
        <v>3390</v>
      </c>
    </row>
    <row r="2144" ht="15.75" customHeight="1">
      <c r="A2144" s="4" t="s">
        <v>3254</v>
      </c>
      <c r="B2144" s="4" t="s">
        <v>13</v>
      </c>
      <c r="I2144" s="4">
        <v>0.145</v>
      </c>
      <c r="J2144" s="4">
        <v>0.016</v>
      </c>
      <c r="K2144" s="6" t="b">
        <f t="shared" ref="K2144:M2144" si="2104">FALSE()</f>
        <v>0</v>
      </c>
      <c r="L2144" s="6" t="b">
        <f t="shared" si="2104"/>
        <v>0</v>
      </c>
      <c r="M2144" s="6" t="b">
        <f t="shared" si="2104"/>
        <v>0</v>
      </c>
      <c r="P2144" s="4">
        <v>0.135404637006203</v>
      </c>
      <c r="T2144" s="4" t="str">
        <f t="shared" si="3"/>
        <v/>
      </c>
      <c r="U2144" s="4">
        <f t="shared" si="4"/>
        <v>3410</v>
      </c>
    </row>
    <row r="2145" ht="15.75" customHeight="1">
      <c r="A2145" s="4" t="s">
        <v>3255</v>
      </c>
      <c r="B2145" s="4" t="s">
        <v>13</v>
      </c>
      <c r="I2145" s="4">
        <v>0.207</v>
      </c>
      <c r="J2145" s="4">
        <v>0.012</v>
      </c>
      <c r="K2145" s="6" t="b">
        <f t="shared" ref="K2145:M2145" si="2105">FALSE()</f>
        <v>0</v>
      </c>
      <c r="L2145" s="6" t="b">
        <f t="shared" si="2105"/>
        <v>0</v>
      </c>
      <c r="M2145" s="6" t="b">
        <f t="shared" si="2105"/>
        <v>0</v>
      </c>
      <c r="P2145" s="4">
        <v>0.188137942115394</v>
      </c>
      <c r="T2145" s="4" t="str">
        <f t="shared" si="3"/>
        <v/>
      </c>
      <c r="U2145" s="4">
        <f t="shared" si="4"/>
        <v>2464</v>
      </c>
    </row>
    <row r="2146" ht="15.75" customHeight="1">
      <c r="A2146" s="4" t="s">
        <v>3256</v>
      </c>
      <c r="B2146" s="4" t="s">
        <v>13</v>
      </c>
      <c r="I2146" s="4">
        <v>0.135</v>
      </c>
      <c r="J2146" s="4">
        <v>0.016</v>
      </c>
      <c r="K2146" s="6" t="b">
        <f t="shared" ref="K2146:M2146" si="2106">FALSE()</f>
        <v>0</v>
      </c>
      <c r="L2146" s="6" t="b">
        <f t="shared" si="2106"/>
        <v>0</v>
      </c>
      <c r="M2146" s="6" t="b">
        <f t="shared" si="2106"/>
        <v>0</v>
      </c>
      <c r="P2146" s="4">
        <v>0.126632650933366</v>
      </c>
      <c r="T2146" s="4" t="str">
        <f t="shared" si="3"/>
        <v/>
      </c>
      <c r="U2146" s="4">
        <f t="shared" si="4"/>
        <v>3611</v>
      </c>
    </row>
    <row r="2147" ht="15.75" customHeight="1">
      <c r="A2147" s="4" t="s">
        <v>3257</v>
      </c>
      <c r="B2147" s="4" t="s">
        <v>13</v>
      </c>
      <c r="I2147" s="4">
        <v>0.192</v>
      </c>
      <c r="J2147" s="4">
        <v>0.015</v>
      </c>
      <c r="K2147" s="6" t="b">
        <f t="shared" ref="K2147:M2147" si="2107">FALSE()</f>
        <v>0</v>
      </c>
      <c r="L2147" s="6" t="b">
        <f t="shared" si="2107"/>
        <v>0</v>
      </c>
      <c r="M2147" s="6" t="b">
        <f t="shared" si="2107"/>
        <v>0</v>
      </c>
      <c r="P2147" s="4">
        <v>0.175632568643158</v>
      </c>
      <c r="T2147" s="4" t="str">
        <f t="shared" si="3"/>
        <v/>
      </c>
      <c r="U2147" s="4">
        <f t="shared" si="4"/>
        <v>2711</v>
      </c>
    </row>
    <row r="2148" ht="15.75" customHeight="1">
      <c r="A2148" s="4" t="s">
        <v>3258</v>
      </c>
      <c r="B2148" s="4" t="s">
        <v>13</v>
      </c>
      <c r="I2148" s="4">
        <v>0.136</v>
      </c>
      <c r="J2148" s="4">
        <v>0.008</v>
      </c>
      <c r="K2148" s="6" t="b">
        <f t="shared" ref="K2148:M2148" si="2108">FALSE()</f>
        <v>0</v>
      </c>
      <c r="L2148" s="6" t="b">
        <f t="shared" si="2108"/>
        <v>0</v>
      </c>
      <c r="M2148" s="6" t="b">
        <f t="shared" si="2108"/>
        <v>0</v>
      </c>
      <c r="P2148" s="4">
        <v>0.12751332029896</v>
      </c>
      <c r="T2148" s="4" t="str">
        <f t="shared" si="3"/>
        <v/>
      </c>
      <c r="U2148" s="4">
        <f t="shared" si="4"/>
        <v>3572</v>
      </c>
    </row>
    <row r="2149" ht="15.75" customHeight="1">
      <c r="A2149" s="4" t="s">
        <v>3259</v>
      </c>
      <c r="B2149" s="4" t="s">
        <v>13</v>
      </c>
      <c r="I2149" s="4">
        <v>0.152</v>
      </c>
      <c r="J2149" s="4">
        <v>0.012</v>
      </c>
      <c r="K2149" s="6" t="b">
        <f t="shared" ref="K2149:M2149" si="2109">FALSE()</f>
        <v>0</v>
      </c>
      <c r="L2149" s="6" t="b">
        <f t="shared" si="2109"/>
        <v>0</v>
      </c>
      <c r="M2149" s="6" t="b">
        <f t="shared" si="2109"/>
        <v>0</v>
      </c>
      <c r="P2149" s="4">
        <v>0.1414995622737</v>
      </c>
      <c r="T2149" s="4" t="str">
        <f t="shared" si="3"/>
        <v/>
      </c>
      <c r="U2149" s="4">
        <f t="shared" si="4"/>
        <v>3296</v>
      </c>
    </row>
    <row r="2150" ht="15.75" customHeight="1">
      <c r="A2150" s="4" t="s">
        <v>3260</v>
      </c>
      <c r="B2150" s="4" t="s">
        <v>13</v>
      </c>
      <c r="I2150" s="4">
        <v>0.227</v>
      </c>
      <c r="J2150" s="4">
        <v>0.037</v>
      </c>
      <c r="K2150" s="6" t="b">
        <f t="shared" ref="K2150:M2150" si="2110">FALSE()</f>
        <v>0</v>
      </c>
      <c r="L2150" s="6" t="b">
        <f t="shared" si="2110"/>
        <v>0</v>
      </c>
      <c r="M2150" s="6" t="b">
        <f t="shared" si="2110"/>
        <v>0</v>
      </c>
      <c r="P2150" s="4">
        <v>0.204572165728774</v>
      </c>
      <c r="T2150" s="4" t="str">
        <f t="shared" si="3"/>
        <v/>
      </c>
      <c r="U2150" s="4">
        <f t="shared" si="4"/>
        <v>2154</v>
      </c>
    </row>
    <row r="2151" ht="15.75" customHeight="1">
      <c r="A2151" s="4" t="s">
        <v>3261</v>
      </c>
      <c r="B2151" s="4" t="s">
        <v>13</v>
      </c>
      <c r="I2151" s="4">
        <v>0.191</v>
      </c>
      <c r="J2151" s="4">
        <v>0.024</v>
      </c>
      <c r="K2151" s="6" t="b">
        <f t="shared" ref="K2151:M2151" si="2111">FALSE()</f>
        <v>0</v>
      </c>
      <c r="L2151" s="6" t="b">
        <f t="shared" si="2111"/>
        <v>0</v>
      </c>
      <c r="M2151" s="6" t="b">
        <f t="shared" si="2111"/>
        <v>0</v>
      </c>
      <c r="P2151" s="4">
        <v>0.174793290373163</v>
      </c>
      <c r="T2151" s="4" t="str">
        <f t="shared" si="3"/>
        <v/>
      </c>
      <c r="U2151" s="4">
        <f t="shared" si="4"/>
        <v>2724</v>
      </c>
    </row>
    <row r="2152" ht="15.75" customHeight="1">
      <c r="A2152" s="4" t="s">
        <v>3262</v>
      </c>
      <c r="B2152" s="4" t="s">
        <v>13</v>
      </c>
      <c r="I2152" s="4">
        <v>0.106</v>
      </c>
      <c r="J2152" s="4">
        <v>0.009</v>
      </c>
      <c r="K2152" s="6" t="b">
        <f t="shared" ref="K2152:M2152" si="2112">FALSE()</f>
        <v>0</v>
      </c>
      <c r="L2152" s="6" t="b">
        <f t="shared" si="2112"/>
        <v>0</v>
      </c>
      <c r="M2152" s="6" t="b">
        <f t="shared" si="2112"/>
        <v>0</v>
      </c>
      <c r="P2152" s="4">
        <v>0.100749903100143</v>
      </c>
      <c r="T2152" s="4" t="str">
        <f t="shared" si="3"/>
        <v/>
      </c>
      <c r="U2152" s="4">
        <f t="shared" si="4"/>
        <v>4117</v>
      </c>
    </row>
    <row r="2153" ht="15.75" customHeight="1">
      <c r="A2153" s="4" t="s">
        <v>3263</v>
      </c>
      <c r="B2153" s="4" t="s">
        <v>13</v>
      </c>
      <c r="I2153" s="4">
        <v>0.211</v>
      </c>
      <c r="J2153" s="4">
        <v>0.01</v>
      </c>
      <c r="K2153" s="6" t="b">
        <f t="shared" ref="K2153:M2153" si="2113">FALSE()</f>
        <v>0</v>
      </c>
      <c r="L2153" s="6" t="b">
        <f t="shared" si="2113"/>
        <v>0</v>
      </c>
      <c r="M2153" s="6" t="b">
        <f t="shared" si="2113"/>
        <v>0</v>
      </c>
      <c r="P2153" s="4">
        <v>0.191446464570955</v>
      </c>
      <c r="T2153" s="4" t="str">
        <f t="shared" si="3"/>
        <v/>
      </c>
      <c r="U2153" s="4">
        <f t="shared" si="4"/>
        <v>2393</v>
      </c>
    </row>
    <row r="2154" ht="15.75" customHeight="1">
      <c r="A2154" s="4" t="s">
        <v>3264</v>
      </c>
      <c r="B2154" s="4" t="s">
        <v>13</v>
      </c>
      <c r="I2154" s="4">
        <v>0.109</v>
      </c>
      <c r="J2154" s="4">
        <v>0.011</v>
      </c>
      <c r="K2154" s="6" t="b">
        <f t="shared" ref="K2154:M2154" si="2114">FALSE()</f>
        <v>0</v>
      </c>
      <c r="L2154" s="6" t="b">
        <f t="shared" si="2114"/>
        <v>0</v>
      </c>
      <c r="M2154" s="6" t="b">
        <f t="shared" si="2114"/>
        <v>0</v>
      </c>
      <c r="P2154" s="4">
        <v>0.10345870836823</v>
      </c>
      <c r="T2154" s="4" t="str">
        <f t="shared" si="3"/>
        <v/>
      </c>
      <c r="U2154" s="4">
        <f t="shared" si="4"/>
        <v>4060</v>
      </c>
    </row>
    <row r="2155" ht="15.75" customHeight="1">
      <c r="A2155" s="4" t="s">
        <v>3265</v>
      </c>
      <c r="B2155" s="4" t="s">
        <v>13</v>
      </c>
      <c r="I2155" s="4">
        <v>0.124</v>
      </c>
      <c r="J2155" s="4">
        <v>0.01</v>
      </c>
      <c r="K2155" s="6" t="b">
        <f t="shared" ref="K2155:M2155" si="2115">FALSE()</f>
        <v>0</v>
      </c>
      <c r="L2155" s="6" t="b">
        <f t="shared" si="2115"/>
        <v>0</v>
      </c>
      <c r="M2155" s="6" t="b">
        <f t="shared" si="2115"/>
        <v>0</v>
      </c>
      <c r="P2155" s="4">
        <v>0.116893751471499</v>
      </c>
      <c r="T2155" s="4" t="str">
        <f t="shared" si="3"/>
        <v/>
      </c>
      <c r="U2155" s="4">
        <f t="shared" si="4"/>
        <v>3798</v>
      </c>
    </row>
    <row r="2156" ht="15.75" customHeight="1">
      <c r="A2156" s="4" t="s">
        <v>3266</v>
      </c>
      <c r="B2156" s="4" t="s">
        <v>13</v>
      </c>
      <c r="I2156" s="4">
        <v>0.178</v>
      </c>
      <c r="J2156" s="4">
        <v>0.017</v>
      </c>
      <c r="K2156" s="6" t="b">
        <f t="shared" ref="K2156:M2156" si="2116">FALSE()</f>
        <v>0</v>
      </c>
      <c r="L2156" s="6" t="b">
        <f t="shared" si="2116"/>
        <v>0</v>
      </c>
      <c r="M2156" s="6" t="b">
        <f t="shared" si="2116"/>
        <v>0</v>
      </c>
      <c r="P2156" s="4">
        <v>0.163818085229395</v>
      </c>
      <c r="T2156" s="4" t="str">
        <f t="shared" si="3"/>
        <v/>
      </c>
      <c r="U2156" s="4">
        <f t="shared" si="4"/>
        <v>2916</v>
      </c>
    </row>
    <row r="2157" ht="15.75" customHeight="1">
      <c r="A2157" s="4" t="s">
        <v>3267</v>
      </c>
      <c r="B2157" s="4" t="s">
        <v>13</v>
      </c>
      <c r="I2157" s="4">
        <v>0.128</v>
      </c>
      <c r="J2157" s="4">
        <v>0.012</v>
      </c>
      <c r="K2157" s="6" t="b">
        <f t="shared" ref="K2157:M2157" si="2117">FALSE()</f>
        <v>0</v>
      </c>
      <c r="L2157" s="6" t="b">
        <f t="shared" si="2117"/>
        <v>0</v>
      </c>
      <c r="M2157" s="6" t="b">
        <f t="shared" si="2117"/>
        <v>0</v>
      </c>
      <c r="P2157" s="4">
        <v>0.120446153075867</v>
      </c>
      <c r="T2157" s="4" t="str">
        <f t="shared" si="3"/>
        <v/>
      </c>
      <c r="U2157" s="4">
        <f t="shared" si="4"/>
        <v>3719</v>
      </c>
    </row>
    <row r="2158" ht="15.75" customHeight="1">
      <c r="A2158" s="4" t="s">
        <v>3268</v>
      </c>
      <c r="B2158" s="4" t="s">
        <v>13</v>
      </c>
      <c r="I2158" s="4">
        <v>0.189</v>
      </c>
      <c r="J2158" s="4">
        <v>0.04</v>
      </c>
      <c r="K2158" s="6" t="b">
        <f t="shared" ref="K2158:M2158" si="2118">FALSE()</f>
        <v>0</v>
      </c>
      <c r="L2158" s="6" t="b">
        <f t="shared" si="2118"/>
        <v>0</v>
      </c>
      <c r="M2158" s="6" t="b">
        <f t="shared" si="2118"/>
        <v>0</v>
      </c>
      <c r="P2158" s="4">
        <v>0.173112617708645</v>
      </c>
      <c r="T2158" s="4" t="str">
        <f t="shared" si="3"/>
        <v/>
      </c>
      <c r="U2158" s="4">
        <f t="shared" si="4"/>
        <v>2754</v>
      </c>
    </row>
    <row r="2159" ht="15.75" customHeight="1">
      <c r="A2159" s="4" t="s">
        <v>3269</v>
      </c>
      <c r="B2159" s="4" t="s">
        <v>13</v>
      </c>
      <c r="I2159" s="4">
        <v>0.209</v>
      </c>
      <c r="J2159" s="4">
        <v>0.113</v>
      </c>
      <c r="K2159" s="6" t="b">
        <f t="shared" ref="K2159:M2159" si="2119">FALSE()</f>
        <v>0</v>
      </c>
      <c r="L2159" s="6" t="b">
        <f t="shared" si="2119"/>
        <v>0</v>
      </c>
      <c r="M2159" s="6" t="b">
        <f t="shared" si="2119"/>
        <v>0</v>
      </c>
      <c r="P2159" s="4">
        <v>0.189793571632656</v>
      </c>
      <c r="T2159" s="4" t="str">
        <f t="shared" si="3"/>
        <v/>
      </c>
      <c r="U2159" s="4">
        <f t="shared" si="4"/>
        <v>2432</v>
      </c>
    </row>
    <row r="2160" ht="15.75" customHeight="1">
      <c r="A2160" s="4" t="s">
        <v>3270</v>
      </c>
      <c r="B2160" s="4" t="s">
        <v>13</v>
      </c>
      <c r="I2160" s="4">
        <v>0.203</v>
      </c>
      <c r="J2160" s="4">
        <v>0.112</v>
      </c>
      <c r="K2160" s="6" t="b">
        <f t="shared" ref="K2160:M2160" si="2120">FALSE()</f>
        <v>0</v>
      </c>
      <c r="L2160" s="6" t="b">
        <f t="shared" si="2120"/>
        <v>0</v>
      </c>
      <c r="M2160" s="6" t="b">
        <f t="shared" si="2120"/>
        <v>0</v>
      </c>
      <c r="P2160" s="4">
        <v>0.184818436992542</v>
      </c>
      <c r="T2160" s="4" t="str">
        <f t="shared" si="3"/>
        <v/>
      </c>
      <c r="U2160" s="4">
        <f t="shared" si="4"/>
        <v>2524</v>
      </c>
    </row>
    <row r="2161" ht="15.75" customHeight="1">
      <c r="A2161" s="4" t="s">
        <v>3271</v>
      </c>
      <c r="B2161" s="4" t="s">
        <v>13</v>
      </c>
      <c r="I2161" s="4">
        <v>0.136</v>
      </c>
      <c r="J2161" s="4">
        <v>0.017</v>
      </c>
      <c r="K2161" s="6" t="b">
        <f t="shared" ref="K2161:M2161" si="2121">FALSE()</f>
        <v>0</v>
      </c>
      <c r="L2161" s="6" t="b">
        <f t="shared" si="2121"/>
        <v>0</v>
      </c>
      <c r="M2161" s="6" t="b">
        <f t="shared" si="2121"/>
        <v>0</v>
      </c>
      <c r="P2161" s="4">
        <v>0.12751332029896</v>
      </c>
      <c r="T2161" s="4" t="str">
        <f t="shared" si="3"/>
        <v/>
      </c>
      <c r="U2161" s="4">
        <f t="shared" si="4"/>
        <v>3573</v>
      </c>
    </row>
    <row r="2162" ht="15.75" customHeight="1">
      <c r="A2162" s="4" t="s">
        <v>3272</v>
      </c>
      <c r="B2162" s="4" t="s">
        <v>13</v>
      </c>
      <c r="I2162" s="4">
        <v>0.168</v>
      </c>
      <c r="J2162" s="4">
        <v>0.014</v>
      </c>
      <c r="K2162" s="6" t="b">
        <f t="shared" ref="K2162:M2162" si="2122">FALSE()</f>
        <v>0</v>
      </c>
      <c r="L2162" s="6" t="b">
        <f t="shared" si="2122"/>
        <v>0</v>
      </c>
      <c r="M2162" s="6" t="b">
        <f t="shared" si="2122"/>
        <v>0</v>
      </c>
      <c r="P2162" s="4">
        <v>0.155292884406035</v>
      </c>
      <c r="T2162" s="4" t="str">
        <f t="shared" si="3"/>
        <v/>
      </c>
      <c r="U2162" s="4">
        <f t="shared" si="4"/>
        <v>3072</v>
      </c>
    </row>
    <row r="2163" ht="15.75" customHeight="1">
      <c r="A2163" s="4" t="s">
        <v>3273</v>
      </c>
      <c r="B2163" s="4" t="s">
        <v>13</v>
      </c>
      <c r="I2163" s="4">
        <v>0.07</v>
      </c>
      <c r="J2163" s="4">
        <v>0.005</v>
      </c>
      <c r="K2163" s="6" t="b">
        <f t="shared" ref="K2163:M2163" si="2123">FALSE()</f>
        <v>0</v>
      </c>
      <c r="L2163" s="6" t="b">
        <f t="shared" si="2123"/>
        <v>0</v>
      </c>
      <c r="M2163" s="6" t="b">
        <f t="shared" si="2123"/>
        <v>0</v>
      </c>
      <c r="P2163" s="4">
        <v>0.0676586484738148</v>
      </c>
      <c r="T2163" s="4" t="str">
        <f t="shared" si="3"/>
        <v/>
      </c>
      <c r="U2163" s="4">
        <f t="shared" si="4"/>
        <v>4486</v>
      </c>
    </row>
    <row r="2164" ht="15.75" customHeight="1">
      <c r="A2164" s="4" t="s">
        <v>3274</v>
      </c>
      <c r="B2164" s="4" t="s">
        <v>13</v>
      </c>
      <c r="I2164" s="4">
        <v>0.109</v>
      </c>
      <c r="J2164" s="4">
        <v>0.007</v>
      </c>
      <c r="K2164" s="6" t="b">
        <f t="shared" ref="K2164:M2164" si="2124">FALSE()</f>
        <v>0</v>
      </c>
      <c r="L2164" s="6" t="b">
        <f t="shared" si="2124"/>
        <v>0</v>
      </c>
      <c r="M2164" s="6" t="b">
        <f t="shared" si="2124"/>
        <v>0</v>
      </c>
      <c r="P2164" s="4">
        <v>0.10345870836823</v>
      </c>
      <c r="T2164" s="4" t="str">
        <f t="shared" si="3"/>
        <v/>
      </c>
      <c r="U2164" s="4">
        <f t="shared" si="4"/>
        <v>4061</v>
      </c>
    </row>
    <row r="2165" ht="15.75" customHeight="1">
      <c r="A2165" s="4" t="s">
        <v>3275</v>
      </c>
      <c r="B2165" s="4" t="s">
        <v>13</v>
      </c>
      <c r="I2165" s="4">
        <v>0.119</v>
      </c>
      <c r="J2165" s="4">
        <v>0.007</v>
      </c>
      <c r="K2165" s="6" t="b">
        <f t="shared" ref="K2165:M2165" si="2125">FALSE()</f>
        <v>0</v>
      </c>
      <c r="L2165" s="6" t="b">
        <f t="shared" si="2125"/>
        <v>0</v>
      </c>
      <c r="M2165" s="6" t="b">
        <f t="shared" si="2125"/>
        <v>0</v>
      </c>
      <c r="P2165" s="4">
        <v>0.112435429329788</v>
      </c>
      <c r="T2165" s="4" t="str">
        <f t="shared" si="3"/>
        <v/>
      </c>
      <c r="U2165" s="4">
        <f t="shared" si="4"/>
        <v>3884</v>
      </c>
    </row>
    <row r="2166" ht="15.75" customHeight="1">
      <c r="A2166" s="4" t="s">
        <v>3276</v>
      </c>
      <c r="B2166" s="4" t="s">
        <v>13</v>
      </c>
      <c r="I2166" s="4">
        <v>0.162</v>
      </c>
      <c r="J2166" s="4">
        <v>0.021</v>
      </c>
      <c r="K2166" s="6" t="b">
        <f t="shared" ref="K2166:M2166" si="2126">FALSE()</f>
        <v>0</v>
      </c>
      <c r="L2166" s="6" t="b">
        <f t="shared" si="2126"/>
        <v>0</v>
      </c>
      <c r="M2166" s="6" t="b">
        <f t="shared" si="2126"/>
        <v>0</v>
      </c>
      <c r="P2166" s="4">
        <v>0.15014265842972</v>
      </c>
      <c r="T2166" s="4" t="str">
        <f t="shared" si="3"/>
        <v/>
      </c>
      <c r="U2166" s="4">
        <f t="shared" si="4"/>
        <v>3148</v>
      </c>
    </row>
    <row r="2167" ht="15.75" customHeight="1">
      <c r="A2167" s="4" t="s">
        <v>3277</v>
      </c>
      <c r="B2167" s="4" t="s">
        <v>13</v>
      </c>
      <c r="I2167" s="4">
        <v>0.129</v>
      </c>
      <c r="J2167" s="4">
        <v>0.013</v>
      </c>
      <c r="K2167" s="6" t="b">
        <f t="shared" ref="K2167:M2167" si="2127">FALSE()</f>
        <v>0</v>
      </c>
      <c r="L2167" s="6" t="b">
        <f t="shared" si="2127"/>
        <v>0</v>
      </c>
      <c r="M2167" s="6" t="b">
        <f t="shared" si="2127"/>
        <v>0</v>
      </c>
      <c r="P2167" s="4">
        <v>0.121332285167525</v>
      </c>
      <c r="T2167" s="4" t="str">
        <f t="shared" si="3"/>
        <v/>
      </c>
      <c r="U2167" s="4">
        <f t="shared" si="4"/>
        <v>3703</v>
      </c>
    </row>
    <row r="2168" ht="15.75" customHeight="1">
      <c r="A2168" s="4" t="s">
        <v>3278</v>
      </c>
      <c r="B2168" s="4" t="s">
        <v>13</v>
      </c>
      <c r="I2168" s="4">
        <v>0.204</v>
      </c>
      <c r="J2168" s="4">
        <v>0.021</v>
      </c>
      <c r="K2168" s="6" t="b">
        <f t="shared" ref="K2168:M2168" si="2128">FALSE()</f>
        <v>0</v>
      </c>
      <c r="L2168" s="6" t="b">
        <f t="shared" si="2128"/>
        <v>0</v>
      </c>
      <c r="M2168" s="6" t="b">
        <f t="shared" si="2128"/>
        <v>0</v>
      </c>
      <c r="P2168" s="4">
        <v>0.185649346886629</v>
      </c>
      <c r="T2168" s="4" t="str">
        <f t="shared" si="3"/>
        <v/>
      </c>
      <c r="U2168" s="4">
        <f t="shared" si="4"/>
        <v>2508</v>
      </c>
    </row>
    <row r="2169" ht="15.75" customHeight="1">
      <c r="A2169" s="4" t="s">
        <v>3279</v>
      </c>
      <c r="B2169" s="4" t="s">
        <v>13</v>
      </c>
      <c r="I2169" s="4">
        <v>0.137</v>
      </c>
      <c r="J2169" s="4">
        <v>0.012</v>
      </c>
      <c r="K2169" s="6" t="b">
        <f t="shared" ref="K2169:M2169" si="2129">FALSE()</f>
        <v>0</v>
      </c>
      <c r="L2169" s="6" t="b">
        <f t="shared" si="2129"/>
        <v>0</v>
      </c>
      <c r="M2169" s="6" t="b">
        <f t="shared" si="2129"/>
        <v>0</v>
      </c>
      <c r="P2169" s="4">
        <v>0.128393214768399</v>
      </c>
      <c r="T2169" s="4" t="str">
        <f t="shared" si="3"/>
        <v/>
      </c>
      <c r="U2169" s="4">
        <f t="shared" si="4"/>
        <v>3559</v>
      </c>
    </row>
    <row r="2170" ht="15.75" customHeight="1">
      <c r="A2170" s="4" t="s">
        <v>3280</v>
      </c>
      <c r="B2170" s="4" t="s">
        <v>13</v>
      </c>
      <c r="I2170" s="4">
        <v>0.1195</v>
      </c>
      <c r="J2170" s="4">
        <v>0.0125</v>
      </c>
      <c r="K2170" s="6" t="b">
        <f t="shared" ref="K2170:M2170" si="2130">FALSE()</f>
        <v>0</v>
      </c>
      <c r="L2170" s="6" t="b">
        <f t="shared" si="2130"/>
        <v>0</v>
      </c>
      <c r="M2170" s="6" t="b">
        <f t="shared" si="2130"/>
        <v>0</v>
      </c>
      <c r="P2170" s="4">
        <v>0.112882157056672</v>
      </c>
      <c r="T2170" s="4" t="str">
        <f t="shared" si="3"/>
        <v/>
      </c>
      <c r="U2170" s="4">
        <f t="shared" si="4"/>
        <v>3876</v>
      </c>
    </row>
    <row r="2171" ht="15.75" customHeight="1">
      <c r="A2171" s="4" t="s">
        <v>3281</v>
      </c>
      <c r="B2171" s="4" t="s">
        <v>13</v>
      </c>
      <c r="I2171" s="4">
        <v>0.209</v>
      </c>
      <c r="J2171" s="4">
        <v>0.041</v>
      </c>
      <c r="K2171" s="6" t="b">
        <f t="shared" ref="K2171:M2171" si="2131">FALSE()</f>
        <v>0</v>
      </c>
      <c r="L2171" s="6" t="b">
        <f t="shared" si="2131"/>
        <v>0</v>
      </c>
      <c r="M2171" s="6" t="b">
        <f t="shared" si="2131"/>
        <v>0</v>
      </c>
      <c r="P2171" s="4">
        <v>0.189793571632656</v>
      </c>
      <c r="T2171" s="4" t="str">
        <f t="shared" si="3"/>
        <v/>
      </c>
      <c r="U2171" s="4">
        <f t="shared" si="4"/>
        <v>2433</v>
      </c>
    </row>
    <row r="2172" ht="15.75" customHeight="1">
      <c r="A2172" s="4" t="s">
        <v>3282</v>
      </c>
      <c r="B2172" s="4" t="s">
        <v>13</v>
      </c>
      <c r="I2172" s="4">
        <v>0.524</v>
      </c>
      <c r="J2172" s="4">
        <v>0.103</v>
      </c>
      <c r="K2172" s="6" t="b">
        <f t="shared" ref="K2172:M2172" si="2132">FALSE()</f>
        <v>0</v>
      </c>
      <c r="L2172" s="6" t="b">
        <f t="shared" si="2132"/>
        <v>0</v>
      </c>
      <c r="M2172" s="6" t="b">
        <f t="shared" si="2132"/>
        <v>0</v>
      </c>
      <c r="P2172" s="4">
        <v>0.421338457264455</v>
      </c>
      <c r="T2172" s="4" t="str">
        <f t="shared" si="3"/>
        <v/>
      </c>
      <c r="U2172" s="4">
        <f t="shared" si="4"/>
        <v>998</v>
      </c>
    </row>
    <row r="2173" ht="15.75" customHeight="1">
      <c r="A2173" s="4" t="s">
        <v>3283</v>
      </c>
      <c r="B2173" s="4" t="s">
        <v>13</v>
      </c>
      <c r="I2173" s="4">
        <v>0.196</v>
      </c>
      <c r="J2173" s="4">
        <v>0.039</v>
      </c>
      <c r="K2173" s="6" t="b">
        <f t="shared" ref="K2173:M2173" si="2133">FALSE()</f>
        <v>0</v>
      </c>
      <c r="L2173" s="6" t="b">
        <f t="shared" si="2133"/>
        <v>0</v>
      </c>
      <c r="M2173" s="6" t="b">
        <f t="shared" si="2133"/>
        <v>0</v>
      </c>
      <c r="P2173" s="4">
        <v>0.17898265552844</v>
      </c>
      <c r="T2173" s="4" t="str">
        <f t="shared" si="3"/>
        <v/>
      </c>
      <c r="U2173" s="4">
        <f t="shared" si="4"/>
        <v>2649</v>
      </c>
    </row>
    <row r="2174" ht="15.75" customHeight="1">
      <c r="A2174" s="4" t="s">
        <v>3284</v>
      </c>
      <c r="B2174" s="4" t="s">
        <v>13</v>
      </c>
      <c r="I2174" s="4">
        <v>0.232</v>
      </c>
      <c r="J2174" s="4">
        <v>0.048</v>
      </c>
      <c r="K2174" s="6" t="b">
        <f t="shared" ref="K2174:M2174" si="2134">FALSE()</f>
        <v>0</v>
      </c>
      <c r="L2174" s="6" t="b">
        <f t="shared" si="2134"/>
        <v>0</v>
      </c>
      <c r="M2174" s="6" t="b">
        <f t="shared" si="2134"/>
        <v>0</v>
      </c>
      <c r="P2174" s="4">
        <v>0.208638865111328</v>
      </c>
      <c r="T2174" s="4" t="str">
        <f t="shared" si="3"/>
        <v/>
      </c>
      <c r="U2174" s="4">
        <f t="shared" si="4"/>
        <v>2077</v>
      </c>
    </row>
    <row r="2175" ht="15.75" customHeight="1">
      <c r="A2175" s="4" t="s">
        <v>763</v>
      </c>
      <c r="B2175" s="4" t="s">
        <v>13</v>
      </c>
      <c r="C2175" s="4">
        <v>0.113</v>
      </c>
      <c r="D2175" s="4">
        <v>0.051</v>
      </c>
      <c r="E2175" s="4">
        <v>0.061</v>
      </c>
      <c r="I2175" s="4">
        <v>0.156</v>
      </c>
      <c r="J2175" s="4">
        <v>0.014</v>
      </c>
      <c r="K2175" s="6" t="b">
        <f t="shared" ref="K2175:M2175" si="2135">FALSE()</f>
        <v>0</v>
      </c>
      <c r="L2175" s="6" t="b">
        <f t="shared" si="2135"/>
        <v>0</v>
      </c>
      <c r="M2175" s="6" t="b">
        <f t="shared" si="2135"/>
        <v>0</v>
      </c>
      <c r="N2175" s="4">
        <v>0.107059072293408</v>
      </c>
      <c r="P2175" s="4">
        <v>0.144965770250186</v>
      </c>
      <c r="T2175" s="4">
        <f t="shared" si="3"/>
        <v>1241</v>
      </c>
      <c r="U2175" s="4">
        <f t="shared" si="4"/>
        <v>3225</v>
      </c>
    </row>
    <row r="2176" ht="15.75" customHeight="1">
      <c r="A2176" s="4" t="s">
        <v>3285</v>
      </c>
      <c r="B2176" s="4" t="s">
        <v>13</v>
      </c>
      <c r="I2176" s="4">
        <v>0.242</v>
      </c>
      <c r="J2176" s="4">
        <v>0.026</v>
      </c>
      <c r="K2176" s="6" t="b">
        <f t="shared" ref="K2176:M2176" si="2136">FALSE()</f>
        <v>0</v>
      </c>
      <c r="L2176" s="6" t="b">
        <f t="shared" si="2136"/>
        <v>0</v>
      </c>
      <c r="M2176" s="6" t="b">
        <f t="shared" si="2136"/>
        <v>0</v>
      </c>
      <c r="P2176" s="4">
        <v>0.216722983511287</v>
      </c>
      <c r="T2176" s="4" t="str">
        <f t="shared" si="3"/>
        <v/>
      </c>
      <c r="U2176" s="4">
        <f t="shared" si="4"/>
        <v>1912</v>
      </c>
    </row>
    <row r="2177" ht="15.75" customHeight="1">
      <c r="A2177" s="4" t="s">
        <v>3286</v>
      </c>
      <c r="B2177" s="4" t="s">
        <v>13</v>
      </c>
      <c r="I2177" s="4">
        <v>0.127</v>
      </c>
      <c r="J2177" s="4">
        <v>0.011</v>
      </c>
      <c r="K2177" s="6" t="b">
        <f t="shared" ref="K2177:M2177" si="2137">FALSE()</f>
        <v>0</v>
      </c>
      <c r="L2177" s="6" t="b">
        <f t="shared" si="2137"/>
        <v>0</v>
      </c>
      <c r="M2177" s="6" t="b">
        <f t="shared" si="2137"/>
        <v>0</v>
      </c>
      <c r="P2177" s="4">
        <v>0.119559235057639</v>
      </c>
      <c r="T2177" s="4" t="str">
        <f t="shared" si="3"/>
        <v/>
      </c>
      <c r="U2177" s="4">
        <f t="shared" si="4"/>
        <v>3744</v>
      </c>
    </row>
    <row r="2178" ht="15.75" customHeight="1">
      <c r="A2178" s="4" t="s">
        <v>3287</v>
      </c>
      <c r="B2178" s="4" t="s">
        <v>13</v>
      </c>
      <c r="I2178" s="4">
        <v>0.172</v>
      </c>
      <c r="J2178" s="4">
        <v>0.014</v>
      </c>
      <c r="K2178" s="6" t="b">
        <f t="shared" ref="K2178:M2178" si="2138">FALSE()</f>
        <v>0</v>
      </c>
      <c r="L2178" s="6" t="b">
        <f t="shared" si="2138"/>
        <v>0</v>
      </c>
      <c r="M2178" s="6" t="b">
        <f t="shared" si="2138"/>
        <v>0</v>
      </c>
      <c r="P2178" s="4">
        <v>0.158711691154821</v>
      </c>
      <c r="T2178" s="4" t="str">
        <f t="shared" si="3"/>
        <v/>
      </c>
      <c r="U2178" s="4">
        <f t="shared" si="4"/>
        <v>3014</v>
      </c>
    </row>
    <row r="2179" ht="15.75" customHeight="1">
      <c r="A2179" s="4" t="s">
        <v>3288</v>
      </c>
      <c r="B2179" s="4" t="s">
        <v>13</v>
      </c>
      <c r="I2179" s="4">
        <v>0.232</v>
      </c>
      <c r="J2179" s="4">
        <v>0.035</v>
      </c>
      <c r="K2179" s="6" t="b">
        <f t="shared" ref="K2179:M2179" si="2139">FALSE()</f>
        <v>0</v>
      </c>
      <c r="L2179" s="6" t="b">
        <f t="shared" si="2139"/>
        <v>0</v>
      </c>
      <c r="M2179" s="6" t="b">
        <f t="shared" si="2139"/>
        <v>0</v>
      </c>
      <c r="P2179" s="4">
        <v>0.208638865111328</v>
      </c>
      <c r="T2179" s="4" t="str">
        <f t="shared" si="3"/>
        <v/>
      </c>
      <c r="U2179" s="4">
        <f t="shared" si="4"/>
        <v>2078</v>
      </c>
    </row>
    <row r="2180" ht="15.75" customHeight="1">
      <c r="A2180" s="4" t="s">
        <v>3289</v>
      </c>
      <c r="B2180" s="4" t="s">
        <v>13</v>
      </c>
      <c r="I2180" s="4">
        <v>0.251</v>
      </c>
      <c r="J2180" s="4">
        <v>0.072</v>
      </c>
      <c r="K2180" s="6" t="b">
        <f t="shared" ref="K2180:M2180" si="2140">FALSE()</f>
        <v>0</v>
      </c>
      <c r="L2180" s="6" t="b">
        <f t="shared" si="2140"/>
        <v>0</v>
      </c>
      <c r="M2180" s="6" t="b">
        <f t="shared" si="2140"/>
        <v>0</v>
      </c>
      <c r="P2180" s="4">
        <v>0.223943231484774</v>
      </c>
      <c r="T2180" s="4" t="str">
        <f t="shared" si="3"/>
        <v/>
      </c>
      <c r="U2180" s="4">
        <f t="shared" si="4"/>
        <v>1796</v>
      </c>
    </row>
    <row r="2181" ht="15.75" customHeight="1">
      <c r="A2181" s="4" t="s">
        <v>3290</v>
      </c>
      <c r="B2181" s="4" t="s">
        <v>13</v>
      </c>
      <c r="I2181" s="4">
        <v>0.07</v>
      </c>
      <c r="J2181" s="4">
        <v>0.005</v>
      </c>
      <c r="K2181" s="6" t="b">
        <f t="shared" ref="K2181:M2181" si="2141">FALSE()</f>
        <v>0</v>
      </c>
      <c r="L2181" s="6" t="b">
        <f t="shared" si="2141"/>
        <v>0</v>
      </c>
      <c r="M2181" s="6" t="b">
        <f t="shared" si="2141"/>
        <v>0</v>
      </c>
      <c r="P2181" s="4">
        <v>0.0676586484738148</v>
      </c>
      <c r="T2181" s="4" t="str">
        <f t="shared" si="3"/>
        <v/>
      </c>
      <c r="U2181" s="4">
        <f t="shared" si="4"/>
        <v>4487</v>
      </c>
    </row>
    <row r="2182" ht="15.75" customHeight="1">
      <c r="A2182" s="4" t="s">
        <v>3291</v>
      </c>
      <c r="B2182" s="4" t="s">
        <v>13</v>
      </c>
      <c r="I2182" s="4">
        <v>0.191</v>
      </c>
      <c r="J2182" s="4">
        <v>0.02</v>
      </c>
      <c r="K2182" s="6" t="b">
        <f t="shared" ref="K2182:M2182" si="2142">FALSE()</f>
        <v>0</v>
      </c>
      <c r="L2182" s="6" t="b">
        <f t="shared" si="2142"/>
        <v>0</v>
      </c>
      <c r="M2182" s="6" t="b">
        <f t="shared" si="2142"/>
        <v>0</v>
      </c>
      <c r="P2182" s="4">
        <v>0.174793290373163</v>
      </c>
      <c r="T2182" s="4" t="str">
        <f t="shared" si="3"/>
        <v/>
      </c>
      <c r="U2182" s="4">
        <f t="shared" si="4"/>
        <v>2725</v>
      </c>
    </row>
    <row r="2183" ht="15.75" customHeight="1">
      <c r="A2183" s="4" t="s">
        <v>3292</v>
      </c>
      <c r="B2183" s="4" t="s">
        <v>13</v>
      </c>
      <c r="I2183" s="4">
        <v>0.255</v>
      </c>
      <c r="J2183" s="4">
        <v>0.019</v>
      </c>
      <c r="K2183" s="6" t="b">
        <f t="shared" ref="K2183:M2183" si="2143">FALSE()</f>
        <v>0</v>
      </c>
      <c r="L2183" s="6" t="b">
        <f t="shared" si="2143"/>
        <v>0</v>
      </c>
      <c r="M2183" s="6" t="b">
        <f t="shared" si="2143"/>
        <v>0</v>
      </c>
      <c r="P2183" s="4">
        <v>0.227135572583747</v>
      </c>
      <c r="T2183" s="4" t="str">
        <f t="shared" si="3"/>
        <v/>
      </c>
      <c r="U2183" s="4">
        <f t="shared" si="4"/>
        <v>1745</v>
      </c>
    </row>
    <row r="2184" ht="15.75" customHeight="1">
      <c r="A2184" s="4" t="s">
        <v>3293</v>
      </c>
      <c r="B2184" s="4" t="s">
        <v>13</v>
      </c>
      <c r="I2184" s="4">
        <v>0.172</v>
      </c>
      <c r="J2184" s="4">
        <v>0.037</v>
      </c>
      <c r="K2184" s="6" t="b">
        <f t="shared" ref="K2184:M2184" si="2144">FALSE()</f>
        <v>0</v>
      </c>
      <c r="L2184" s="6" t="b">
        <f t="shared" si="2144"/>
        <v>0</v>
      </c>
      <c r="M2184" s="6" t="b">
        <f t="shared" si="2144"/>
        <v>0</v>
      </c>
      <c r="P2184" s="4">
        <v>0.158711691154821</v>
      </c>
      <c r="T2184" s="4" t="str">
        <f t="shared" si="3"/>
        <v/>
      </c>
      <c r="U2184" s="4">
        <f t="shared" si="4"/>
        <v>3015</v>
      </c>
    </row>
    <row r="2185" ht="15.75" customHeight="1">
      <c r="A2185" s="4" t="s">
        <v>3294</v>
      </c>
      <c r="B2185" s="4" t="s">
        <v>13</v>
      </c>
      <c r="I2185" s="4">
        <v>0.259</v>
      </c>
      <c r="J2185" s="4">
        <v>0.028</v>
      </c>
      <c r="K2185" s="6" t="b">
        <f t="shared" ref="K2185:M2185" si="2145">FALSE()</f>
        <v>0</v>
      </c>
      <c r="L2185" s="6" t="b">
        <f t="shared" si="2145"/>
        <v>0</v>
      </c>
      <c r="M2185" s="6" t="b">
        <f t="shared" si="2145"/>
        <v>0</v>
      </c>
      <c r="P2185" s="4">
        <v>0.23031775506221</v>
      </c>
      <c r="T2185" s="4" t="str">
        <f t="shared" si="3"/>
        <v/>
      </c>
      <c r="U2185" s="4">
        <f t="shared" si="4"/>
        <v>1693</v>
      </c>
    </row>
    <row r="2186" ht="15.75" customHeight="1">
      <c r="A2186" s="4" t="s">
        <v>3295</v>
      </c>
      <c r="B2186" s="4" t="s">
        <v>13</v>
      </c>
      <c r="I2186" s="4">
        <v>0.262</v>
      </c>
      <c r="J2186" s="4">
        <v>0.051</v>
      </c>
      <c r="K2186" s="6" t="b">
        <f t="shared" ref="K2186:M2186" si="2146">FALSE()</f>
        <v>0</v>
      </c>
      <c r="L2186" s="6" t="b">
        <f t="shared" si="2146"/>
        <v>0</v>
      </c>
      <c r="M2186" s="6" t="b">
        <f t="shared" si="2146"/>
        <v>0</v>
      </c>
      <c r="P2186" s="4">
        <v>0.232697764119021</v>
      </c>
      <c r="T2186" s="4" t="str">
        <f t="shared" si="3"/>
        <v/>
      </c>
      <c r="U2186" s="4">
        <f t="shared" si="4"/>
        <v>1657</v>
      </c>
    </row>
    <row r="2187" ht="15.75" customHeight="1">
      <c r="A2187" s="4" t="s">
        <v>3296</v>
      </c>
      <c r="B2187" s="4" t="s">
        <v>13</v>
      </c>
      <c r="I2187" s="4">
        <v>0.132</v>
      </c>
      <c r="J2187" s="4">
        <v>0.027</v>
      </c>
      <c r="K2187" s="6" t="b">
        <f t="shared" ref="K2187:M2187" si="2147">FALSE()</f>
        <v>0</v>
      </c>
      <c r="L2187" s="6" t="b">
        <f t="shared" si="2147"/>
        <v>0</v>
      </c>
      <c r="M2187" s="6" t="b">
        <f t="shared" si="2147"/>
        <v>0</v>
      </c>
      <c r="P2187" s="4">
        <v>0.123985979780991</v>
      </c>
      <c r="T2187" s="4" t="str">
        <f t="shared" si="3"/>
        <v/>
      </c>
      <c r="U2187" s="4">
        <f t="shared" si="4"/>
        <v>3658</v>
      </c>
    </row>
    <row r="2188" ht="15.75" customHeight="1">
      <c r="A2188" s="4" t="s">
        <v>3297</v>
      </c>
      <c r="B2188" s="4" t="s">
        <v>13</v>
      </c>
      <c r="I2188" s="4">
        <v>0.103</v>
      </c>
      <c r="J2188" s="4">
        <v>0.009</v>
      </c>
      <c r="K2188" s="6" t="b">
        <f t="shared" ref="K2188:M2188" si="2148">FALSE()</f>
        <v>0</v>
      </c>
      <c r="L2188" s="6" t="b">
        <f t="shared" si="2148"/>
        <v>0</v>
      </c>
      <c r="M2188" s="6" t="b">
        <f t="shared" si="2148"/>
        <v>0</v>
      </c>
      <c r="P2188" s="4">
        <v>0.0980337402713654</v>
      </c>
      <c r="T2188" s="4" t="str">
        <f t="shared" si="3"/>
        <v/>
      </c>
      <c r="U2188" s="4">
        <f t="shared" si="4"/>
        <v>4172</v>
      </c>
    </row>
    <row r="2189" ht="15.75" customHeight="1">
      <c r="A2189" s="4" t="s">
        <v>3298</v>
      </c>
      <c r="B2189" s="4" t="s">
        <v>13</v>
      </c>
      <c r="I2189" s="4">
        <v>0.235</v>
      </c>
      <c r="J2189" s="4">
        <v>0.021</v>
      </c>
      <c r="K2189" s="6" t="b">
        <f t="shared" ref="K2189:M2189" si="2149">FALSE()</f>
        <v>0</v>
      </c>
      <c r="L2189" s="6" t="b">
        <f t="shared" si="2149"/>
        <v>0</v>
      </c>
      <c r="M2189" s="6" t="b">
        <f t="shared" si="2149"/>
        <v>0</v>
      </c>
      <c r="P2189" s="4">
        <v>0.211070970079941</v>
      </c>
      <c r="T2189" s="4" t="str">
        <f t="shared" si="3"/>
        <v/>
      </c>
      <c r="U2189" s="4">
        <f t="shared" si="4"/>
        <v>2030</v>
      </c>
    </row>
    <row r="2190" ht="15.75" customHeight="1">
      <c r="A2190" s="4" t="s">
        <v>3299</v>
      </c>
      <c r="B2190" s="4" t="s">
        <v>13</v>
      </c>
      <c r="I2190" s="4">
        <v>0.202</v>
      </c>
      <c r="J2190" s="4">
        <v>0.012</v>
      </c>
      <c r="K2190" s="6" t="b">
        <f t="shared" ref="K2190:M2190" si="2150">FALSE()</f>
        <v>0</v>
      </c>
      <c r="L2190" s="6" t="b">
        <f t="shared" si="2150"/>
        <v>0</v>
      </c>
      <c r="M2190" s="6" t="b">
        <f t="shared" si="2150"/>
        <v>0</v>
      </c>
      <c r="P2190" s="4">
        <v>0.183986836113016</v>
      </c>
      <c r="T2190" s="4" t="str">
        <f t="shared" si="3"/>
        <v/>
      </c>
      <c r="U2190" s="4">
        <f t="shared" si="4"/>
        <v>2551</v>
      </c>
    </row>
    <row r="2191" ht="15.75" customHeight="1">
      <c r="A2191" s="4" t="s">
        <v>3300</v>
      </c>
      <c r="B2191" s="4" t="s">
        <v>13</v>
      </c>
      <c r="I2191" s="4">
        <v>0.156</v>
      </c>
      <c r="J2191" s="4">
        <v>0.015</v>
      </c>
      <c r="K2191" s="6" t="b">
        <f t="shared" ref="K2191:M2191" si="2151">FALSE()</f>
        <v>0</v>
      </c>
      <c r="L2191" s="6" t="b">
        <f t="shared" si="2151"/>
        <v>0</v>
      </c>
      <c r="M2191" s="6" t="b">
        <f t="shared" si="2151"/>
        <v>0</v>
      </c>
      <c r="P2191" s="4">
        <v>0.144965770250186</v>
      </c>
      <c r="T2191" s="4" t="str">
        <f t="shared" si="3"/>
        <v/>
      </c>
      <c r="U2191" s="4">
        <f t="shared" si="4"/>
        <v>3226</v>
      </c>
    </row>
    <row r="2192" ht="15.75" customHeight="1">
      <c r="A2192" s="4" t="s">
        <v>3301</v>
      </c>
      <c r="B2192" s="4" t="s">
        <v>13</v>
      </c>
      <c r="I2192" s="4">
        <v>0.12</v>
      </c>
      <c r="J2192" s="4">
        <v>0.022</v>
      </c>
      <c r="K2192" s="6" t="b">
        <f t="shared" ref="K2192:M2192" si="2152">FALSE()</f>
        <v>0</v>
      </c>
      <c r="L2192" s="6" t="b">
        <f t="shared" si="2152"/>
        <v>0</v>
      </c>
      <c r="M2192" s="6" t="b">
        <f t="shared" si="2152"/>
        <v>0</v>
      </c>
      <c r="P2192" s="4">
        <v>0.113328685307003</v>
      </c>
      <c r="T2192" s="4" t="str">
        <f t="shared" si="3"/>
        <v/>
      </c>
      <c r="U2192" s="4">
        <f t="shared" si="4"/>
        <v>3860</v>
      </c>
    </row>
    <row r="2193" ht="15.75" customHeight="1">
      <c r="A2193" s="4" t="s">
        <v>3302</v>
      </c>
      <c r="B2193" s="4" t="s">
        <v>13</v>
      </c>
      <c r="I2193" s="4">
        <v>0.128</v>
      </c>
      <c r="J2193" s="4">
        <v>0.009</v>
      </c>
      <c r="K2193" s="6" t="b">
        <f t="shared" ref="K2193:M2193" si="2153">FALSE()</f>
        <v>0</v>
      </c>
      <c r="L2193" s="6" t="b">
        <f t="shared" si="2153"/>
        <v>0</v>
      </c>
      <c r="M2193" s="6" t="b">
        <f t="shared" si="2153"/>
        <v>0</v>
      </c>
      <c r="P2193" s="4">
        <v>0.120446153075867</v>
      </c>
      <c r="T2193" s="4" t="str">
        <f t="shared" si="3"/>
        <v/>
      </c>
      <c r="U2193" s="4">
        <f t="shared" si="4"/>
        <v>3720</v>
      </c>
    </row>
    <row r="2194" ht="15.75" customHeight="1">
      <c r="A2194" s="4" t="s">
        <v>3303</v>
      </c>
      <c r="B2194" s="4" t="s">
        <v>13</v>
      </c>
      <c r="I2194" s="4">
        <v>0.128</v>
      </c>
      <c r="J2194" s="4">
        <v>0.007</v>
      </c>
      <c r="K2194" s="6" t="b">
        <f t="shared" ref="K2194:M2194" si="2154">FALSE()</f>
        <v>0</v>
      </c>
      <c r="L2194" s="6" t="b">
        <f t="shared" si="2154"/>
        <v>0</v>
      </c>
      <c r="M2194" s="6" t="b">
        <f t="shared" si="2154"/>
        <v>0</v>
      </c>
      <c r="P2194" s="4">
        <v>0.120446153075867</v>
      </c>
      <c r="T2194" s="4" t="str">
        <f t="shared" si="3"/>
        <v/>
      </c>
      <c r="U2194" s="4">
        <f t="shared" si="4"/>
        <v>3721</v>
      </c>
    </row>
    <row r="2195" ht="15.75" customHeight="1">
      <c r="A2195" s="4" t="s">
        <v>3304</v>
      </c>
      <c r="B2195" s="4" t="s">
        <v>13</v>
      </c>
      <c r="I2195" s="4">
        <v>0.121</v>
      </c>
      <c r="J2195" s="4">
        <v>0.02</v>
      </c>
      <c r="K2195" s="6" t="b">
        <f t="shared" ref="K2195:M2195" si="2155">FALSE()</f>
        <v>0</v>
      </c>
      <c r="L2195" s="6" t="b">
        <f t="shared" si="2155"/>
        <v>0</v>
      </c>
      <c r="M2195" s="6" t="b">
        <f t="shared" si="2155"/>
        <v>0</v>
      </c>
      <c r="P2195" s="4">
        <v>0.114221144090023</v>
      </c>
      <c r="T2195" s="4" t="str">
        <f t="shared" si="3"/>
        <v/>
      </c>
      <c r="U2195" s="4">
        <f t="shared" si="4"/>
        <v>3843</v>
      </c>
    </row>
    <row r="2196" ht="15.75" customHeight="1">
      <c r="A2196" s="4" t="s">
        <v>3305</v>
      </c>
      <c r="B2196" s="4" t="s">
        <v>13</v>
      </c>
      <c r="I2196" s="4">
        <v>0.208</v>
      </c>
      <c r="J2196" s="4">
        <v>0.014</v>
      </c>
      <c r="K2196" s="6" t="b">
        <f t="shared" ref="K2196:M2196" si="2156">FALSE()</f>
        <v>0</v>
      </c>
      <c r="L2196" s="6" t="b">
        <f t="shared" si="2156"/>
        <v>0</v>
      </c>
      <c r="M2196" s="6" t="b">
        <f t="shared" si="2156"/>
        <v>0</v>
      </c>
      <c r="P2196" s="4">
        <v>0.188966099512623</v>
      </c>
      <c r="T2196" s="4" t="str">
        <f t="shared" si="3"/>
        <v/>
      </c>
      <c r="U2196" s="4">
        <f t="shared" si="4"/>
        <v>2446</v>
      </c>
    </row>
    <row r="2197" ht="15.75" customHeight="1">
      <c r="A2197" s="4" t="s">
        <v>3306</v>
      </c>
      <c r="B2197" s="4" t="s">
        <v>13</v>
      </c>
      <c r="I2197" s="4">
        <v>0.0928</v>
      </c>
      <c r="J2197" s="4">
        <v>0.0054</v>
      </c>
      <c r="K2197" s="6" t="b">
        <f t="shared" ref="K2197:M2197" si="2157">FALSE()</f>
        <v>0</v>
      </c>
      <c r="L2197" s="6" t="b">
        <f t="shared" si="2157"/>
        <v>0</v>
      </c>
      <c r="M2197" s="6" t="b">
        <f t="shared" si="2157"/>
        <v>0</v>
      </c>
      <c r="P2197" s="4">
        <v>0.0887432098343885</v>
      </c>
      <c r="T2197" s="4" t="str">
        <f t="shared" si="3"/>
        <v/>
      </c>
      <c r="U2197" s="4">
        <f t="shared" si="4"/>
        <v>4300</v>
      </c>
    </row>
    <row r="2198" ht="15.75" customHeight="1">
      <c r="A2198" s="4" t="s">
        <v>3307</v>
      </c>
      <c r="B2198" s="4" t="s">
        <v>13</v>
      </c>
      <c r="I2198" s="4">
        <v>0.212</v>
      </c>
      <c r="J2198" s="4">
        <v>0.034</v>
      </c>
      <c r="K2198" s="6" t="b">
        <f t="shared" ref="K2198:M2198" si="2158">FALSE()</f>
        <v>0</v>
      </c>
      <c r="L2198" s="6" t="b">
        <f t="shared" si="2158"/>
        <v>0</v>
      </c>
      <c r="M2198" s="6" t="b">
        <f t="shared" si="2158"/>
        <v>0</v>
      </c>
      <c r="P2198" s="4">
        <v>0.192271887647123</v>
      </c>
      <c r="T2198" s="4" t="str">
        <f t="shared" si="3"/>
        <v/>
      </c>
      <c r="U2198" s="4">
        <f t="shared" si="4"/>
        <v>2377</v>
      </c>
    </row>
    <row r="2199" ht="15.75" customHeight="1">
      <c r="A2199" s="4" t="s">
        <v>3308</v>
      </c>
      <c r="B2199" s="4" t="s">
        <v>13</v>
      </c>
      <c r="I2199" s="4">
        <v>0.065</v>
      </c>
      <c r="J2199" s="4">
        <v>0.004</v>
      </c>
      <c r="K2199" s="6" t="b">
        <f t="shared" ref="K2199:M2199" si="2159">FALSE()</f>
        <v>0</v>
      </c>
      <c r="L2199" s="6" t="b">
        <f t="shared" si="2159"/>
        <v>0</v>
      </c>
      <c r="M2199" s="6" t="b">
        <f t="shared" si="2159"/>
        <v>0</v>
      </c>
      <c r="P2199" s="4">
        <v>0.0629747991613884</v>
      </c>
      <c r="T2199" s="4" t="str">
        <f t="shared" si="3"/>
        <v/>
      </c>
      <c r="U2199" s="4">
        <f t="shared" si="4"/>
        <v>4519</v>
      </c>
    </row>
    <row r="2200" ht="15.75" customHeight="1">
      <c r="A2200" s="4" t="s">
        <v>3309</v>
      </c>
      <c r="B2200" s="4" t="s">
        <v>13</v>
      </c>
      <c r="I2200" s="4">
        <v>0.156</v>
      </c>
      <c r="J2200" s="4">
        <v>0.008</v>
      </c>
      <c r="K2200" s="6" t="b">
        <f t="shared" ref="K2200:M2200" si="2160">FALSE()</f>
        <v>0</v>
      </c>
      <c r="L2200" s="6" t="b">
        <f t="shared" si="2160"/>
        <v>0</v>
      </c>
      <c r="M2200" s="6" t="b">
        <f t="shared" si="2160"/>
        <v>0</v>
      </c>
      <c r="P2200" s="4">
        <v>0.144965770250186</v>
      </c>
      <c r="T2200" s="4" t="str">
        <f t="shared" si="3"/>
        <v/>
      </c>
      <c r="U2200" s="4">
        <f t="shared" si="4"/>
        <v>3227</v>
      </c>
    </row>
    <row r="2201" ht="15.75" customHeight="1">
      <c r="A2201" s="4" t="s">
        <v>3310</v>
      </c>
      <c r="B2201" s="4" t="s">
        <v>13</v>
      </c>
      <c r="I2201" s="4">
        <v>0.099</v>
      </c>
      <c r="J2201" s="4">
        <v>0.006</v>
      </c>
      <c r="K2201" s="6" t="b">
        <f t="shared" ref="K2201:M2201" si="2161">FALSE()</f>
        <v>0</v>
      </c>
      <c r="L2201" s="6" t="b">
        <f t="shared" si="2161"/>
        <v>0</v>
      </c>
      <c r="M2201" s="6" t="b">
        <f t="shared" si="2161"/>
        <v>0</v>
      </c>
      <c r="P2201" s="4">
        <v>0.0944006754214843</v>
      </c>
      <c r="T2201" s="4" t="str">
        <f t="shared" si="3"/>
        <v/>
      </c>
      <c r="U2201" s="4">
        <f t="shared" si="4"/>
        <v>4232</v>
      </c>
    </row>
    <row r="2202" ht="15.75" customHeight="1">
      <c r="A2202" s="4" t="s">
        <v>3311</v>
      </c>
      <c r="B2202" s="4" t="s">
        <v>13</v>
      </c>
      <c r="I2202" s="4">
        <v>0.171</v>
      </c>
      <c r="J2202" s="4">
        <v>0.015</v>
      </c>
      <c r="K2202" s="6" t="b">
        <f t="shared" ref="K2202:M2202" si="2162">FALSE()</f>
        <v>0</v>
      </c>
      <c r="L2202" s="6" t="b">
        <f t="shared" si="2162"/>
        <v>0</v>
      </c>
      <c r="M2202" s="6" t="b">
        <f t="shared" si="2162"/>
        <v>0</v>
      </c>
      <c r="P2202" s="4">
        <v>0.15785808461558</v>
      </c>
      <c r="T2202" s="4" t="str">
        <f t="shared" si="3"/>
        <v/>
      </c>
      <c r="U2202" s="4">
        <f t="shared" si="4"/>
        <v>3030</v>
      </c>
    </row>
    <row r="2203" ht="15.75" customHeight="1">
      <c r="A2203" s="4" t="s">
        <v>3312</v>
      </c>
      <c r="B2203" s="4" t="s">
        <v>13</v>
      </c>
      <c r="I2203" s="4">
        <v>0.164</v>
      </c>
      <c r="J2203" s="4">
        <v>0.012</v>
      </c>
      <c r="K2203" s="6" t="b">
        <f t="shared" ref="K2203:M2203" si="2163">FALSE()</f>
        <v>0</v>
      </c>
      <c r="L2203" s="6" t="b">
        <f t="shared" si="2163"/>
        <v>0</v>
      </c>
      <c r="M2203" s="6" t="b">
        <f t="shared" si="2163"/>
        <v>0</v>
      </c>
      <c r="P2203" s="4">
        <v>0.151862349309246</v>
      </c>
      <c r="T2203" s="4" t="str">
        <f t="shared" si="3"/>
        <v/>
      </c>
      <c r="U2203" s="4">
        <f t="shared" si="4"/>
        <v>3120</v>
      </c>
    </row>
    <row r="2204" ht="15.75" customHeight="1">
      <c r="A2204" s="4" t="s">
        <v>3313</v>
      </c>
      <c r="B2204" s="4" t="s">
        <v>13</v>
      </c>
      <c r="I2204" s="4">
        <v>0.149</v>
      </c>
      <c r="J2204" s="4">
        <v>0.021</v>
      </c>
      <c r="K2204" s="6" t="b">
        <f t="shared" ref="K2204:M2204" si="2164">FALSE()</f>
        <v>0</v>
      </c>
      <c r="L2204" s="6" t="b">
        <f t="shared" si="2164"/>
        <v>0</v>
      </c>
      <c r="M2204" s="6" t="b">
        <f t="shared" si="2164"/>
        <v>0</v>
      </c>
      <c r="P2204" s="4">
        <v>0.138891998866619</v>
      </c>
      <c r="T2204" s="4" t="str">
        <f t="shared" si="3"/>
        <v/>
      </c>
      <c r="U2204" s="4">
        <f t="shared" si="4"/>
        <v>3345</v>
      </c>
    </row>
    <row r="2205" ht="15.75" customHeight="1">
      <c r="A2205" s="4" t="s">
        <v>3314</v>
      </c>
      <c r="B2205" s="4" t="s">
        <v>13</v>
      </c>
      <c r="I2205" s="4">
        <v>0.119</v>
      </c>
      <c r="J2205" s="4">
        <v>0.016</v>
      </c>
      <c r="K2205" s="6" t="b">
        <f t="shared" ref="K2205:M2205" si="2165">FALSE()</f>
        <v>0</v>
      </c>
      <c r="L2205" s="6" t="b">
        <f t="shared" si="2165"/>
        <v>0</v>
      </c>
      <c r="M2205" s="6" t="b">
        <f t="shared" si="2165"/>
        <v>0</v>
      </c>
      <c r="P2205" s="4">
        <v>0.112435429329788</v>
      </c>
      <c r="T2205" s="4" t="str">
        <f t="shared" si="3"/>
        <v/>
      </c>
      <c r="U2205" s="4">
        <f t="shared" si="4"/>
        <v>3885</v>
      </c>
    </row>
    <row r="2206" ht="15.75" customHeight="1">
      <c r="A2206" s="4" t="s">
        <v>3315</v>
      </c>
      <c r="B2206" s="4" t="s">
        <v>13</v>
      </c>
      <c r="I2206" s="4">
        <v>0.138</v>
      </c>
      <c r="J2206" s="4">
        <v>0.011</v>
      </c>
      <c r="K2206" s="6" t="b">
        <f t="shared" ref="K2206:M2206" si="2166">FALSE()</f>
        <v>0</v>
      </c>
      <c r="L2206" s="6" t="b">
        <f t="shared" si="2166"/>
        <v>0</v>
      </c>
      <c r="M2206" s="6" t="b">
        <f t="shared" si="2166"/>
        <v>0</v>
      </c>
      <c r="P2206" s="4">
        <v>0.129272335704139</v>
      </c>
      <c r="T2206" s="4" t="str">
        <f t="shared" si="3"/>
        <v/>
      </c>
      <c r="U2206" s="4">
        <f t="shared" si="4"/>
        <v>3541</v>
      </c>
    </row>
    <row r="2207" ht="15.75" customHeight="1">
      <c r="A2207" s="4" t="s">
        <v>3316</v>
      </c>
      <c r="B2207" s="4" t="s">
        <v>13</v>
      </c>
      <c r="I2207" s="4">
        <v>0.116</v>
      </c>
      <c r="J2207" s="4">
        <v>0.011</v>
      </c>
      <c r="K2207" s="6" t="b">
        <f t="shared" ref="K2207:M2207" si="2167">FALSE()</f>
        <v>0</v>
      </c>
      <c r="L2207" s="6" t="b">
        <f t="shared" si="2167"/>
        <v>0</v>
      </c>
      <c r="M2207" s="6" t="b">
        <f t="shared" si="2167"/>
        <v>0</v>
      </c>
      <c r="P2207" s="4">
        <v>0.109750863959119</v>
      </c>
      <c r="T2207" s="4" t="str">
        <f t="shared" si="3"/>
        <v/>
      </c>
      <c r="U2207" s="4">
        <f t="shared" si="4"/>
        <v>3952</v>
      </c>
    </row>
    <row r="2208" ht="15.75" customHeight="1">
      <c r="A2208" s="4" t="s">
        <v>3317</v>
      </c>
      <c r="B2208" s="4" t="s">
        <v>13</v>
      </c>
      <c r="I2208" s="4">
        <v>0.117</v>
      </c>
      <c r="J2208" s="4">
        <v>0.01</v>
      </c>
      <c r="K2208" s="6" t="b">
        <f t="shared" ref="K2208:M2208" si="2168">FALSE()</f>
        <v>0</v>
      </c>
      <c r="L2208" s="6" t="b">
        <f t="shared" si="2168"/>
        <v>0</v>
      </c>
      <c r="M2208" s="6" t="b">
        <f t="shared" si="2168"/>
        <v>0</v>
      </c>
      <c r="P2208" s="4">
        <v>0.110646520087064</v>
      </c>
      <c r="T2208" s="4" t="str">
        <f t="shared" si="3"/>
        <v/>
      </c>
      <c r="U2208" s="4">
        <f t="shared" si="4"/>
        <v>3929</v>
      </c>
    </row>
    <row r="2209" ht="15.75" customHeight="1">
      <c r="A2209" s="4" t="s">
        <v>3318</v>
      </c>
      <c r="B2209" s="4" t="s">
        <v>13</v>
      </c>
      <c r="I2209" s="4">
        <v>0.207</v>
      </c>
      <c r="J2209" s="4">
        <v>0.026</v>
      </c>
      <c r="K2209" s="6" t="b">
        <f t="shared" ref="K2209:M2209" si="2169">FALSE()</f>
        <v>0</v>
      </c>
      <c r="L2209" s="6" t="b">
        <f t="shared" si="2169"/>
        <v>0</v>
      </c>
      <c r="M2209" s="6" t="b">
        <f t="shared" si="2169"/>
        <v>0</v>
      </c>
      <c r="P2209" s="4">
        <v>0.188137942115394</v>
      </c>
      <c r="T2209" s="4" t="str">
        <f t="shared" si="3"/>
        <v/>
      </c>
      <c r="U2209" s="4">
        <f t="shared" si="4"/>
        <v>2465</v>
      </c>
    </row>
    <row r="2210" ht="15.75" customHeight="1">
      <c r="A2210" s="4" t="s">
        <v>3319</v>
      </c>
      <c r="B2210" s="4" t="s">
        <v>13</v>
      </c>
      <c r="I2210" s="4">
        <v>0.133</v>
      </c>
      <c r="J2210" s="4">
        <v>0.02</v>
      </c>
      <c r="K2210" s="6" t="b">
        <f t="shared" ref="K2210:M2210" si="2170">FALSE()</f>
        <v>0</v>
      </c>
      <c r="L2210" s="6" t="b">
        <f t="shared" si="2170"/>
        <v>0</v>
      </c>
      <c r="M2210" s="6" t="b">
        <f t="shared" si="2170"/>
        <v>0</v>
      </c>
      <c r="P2210" s="4">
        <v>0.124868982045869</v>
      </c>
      <c r="T2210" s="4" t="str">
        <f t="shared" si="3"/>
        <v/>
      </c>
      <c r="U2210" s="4">
        <f t="shared" si="4"/>
        <v>3643</v>
      </c>
    </row>
    <row r="2211" ht="15.75" customHeight="1">
      <c r="A2211" s="4" t="s">
        <v>3320</v>
      </c>
      <c r="B2211" s="4" t="s">
        <v>13</v>
      </c>
      <c r="I2211" s="4">
        <v>0.136</v>
      </c>
      <c r="J2211" s="4">
        <v>0.011</v>
      </c>
      <c r="K2211" s="6" t="b">
        <f t="shared" ref="K2211:M2211" si="2171">FALSE()</f>
        <v>0</v>
      </c>
      <c r="L2211" s="6" t="b">
        <f t="shared" si="2171"/>
        <v>0</v>
      </c>
      <c r="M2211" s="6" t="b">
        <f t="shared" si="2171"/>
        <v>0</v>
      </c>
      <c r="P2211" s="4">
        <v>0.12751332029896</v>
      </c>
      <c r="T2211" s="4" t="str">
        <f t="shared" si="3"/>
        <v/>
      </c>
      <c r="U2211" s="4">
        <f t="shared" si="4"/>
        <v>3574</v>
      </c>
    </row>
    <row r="2212" ht="15.75" customHeight="1">
      <c r="A2212" s="4" t="s">
        <v>3321</v>
      </c>
      <c r="B2212" s="4" t="s">
        <v>13</v>
      </c>
      <c r="I2212" s="4">
        <v>0.077</v>
      </c>
      <c r="J2212" s="4">
        <v>0.007</v>
      </c>
      <c r="K2212" s="6" t="b">
        <f t="shared" ref="K2212:M2212" si="2172">FALSE()</f>
        <v>0</v>
      </c>
      <c r="L2212" s="6" t="b">
        <f t="shared" si="2172"/>
        <v>0</v>
      </c>
      <c r="M2212" s="6" t="b">
        <f t="shared" si="2172"/>
        <v>0</v>
      </c>
      <c r="P2212" s="4">
        <v>0.0741793981742515</v>
      </c>
      <c r="T2212" s="4" t="str">
        <f t="shared" si="3"/>
        <v/>
      </c>
      <c r="U2212" s="4">
        <f t="shared" si="4"/>
        <v>4441</v>
      </c>
    </row>
    <row r="2213" ht="15.75" customHeight="1">
      <c r="A2213" s="4" t="s">
        <v>3322</v>
      </c>
      <c r="B2213" s="4" t="s">
        <v>13</v>
      </c>
      <c r="I2213" s="4">
        <v>0.128</v>
      </c>
      <c r="J2213" s="4">
        <v>0.009</v>
      </c>
      <c r="K2213" s="6" t="b">
        <f t="shared" ref="K2213:M2213" si="2173">FALSE()</f>
        <v>0</v>
      </c>
      <c r="L2213" s="6" t="b">
        <f t="shared" si="2173"/>
        <v>0</v>
      </c>
      <c r="M2213" s="6" t="b">
        <f t="shared" si="2173"/>
        <v>0</v>
      </c>
      <c r="P2213" s="4">
        <v>0.120446153075867</v>
      </c>
      <c r="T2213" s="4" t="str">
        <f t="shared" si="3"/>
        <v/>
      </c>
      <c r="U2213" s="4">
        <f t="shared" si="4"/>
        <v>3722</v>
      </c>
    </row>
    <row r="2214" ht="15.75" customHeight="1">
      <c r="A2214" s="4" t="s">
        <v>3323</v>
      </c>
      <c r="B2214" s="4" t="s">
        <v>13</v>
      </c>
      <c r="I2214" s="4">
        <v>0.211</v>
      </c>
      <c r="J2214" s="4">
        <v>0.009</v>
      </c>
      <c r="K2214" s="6" t="b">
        <f t="shared" ref="K2214:M2214" si="2174">FALSE()</f>
        <v>0</v>
      </c>
      <c r="L2214" s="6" t="b">
        <f t="shared" si="2174"/>
        <v>0</v>
      </c>
      <c r="M2214" s="6" t="b">
        <f t="shared" si="2174"/>
        <v>0</v>
      </c>
      <c r="P2214" s="4">
        <v>0.191446464570955</v>
      </c>
      <c r="T2214" s="4" t="str">
        <f t="shared" si="3"/>
        <v/>
      </c>
      <c r="U2214" s="4">
        <f t="shared" si="4"/>
        <v>2394</v>
      </c>
    </row>
    <row r="2215" ht="15.75" customHeight="1">
      <c r="A2215" s="4" t="s">
        <v>3324</v>
      </c>
      <c r="B2215" s="4" t="s">
        <v>13</v>
      </c>
      <c r="I2215" s="4">
        <v>0.066</v>
      </c>
      <c r="J2215" s="4">
        <v>0.004</v>
      </c>
      <c r="K2215" s="6" t="b">
        <f t="shared" ref="K2215:M2215" si="2175">FALSE()</f>
        <v>0</v>
      </c>
      <c r="L2215" s="6" t="b">
        <f t="shared" si="2175"/>
        <v>0</v>
      </c>
      <c r="M2215" s="6" t="b">
        <f t="shared" si="2175"/>
        <v>0</v>
      </c>
      <c r="P2215" s="4">
        <v>0.0639133257436528</v>
      </c>
      <c r="T2215" s="4" t="str">
        <f t="shared" si="3"/>
        <v/>
      </c>
      <c r="U2215" s="4">
        <f t="shared" si="4"/>
        <v>4511</v>
      </c>
    </row>
    <row r="2216" ht="15.75" customHeight="1">
      <c r="A2216" s="4" t="s">
        <v>3325</v>
      </c>
      <c r="B2216" s="4" t="s">
        <v>13</v>
      </c>
      <c r="I2216" s="4">
        <v>0.158</v>
      </c>
      <c r="J2216" s="4">
        <v>0.025</v>
      </c>
      <c r="K2216" s="6" t="b">
        <f t="shared" ref="K2216:M2216" si="2176">FALSE()</f>
        <v>0</v>
      </c>
      <c r="L2216" s="6" t="b">
        <f t="shared" si="2176"/>
        <v>0</v>
      </c>
      <c r="M2216" s="6" t="b">
        <f t="shared" si="2176"/>
        <v>0</v>
      </c>
      <c r="P2216" s="4">
        <v>0.146694379150804</v>
      </c>
      <c r="T2216" s="4" t="str">
        <f t="shared" si="3"/>
        <v/>
      </c>
      <c r="U2216" s="4">
        <f t="shared" si="4"/>
        <v>3197</v>
      </c>
    </row>
    <row r="2217" ht="15.75" customHeight="1">
      <c r="A2217" s="4" t="s">
        <v>3326</v>
      </c>
      <c r="B2217" s="4" t="s">
        <v>13</v>
      </c>
      <c r="I2217" s="4">
        <v>0.202</v>
      </c>
      <c r="J2217" s="4">
        <v>0.012</v>
      </c>
      <c r="K2217" s="6" t="b">
        <f t="shared" ref="K2217:M2217" si="2177">FALSE()</f>
        <v>0</v>
      </c>
      <c r="L2217" s="6" t="b">
        <f t="shared" si="2177"/>
        <v>0</v>
      </c>
      <c r="M2217" s="6" t="b">
        <f t="shared" si="2177"/>
        <v>0</v>
      </c>
      <c r="P2217" s="4">
        <v>0.183986836113016</v>
      </c>
      <c r="T2217" s="4" t="str">
        <f t="shared" si="3"/>
        <v/>
      </c>
      <c r="U2217" s="4">
        <f t="shared" si="4"/>
        <v>2552</v>
      </c>
    </row>
    <row r="2218" ht="15.75" customHeight="1">
      <c r="A2218" s="4" t="s">
        <v>3327</v>
      </c>
      <c r="B2218" s="4" t="s">
        <v>13</v>
      </c>
      <c r="I2218" s="4">
        <v>0.162</v>
      </c>
      <c r="J2218" s="4">
        <v>0.015</v>
      </c>
      <c r="K2218" s="6" t="b">
        <f t="shared" ref="K2218:M2218" si="2178">FALSE()</f>
        <v>0</v>
      </c>
      <c r="L2218" s="6" t="b">
        <f t="shared" si="2178"/>
        <v>0</v>
      </c>
      <c r="M2218" s="6" t="b">
        <f t="shared" si="2178"/>
        <v>0</v>
      </c>
      <c r="P2218" s="4">
        <v>0.15014265842972</v>
      </c>
      <c r="T2218" s="4" t="str">
        <f t="shared" si="3"/>
        <v/>
      </c>
      <c r="U2218" s="4">
        <f t="shared" si="4"/>
        <v>3149</v>
      </c>
    </row>
    <row r="2219" ht="15.75" customHeight="1">
      <c r="A2219" s="4" t="s">
        <v>3328</v>
      </c>
      <c r="B2219" s="4" t="s">
        <v>13</v>
      </c>
      <c r="I2219" s="4">
        <v>0.102</v>
      </c>
      <c r="J2219" s="4">
        <v>0.011</v>
      </c>
      <c r="K2219" s="6" t="b">
        <f t="shared" ref="K2219:M2219" si="2179">FALSE()</f>
        <v>0</v>
      </c>
      <c r="L2219" s="6" t="b">
        <f t="shared" si="2179"/>
        <v>0</v>
      </c>
      <c r="M2219" s="6" t="b">
        <f t="shared" si="2179"/>
        <v>0</v>
      </c>
      <c r="P2219" s="4">
        <v>0.0971267107307227</v>
      </c>
      <c r="T2219" s="4" t="str">
        <f t="shared" si="3"/>
        <v/>
      </c>
      <c r="U2219" s="4">
        <f t="shared" si="4"/>
        <v>4188</v>
      </c>
    </row>
    <row r="2220" ht="15.75" customHeight="1">
      <c r="A2220" s="4" t="s">
        <v>3329</v>
      </c>
      <c r="B2220" s="4" t="s">
        <v>13</v>
      </c>
      <c r="I2220" s="4">
        <v>0.105</v>
      </c>
      <c r="J2220" s="4">
        <v>0.011</v>
      </c>
      <c r="K2220" s="6" t="b">
        <f t="shared" ref="K2220:M2220" si="2180">FALSE()</f>
        <v>0</v>
      </c>
      <c r="L2220" s="6" t="b">
        <f t="shared" si="2180"/>
        <v>0</v>
      </c>
      <c r="M2220" s="6" t="b">
        <f t="shared" si="2180"/>
        <v>0</v>
      </c>
      <c r="P2220" s="4">
        <v>0.0998453349697161</v>
      </c>
      <c r="T2220" s="4" t="str">
        <f t="shared" si="3"/>
        <v/>
      </c>
      <c r="U2220" s="4">
        <f t="shared" si="4"/>
        <v>4138</v>
      </c>
    </row>
    <row r="2221" ht="15.75" customHeight="1">
      <c r="A2221" s="4" t="s">
        <v>3330</v>
      </c>
      <c r="B2221" s="4" t="s">
        <v>13</v>
      </c>
      <c r="I2221" s="4">
        <v>0.1561</v>
      </c>
      <c r="J2221" s="4">
        <v>0.0152</v>
      </c>
      <c r="K2221" s="6" t="b">
        <f t="shared" ref="K2221:M2221" si="2181">FALSE()</f>
        <v>0</v>
      </c>
      <c r="L2221" s="6" t="b">
        <f t="shared" si="2181"/>
        <v>0</v>
      </c>
      <c r="M2221" s="6" t="b">
        <f t="shared" si="2181"/>
        <v>0</v>
      </c>
      <c r="P2221" s="4">
        <v>0.145052271699139</v>
      </c>
      <c r="T2221" s="4" t="str">
        <f t="shared" si="3"/>
        <v/>
      </c>
      <c r="U2221" s="4">
        <f t="shared" si="4"/>
        <v>3220</v>
      </c>
    </row>
    <row r="2222" ht="15.75" customHeight="1">
      <c r="A2222" s="4" t="s">
        <v>3331</v>
      </c>
      <c r="B2222" s="4" t="s">
        <v>13</v>
      </c>
      <c r="I2222" s="4">
        <v>0.23</v>
      </c>
      <c r="J2222" s="4">
        <v>0.041</v>
      </c>
      <c r="K2222" s="6" t="b">
        <f t="shared" ref="K2222:M2222" si="2182">FALSE()</f>
        <v>0</v>
      </c>
      <c r="L2222" s="6" t="b">
        <f t="shared" si="2182"/>
        <v>0</v>
      </c>
      <c r="M2222" s="6" t="b">
        <f t="shared" si="2182"/>
        <v>0</v>
      </c>
      <c r="P2222" s="4">
        <v>0.207014169384326</v>
      </c>
      <c r="T2222" s="4" t="str">
        <f t="shared" si="3"/>
        <v/>
      </c>
      <c r="U2222" s="4">
        <f t="shared" si="4"/>
        <v>2110</v>
      </c>
    </row>
    <row r="2223" ht="15.75" customHeight="1">
      <c r="A2223" s="4" t="s">
        <v>3332</v>
      </c>
      <c r="B2223" s="4" t="s">
        <v>13</v>
      </c>
      <c r="I2223" s="4">
        <v>0.1499</v>
      </c>
      <c r="K2223" s="6" t="b">
        <f t="shared" ref="K2223:M2223" si="2183">FALSE()</f>
        <v>0</v>
      </c>
      <c r="L2223" s="6" t="b">
        <f t="shared" si="2183"/>
        <v>0</v>
      </c>
      <c r="M2223" s="6" t="b">
        <f t="shared" si="2183"/>
        <v>0</v>
      </c>
      <c r="P2223" s="4">
        <v>0.139674982072482</v>
      </c>
      <c r="T2223" s="4" t="str">
        <f t="shared" si="3"/>
        <v/>
      </c>
      <c r="U2223" s="4">
        <f t="shared" si="4"/>
        <v>3335</v>
      </c>
    </row>
    <row r="2224" ht="15.75" customHeight="1">
      <c r="A2224" s="4" t="s">
        <v>3333</v>
      </c>
      <c r="B2224" s="4" t="s">
        <v>13</v>
      </c>
      <c r="I2224" s="4">
        <v>0.269</v>
      </c>
      <c r="J2224" s="4">
        <v>0.04</v>
      </c>
      <c r="K2224" s="6" t="b">
        <f t="shared" ref="K2224:M2224" si="2184">FALSE()</f>
        <v>0</v>
      </c>
      <c r="L2224" s="6" t="b">
        <f t="shared" si="2184"/>
        <v>0</v>
      </c>
      <c r="M2224" s="6" t="b">
        <f t="shared" si="2184"/>
        <v>0</v>
      </c>
      <c r="P2224" s="4">
        <v>0.238229188732251</v>
      </c>
      <c r="T2224" s="4" t="str">
        <f t="shared" si="3"/>
        <v/>
      </c>
      <c r="U2224" s="4">
        <f t="shared" si="4"/>
        <v>1601</v>
      </c>
    </row>
    <row r="2225" ht="15.75" customHeight="1">
      <c r="A2225" s="4" t="s">
        <v>3334</v>
      </c>
      <c r="B2225" s="4" t="s">
        <v>13</v>
      </c>
      <c r="I2225" s="4">
        <v>0.181</v>
      </c>
      <c r="J2225" s="4">
        <v>0.021</v>
      </c>
      <c r="K2225" s="6" t="b">
        <f t="shared" ref="K2225:M2225" si="2185">FALSE()</f>
        <v>0</v>
      </c>
      <c r="L2225" s="6" t="b">
        <f t="shared" si="2185"/>
        <v>0</v>
      </c>
      <c r="M2225" s="6" t="b">
        <f t="shared" si="2185"/>
        <v>0</v>
      </c>
      <c r="P2225" s="4">
        <v>0.166361537215225</v>
      </c>
      <c r="T2225" s="4" t="str">
        <f t="shared" si="3"/>
        <v/>
      </c>
      <c r="U2225" s="4">
        <f t="shared" si="4"/>
        <v>2879</v>
      </c>
    </row>
    <row r="2226" ht="15.75" customHeight="1">
      <c r="A2226" s="4" t="s">
        <v>3335</v>
      </c>
      <c r="B2226" s="4" t="s">
        <v>13</v>
      </c>
      <c r="I2226" s="4">
        <v>0.145</v>
      </c>
      <c r="J2226" s="4">
        <v>0.016</v>
      </c>
      <c r="K2226" s="6" t="b">
        <f t="shared" ref="K2226:M2226" si="2186">FALSE()</f>
        <v>0</v>
      </c>
      <c r="L2226" s="6" t="b">
        <f t="shared" si="2186"/>
        <v>0</v>
      </c>
      <c r="M2226" s="6" t="b">
        <f t="shared" si="2186"/>
        <v>0</v>
      </c>
      <c r="P2226" s="4">
        <v>0.135404637006203</v>
      </c>
      <c r="T2226" s="4" t="str">
        <f t="shared" si="3"/>
        <v/>
      </c>
      <c r="U2226" s="4">
        <f t="shared" si="4"/>
        <v>3411</v>
      </c>
    </row>
    <row r="2227" ht="15.75" customHeight="1">
      <c r="A2227" s="4" t="s">
        <v>3336</v>
      </c>
      <c r="B2227" s="4" t="s">
        <v>13</v>
      </c>
      <c r="I2227" s="4">
        <v>0.136</v>
      </c>
      <c r="J2227" s="4">
        <v>0.009</v>
      </c>
      <c r="K2227" s="6" t="b">
        <f t="shared" ref="K2227:M2227" si="2187">FALSE()</f>
        <v>0</v>
      </c>
      <c r="L2227" s="6" t="b">
        <f t="shared" si="2187"/>
        <v>0</v>
      </c>
      <c r="M2227" s="6" t="b">
        <f t="shared" si="2187"/>
        <v>0</v>
      </c>
      <c r="P2227" s="4">
        <v>0.12751332029896</v>
      </c>
      <c r="T2227" s="4" t="str">
        <f t="shared" si="3"/>
        <v/>
      </c>
      <c r="U2227" s="4">
        <f t="shared" si="4"/>
        <v>3575</v>
      </c>
    </row>
    <row r="2228" ht="15.75" customHeight="1">
      <c r="A2228" s="4" t="s">
        <v>3337</v>
      </c>
      <c r="B2228" s="4" t="s">
        <v>13</v>
      </c>
      <c r="I2228" s="4">
        <v>0.141</v>
      </c>
      <c r="J2228" s="4">
        <v>0.012</v>
      </c>
      <c r="K2228" s="6" t="b">
        <f t="shared" ref="K2228:M2228" si="2188">FALSE()</f>
        <v>0</v>
      </c>
      <c r="L2228" s="6" t="b">
        <f t="shared" si="2188"/>
        <v>0</v>
      </c>
      <c r="M2228" s="6" t="b">
        <f t="shared" si="2188"/>
        <v>0</v>
      </c>
      <c r="P2228" s="4">
        <v>0.131905070879939</v>
      </c>
      <c r="T2228" s="4" t="str">
        <f t="shared" si="3"/>
        <v/>
      </c>
      <c r="U2228" s="4">
        <f t="shared" si="4"/>
        <v>3489</v>
      </c>
    </row>
    <row r="2229" ht="15.75" customHeight="1">
      <c r="A2229" s="4" t="s">
        <v>3338</v>
      </c>
      <c r="B2229" s="4" t="s">
        <v>13</v>
      </c>
      <c r="I2229" s="4">
        <v>0.223</v>
      </c>
      <c r="J2229" s="4">
        <v>0.004</v>
      </c>
      <c r="K2229" s="6" t="b">
        <f t="shared" ref="K2229:M2229" si="2189">FALSE()</f>
        <v>0</v>
      </c>
      <c r="L2229" s="6" t="b">
        <f t="shared" si="2189"/>
        <v>0</v>
      </c>
      <c r="M2229" s="6" t="b">
        <f t="shared" si="2189"/>
        <v>0</v>
      </c>
      <c r="P2229" s="4">
        <v>0.201306856705035</v>
      </c>
      <c r="T2229" s="4" t="str">
        <f t="shared" si="3"/>
        <v/>
      </c>
      <c r="U2229" s="4">
        <f t="shared" si="4"/>
        <v>2212</v>
      </c>
    </row>
    <row r="2230" ht="15.75" customHeight="1">
      <c r="A2230" s="4" t="s">
        <v>3339</v>
      </c>
      <c r="B2230" s="4" t="s">
        <v>13</v>
      </c>
      <c r="I2230" s="4">
        <v>0.296</v>
      </c>
      <c r="J2230" s="4">
        <v>0.058</v>
      </c>
      <c r="K2230" s="6" t="b">
        <f t="shared" ref="K2230:M2230" si="2190">FALSE()</f>
        <v>0</v>
      </c>
      <c r="L2230" s="6" t="b">
        <f t="shared" si="2190"/>
        <v>0</v>
      </c>
      <c r="M2230" s="6" t="b">
        <f t="shared" si="2190"/>
        <v>0</v>
      </c>
      <c r="P2230" s="4">
        <v>0.259282597930083</v>
      </c>
      <c r="T2230" s="4" t="str">
        <f t="shared" si="3"/>
        <v/>
      </c>
      <c r="U2230" s="4">
        <f t="shared" si="4"/>
        <v>1402</v>
      </c>
    </row>
    <row r="2231" ht="15.75" customHeight="1">
      <c r="A2231" s="4" t="s">
        <v>3340</v>
      </c>
      <c r="B2231" s="4" t="s">
        <v>13</v>
      </c>
      <c r="I2231" s="4">
        <v>0.132</v>
      </c>
      <c r="J2231" s="4">
        <v>0.014</v>
      </c>
      <c r="K2231" s="6" t="b">
        <f t="shared" ref="K2231:M2231" si="2191">FALSE()</f>
        <v>0</v>
      </c>
      <c r="L2231" s="6" t="b">
        <f t="shared" si="2191"/>
        <v>0</v>
      </c>
      <c r="M2231" s="6" t="b">
        <f t="shared" si="2191"/>
        <v>0</v>
      </c>
      <c r="P2231" s="4">
        <v>0.123985979780991</v>
      </c>
      <c r="T2231" s="4" t="str">
        <f t="shared" si="3"/>
        <v/>
      </c>
      <c r="U2231" s="4">
        <f t="shared" si="4"/>
        <v>3659</v>
      </c>
    </row>
    <row r="2232" ht="15.75" customHeight="1">
      <c r="A2232" s="4" t="s">
        <v>3341</v>
      </c>
      <c r="B2232" s="4" t="s">
        <v>13</v>
      </c>
      <c r="I2232" s="4">
        <v>0.211</v>
      </c>
      <c r="J2232" s="4">
        <v>0.029</v>
      </c>
      <c r="K2232" s="6" t="b">
        <f t="shared" ref="K2232:M2232" si="2192">FALSE()</f>
        <v>0</v>
      </c>
      <c r="L2232" s="6" t="b">
        <f t="shared" si="2192"/>
        <v>0</v>
      </c>
      <c r="M2232" s="6" t="b">
        <f t="shared" si="2192"/>
        <v>0</v>
      </c>
      <c r="P2232" s="4">
        <v>0.191446464570955</v>
      </c>
      <c r="T2232" s="4" t="str">
        <f t="shared" si="3"/>
        <v/>
      </c>
      <c r="U2232" s="4">
        <f t="shared" si="4"/>
        <v>2395</v>
      </c>
    </row>
    <row r="2233" ht="15.75" customHeight="1">
      <c r="A2233" s="4" t="s">
        <v>3342</v>
      </c>
      <c r="B2233" s="4" t="s">
        <v>13</v>
      </c>
      <c r="I2233" s="4">
        <v>0.222</v>
      </c>
      <c r="J2233" s="4">
        <v>0.017</v>
      </c>
      <c r="K2233" s="6" t="b">
        <f t="shared" ref="K2233:M2233" si="2193">FALSE()</f>
        <v>0</v>
      </c>
      <c r="L2233" s="6" t="b">
        <f t="shared" si="2193"/>
        <v>0</v>
      </c>
      <c r="M2233" s="6" t="b">
        <f t="shared" si="2193"/>
        <v>0</v>
      </c>
      <c r="P2233" s="4">
        <v>0.200488860749404</v>
      </c>
      <c r="T2233" s="4" t="str">
        <f t="shared" si="3"/>
        <v/>
      </c>
      <c r="U2233" s="4">
        <f t="shared" si="4"/>
        <v>2231</v>
      </c>
    </row>
    <row r="2234" ht="15.75" customHeight="1">
      <c r="A2234" s="4" t="s">
        <v>3343</v>
      </c>
      <c r="B2234" s="4" t="s">
        <v>13</v>
      </c>
      <c r="I2234" s="4">
        <v>0.127</v>
      </c>
      <c r="J2234" s="4">
        <v>0.009</v>
      </c>
      <c r="K2234" s="6" t="b">
        <f t="shared" ref="K2234:M2234" si="2194">FALSE()</f>
        <v>0</v>
      </c>
      <c r="L2234" s="6" t="b">
        <f t="shared" si="2194"/>
        <v>0</v>
      </c>
      <c r="M2234" s="6" t="b">
        <f t="shared" si="2194"/>
        <v>0</v>
      </c>
      <c r="P2234" s="4">
        <v>0.119559235057639</v>
      </c>
      <c r="T2234" s="4" t="str">
        <f t="shared" si="3"/>
        <v/>
      </c>
      <c r="U2234" s="4">
        <f t="shared" si="4"/>
        <v>3745</v>
      </c>
    </row>
    <row r="2235" ht="15.75" customHeight="1">
      <c r="A2235" s="4" t="s">
        <v>3344</v>
      </c>
      <c r="B2235" s="4" t="s">
        <v>13</v>
      </c>
      <c r="I2235" s="4">
        <v>0.132</v>
      </c>
      <c r="J2235" s="4">
        <v>0.024</v>
      </c>
      <c r="K2235" s="6" t="b">
        <f t="shared" ref="K2235:M2235" si="2195">FALSE()</f>
        <v>0</v>
      </c>
      <c r="L2235" s="6" t="b">
        <f t="shared" si="2195"/>
        <v>0</v>
      </c>
      <c r="M2235" s="6" t="b">
        <f t="shared" si="2195"/>
        <v>0</v>
      </c>
      <c r="P2235" s="4">
        <v>0.123985979780991</v>
      </c>
      <c r="T2235" s="4" t="str">
        <f t="shared" si="3"/>
        <v/>
      </c>
      <c r="U2235" s="4">
        <f t="shared" si="4"/>
        <v>3660</v>
      </c>
    </row>
    <row r="2236" ht="15.75" customHeight="1">
      <c r="A2236" s="4" t="s">
        <v>3345</v>
      </c>
      <c r="B2236" s="4" t="s">
        <v>13</v>
      </c>
      <c r="I2236" s="4">
        <v>0.106</v>
      </c>
      <c r="J2236" s="4">
        <v>0.01</v>
      </c>
      <c r="K2236" s="6" t="b">
        <f t="shared" ref="K2236:M2236" si="2196">FALSE()</f>
        <v>0</v>
      </c>
      <c r="L2236" s="6" t="b">
        <f t="shared" si="2196"/>
        <v>0</v>
      </c>
      <c r="M2236" s="6" t="b">
        <f t="shared" si="2196"/>
        <v>0</v>
      </c>
      <c r="P2236" s="4">
        <v>0.100749903100143</v>
      </c>
      <c r="T2236" s="4" t="str">
        <f t="shared" si="3"/>
        <v/>
      </c>
      <c r="U2236" s="4">
        <f t="shared" si="4"/>
        <v>4118</v>
      </c>
    </row>
    <row r="2237" ht="15.75" customHeight="1">
      <c r="A2237" s="4" t="s">
        <v>3346</v>
      </c>
      <c r="B2237" s="4" t="s">
        <v>13</v>
      </c>
      <c r="I2237" s="4">
        <v>0.143</v>
      </c>
      <c r="J2237" s="4">
        <v>0.01</v>
      </c>
      <c r="K2237" s="6" t="b">
        <f t="shared" ref="K2237:M2237" si="2197">FALSE()</f>
        <v>0</v>
      </c>
      <c r="L2237" s="6" t="b">
        <f t="shared" si="2197"/>
        <v>0</v>
      </c>
      <c r="M2237" s="6" t="b">
        <f t="shared" si="2197"/>
        <v>0</v>
      </c>
      <c r="P2237" s="4">
        <v>0.133656384812674</v>
      </c>
      <c r="T2237" s="4" t="str">
        <f t="shared" si="3"/>
        <v/>
      </c>
      <c r="U2237" s="4">
        <f t="shared" si="4"/>
        <v>3456</v>
      </c>
    </row>
    <row r="2238" ht="15.75" customHeight="1">
      <c r="A2238" s="4" t="s">
        <v>3347</v>
      </c>
      <c r="B2238" s="4" t="s">
        <v>13</v>
      </c>
      <c r="I2238" s="4">
        <v>0.09</v>
      </c>
      <c r="J2238" s="4">
        <v>0.011</v>
      </c>
      <c r="K2238" s="6" t="b">
        <f t="shared" ref="K2238:M2238" si="2198">FALSE()</f>
        <v>0</v>
      </c>
      <c r="L2238" s="6" t="b">
        <f t="shared" si="2198"/>
        <v>0</v>
      </c>
      <c r="M2238" s="6" t="b">
        <f t="shared" si="2198"/>
        <v>0</v>
      </c>
      <c r="P2238" s="4">
        <v>0.0861776962410523</v>
      </c>
      <c r="T2238" s="4" t="str">
        <f t="shared" si="3"/>
        <v/>
      </c>
      <c r="U2238" s="4">
        <f t="shared" si="4"/>
        <v>4332</v>
      </c>
    </row>
    <row r="2239" ht="15.75" customHeight="1">
      <c r="A2239" s="4" t="s">
        <v>3348</v>
      </c>
      <c r="B2239" s="4" t="s">
        <v>13</v>
      </c>
      <c r="I2239" s="4">
        <v>0.156</v>
      </c>
      <c r="J2239" s="4">
        <v>0.024</v>
      </c>
      <c r="K2239" s="6" t="b">
        <f t="shared" ref="K2239:M2239" si="2199">FALSE()</f>
        <v>0</v>
      </c>
      <c r="L2239" s="6" t="b">
        <f t="shared" si="2199"/>
        <v>0</v>
      </c>
      <c r="M2239" s="6" t="b">
        <f t="shared" si="2199"/>
        <v>0</v>
      </c>
      <c r="P2239" s="4">
        <v>0.144965770250186</v>
      </c>
      <c r="T2239" s="4" t="str">
        <f t="shared" si="3"/>
        <v/>
      </c>
      <c r="U2239" s="4">
        <f t="shared" si="4"/>
        <v>3228</v>
      </c>
    </row>
    <row r="2240" ht="15.75" customHeight="1">
      <c r="A2240" s="4" t="s">
        <v>3349</v>
      </c>
      <c r="B2240" s="4" t="s">
        <v>13</v>
      </c>
      <c r="I2240" s="4">
        <v>0.125</v>
      </c>
      <c r="J2240" s="4">
        <v>0.004</v>
      </c>
      <c r="K2240" s="6" t="b">
        <f t="shared" ref="K2240:M2240" si="2200">FALSE()</f>
        <v>0</v>
      </c>
      <c r="L2240" s="6" t="b">
        <f t="shared" si="2200"/>
        <v>0</v>
      </c>
      <c r="M2240" s="6" t="b">
        <f t="shared" si="2200"/>
        <v>0</v>
      </c>
      <c r="P2240" s="4">
        <v>0.117783035656383</v>
      </c>
      <c r="T2240" s="4" t="str">
        <f t="shared" si="3"/>
        <v/>
      </c>
      <c r="U2240" s="4">
        <f t="shared" si="4"/>
        <v>3784</v>
      </c>
    </row>
    <row r="2241" ht="15.75" customHeight="1">
      <c r="A2241" s="4" t="s">
        <v>3350</v>
      </c>
      <c r="B2241" s="4" t="s">
        <v>13</v>
      </c>
      <c r="I2241" s="4">
        <v>0.237</v>
      </c>
      <c r="J2241" s="4">
        <v>0.012</v>
      </c>
      <c r="K2241" s="6" t="b">
        <f t="shared" ref="K2241:M2241" si="2201">FALSE()</f>
        <v>0</v>
      </c>
      <c r="L2241" s="6" t="b">
        <f t="shared" si="2201"/>
        <v>0</v>
      </c>
      <c r="M2241" s="6" t="b">
        <f t="shared" si="2201"/>
        <v>0</v>
      </c>
      <c r="P2241" s="4">
        <v>0.212689093410351</v>
      </c>
      <c r="T2241" s="4" t="str">
        <f t="shared" si="3"/>
        <v/>
      </c>
      <c r="U2241" s="4">
        <f t="shared" si="4"/>
        <v>1991</v>
      </c>
    </row>
    <row r="2242" ht="15.75" customHeight="1">
      <c r="A2242" s="4" t="s">
        <v>3351</v>
      </c>
      <c r="B2242" s="4" t="s">
        <v>13</v>
      </c>
      <c r="I2242" s="4">
        <v>0.236</v>
      </c>
      <c r="J2242" s="4">
        <v>0.012</v>
      </c>
      <c r="K2242" s="6" t="b">
        <f t="shared" ref="K2242:M2242" si="2202">FALSE()</f>
        <v>0</v>
      </c>
      <c r="L2242" s="6" t="b">
        <f t="shared" si="2202"/>
        <v>0</v>
      </c>
      <c r="M2242" s="6" t="b">
        <f t="shared" si="2202"/>
        <v>0</v>
      </c>
      <c r="P2242" s="4">
        <v>0.211880359035499</v>
      </c>
      <c r="T2242" s="4" t="str">
        <f t="shared" si="3"/>
        <v/>
      </c>
      <c r="U2242" s="4">
        <f t="shared" si="4"/>
        <v>2013</v>
      </c>
    </row>
    <row r="2243" ht="15.75" customHeight="1">
      <c r="A2243" s="4" t="s">
        <v>3352</v>
      </c>
      <c r="B2243" s="4" t="s">
        <v>13</v>
      </c>
      <c r="I2243" s="4">
        <v>0.167</v>
      </c>
      <c r="J2243" s="4">
        <v>0.026</v>
      </c>
      <c r="K2243" s="6" t="b">
        <f t="shared" ref="K2243:M2243" si="2203">FALSE()</f>
        <v>0</v>
      </c>
      <c r="L2243" s="6" t="b">
        <f t="shared" si="2203"/>
        <v>0</v>
      </c>
      <c r="M2243" s="6" t="b">
        <f t="shared" si="2203"/>
        <v>0</v>
      </c>
      <c r="P2243" s="4">
        <v>0.154436353304419</v>
      </c>
      <c r="T2243" s="4" t="str">
        <f t="shared" si="3"/>
        <v/>
      </c>
      <c r="U2243" s="4">
        <f t="shared" si="4"/>
        <v>3087</v>
      </c>
    </row>
    <row r="2244" ht="15.75" customHeight="1">
      <c r="A2244" s="4" t="s">
        <v>3353</v>
      </c>
      <c r="B2244" s="4" t="s">
        <v>13</v>
      </c>
      <c r="I2244" s="4">
        <v>0.146</v>
      </c>
      <c r="J2244" s="4">
        <v>0.012</v>
      </c>
      <c r="K2244" s="6" t="b">
        <f t="shared" ref="K2244:M2244" si="2204">FALSE()</f>
        <v>0</v>
      </c>
      <c r="L2244" s="6" t="b">
        <f t="shared" si="2204"/>
        <v>0</v>
      </c>
      <c r="M2244" s="6" t="b">
        <f t="shared" si="2204"/>
        <v>0</v>
      </c>
      <c r="P2244" s="4">
        <v>0.136277618292548</v>
      </c>
      <c r="T2244" s="4" t="str">
        <f t="shared" si="3"/>
        <v/>
      </c>
      <c r="U2244" s="4">
        <f t="shared" si="4"/>
        <v>3391</v>
      </c>
    </row>
    <row r="2245" ht="15.75" customHeight="1">
      <c r="A2245" s="4" t="s">
        <v>3354</v>
      </c>
      <c r="B2245" s="4" t="s">
        <v>13</v>
      </c>
      <c r="I2245" s="4">
        <v>0.138</v>
      </c>
      <c r="J2245" s="4">
        <v>0.01</v>
      </c>
      <c r="K2245" s="6" t="b">
        <f t="shared" ref="K2245:M2245" si="2205">FALSE()</f>
        <v>0</v>
      </c>
      <c r="L2245" s="6" t="b">
        <f t="shared" si="2205"/>
        <v>0</v>
      </c>
      <c r="M2245" s="6" t="b">
        <f t="shared" si="2205"/>
        <v>0</v>
      </c>
      <c r="P2245" s="4">
        <v>0.129272335704139</v>
      </c>
      <c r="T2245" s="4" t="str">
        <f t="shared" si="3"/>
        <v/>
      </c>
      <c r="U2245" s="4">
        <f t="shared" si="4"/>
        <v>3542</v>
      </c>
    </row>
    <row r="2246" ht="15.75" customHeight="1">
      <c r="A2246" s="4" t="s">
        <v>3355</v>
      </c>
      <c r="B2246" s="4" t="s">
        <v>13</v>
      </c>
      <c r="I2246" s="4">
        <v>0.17</v>
      </c>
      <c r="J2246" s="4">
        <v>0.028</v>
      </c>
      <c r="K2246" s="6" t="b">
        <f t="shared" ref="K2246:M2246" si="2206">FALSE()</f>
        <v>0</v>
      </c>
      <c r="L2246" s="6" t="b">
        <f t="shared" si="2206"/>
        <v>0</v>
      </c>
      <c r="M2246" s="6" t="b">
        <f t="shared" si="2206"/>
        <v>0</v>
      </c>
      <c r="P2246" s="4">
        <v>0.157003748809665</v>
      </c>
      <c r="T2246" s="4" t="str">
        <f t="shared" si="3"/>
        <v/>
      </c>
      <c r="U2246" s="4">
        <f t="shared" si="4"/>
        <v>3040</v>
      </c>
    </row>
    <row r="2247" ht="15.75" customHeight="1">
      <c r="A2247" s="4" t="s">
        <v>3356</v>
      </c>
      <c r="B2247" s="4" t="s">
        <v>13</v>
      </c>
      <c r="I2247" s="4">
        <v>0.108</v>
      </c>
      <c r="J2247" s="4">
        <v>0.006</v>
      </c>
      <c r="K2247" s="6" t="b">
        <f t="shared" ref="K2247:M2247" si="2207">FALSE()</f>
        <v>0</v>
      </c>
      <c r="L2247" s="6" t="b">
        <f t="shared" si="2207"/>
        <v>0</v>
      </c>
      <c r="M2247" s="6" t="b">
        <f t="shared" si="2207"/>
        <v>0</v>
      </c>
      <c r="P2247" s="4">
        <v>0.102556588325092</v>
      </c>
      <c r="T2247" s="4" t="str">
        <f t="shared" si="3"/>
        <v/>
      </c>
      <c r="U2247" s="4">
        <f t="shared" si="4"/>
        <v>4079</v>
      </c>
    </row>
    <row r="2248" ht="15.75" customHeight="1">
      <c r="A2248" s="4" t="s">
        <v>3357</v>
      </c>
      <c r="B2248" s="4" t="s">
        <v>13</v>
      </c>
      <c r="I2248" s="4">
        <v>0.087</v>
      </c>
      <c r="J2248" s="4">
        <v>0.007</v>
      </c>
      <c r="K2248" s="6" t="b">
        <f t="shared" ref="K2248:M2248" si="2208">FALSE()</f>
        <v>0</v>
      </c>
      <c r="L2248" s="6" t="b">
        <f t="shared" si="2208"/>
        <v>0</v>
      </c>
      <c r="M2248" s="6" t="b">
        <f t="shared" si="2208"/>
        <v>0</v>
      </c>
      <c r="P2248" s="4">
        <v>0.0834216081390723</v>
      </c>
      <c r="T2248" s="4" t="str">
        <f t="shared" si="3"/>
        <v/>
      </c>
      <c r="U2248" s="4">
        <f t="shared" si="4"/>
        <v>4357</v>
      </c>
    </row>
    <row r="2249" ht="15.75" customHeight="1">
      <c r="A2249" s="4" t="s">
        <v>3358</v>
      </c>
      <c r="B2249" s="4" t="s">
        <v>13</v>
      </c>
      <c r="I2249" s="4">
        <v>0.192</v>
      </c>
      <c r="J2249" s="4">
        <v>0.016</v>
      </c>
      <c r="K2249" s="6" t="b">
        <f t="shared" ref="K2249:M2249" si="2209">FALSE()</f>
        <v>0</v>
      </c>
      <c r="L2249" s="6" t="b">
        <f t="shared" si="2209"/>
        <v>0</v>
      </c>
      <c r="M2249" s="6" t="b">
        <f t="shared" si="2209"/>
        <v>0</v>
      </c>
      <c r="P2249" s="4">
        <v>0.175632568643158</v>
      </c>
      <c r="T2249" s="4" t="str">
        <f t="shared" si="3"/>
        <v/>
      </c>
      <c r="U2249" s="4">
        <f t="shared" si="4"/>
        <v>2712</v>
      </c>
    </row>
    <row r="2250" ht="15.75" customHeight="1">
      <c r="A2250" s="4" t="s">
        <v>3359</v>
      </c>
      <c r="B2250" s="4" t="s">
        <v>13</v>
      </c>
      <c r="I2250" s="4">
        <v>0.137</v>
      </c>
      <c r="J2250" s="4">
        <v>0.012</v>
      </c>
      <c r="K2250" s="6" t="b">
        <f t="shared" ref="K2250:M2250" si="2210">FALSE()</f>
        <v>0</v>
      </c>
      <c r="L2250" s="6" t="b">
        <f t="shared" si="2210"/>
        <v>0</v>
      </c>
      <c r="M2250" s="6" t="b">
        <f t="shared" si="2210"/>
        <v>0</v>
      </c>
      <c r="P2250" s="4">
        <v>0.128393214768399</v>
      </c>
      <c r="T2250" s="4" t="str">
        <f t="shared" si="3"/>
        <v/>
      </c>
      <c r="U2250" s="4">
        <f t="shared" si="4"/>
        <v>3560</v>
      </c>
    </row>
    <row r="2251" ht="15.75" customHeight="1">
      <c r="A2251" s="4" t="s">
        <v>3360</v>
      </c>
      <c r="B2251" s="4" t="s">
        <v>13</v>
      </c>
      <c r="I2251" s="4">
        <v>0.1</v>
      </c>
      <c r="J2251" s="4">
        <v>0.014</v>
      </c>
      <c r="K2251" s="6" t="b">
        <f t="shared" ref="K2251:M2251" si="2211">FALSE()</f>
        <v>0</v>
      </c>
      <c r="L2251" s="6" t="b">
        <f t="shared" si="2211"/>
        <v>0</v>
      </c>
      <c r="M2251" s="6" t="b">
        <f t="shared" si="2211"/>
        <v>0</v>
      </c>
      <c r="P2251" s="4">
        <v>0.0953101798043248</v>
      </c>
      <c r="T2251" s="4" t="str">
        <f t="shared" si="3"/>
        <v/>
      </c>
      <c r="U2251" s="4">
        <f t="shared" si="4"/>
        <v>4213</v>
      </c>
    </row>
    <row r="2252" ht="15.75" customHeight="1">
      <c r="A2252" s="4" t="s">
        <v>3361</v>
      </c>
      <c r="B2252" s="4" t="s">
        <v>13</v>
      </c>
      <c r="I2252" s="4">
        <v>0.136</v>
      </c>
      <c r="J2252" s="4">
        <v>0.021</v>
      </c>
      <c r="K2252" s="6" t="b">
        <f t="shared" ref="K2252:M2252" si="2212">FALSE()</f>
        <v>0</v>
      </c>
      <c r="L2252" s="6" t="b">
        <f t="shared" si="2212"/>
        <v>0</v>
      </c>
      <c r="M2252" s="6" t="b">
        <f t="shared" si="2212"/>
        <v>0</v>
      </c>
      <c r="P2252" s="4">
        <v>0.12751332029896</v>
      </c>
      <c r="T2252" s="4" t="str">
        <f t="shared" si="3"/>
        <v/>
      </c>
      <c r="U2252" s="4">
        <f t="shared" si="4"/>
        <v>3576</v>
      </c>
    </row>
    <row r="2253" ht="15.75" customHeight="1">
      <c r="A2253" s="4" t="s">
        <v>765</v>
      </c>
      <c r="B2253" s="4" t="s">
        <v>13</v>
      </c>
      <c r="C2253" s="4">
        <v>0.00242</v>
      </c>
      <c r="D2253" s="4">
        <v>7.9E-4</v>
      </c>
      <c r="E2253" s="4">
        <v>0.00151</v>
      </c>
      <c r="I2253" s="4">
        <v>0.128</v>
      </c>
      <c r="J2253" s="4">
        <v>0.008</v>
      </c>
      <c r="K2253" s="6" t="b">
        <f t="shared" ref="K2253:M2253" si="2213">FALSE()</f>
        <v>0</v>
      </c>
      <c r="L2253" s="6" t="b">
        <f t="shared" si="2213"/>
        <v>0</v>
      </c>
      <c r="M2253" s="6" t="b">
        <f t="shared" si="2213"/>
        <v>0</v>
      </c>
      <c r="N2253" s="4">
        <v>0.0024170765156048</v>
      </c>
      <c r="P2253" s="4">
        <v>0.120446153075867</v>
      </c>
      <c r="T2253" s="4">
        <f t="shared" si="3"/>
        <v>2061</v>
      </c>
      <c r="U2253" s="4">
        <f t="shared" si="4"/>
        <v>3723</v>
      </c>
    </row>
    <row r="2254" ht="15.75" customHeight="1">
      <c r="A2254" s="4" t="s">
        <v>766</v>
      </c>
      <c r="B2254" s="4" t="s">
        <v>13</v>
      </c>
      <c r="C2254" s="4">
        <v>0.00283</v>
      </c>
      <c r="D2254" s="4">
        <v>9.1E-4</v>
      </c>
      <c r="E2254" s="4">
        <v>0.00182</v>
      </c>
      <c r="I2254" s="4">
        <v>0.12</v>
      </c>
      <c r="J2254" s="4">
        <v>0.007</v>
      </c>
      <c r="K2254" s="6" t="b">
        <f t="shared" ref="K2254:M2254" si="2214">FALSE()</f>
        <v>0</v>
      </c>
      <c r="L2254" s="6" t="b">
        <f t="shared" si="2214"/>
        <v>0</v>
      </c>
      <c r="M2254" s="6" t="b">
        <f t="shared" si="2214"/>
        <v>0</v>
      </c>
      <c r="N2254" s="4">
        <v>0.0028260030890629</v>
      </c>
      <c r="P2254" s="4">
        <v>0.113328685307003</v>
      </c>
      <c r="T2254" s="4">
        <f t="shared" si="3"/>
        <v>2054</v>
      </c>
      <c r="U2254" s="4">
        <f t="shared" si="4"/>
        <v>3861</v>
      </c>
    </row>
    <row r="2255" ht="15.75" customHeight="1">
      <c r="A2255" s="4" t="s">
        <v>3362</v>
      </c>
      <c r="B2255" s="4" t="s">
        <v>13</v>
      </c>
      <c r="I2255" s="4">
        <v>0.127</v>
      </c>
      <c r="J2255" s="4">
        <v>0.012</v>
      </c>
      <c r="K2255" s="6" t="b">
        <f t="shared" ref="K2255:M2255" si="2215">FALSE()</f>
        <v>0</v>
      </c>
      <c r="L2255" s="6" t="b">
        <f t="shared" si="2215"/>
        <v>0</v>
      </c>
      <c r="M2255" s="6" t="b">
        <f t="shared" si="2215"/>
        <v>0</v>
      </c>
      <c r="P2255" s="4">
        <v>0.119559235057639</v>
      </c>
      <c r="T2255" s="4" t="str">
        <f t="shared" si="3"/>
        <v/>
      </c>
      <c r="U2255" s="4">
        <f t="shared" si="4"/>
        <v>3746</v>
      </c>
    </row>
    <row r="2256" ht="15.75" customHeight="1">
      <c r="A2256" s="4" t="s">
        <v>3363</v>
      </c>
      <c r="B2256" s="4" t="s">
        <v>13</v>
      </c>
      <c r="I2256" s="4">
        <v>0.148</v>
      </c>
      <c r="J2256" s="4">
        <v>0.016</v>
      </c>
      <c r="K2256" s="6" t="b">
        <f t="shared" ref="K2256:M2256" si="2216">FALSE()</f>
        <v>0</v>
      </c>
      <c r="L2256" s="6" t="b">
        <f t="shared" si="2216"/>
        <v>0</v>
      </c>
      <c r="M2256" s="6" t="b">
        <f t="shared" si="2216"/>
        <v>0</v>
      </c>
      <c r="P2256" s="4">
        <v>0.138021297897375</v>
      </c>
      <c r="T2256" s="4" t="str">
        <f t="shared" si="3"/>
        <v/>
      </c>
      <c r="U2256" s="4">
        <f t="shared" si="4"/>
        <v>3360</v>
      </c>
    </row>
    <row r="2257" ht="15.75" customHeight="1">
      <c r="A2257" s="4" t="s">
        <v>3364</v>
      </c>
      <c r="B2257" s="4" t="s">
        <v>13</v>
      </c>
      <c r="I2257" s="4">
        <v>0.162</v>
      </c>
      <c r="J2257" s="4">
        <v>0.012</v>
      </c>
      <c r="K2257" s="6" t="b">
        <f t="shared" ref="K2257:M2257" si="2217">FALSE()</f>
        <v>0</v>
      </c>
      <c r="L2257" s="6" t="b">
        <f t="shared" si="2217"/>
        <v>0</v>
      </c>
      <c r="M2257" s="6" t="b">
        <f t="shared" si="2217"/>
        <v>0</v>
      </c>
      <c r="P2257" s="4">
        <v>0.15014265842972</v>
      </c>
      <c r="T2257" s="4" t="str">
        <f t="shared" si="3"/>
        <v/>
      </c>
      <c r="U2257" s="4">
        <f t="shared" si="4"/>
        <v>3150</v>
      </c>
    </row>
    <row r="2258" ht="15.75" customHeight="1">
      <c r="A2258" s="4" t="s">
        <v>3365</v>
      </c>
      <c r="B2258" s="4" t="s">
        <v>13</v>
      </c>
      <c r="I2258" s="4">
        <v>0.087</v>
      </c>
      <c r="J2258" s="4">
        <v>0.013</v>
      </c>
      <c r="K2258" s="6" t="b">
        <f t="shared" ref="K2258:M2258" si="2218">FALSE()</f>
        <v>0</v>
      </c>
      <c r="L2258" s="6" t="b">
        <f t="shared" si="2218"/>
        <v>0</v>
      </c>
      <c r="M2258" s="6" t="b">
        <f t="shared" si="2218"/>
        <v>0</v>
      </c>
      <c r="P2258" s="4">
        <v>0.0834216081390723</v>
      </c>
      <c r="T2258" s="4" t="str">
        <f t="shared" si="3"/>
        <v/>
      </c>
      <c r="U2258" s="4">
        <f t="shared" si="4"/>
        <v>4358</v>
      </c>
    </row>
    <row r="2259" ht="15.75" customHeight="1">
      <c r="A2259" s="4" t="s">
        <v>3366</v>
      </c>
      <c r="B2259" s="4" t="s">
        <v>13</v>
      </c>
      <c r="I2259" s="4">
        <v>0.285</v>
      </c>
      <c r="J2259" s="4">
        <v>0.028</v>
      </c>
      <c r="K2259" s="6" t="b">
        <f t="shared" ref="K2259:M2259" si="2219">FALSE()</f>
        <v>0</v>
      </c>
      <c r="L2259" s="6" t="b">
        <f t="shared" si="2219"/>
        <v>0</v>
      </c>
      <c r="M2259" s="6" t="b">
        <f t="shared" si="2219"/>
        <v>0</v>
      </c>
      <c r="P2259" s="4">
        <v>0.250758718347183</v>
      </c>
      <c r="T2259" s="4" t="str">
        <f t="shared" si="3"/>
        <v/>
      </c>
      <c r="U2259" s="4">
        <f t="shared" si="4"/>
        <v>1464</v>
      </c>
    </row>
    <row r="2260" ht="15.75" customHeight="1">
      <c r="A2260" s="4" t="s">
        <v>3367</v>
      </c>
      <c r="B2260" s="4" t="s">
        <v>13</v>
      </c>
      <c r="I2260" s="4">
        <v>0.138</v>
      </c>
      <c r="J2260" s="4">
        <v>0.011</v>
      </c>
      <c r="K2260" s="6" t="b">
        <f t="shared" ref="K2260:M2260" si="2220">FALSE()</f>
        <v>0</v>
      </c>
      <c r="L2260" s="6" t="b">
        <f t="shared" si="2220"/>
        <v>0</v>
      </c>
      <c r="M2260" s="6" t="b">
        <f t="shared" si="2220"/>
        <v>0</v>
      </c>
      <c r="P2260" s="4">
        <v>0.129272335704139</v>
      </c>
      <c r="T2260" s="4" t="str">
        <f t="shared" si="3"/>
        <v/>
      </c>
      <c r="U2260" s="4">
        <f t="shared" si="4"/>
        <v>3543</v>
      </c>
    </row>
    <row r="2261" ht="15.75" customHeight="1">
      <c r="A2261" s="4" t="s">
        <v>3368</v>
      </c>
      <c r="B2261" s="4" t="s">
        <v>13</v>
      </c>
      <c r="I2261" s="4">
        <v>0.081</v>
      </c>
      <c r="J2261" s="4">
        <v>0.005</v>
      </c>
      <c r="K2261" s="6" t="b">
        <f t="shared" ref="K2261:M2261" si="2221">FALSE()</f>
        <v>0</v>
      </c>
      <c r="L2261" s="6" t="b">
        <f t="shared" si="2221"/>
        <v>0</v>
      </c>
      <c r="M2261" s="6" t="b">
        <f t="shared" si="2221"/>
        <v>0</v>
      </c>
      <c r="P2261" s="4">
        <v>0.0778865386570712</v>
      </c>
      <c r="T2261" s="4" t="str">
        <f t="shared" si="3"/>
        <v/>
      </c>
      <c r="U2261" s="4">
        <f t="shared" si="4"/>
        <v>4406</v>
      </c>
    </row>
    <row r="2262" ht="15.75" customHeight="1">
      <c r="A2262" s="4" t="s">
        <v>3369</v>
      </c>
      <c r="B2262" s="4" t="s">
        <v>13</v>
      </c>
      <c r="I2262" s="4">
        <v>0.087</v>
      </c>
      <c r="J2262" s="4">
        <v>0.008</v>
      </c>
      <c r="K2262" s="6" t="b">
        <f t="shared" ref="K2262:M2262" si="2222">FALSE()</f>
        <v>0</v>
      </c>
      <c r="L2262" s="6" t="b">
        <f t="shared" si="2222"/>
        <v>0</v>
      </c>
      <c r="M2262" s="6" t="b">
        <f t="shared" si="2222"/>
        <v>0</v>
      </c>
      <c r="P2262" s="4">
        <v>0.0834216081390723</v>
      </c>
      <c r="T2262" s="4" t="str">
        <f t="shared" si="3"/>
        <v/>
      </c>
      <c r="U2262" s="4">
        <f t="shared" si="4"/>
        <v>4359</v>
      </c>
    </row>
    <row r="2263" ht="15.75" customHeight="1">
      <c r="A2263" s="4" t="s">
        <v>3370</v>
      </c>
      <c r="B2263" s="4" t="s">
        <v>13</v>
      </c>
      <c r="I2263" s="4">
        <v>0.117</v>
      </c>
      <c r="J2263" s="4">
        <v>0.021</v>
      </c>
      <c r="K2263" s="6" t="b">
        <f t="shared" ref="K2263:M2263" si="2223">FALSE()</f>
        <v>0</v>
      </c>
      <c r="L2263" s="6" t="b">
        <f t="shared" si="2223"/>
        <v>0</v>
      </c>
      <c r="M2263" s="6" t="b">
        <f t="shared" si="2223"/>
        <v>0</v>
      </c>
      <c r="P2263" s="4">
        <v>0.110646520087064</v>
      </c>
      <c r="T2263" s="4" t="str">
        <f t="shared" si="3"/>
        <v/>
      </c>
      <c r="U2263" s="4">
        <f t="shared" si="4"/>
        <v>3930</v>
      </c>
    </row>
    <row r="2264" ht="15.75" customHeight="1">
      <c r="A2264" s="4" t="s">
        <v>3371</v>
      </c>
      <c r="B2264" s="4" t="s">
        <v>13</v>
      </c>
      <c r="I2264" s="4">
        <v>0.266</v>
      </c>
      <c r="J2264" s="4">
        <v>0.037</v>
      </c>
      <c r="K2264" s="6" t="b">
        <f t="shared" ref="K2264:M2264" si="2224">FALSE()</f>
        <v>0</v>
      </c>
      <c r="L2264" s="6" t="b">
        <f t="shared" si="2224"/>
        <v>0</v>
      </c>
      <c r="M2264" s="6" t="b">
        <f t="shared" si="2224"/>
        <v>0</v>
      </c>
      <c r="P2264" s="4">
        <v>0.235862323721984</v>
      </c>
      <c r="T2264" s="4" t="str">
        <f t="shared" si="3"/>
        <v/>
      </c>
      <c r="U2264" s="4">
        <f t="shared" si="4"/>
        <v>1625</v>
      </c>
    </row>
    <row r="2265" ht="15.75" customHeight="1">
      <c r="A2265" s="4" t="s">
        <v>3372</v>
      </c>
      <c r="B2265" s="4" t="s">
        <v>13</v>
      </c>
      <c r="I2265" s="4">
        <v>0.211</v>
      </c>
      <c r="J2265" s="4">
        <v>0.019</v>
      </c>
      <c r="K2265" s="6" t="b">
        <f t="shared" ref="K2265:M2265" si="2225">FALSE()</f>
        <v>0</v>
      </c>
      <c r="L2265" s="6" t="b">
        <f t="shared" si="2225"/>
        <v>0</v>
      </c>
      <c r="M2265" s="6" t="b">
        <f t="shared" si="2225"/>
        <v>0</v>
      </c>
      <c r="P2265" s="4">
        <v>0.191446464570955</v>
      </c>
      <c r="T2265" s="4" t="str">
        <f t="shared" si="3"/>
        <v/>
      </c>
      <c r="U2265" s="4">
        <f t="shared" si="4"/>
        <v>2396</v>
      </c>
    </row>
    <row r="2266" ht="15.75" customHeight="1">
      <c r="A2266" s="4" t="s">
        <v>3373</v>
      </c>
      <c r="B2266" s="4" t="s">
        <v>13</v>
      </c>
      <c r="I2266" s="4">
        <v>0.227</v>
      </c>
      <c r="J2266" s="4">
        <v>0.009</v>
      </c>
      <c r="K2266" s="6" t="b">
        <f t="shared" ref="K2266:M2266" si="2226">FALSE()</f>
        <v>0</v>
      </c>
      <c r="L2266" s="6" t="b">
        <f t="shared" si="2226"/>
        <v>0</v>
      </c>
      <c r="M2266" s="6" t="b">
        <f t="shared" si="2226"/>
        <v>0</v>
      </c>
      <c r="P2266" s="4">
        <v>0.204572165728774</v>
      </c>
      <c r="T2266" s="4" t="str">
        <f t="shared" si="3"/>
        <v/>
      </c>
      <c r="U2266" s="4">
        <f t="shared" si="4"/>
        <v>2155</v>
      </c>
    </row>
    <row r="2267" ht="15.75" customHeight="1">
      <c r="A2267" s="4" t="s">
        <v>3374</v>
      </c>
      <c r="B2267" s="4" t="s">
        <v>13</v>
      </c>
      <c r="D2267" s="4">
        <v>0.1353</v>
      </c>
      <c r="E2267" s="4">
        <v>0.1353</v>
      </c>
      <c r="F2267" s="4">
        <v>6.338</v>
      </c>
      <c r="G2267" s="4">
        <v>0.1353</v>
      </c>
      <c r="H2267" s="4">
        <v>0.1353</v>
      </c>
      <c r="K2267" s="6" t="b">
        <f t="shared" ref="K2267:K2412" si="2227">FALSE()</f>
        <v>0</v>
      </c>
      <c r="L2267" s="6" t="b">
        <f>TRUE()</f>
        <v>1</v>
      </c>
      <c r="M2267" s="6" t="b">
        <f>FALSE()</f>
        <v>0</v>
      </c>
      <c r="O2267" s="4">
        <v>1.99306632593309</v>
      </c>
      <c r="T2267" s="4" t="str">
        <f t="shared" si="3"/>
        <v/>
      </c>
      <c r="U2267" s="4" t="str">
        <f t="shared" si="4"/>
        <v/>
      </c>
    </row>
    <row r="2268" ht="15.75" customHeight="1">
      <c r="A2268" s="4" t="s">
        <v>767</v>
      </c>
      <c r="B2268" s="4" t="s">
        <v>13</v>
      </c>
      <c r="C2268" s="4">
        <v>0.432</v>
      </c>
      <c r="D2268" s="4">
        <v>0.051</v>
      </c>
      <c r="E2268" s="4">
        <v>0.053</v>
      </c>
      <c r="I2268" s="4">
        <v>1.754</v>
      </c>
      <c r="J2268" s="4">
        <v>0.036</v>
      </c>
      <c r="K2268" s="6" t="b">
        <f t="shared" si="2227"/>
        <v>0</v>
      </c>
      <c r="L2268" s="6" t="b">
        <f t="shared" ref="L2268:L2413" si="2228">FALSE()</f>
        <v>0</v>
      </c>
      <c r="M2268" s="6" t="b">
        <f>TRUE()</f>
        <v>1</v>
      </c>
      <c r="N2268" s="4">
        <v>0.359072068538454</v>
      </c>
      <c r="P2268" s="4">
        <v>1.01305440030646</v>
      </c>
      <c r="T2268" s="4">
        <f t="shared" si="3"/>
        <v>992</v>
      </c>
      <c r="U2268" s="4">
        <f t="shared" si="4"/>
        <v>37</v>
      </c>
    </row>
    <row r="2269" ht="15.75" customHeight="1">
      <c r="A2269" s="4" t="s">
        <v>3375</v>
      </c>
      <c r="B2269" s="4" t="s">
        <v>13</v>
      </c>
      <c r="I2269" s="4">
        <v>0.122</v>
      </c>
      <c r="J2269" s="4">
        <v>0.028</v>
      </c>
      <c r="K2269" s="6" t="b">
        <f t="shared" si="2227"/>
        <v>0</v>
      </c>
      <c r="L2269" s="6" t="b">
        <f t="shared" si="2228"/>
        <v>0</v>
      </c>
      <c r="M2269" s="6" t="b">
        <f t="shared" ref="M2269:M2284" si="2229">FALSE()</f>
        <v>0</v>
      </c>
      <c r="P2269" s="4">
        <v>0.115112807100505</v>
      </c>
      <c r="T2269" s="4" t="str">
        <f t="shared" si="3"/>
        <v/>
      </c>
      <c r="U2269" s="4">
        <f t="shared" si="4"/>
        <v>3826</v>
      </c>
    </row>
    <row r="2270" ht="15.75" customHeight="1">
      <c r="A2270" s="4" t="s">
        <v>3376</v>
      </c>
      <c r="B2270" s="4" t="s">
        <v>13</v>
      </c>
      <c r="I2270" s="4">
        <v>0.125</v>
      </c>
      <c r="J2270" s="4">
        <v>0.007</v>
      </c>
      <c r="K2270" s="6" t="b">
        <f t="shared" si="2227"/>
        <v>0</v>
      </c>
      <c r="L2270" s="6" t="b">
        <f t="shared" si="2228"/>
        <v>0</v>
      </c>
      <c r="M2270" s="6" t="b">
        <f t="shared" si="2229"/>
        <v>0</v>
      </c>
      <c r="P2270" s="4">
        <v>0.117783035656383</v>
      </c>
      <c r="T2270" s="4" t="str">
        <f t="shared" si="3"/>
        <v/>
      </c>
      <c r="U2270" s="4">
        <f t="shared" si="4"/>
        <v>3785</v>
      </c>
    </row>
    <row r="2271" ht="15.75" customHeight="1">
      <c r="A2271" s="4" t="s">
        <v>3377</v>
      </c>
      <c r="B2271" s="4" t="s">
        <v>13</v>
      </c>
      <c r="I2271" s="4">
        <v>0.128</v>
      </c>
      <c r="J2271" s="4">
        <v>0.008</v>
      </c>
      <c r="K2271" s="6" t="b">
        <f t="shared" si="2227"/>
        <v>0</v>
      </c>
      <c r="L2271" s="6" t="b">
        <f t="shared" si="2228"/>
        <v>0</v>
      </c>
      <c r="M2271" s="6" t="b">
        <f t="shared" si="2229"/>
        <v>0</v>
      </c>
      <c r="P2271" s="4">
        <v>0.120446153075867</v>
      </c>
      <c r="T2271" s="4" t="str">
        <f t="shared" si="3"/>
        <v/>
      </c>
      <c r="U2271" s="4">
        <f t="shared" si="4"/>
        <v>3724</v>
      </c>
    </row>
    <row r="2272" ht="15.75" customHeight="1">
      <c r="A2272" s="4" t="s">
        <v>3378</v>
      </c>
      <c r="B2272" s="4" t="s">
        <v>13</v>
      </c>
      <c r="I2272" s="4">
        <v>0.127</v>
      </c>
      <c r="J2272" s="4">
        <v>0.012</v>
      </c>
      <c r="K2272" s="6" t="b">
        <f t="shared" si="2227"/>
        <v>0</v>
      </c>
      <c r="L2272" s="6" t="b">
        <f t="shared" si="2228"/>
        <v>0</v>
      </c>
      <c r="M2272" s="6" t="b">
        <f t="shared" si="2229"/>
        <v>0</v>
      </c>
      <c r="P2272" s="4">
        <v>0.119559235057639</v>
      </c>
      <c r="T2272" s="4" t="str">
        <f t="shared" si="3"/>
        <v/>
      </c>
      <c r="U2272" s="4">
        <f t="shared" si="4"/>
        <v>3747</v>
      </c>
    </row>
    <row r="2273" ht="15.75" customHeight="1">
      <c r="A2273" s="4" t="s">
        <v>3379</v>
      </c>
      <c r="B2273" s="4" t="s">
        <v>13</v>
      </c>
      <c r="I2273" s="4">
        <v>0.204</v>
      </c>
      <c r="J2273" s="4">
        <v>0.047</v>
      </c>
      <c r="K2273" s="6" t="b">
        <f t="shared" si="2227"/>
        <v>0</v>
      </c>
      <c r="L2273" s="6" t="b">
        <f t="shared" si="2228"/>
        <v>0</v>
      </c>
      <c r="M2273" s="6" t="b">
        <f t="shared" si="2229"/>
        <v>0</v>
      </c>
      <c r="P2273" s="4">
        <v>0.185649346886629</v>
      </c>
      <c r="T2273" s="4" t="str">
        <f t="shared" si="3"/>
        <v/>
      </c>
      <c r="U2273" s="4">
        <f t="shared" si="4"/>
        <v>2509</v>
      </c>
    </row>
    <row r="2274" ht="15.75" customHeight="1">
      <c r="A2274" s="4" t="s">
        <v>3380</v>
      </c>
      <c r="B2274" s="4" t="s">
        <v>13</v>
      </c>
      <c r="I2274" s="4">
        <v>0.168</v>
      </c>
      <c r="J2274" s="4">
        <v>0.017</v>
      </c>
      <c r="K2274" s="6" t="b">
        <f t="shared" si="2227"/>
        <v>0</v>
      </c>
      <c r="L2274" s="6" t="b">
        <f t="shared" si="2228"/>
        <v>0</v>
      </c>
      <c r="M2274" s="6" t="b">
        <f t="shared" si="2229"/>
        <v>0</v>
      </c>
      <c r="P2274" s="4">
        <v>0.155292884406035</v>
      </c>
      <c r="T2274" s="4" t="str">
        <f t="shared" si="3"/>
        <v/>
      </c>
      <c r="U2274" s="4">
        <f t="shared" si="4"/>
        <v>3073</v>
      </c>
    </row>
    <row r="2275" ht="15.75" customHeight="1">
      <c r="A2275" s="4" t="s">
        <v>3381</v>
      </c>
      <c r="B2275" s="4" t="s">
        <v>13</v>
      </c>
      <c r="I2275" s="4">
        <v>0.17</v>
      </c>
      <c r="J2275" s="4">
        <v>0.016</v>
      </c>
      <c r="K2275" s="6" t="b">
        <f t="shared" si="2227"/>
        <v>0</v>
      </c>
      <c r="L2275" s="6" t="b">
        <f t="shared" si="2228"/>
        <v>0</v>
      </c>
      <c r="M2275" s="6" t="b">
        <f t="shared" si="2229"/>
        <v>0</v>
      </c>
      <c r="P2275" s="4">
        <v>0.157003748809665</v>
      </c>
      <c r="T2275" s="4" t="str">
        <f t="shared" si="3"/>
        <v/>
      </c>
      <c r="U2275" s="4">
        <f t="shared" si="4"/>
        <v>3041</v>
      </c>
    </row>
    <row r="2276" ht="15.75" customHeight="1">
      <c r="A2276" s="4" t="s">
        <v>3382</v>
      </c>
      <c r="B2276" s="4" t="s">
        <v>13</v>
      </c>
      <c r="I2276" s="4">
        <v>0.22</v>
      </c>
      <c r="J2276" s="4">
        <v>0.024</v>
      </c>
      <c r="K2276" s="6" t="b">
        <f t="shared" si="2227"/>
        <v>0</v>
      </c>
      <c r="L2276" s="6" t="b">
        <f t="shared" si="2228"/>
        <v>0</v>
      </c>
      <c r="M2276" s="6" t="b">
        <f t="shared" si="2229"/>
        <v>0</v>
      </c>
      <c r="P2276" s="4">
        <v>0.198850858745165</v>
      </c>
      <c r="T2276" s="4" t="str">
        <f t="shared" si="3"/>
        <v/>
      </c>
      <c r="U2276" s="4">
        <f t="shared" si="4"/>
        <v>2258</v>
      </c>
    </row>
    <row r="2277" ht="15.75" customHeight="1">
      <c r="A2277" s="4" t="s">
        <v>3383</v>
      </c>
      <c r="B2277" s="4" t="s">
        <v>13</v>
      </c>
      <c r="I2277" s="4">
        <v>0.046</v>
      </c>
      <c r="J2277" s="4">
        <v>0.004</v>
      </c>
      <c r="K2277" s="6" t="b">
        <f t="shared" si="2227"/>
        <v>0</v>
      </c>
      <c r="L2277" s="6" t="b">
        <f t="shared" si="2228"/>
        <v>0</v>
      </c>
      <c r="M2277" s="6" t="b">
        <f t="shared" si="2229"/>
        <v>0</v>
      </c>
      <c r="P2277" s="4">
        <v>0.0449733656427311</v>
      </c>
      <c r="T2277" s="4" t="str">
        <f t="shared" si="3"/>
        <v/>
      </c>
      <c r="U2277" s="4">
        <f t="shared" si="4"/>
        <v>4559</v>
      </c>
    </row>
    <row r="2278" ht="15.75" customHeight="1">
      <c r="A2278" s="4" t="s">
        <v>3384</v>
      </c>
      <c r="B2278" s="4" t="s">
        <v>13</v>
      </c>
      <c r="I2278" s="4">
        <v>0.211</v>
      </c>
      <c r="J2278" s="4">
        <v>0.018</v>
      </c>
      <c r="K2278" s="6" t="b">
        <f t="shared" si="2227"/>
        <v>0</v>
      </c>
      <c r="L2278" s="6" t="b">
        <f t="shared" si="2228"/>
        <v>0</v>
      </c>
      <c r="M2278" s="6" t="b">
        <f t="shared" si="2229"/>
        <v>0</v>
      </c>
      <c r="P2278" s="4">
        <v>0.191446464570955</v>
      </c>
      <c r="T2278" s="4" t="str">
        <f t="shared" si="3"/>
        <v/>
      </c>
      <c r="U2278" s="4">
        <f t="shared" si="4"/>
        <v>2397</v>
      </c>
    </row>
    <row r="2279" ht="15.75" customHeight="1">
      <c r="A2279" s="4" t="s">
        <v>3385</v>
      </c>
      <c r="B2279" s="4" t="s">
        <v>13</v>
      </c>
      <c r="I2279" s="4">
        <v>0.0928</v>
      </c>
      <c r="J2279" s="4">
        <v>0.00321</v>
      </c>
      <c r="K2279" s="6" t="b">
        <f t="shared" si="2227"/>
        <v>0</v>
      </c>
      <c r="L2279" s="6" t="b">
        <f t="shared" si="2228"/>
        <v>0</v>
      </c>
      <c r="M2279" s="6" t="b">
        <f t="shared" si="2229"/>
        <v>0</v>
      </c>
      <c r="P2279" s="4">
        <v>0.0887432098343885</v>
      </c>
      <c r="T2279" s="4" t="str">
        <f t="shared" si="3"/>
        <v/>
      </c>
      <c r="U2279" s="4">
        <f t="shared" si="4"/>
        <v>4301</v>
      </c>
    </row>
    <row r="2280" ht="15.75" customHeight="1">
      <c r="A2280" s="4" t="s">
        <v>3386</v>
      </c>
      <c r="B2280" s="4" t="s">
        <v>13</v>
      </c>
      <c r="I2280" s="4">
        <v>0.25667</v>
      </c>
      <c r="J2280" s="4">
        <v>0.00642</v>
      </c>
      <c r="K2280" s="6" t="b">
        <f t="shared" si="2227"/>
        <v>0</v>
      </c>
      <c r="L2280" s="6" t="b">
        <f t="shared" si="2228"/>
        <v>0</v>
      </c>
      <c r="M2280" s="6" t="b">
        <f t="shared" si="2229"/>
        <v>0</v>
      </c>
      <c r="P2280" s="4">
        <v>0.228465365308186</v>
      </c>
      <c r="T2280" s="4" t="str">
        <f t="shared" si="3"/>
        <v/>
      </c>
      <c r="U2280" s="4">
        <f t="shared" si="4"/>
        <v>1725</v>
      </c>
    </row>
    <row r="2281" ht="15.75" customHeight="1">
      <c r="A2281" s="4" t="s">
        <v>3387</v>
      </c>
      <c r="B2281" s="4" t="s">
        <v>13</v>
      </c>
      <c r="I2281" s="4">
        <v>0.12303</v>
      </c>
      <c r="J2281" s="4">
        <v>0.00705</v>
      </c>
      <c r="K2281" s="6" t="b">
        <f t="shared" si="2227"/>
        <v>0</v>
      </c>
      <c r="L2281" s="6" t="b">
        <f t="shared" si="2228"/>
        <v>0</v>
      </c>
      <c r="M2281" s="6" t="b">
        <f t="shared" si="2229"/>
        <v>0</v>
      </c>
      <c r="P2281" s="4">
        <v>0.116030389557993</v>
      </c>
      <c r="T2281" s="4" t="str">
        <f t="shared" si="3"/>
        <v/>
      </c>
      <c r="U2281" s="4">
        <f t="shared" si="4"/>
        <v>3810</v>
      </c>
    </row>
    <row r="2282" ht="15.75" customHeight="1">
      <c r="A2282" s="4" t="s">
        <v>3388</v>
      </c>
      <c r="B2282" s="4" t="s">
        <v>13</v>
      </c>
      <c r="I2282" s="4">
        <v>0.128</v>
      </c>
      <c r="J2282" s="4">
        <v>0.011</v>
      </c>
      <c r="K2282" s="6" t="b">
        <f t="shared" si="2227"/>
        <v>0</v>
      </c>
      <c r="L2282" s="6" t="b">
        <f t="shared" si="2228"/>
        <v>0</v>
      </c>
      <c r="M2282" s="6" t="b">
        <f t="shared" si="2229"/>
        <v>0</v>
      </c>
      <c r="P2282" s="4">
        <v>0.120446153075867</v>
      </c>
      <c r="T2282" s="4" t="str">
        <f t="shared" si="3"/>
        <v/>
      </c>
      <c r="U2282" s="4">
        <f t="shared" si="4"/>
        <v>3725</v>
      </c>
    </row>
    <row r="2283" ht="15.75" customHeight="1">
      <c r="A2283" s="4" t="s">
        <v>3389</v>
      </c>
      <c r="B2283" s="4" t="s">
        <v>13</v>
      </c>
      <c r="I2283" s="4">
        <v>0.111</v>
      </c>
      <c r="J2283" s="4">
        <v>0.023</v>
      </c>
      <c r="K2283" s="6" t="b">
        <f t="shared" si="2227"/>
        <v>0</v>
      </c>
      <c r="L2283" s="6" t="b">
        <f t="shared" si="2228"/>
        <v>0</v>
      </c>
      <c r="M2283" s="6" t="b">
        <f t="shared" si="2229"/>
        <v>0</v>
      </c>
      <c r="P2283" s="4">
        <v>0.105260510657493</v>
      </c>
      <c r="T2283" s="4" t="str">
        <f t="shared" si="3"/>
        <v/>
      </c>
      <c r="U2283" s="4">
        <f t="shared" si="4"/>
        <v>4025</v>
      </c>
    </row>
    <row r="2284" ht="15.75" customHeight="1">
      <c r="A2284" s="4" t="s">
        <v>3390</v>
      </c>
      <c r="B2284" s="4" t="s">
        <v>13</v>
      </c>
      <c r="I2284" s="4">
        <v>0.109</v>
      </c>
      <c r="J2284" s="4">
        <v>0.021</v>
      </c>
      <c r="K2284" s="6" t="b">
        <f t="shared" si="2227"/>
        <v>0</v>
      </c>
      <c r="L2284" s="6" t="b">
        <f t="shared" si="2228"/>
        <v>0</v>
      </c>
      <c r="M2284" s="6" t="b">
        <f t="shared" si="2229"/>
        <v>0</v>
      </c>
      <c r="P2284" s="4">
        <v>0.10345870836823</v>
      </c>
      <c r="T2284" s="4" t="str">
        <f t="shared" si="3"/>
        <v/>
      </c>
      <c r="U2284" s="4">
        <f t="shared" si="4"/>
        <v>4062</v>
      </c>
    </row>
    <row r="2285" ht="15.75" customHeight="1">
      <c r="A2285" s="4" t="s">
        <v>3391</v>
      </c>
      <c r="B2285" s="4" t="s">
        <v>13</v>
      </c>
      <c r="I2285" s="4">
        <v>0.8616</v>
      </c>
      <c r="K2285" s="6" t="b">
        <f t="shared" si="2227"/>
        <v>0</v>
      </c>
      <c r="L2285" s="6" t="b">
        <f t="shared" si="2228"/>
        <v>0</v>
      </c>
      <c r="M2285" s="6" t="b">
        <f>TRUE()</f>
        <v>1</v>
      </c>
      <c r="P2285" s="4">
        <v>0.621436333005945</v>
      </c>
      <c r="T2285" s="4" t="str">
        <f t="shared" si="3"/>
        <v/>
      </c>
      <c r="U2285" s="4">
        <f t="shared" si="4"/>
        <v>794</v>
      </c>
    </row>
    <row r="2286" ht="15.75" customHeight="1">
      <c r="A2286" s="4" t="s">
        <v>3392</v>
      </c>
      <c r="B2286" s="4" t="s">
        <v>13</v>
      </c>
      <c r="I2286" s="4">
        <v>0.187</v>
      </c>
      <c r="J2286" s="4">
        <v>0.006</v>
      </c>
      <c r="K2286" s="6" t="b">
        <f t="shared" si="2227"/>
        <v>0</v>
      </c>
      <c r="L2286" s="6" t="b">
        <f t="shared" si="2228"/>
        <v>0</v>
      </c>
      <c r="M2286" s="6" t="b">
        <f t="shared" ref="M2286:M2409" si="2230">FALSE()</f>
        <v>0</v>
      </c>
      <c r="P2286" s="4">
        <v>0.171429115627531</v>
      </c>
      <c r="T2286" s="4" t="str">
        <f t="shared" si="3"/>
        <v/>
      </c>
      <c r="U2286" s="4">
        <f t="shared" si="4"/>
        <v>2785</v>
      </c>
    </row>
    <row r="2287" ht="15.75" customHeight="1">
      <c r="A2287" s="4" t="s">
        <v>3393</v>
      </c>
      <c r="B2287" s="4" t="s">
        <v>13</v>
      </c>
      <c r="I2287" s="4">
        <v>0.09162</v>
      </c>
      <c r="K2287" s="6" t="b">
        <f t="shared" si="2227"/>
        <v>0</v>
      </c>
      <c r="L2287" s="6" t="b">
        <f t="shared" si="2228"/>
        <v>0</v>
      </c>
      <c r="M2287" s="6" t="b">
        <f t="shared" si="2230"/>
        <v>0</v>
      </c>
      <c r="P2287" s="4">
        <v>0.0876628314137767</v>
      </c>
      <c r="T2287" s="4" t="str">
        <f t="shared" si="3"/>
        <v/>
      </c>
      <c r="U2287" s="4">
        <f t="shared" si="4"/>
        <v>4318</v>
      </c>
    </row>
    <row r="2288" ht="15.75" customHeight="1">
      <c r="A2288" s="4" t="s">
        <v>3394</v>
      </c>
      <c r="B2288" s="4" t="s">
        <v>13</v>
      </c>
      <c r="I2288" s="4">
        <v>0.157</v>
      </c>
      <c r="J2288" s="4">
        <v>0.007</v>
      </c>
      <c r="K2288" s="6" t="b">
        <f t="shared" si="2227"/>
        <v>0</v>
      </c>
      <c r="L2288" s="6" t="b">
        <f t="shared" si="2228"/>
        <v>0</v>
      </c>
      <c r="M2288" s="6" t="b">
        <f t="shared" si="2230"/>
        <v>0</v>
      </c>
      <c r="P2288" s="4">
        <v>0.14583044821154</v>
      </c>
      <c r="T2288" s="4" t="str">
        <f t="shared" si="3"/>
        <v/>
      </c>
      <c r="U2288" s="4">
        <f t="shared" si="4"/>
        <v>3215</v>
      </c>
    </row>
    <row r="2289" ht="15.75" customHeight="1">
      <c r="A2289" s="4" t="s">
        <v>3395</v>
      </c>
      <c r="B2289" s="4" t="s">
        <v>13</v>
      </c>
      <c r="I2289" s="4">
        <v>0.456</v>
      </c>
      <c r="J2289" s="4">
        <v>0.017</v>
      </c>
      <c r="K2289" s="6" t="b">
        <f t="shared" si="2227"/>
        <v>0</v>
      </c>
      <c r="L2289" s="6" t="b">
        <f t="shared" si="2228"/>
        <v>0</v>
      </c>
      <c r="M2289" s="6" t="b">
        <f t="shared" si="2230"/>
        <v>0</v>
      </c>
      <c r="P2289" s="4">
        <v>0.375692949774494</v>
      </c>
      <c r="T2289" s="4" t="str">
        <f t="shared" si="3"/>
        <v/>
      </c>
      <c r="U2289" s="4">
        <f t="shared" si="4"/>
        <v>1053</v>
      </c>
    </row>
    <row r="2290" ht="15.75" customHeight="1">
      <c r="A2290" s="4" t="s">
        <v>3396</v>
      </c>
      <c r="B2290" s="4" t="s">
        <v>13</v>
      </c>
      <c r="I2290" s="4">
        <v>0.123</v>
      </c>
      <c r="J2290" s="4">
        <v>0.005</v>
      </c>
      <c r="K2290" s="6" t="b">
        <f t="shared" si="2227"/>
        <v>0</v>
      </c>
      <c r="L2290" s="6" t="b">
        <f t="shared" si="2228"/>
        <v>0</v>
      </c>
      <c r="M2290" s="6" t="b">
        <f t="shared" si="2230"/>
        <v>0</v>
      </c>
      <c r="P2290" s="4">
        <v>0.116003675756306</v>
      </c>
      <c r="T2290" s="4" t="str">
        <f t="shared" si="3"/>
        <v/>
      </c>
      <c r="U2290" s="4">
        <f t="shared" si="4"/>
        <v>3815</v>
      </c>
    </row>
    <row r="2291" ht="15.75" customHeight="1">
      <c r="A2291" s="4" t="s">
        <v>3397</v>
      </c>
      <c r="B2291" s="4" t="s">
        <v>13</v>
      </c>
      <c r="I2291" s="4">
        <v>0.16451</v>
      </c>
      <c r="K2291" s="6" t="b">
        <f t="shared" si="2227"/>
        <v>0</v>
      </c>
      <c r="L2291" s="6" t="b">
        <f t="shared" si="2228"/>
        <v>0</v>
      </c>
      <c r="M2291" s="6" t="b">
        <f t="shared" si="2230"/>
        <v>0</v>
      </c>
      <c r="P2291" s="4">
        <v>0.152300397681944</v>
      </c>
      <c r="T2291" s="4" t="str">
        <f t="shared" si="3"/>
        <v/>
      </c>
      <c r="U2291" s="4">
        <f t="shared" si="4"/>
        <v>3116</v>
      </c>
    </row>
    <row r="2292" ht="15.75" customHeight="1">
      <c r="A2292" s="4" t="s">
        <v>3398</v>
      </c>
      <c r="B2292" s="4" t="s">
        <v>13</v>
      </c>
      <c r="I2292" s="4">
        <v>0.316</v>
      </c>
      <c r="J2292" s="4">
        <v>0.034</v>
      </c>
      <c r="K2292" s="6" t="b">
        <f t="shared" si="2227"/>
        <v>0</v>
      </c>
      <c r="L2292" s="6" t="b">
        <f t="shared" si="2228"/>
        <v>0</v>
      </c>
      <c r="M2292" s="6" t="b">
        <f t="shared" si="2230"/>
        <v>0</v>
      </c>
      <c r="P2292" s="4">
        <v>0.274596832903126</v>
      </c>
      <c r="T2292" s="4" t="str">
        <f t="shared" si="3"/>
        <v/>
      </c>
      <c r="U2292" s="4">
        <f t="shared" si="4"/>
        <v>1313</v>
      </c>
    </row>
    <row r="2293" ht="15.75" customHeight="1">
      <c r="A2293" s="4" t="s">
        <v>3399</v>
      </c>
      <c r="B2293" s="4" t="s">
        <v>13</v>
      </c>
      <c r="I2293" s="4">
        <v>0.139</v>
      </c>
      <c r="J2293" s="4">
        <v>0.007</v>
      </c>
      <c r="K2293" s="6" t="b">
        <f t="shared" si="2227"/>
        <v>0</v>
      </c>
      <c r="L2293" s="6" t="b">
        <f t="shared" si="2228"/>
        <v>0</v>
      </c>
      <c r="M2293" s="6" t="b">
        <f t="shared" si="2230"/>
        <v>0</v>
      </c>
      <c r="P2293" s="4">
        <v>0.130150684465045</v>
      </c>
      <c r="T2293" s="4" t="str">
        <f t="shared" si="3"/>
        <v/>
      </c>
      <c r="U2293" s="4">
        <f t="shared" si="4"/>
        <v>3522</v>
      </c>
    </row>
    <row r="2294" ht="15.75" customHeight="1">
      <c r="A2294" s="4" t="s">
        <v>3400</v>
      </c>
      <c r="B2294" s="4" t="s">
        <v>13</v>
      </c>
      <c r="I2294" s="4">
        <v>0.277</v>
      </c>
      <c r="J2294" s="4">
        <v>0.013</v>
      </c>
      <c r="K2294" s="6" t="b">
        <f t="shared" si="2227"/>
        <v>0</v>
      </c>
      <c r="L2294" s="6" t="b">
        <f t="shared" si="2228"/>
        <v>0</v>
      </c>
      <c r="M2294" s="6" t="b">
        <f t="shared" si="2230"/>
        <v>0</v>
      </c>
      <c r="P2294" s="4">
        <v>0.244513577050402</v>
      </c>
      <c r="T2294" s="4" t="str">
        <f t="shared" si="3"/>
        <v/>
      </c>
      <c r="U2294" s="4">
        <f t="shared" si="4"/>
        <v>1525</v>
      </c>
    </row>
    <row r="2295" ht="15.75" customHeight="1">
      <c r="A2295" s="4" t="s">
        <v>3401</v>
      </c>
      <c r="B2295" s="4" t="s">
        <v>13</v>
      </c>
      <c r="I2295" s="4">
        <v>0.1106</v>
      </c>
      <c r="J2295" s="4">
        <v>0.018</v>
      </c>
      <c r="K2295" s="6" t="b">
        <f t="shared" si="2227"/>
        <v>0</v>
      </c>
      <c r="L2295" s="6" t="b">
        <f t="shared" si="2228"/>
        <v>0</v>
      </c>
      <c r="M2295" s="6" t="b">
        <f t="shared" si="2230"/>
        <v>0</v>
      </c>
      <c r="P2295" s="4">
        <v>0.10490040982537</v>
      </c>
      <c r="T2295" s="4" t="str">
        <f t="shared" si="3"/>
        <v/>
      </c>
      <c r="U2295" s="4">
        <f t="shared" si="4"/>
        <v>4035</v>
      </c>
    </row>
    <row r="2296" ht="15.75" customHeight="1">
      <c r="A2296" s="4" t="s">
        <v>768</v>
      </c>
      <c r="B2296" s="4" t="s">
        <v>13</v>
      </c>
      <c r="C2296" s="4">
        <v>0.051</v>
      </c>
      <c r="D2296" s="4">
        <v>0.011</v>
      </c>
      <c r="E2296" s="4">
        <v>0.011</v>
      </c>
      <c r="F2296" s="4">
        <v>0.05075</v>
      </c>
      <c r="G2296" s="4">
        <v>0.011</v>
      </c>
      <c r="H2296" s="4">
        <v>0.011</v>
      </c>
      <c r="I2296" s="4">
        <v>0.215</v>
      </c>
      <c r="J2296" s="4">
        <v>0.018</v>
      </c>
      <c r="K2296" s="6" t="b">
        <f t="shared" si="2227"/>
        <v>0</v>
      </c>
      <c r="L2296" s="6" t="b">
        <f t="shared" si="2228"/>
        <v>0</v>
      </c>
      <c r="M2296" s="6" t="b">
        <f t="shared" si="2230"/>
        <v>0</v>
      </c>
      <c r="N2296" s="4">
        <v>0.049742091894814</v>
      </c>
      <c r="O2296" s="4">
        <v>0.049504194903089</v>
      </c>
      <c r="P2296" s="4">
        <v>0.194744076792512</v>
      </c>
      <c r="Q2296" s="4">
        <v>-0.596719600472074</v>
      </c>
      <c r="R2296" s="4">
        <v>-0.620268325157569</v>
      </c>
      <c r="S2296" s="4">
        <v>-1.14183664191396</v>
      </c>
      <c r="T2296" s="4">
        <f t="shared" si="3"/>
        <v>1399</v>
      </c>
      <c r="U2296" s="4">
        <f t="shared" si="4"/>
        <v>2336</v>
      </c>
    </row>
    <row r="2297" ht="15.75" customHeight="1">
      <c r="A2297" s="4" t="s">
        <v>770</v>
      </c>
      <c r="B2297" s="4" t="s">
        <v>13</v>
      </c>
      <c r="C2297" s="4">
        <v>0.026</v>
      </c>
      <c r="D2297" s="4">
        <v>0.019</v>
      </c>
      <c r="E2297" s="4">
        <v>0.019</v>
      </c>
      <c r="F2297" s="4">
        <v>0.026</v>
      </c>
      <c r="G2297" s="4">
        <v>0.019</v>
      </c>
      <c r="H2297" s="4">
        <v>0.019</v>
      </c>
      <c r="I2297" s="4">
        <v>0.075</v>
      </c>
      <c r="J2297" s="4">
        <v>0.006</v>
      </c>
      <c r="K2297" s="6" t="b">
        <f t="shared" si="2227"/>
        <v>0</v>
      </c>
      <c r="L2297" s="6" t="b">
        <f t="shared" si="2228"/>
        <v>0</v>
      </c>
      <c r="M2297" s="6" t="b">
        <f t="shared" si="2230"/>
        <v>0</v>
      </c>
      <c r="N2297" s="4">
        <v>0.0256677467485777</v>
      </c>
      <c r="O2297" s="4">
        <v>0.0256677467485777</v>
      </c>
      <c r="P2297" s="4">
        <v>0.0723206615796261</v>
      </c>
      <c r="Q2297" s="4">
        <v>-0.612075055904748</v>
      </c>
      <c r="R2297" s="4">
        <v>-0.635970642443132</v>
      </c>
      <c r="S2297" s="4">
        <v>-1.40377928533137</v>
      </c>
      <c r="T2297" s="4">
        <f t="shared" si="3"/>
        <v>1622</v>
      </c>
      <c r="U2297" s="4">
        <f t="shared" si="4"/>
        <v>4453</v>
      </c>
    </row>
    <row r="2298" ht="15.75" customHeight="1">
      <c r="A2298" s="4" t="s">
        <v>3402</v>
      </c>
      <c r="B2298" s="4" t="s">
        <v>13</v>
      </c>
      <c r="I2298" s="4">
        <v>0.152</v>
      </c>
      <c r="J2298" s="4">
        <v>0.01</v>
      </c>
      <c r="K2298" s="6" t="b">
        <f t="shared" si="2227"/>
        <v>0</v>
      </c>
      <c r="L2298" s="6" t="b">
        <f t="shared" si="2228"/>
        <v>0</v>
      </c>
      <c r="M2298" s="6" t="b">
        <f t="shared" si="2230"/>
        <v>0</v>
      </c>
      <c r="P2298" s="4">
        <v>0.1414995622737</v>
      </c>
      <c r="T2298" s="4" t="str">
        <f t="shared" si="3"/>
        <v/>
      </c>
      <c r="U2298" s="4">
        <f t="shared" si="4"/>
        <v>3297</v>
      </c>
    </row>
    <row r="2299" ht="15.75" customHeight="1">
      <c r="A2299" s="4" t="s">
        <v>3403</v>
      </c>
      <c r="B2299" s="4" t="s">
        <v>13</v>
      </c>
      <c r="I2299" s="4">
        <v>0.439</v>
      </c>
      <c r="J2299" s="4">
        <v>0.054</v>
      </c>
      <c r="K2299" s="6" t="b">
        <f t="shared" si="2227"/>
        <v>0</v>
      </c>
      <c r="L2299" s="6" t="b">
        <f t="shared" si="2228"/>
        <v>0</v>
      </c>
      <c r="M2299" s="6" t="b">
        <f t="shared" si="2230"/>
        <v>0</v>
      </c>
      <c r="P2299" s="4">
        <v>0.363948427905231</v>
      </c>
      <c r="T2299" s="4" t="str">
        <f t="shared" si="3"/>
        <v/>
      </c>
      <c r="U2299" s="4">
        <f t="shared" si="4"/>
        <v>1067</v>
      </c>
    </row>
    <row r="2300" ht="15.75" customHeight="1">
      <c r="A2300" s="4" t="s">
        <v>3404</v>
      </c>
      <c r="B2300" s="4" t="s">
        <v>13</v>
      </c>
      <c r="I2300" s="4">
        <v>0.214</v>
      </c>
      <c r="J2300" s="4">
        <v>0.016</v>
      </c>
      <c r="K2300" s="6" t="b">
        <f t="shared" si="2227"/>
        <v>0</v>
      </c>
      <c r="L2300" s="6" t="b">
        <f t="shared" si="2228"/>
        <v>0</v>
      </c>
      <c r="M2300" s="6" t="b">
        <f t="shared" si="2230"/>
        <v>0</v>
      </c>
      <c r="P2300" s="4">
        <v>0.193920692637307</v>
      </c>
      <c r="T2300" s="4" t="str">
        <f t="shared" si="3"/>
        <v/>
      </c>
      <c r="U2300" s="4">
        <f t="shared" si="4"/>
        <v>2346</v>
      </c>
    </row>
    <row r="2301" ht="15.75" customHeight="1">
      <c r="A2301" s="4" t="s">
        <v>3405</v>
      </c>
      <c r="B2301" s="4" t="s">
        <v>13</v>
      </c>
      <c r="I2301" s="4">
        <v>0.23446</v>
      </c>
      <c r="K2301" s="6" t="b">
        <f t="shared" si="2227"/>
        <v>0</v>
      </c>
      <c r="L2301" s="6" t="b">
        <f t="shared" si="2228"/>
        <v>0</v>
      </c>
      <c r="M2301" s="6" t="b">
        <f t="shared" si="2230"/>
        <v>0</v>
      </c>
      <c r="P2301" s="4">
        <v>0.21063362749605</v>
      </c>
      <c r="T2301" s="4" t="str">
        <f t="shared" si="3"/>
        <v/>
      </c>
      <c r="U2301" s="4">
        <f t="shared" si="4"/>
        <v>2043</v>
      </c>
    </row>
    <row r="2302" ht="15.75" customHeight="1">
      <c r="A2302" s="4" t="s">
        <v>3406</v>
      </c>
      <c r="B2302" s="4" t="s">
        <v>13</v>
      </c>
      <c r="I2302" s="4">
        <v>0.144</v>
      </c>
      <c r="J2302" s="4">
        <v>0.012</v>
      </c>
      <c r="K2302" s="6" t="b">
        <f t="shared" si="2227"/>
        <v>0</v>
      </c>
      <c r="L2302" s="6" t="b">
        <f t="shared" si="2228"/>
        <v>0</v>
      </c>
      <c r="M2302" s="6" t="b">
        <f t="shared" si="2230"/>
        <v>0</v>
      </c>
      <c r="P2302" s="4">
        <v>0.134530892957606</v>
      </c>
      <c r="T2302" s="4" t="str">
        <f t="shared" si="3"/>
        <v/>
      </c>
      <c r="U2302" s="4">
        <f t="shared" si="4"/>
        <v>3440</v>
      </c>
    </row>
    <row r="2303" ht="15.75" customHeight="1">
      <c r="A2303" s="4" t="s">
        <v>3407</v>
      </c>
      <c r="B2303" s="4" t="s">
        <v>13</v>
      </c>
      <c r="I2303" s="4">
        <v>0.192249</v>
      </c>
      <c r="K2303" s="6" t="b">
        <f t="shared" si="2227"/>
        <v>0</v>
      </c>
      <c r="L2303" s="6" t="b">
        <f t="shared" si="2228"/>
        <v>0</v>
      </c>
      <c r="M2303" s="6" t="b">
        <f t="shared" si="2230"/>
        <v>0</v>
      </c>
      <c r="P2303" s="4">
        <v>0.175841439445583</v>
      </c>
      <c r="T2303" s="4" t="str">
        <f t="shared" si="3"/>
        <v/>
      </c>
      <c r="U2303" s="4">
        <f t="shared" si="4"/>
        <v>2707</v>
      </c>
    </row>
    <row r="2304" ht="15.75" customHeight="1">
      <c r="A2304" s="4" t="s">
        <v>3408</v>
      </c>
      <c r="B2304" s="4" t="s">
        <v>13</v>
      </c>
      <c r="I2304" s="4">
        <v>0.136</v>
      </c>
      <c r="J2304" s="4">
        <v>0.021</v>
      </c>
      <c r="K2304" s="6" t="b">
        <f t="shared" si="2227"/>
        <v>0</v>
      </c>
      <c r="L2304" s="6" t="b">
        <f t="shared" si="2228"/>
        <v>0</v>
      </c>
      <c r="M2304" s="6" t="b">
        <f t="shared" si="2230"/>
        <v>0</v>
      </c>
      <c r="P2304" s="4">
        <v>0.12751332029896</v>
      </c>
      <c r="T2304" s="4" t="str">
        <f t="shared" si="3"/>
        <v/>
      </c>
      <c r="U2304" s="4">
        <f t="shared" si="4"/>
        <v>3577</v>
      </c>
    </row>
    <row r="2305" ht="15.75" customHeight="1">
      <c r="A2305" s="4" t="s">
        <v>3409</v>
      </c>
      <c r="B2305" s="4" t="s">
        <v>13</v>
      </c>
      <c r="I2305" s="4">
        <v>0.135</v>
      </c>
      <c r="J2305" s="4">
        <v>0.008</v>
      </c>
      <c r="K2305" s="6" t="b">
        <f t="shared" si="2227"/>
        <v>0</v>
      </c>
      <c r="L2305" s="6" t="b">
        <f t="shared" si="2228"/>
        <v>0</v>
      </c>
      <c r="M2305" s="6" t="b">
        <f t="shared" si="2230"/>
        <v>0</v>
      </c>
      <c r="P2305" s="4">
        <v>0.126632650933366</v>
      </c>
      <c r="T2305" s="4" t="str">
        <f t="shared" si="3"/>
        <v/>
      </c>
      <c r="U2305" s="4">
        <f t="shared" si="4"/>
        <v>3612</v>
      </c>
    </row>
    <row r="2306" ht="15.75" customHeight="1">
      <c r="A2306" s="4" t="s">
        <v>3410</v>
      </c>
      <c r="B2306" s="4" t="s">
        <v>13</v>
      </c>
      <c r="I2306" s="4">
        <v>0.255</v>
      </c>
      <c r="J2306" s="4">
        <v>0.042</v>
      </c>
      <c r="K2306" s="6" t="b">
        <f t="shared" si="2227"/>
        <v>0</v>
      </c>
      <c r="L2306" s="6" t="b">
        <f t="shared" si="2228"/>
        <v>0</v>
      </c>
      <c r="M2306" s="6" t="b">
        <f t="shared" si="2230"/>
        <v>0</v>
      </c>
      <c r="P2306" s="4">
        <v>0.227135572583747</v>
      </c>
      <c r="T2306" s="4" t="str">
        <f t="shared" si="3"/>
        <v/>
      </c>
      <c r="U2306" s="4">
        <f t="shared" si="4"/>
        <v>1746</v>
      </c>
    </row>
    <row r="2307" ht="15.75" customHeight="1">
      <c r="A2307" s="4" t="s">
        <v>3411</v>
      </c>
      <c r="B2307" s="4" t="s">
        <v>13</v>
      </c>
      <c r="I2307" s="4">
        <v>0.373</v>
      </c>
      <c r="J2307" s="4">
        <v>0.068</v>
      </c>
      <c r="K2307" s="6" t="b">
        <f t="shared" si="2227"/>
        <v>0</v>
      </c>
      <c r="L2307" s="6" t="b">
        <f t="shared" si="2228"/>
        <v>0</v>
      </c>
      <c r="M2307" s="6" t="b">
        <f t="shared" si="2230"/>
        <v>0</v>
      </c>
      <c r="P2307" s="4">
        <v>0.316998126785834</v>
      </c>
      <c r="T2307" s="4" t="str">
        <f t="shared" si="3"/>
        <v/>
      </c>
      <c r="U2307" s="4">
        <f t="shared" si="4"/>
        <v>1158</v>
      </c>
    </row>
    <row r="2308" ht="15.75" customHeight="1">
      <c r="A2308" s="4" t="s">
        <v>3412</v>
      </c>
      <c r="B2308" s="4" t="s">
        <v>13</v>
      </c>
      <c r="I2308" s="4">
        <v>0.161</v>
      </c>
      <c r="J2308" s="4">
        <v>0.018</v>
      </c>
      <c r="K2308" s="6" t="b">
        <f t="shared" si="2227"/>
        <v>0</v>
      </c>
      <c r="L2308" s="6" t="b">
        <f t="shared" si="2228"/>
        <v>0</v>
      </c>
      <c r="M2308" s="6" t="b">
        <f t="shared" si="2230"/>
        <v>0</v>
      </c>
      <c r="P2308" s="4">
        <v>0.149281702715754</v>
      </c>
      <c r="T2308" s="4" t="str">
        <f t="shared" si="3"/>
        <v/>
      </c>
      <c r="U2308" s="4">
        <f t="shared" si="4"/>
        <v>3164</v>
      </c>
    </row>
    <row r="2309" ht="15.75" customHeight="1">
      <c r="A2309" s="4" t="s">
        <v>3413</v>
      </c>
      <c r="B2309" s="4" t="s">
        <v>13</v>
      </c>
      <c r="I2309" s="4">
        <v>0.087</v>
      </c>
      <c r="J2309" s="4">
        <v>0.008</v>
      </c>
      <c r="K2309" s="6" t="b">
        <f t="shared" si="2227"/>
        <v>0</v>
      </c>
      <c r="L2309" s="6" t="b">
        <f t="shared" si="2228"/>
        <v>0</v>
      </c>
      <c r="M2309" s="6" t="b">
        <f t="shared" si="2230"/>
        <v>0</v>
      </c>
      <c r="P2309" s="4">
        <v>0.0834216081390723</v>
      </c>
      <c r="T2309" s="4" t="str">
        <f t="shared" si="3"/>
        <v/>
      </c>
      <c r="U2309" s="4">
        <f t="shared" si="4"/>
        <v>4360</v>
      </c>
    </row>
    <row r="2310" ht="15.75" customHeight="1">
      <c r="A2310" s="4" t="s">
        <v>3414</v>
      </c>
      <c r="B2310" s="4" t="s">
        <v>13</v>
      </c>
      <c r="I2310" s="4">
        <v>0.194</v>
      </c>
      <c r="J2310" s="4">
        <v>0.014</v>
      </c>
      <c r="K2310" s="6" t="b">
        <f t="shared" si="2227"/>
        <v>0</v>
      </c>
      <c r="L2310" s="6" t="b">
        <f t="shared" si="2228"/>
        <v>0</v>
      </c>
      <c r="M2310" s="6" t="b">
        <f t="shared" si="2230"/>
        <v>0</v>
      </c>
      <c r="P2310" s="4">
        <v>0.17730901497041</v>
      </c>
      <c r="T2310" s="4" t="str">
        <f t="shared" si="3"/>
        <v/>
      </c>
      <c r="U2310" s="4">
        <f t="shared" si="4"/>
        <v>2683</v>
      </c>
    </row>
    <row r="2311" ht="15.75" customHeight="1">
      <c r="A2311" s="4" t="s">
        <v>3415</v>
      </c>
      <c r="B2311" s="4" t="s">
        <v>13</v>
      </c>
      <c r="I2311" s="4">
        <v>0.1088</v>
      </c>
      <c r="J2311" s="4">
        <v>0.017</v>
      </c>
      <c r="K2311" s="6" t="b">
        <f t="shared" si="2227"/>
        <v>0</v>
      </c>
      <c r="L2311" s="6" t="b">
        <f t="shared" si="2228"/>
        <v>0</v>
      </c>
      <c r="M2311" s="6" t="b">
        <f t="shared" si="2230"/>
        <v>0</v>
      </c>
      <c r="P2311" s="4">
        <v>0.103278349453502</v>
      </c>
      <c r="T2311" s="4" t="str">
        <f t="shared" si="3"/>
        <v/>
      </c>
      <c r="U2311" s="4">
        <f t="shared" si="4"/>
        <v>4069</v>
      </c>
    </row>
    <row r="2312" ht="15.75" customHeight="1">
      <c r="A2312" s="4" t="s">
        <v>3416</v>
      </c>
      <c r="B2312" s="4" t="s">
        <v>13</v>
      </c>
      <c r="I2312" s="4">
        <v>0.125</v>
      </c>
      <c r="J2312" s="4">
        <v>0.0196</v>
      </c>
      <c r="K2312" s="6" t="b">
        <f t="shared" si="2227"/>
        <v>0</v>
      </c>
      <c r="L2312" s="6" t="b">
        <f t="shared" si="2228"/>
        <v>0</v>
      </c>
      <c r="M2312" s="6" t="b">
        <f t="shared" si="2230"/>
        <v>0</v>
      </c>
      <c r="P2312" s="4">
        <v>0.117783035656383</v>
      </c>
      <c r="T2312" s="4" t="str">
        <f t="shared" si="3"/>
        <v/>
      </c>
      <c r="U2312" s="4">
        <f t="shared" si="4"/>
        <v>3786</v>
      </c>
    </row>
    <row r="2313" ht="15.75" customHeight="1">
      <c r="A2313" s="4" t="s">
        <v>3417</v>
      </c>
      <c r="B2313" s="4" t="s">
        <v>13</v>
      </c>
      <c r="I2313" s="4">
        <v>0.1722</v>
      </c>
      <c r="J2313" s="4">
        <v>0.0277</v>
      </c>
      <c r="K2313" s="6" t="b">
        <f t="shared" si="2227"/>
        <v>0</v>
      </c>
      <c r="L2313" s="6" t="b">
        <f t="shared" si="2228"/>
        <v>0</v>
      </c>
      <c r="M2313" s="6" t="b">
        <f t="shared" si="2230"/>
        <v>0</v>
      </c>
      <c r="P2313" s="4">
        <v>0.158882325060192</v>
      </c>
      <c r="T2313" s="4" t="str">
        <f t="shared" si="3"/>
        <v/>
      </c>
      <c r="U2313" s="4">
        <f t="shared" si="4"/>
        <v>3008</v>
      </c>
    </row>
    <row r="2314" ht="15.75" customHeight="1">
      <c r="A2314" s="4" t="s">
        <v>3418</v>
      </c>
      <c r="B2314" s="4" t="s">
        <v>13</v>
      </c>
      <c r="I2314" s="4">
        <v>0.1258</v>
      </c>
      <c r="J2314" s="4">
        <v>0.0205</v>
      </c>
      <c r="K2314" s="6" t="b">
        <f t="shared" si="2227"/>
        <v>0</v>
      </c>
      <c r="L2314" s="6" t="b">
        <f t="shared" si="2228"/>
        <v>0</v>
      </c>
      <c r="M2314" s="6" t="b">
        <f t="shared" si="2230"/>
        <v>0</v>
      </c>
      <c r="P2314" s="4">
        <v>0.118493894047789</v>
      </c>
      <c r="T2314" s="4" t="str">
        <f t="shared" si="3"/>
        <v/>
      </c>
      <c r="U2314" s="4">
        <f t="shared" si="4"/>
        <v>3775</v>
      </c>
    </row>
    <row r="2315" ht="15.75" customHeight="1">
      <c r="A2315" s="4" t="s">
        <v>3419</v>
      </c>
      <c r="B2315" s="4" t="s">
        <v>13</v>
      </c>
      <c r="I2315" s="4">
        <v>0.147</v>
      </c>
      <c r="J2315" s="4">
        <v>0.012</v>
      </c>
      <c r="K2315" s="6" t="b">
        <f t="shared" si="2227"/>
        <v>0</v>
      </c>
      <c r="L2315" s="6" t="b">
        <f t="shared" si="2228"/>
        <v>0</v>
      </c>
      <c r="M2315" s="6" t="b">
        <f t="shared" si="2230"/>
        <v>0</v>
      </c>
      <c r="P2315" s="4">
        <v>0.137149838147234</v>
      </c>
      <c r="T2315" s="4" t="str">
        <f t="shared" si="3"/>
        <v/>
      </c>
      <c r="U2315" s="4">
        <f t="shared" si="4"/>
        <v>3376</v>
      </c>
    </row>
    <row r="2316" ht="15.75" customHeight="1">
      <c r="A2316" s="4" t="s">
        <v>3420</v>
      </c>
      <c r="B2316" s="4" t="s">
        <v>13</v>
      </c>
      <c r="I2316" s="4">
        <v>0.094</v>
      </c>
      <c r="J2316" s="4">
        <v>0.007</v>
      </c>
      <c r="K2316" s="6" t="b">
        <f t="shared" si="2227"/>
        <v>0</v>
      </c>
      <c r="L2316" s="6" t="b">
        <f t="shared" si="2228"/>
        <v>0</v>
      </c>
      <c r="M2316" s="6" t="b">
        <f t="shared" si="2230"/>
        <v>0</v>
      </c>
      <c r="P2316" s="4">
        <v>0.0898407039997894</v>
      </c>
      <c r="T2316" s="4" t="str">
        <f t="shared" si="3"/>
        <v/>
      </c>
      <c r="U2316" s="4">
        <f t="shared" si="4"/>
        <v>4288</v>
      </c>
    </row>
    <row r="2317" ht="15.75" customHeight="1">
      <c r="A2317" s="4" t="s">
        <v>3421</v>
      </c>
      <c r="B2317" s="4" t="s">
        <v>13</v>
      </c>
      <c r="I2317" s="4">
        <v>0.122</v>
      </c>
      <c r="J2317" s="4">
        <v>0.004</v>
      </c>
      <c r="K2317" s="6" t="b">
        <f t="shared" si="2227"/>
        <v>0</v>
      </c>
      <c r="L2317" s="6" t="b">
        <f t="shared" si="2228"/>
        <v>0</v>
      </c>
      <c r="M2317" s="6" t="b">
        <f t="shared" si="2230"/>
        <v>0</v>
      </c>
      <c r="P2317" s="4">
        <v>0.115112807100505</v>
      </c>
      <c r="T2317" s="4" t="str">
        <f t="shared" si="3"/>
        <v/>
      </c>
      <c r="U2317" s="4">
        <f t="shared" si="4"/>
        <v>3827</v>
      </c>
    </row>
    <row r="2318" ht="15.75" customHeight="1">
      <c r="A2318" s="4" t="s">
        <v>3422</v>
      </c>
      <c r="B2318" s="4" t="s">
        <v>13</v>
      </c>
      <c r="I2318" s="4">
        <v>0.251</v>
      </c>
      <c r="J2318" s="4">
        <v>0.022</v>
      </c>
      <c r="K2318" s="6" t="b">
        <f t="shared" si="2227"/>
        <v>0</v>
      </c>
      <c r="L2318" s="6" t="b">
        <f t="shared" si="2228"/>
        <v>0</v>
      </c>
      <c r="M2318" s="6" t="b">
        <f t="shared" si="2230"/>
        <v>0</v>
      </c>
      <c r="P2318" s="4">
        <v>0.223943231484774</v>
      </c>
      <c r="T2318" s="4" t="str">
        <f t="shared" si="3"/>
        <v/>
      </c>
      <c r="U2318" s="4">
        <f t="shared" si="4"/>
        <v>1797</v>
      </c>
    </row>
    <row r="2319" ht="15.75" customHeight="1">
      <c r="A2319" s="4" t="s">
        <v>3423</v>
      </c>
      <c r="B2319" s="4" t="s">
        <v>13</v>
      </c>
      <c r="I2319" s="4">
        <v>0.204</v>
      </c>
      <c r="J2319" s="4">
        <v>0.016</v>
      </c>
      <c r="K2319" s="6" t="b">
        <f t="shared" si="2227"/>
        <v>0</v>
      </c>
      <c r="L2319" s="6" t="b">
        <f t="shared" si="2228"/>
        <v>0</v>
      </c>
      <c r="M2319" s="6" t="b">
        <f t="shared" si="2230"/>
        <v>0</v>
      </c>
      <c r="P2319" s="4">
        <v>0.185649346886629</v>
      </c>
      <c r="T2319" s="4" t="str">
        <f t="shared" si="3"/>
        <v/>
      </c>
      <c r="U2319" s="4">
        <f t="shared" si="4"/>
        <v>2510</v>
      </c>
    </row>
    <row r="2320" ht="15.75" customHeight="1">
      <c r="A2320" s="4" t="s">
        <v>3424</v>
      </c>
      <c r="B2320" s="4" t="s">
        <v>13</v>
      </c>
      <c r="I2320" s="4">
        <v>0.129</v>
      </c>
      <c r="J2320" s="4">
        <v>0.008</v>
      </c>
      <c r="K2320" s="6" t="b">
        <f t="shared" si="2227"/>
        <v>0</v>
      </c>
      <c r="L2320" s="6" t="b">
        <f t="shared" si="2228"/>
        <v>0</v>
      </c>
      <c r="M2320" s="6" t="b">
        <f t="shared" si="2230"/>
        <v>0</v>
      </c>
      <c r="P2320" s="4">
        <v>0.121332285167525</v>
      </c>
      <c r="T2320" s="4" t="str">
        <f t="shared" si="3"/>
        <v/>
      </c>
      <c r="U2320" s="4">
        <f t="shared" si="4"/>
        <v>3704</v>
      </c>
    </row>
    <row r="2321" ht="15.75" customHeight="1">
      <c r="A2321" s="4" t="s">
        <v>3425</v>
      </c>
      <c r="B2321" s="4" t="s">
        <v>13</v>
      </c>
      <c r="I2321" s="4">
        <v>0.177</v>
      </c>
      <c r="J2321" s="4">
        <v>0.036</v>
      </c>
      <c r="K2321" s="6" t="b">
        <f t="shared" si="2227"/>
        <v>0</v>
      </c>
      <c r="L2321" s="6" t="b">
        <f t="shared" si="2228"/>
        <v>0</v>
      </c>
      <c r="M2321" s="6" t="b">
        <f t="shared" si="2230"/>
        <v>0</v>
      </c>
      <c r="P2321" s="4">
        <v>0.16296882827814</v>
      </c>
      <c r="T2321" s="4" t="str">
        <f t="shared" si="3"/>
        <v/>
      </c>
      <c r="U2321" s="4">
        <f t="shared" si="4"/>
        <v>2948</v>
      </c>
    </row>
    <row r="2322" ht="15.75" customHeight="1">
      <c r="A2322" s="4" t="s">
        <v>3426</v>
      </c>
      <c r="B2322" s="4" t="s">
        <v>13</v>
      </c>
      <c r="I2322" s="4">
        <v>0.153</v>
      </c>
      <c r="J2322" s="4">
        <v>0.031</v>
      </c>
      <c r="K2322" s="6" t="b">
        <f t="shared" si="2227"/>
        <v>0</v>
      </c>
      <c r="L2322" s="6" t="b">
        <f t="shared" si="2228"/>
        <v>0</v>
      </c>
      <c r="M2322" s="6" t="b">
        <f t="shared" si="2230"/>
        <v>0</v>
      </c>
      <c r="P2322" s="4">
        <v>0.142367241286922</v>
      </c>
      <c r="T2322" s="4" t="str">
        <f t="shared" si="3"/>
        <v/>
      </c>
      <c r="U2322" s="4">
        <f t="shared" si="4"/>
        <v>3273</v>
      </c>
    </row>
    <row r="2323" ht="15.75" customHeight="1">
      <c r="A2323" s="4" t="s">
        <v>3427</v>
      </c>
      <c r="B2323" s="4" t="s">
        <v>13</v>
      </c>
      <c r="I2323" s="4">
        <v>0.215</v>
      </c>
      <c r="J2323" s="4">
        <v>0.039</v>
      </c>
      <c r="K2323" s="6" t="b">
        <f t="shared" si="2227"/>
        <v>0</v>
      </c>
      <c r="L2323" s="6" t="b">
        <f t="shared" si="2228"/>
        <v>0</v>
      </c>
      <c r="M2323" s="6" t="b">
        <f t="shared" si="2230"/>
        <v>0</v>
      </c>
      <c r="P2323" s="4">
        <v>0.194744076792512</v>
      </c>
      <c r="T2323" s="4" t="str">
        <f t="shared" si="3"/>
        <v/>
      </c>
      <c r="U2323" s="4">
        <f t="shared" si="4"/>
        <v>2337</v>
      </c>
    </row>
    <row r="2324" ht="15.75" customHeight="1">
      <c r="A2324" s="4" t="s">
        <v>3428</v>
      </c>
      <c r="B2324" s="4" t="s">
        <v>13</v>
      </c>
      <c r="I2324" s="4">
        <v>0.082</v>
      </c>
      <c r="J2324" s="4">
        <v>0.009</v>
      </c>
      <c r="K2324" s="6" t="b">
        <f t="shared" si="2227"/>
        <v>0</v>
      </c>
      <c r="L2324" s="6" t="b">
        <f t="shared" si="2228"/>
        <v>0</v>
      </c>
      <c r="M2324" s="6" t="b">
        <f t="shared" si="2230"/>
        <v>0</v>
      </c>
      <c r="P2324" s="4">
        <v>0.0788111804242897</v>
      </c>
      <c r="T2324" s="4" t="str">
        <f t="shared" si="3"/>
        <v/>
      </c>
      <c r="U2324" s="4">
        <f t="shared" si="4"/>
        <v>4398</v>
      </c>
    </row>
    <row r="2325" ht="15.75" customHeight="1">
      <c r="A2325" s="4" t="s">
        <v>3429</v>
      </c>
      <c r="B2325" s="4" t="s">
        <v>13</v>
      </c>
      <c r="I2325" s="4">
        <v>0.063</v>
      </c>
      <c r="J2325" s="4">
        <v>0.004</v>
      </c>
      <c r="K2325" s="6" t="b">
        <f t="shared" si="2227"/>
        <v>0</v>
      </c>
      <c r="L2325" s="6" t="b">
        <f t="shared" si="2228"/>
        <v>0</v>
      </c>
      <c r="M2325" s="6" t="b">
        <f t="shared" si="2230"/>
        <v>0</v>
      </c>
      <c r="P2325" s="4">
        <v>0.0610950993598108</v>
      </c>
      <c r="T2325" s="4" t="str">
        <f t="shared" si="3"/>
        <v/>
      </c>
      <c r="U2325" s="4">
        <f t="shared" si="4"/>
        <v>4524</v>
      </c>
    </row>
    <row r="2326" ht="15.75" customHeight="1">
      <c r="A2326" s="4" t="s">
        <v>3430</v>
      </c>
      <c r="B2326" s="4" t="s">
        <v>13</v>
      </c>
      <c r="I2326" s="4">
        <v>0.157</v>
      </c>
      <c r="J2326" s="4">
        <v>0.027</v>
      </c>
      <c r="K2326" s="6" t="b">
        <f t="shared" si="2227"/>
        <v>0</v>
      </c>
      <c r="L2326" s="6" t="b">
        <f t="shared" si="2228"/>
        <v>0</v>
      </c>
      <c r="M2326" s="6" t="b">
        <f t="shared" si="2230"/>
        <v>0</v>
      </c>
      <c r="P2326" s="4">
        <v>0.14583044821154</v>
      </c>
      <c r="T2326" s="4" t="str">
        <f t="shared" si="3"/>
        <v/>
      </c>
      <c r="U2326" s="4">
        <f t="shared" si="4"/>
        <v>3216</v>
      </c>
    </row>
    <row r="2327" ht="15.75" customHeight="1">
      <c r="A2327" s="4" t="s">
        <v>3431</v>
      </c>
      <c r="B2327" s="4" t="s">
        <v>13</v>
      </c>
      <c r="I2327" s="4">
        <v>0.253</v>
      </c>
      <c r="J2327" s="4">
        <v>0.043</v>
      </c>
      <c r="K2327" s="6" t="b">
        <f t="shared" si="2227"/>
        <v>0</v>
      </c>
      <c r="L2327" s="6" t="b">
        <f t="shared" si="2228"/>
        <v>0</v>
      </c>
      <c r="M2327" s="6" t="b">
        <f t="shared" si="2230"/>
        <v>0</v>
      </c>
      <c r="P2327" s="4">
        <v>0.225540675913931</v>
      </c>
      <c r="T2327" s="4" t="str">
        <f t="shared" si="3"/>
        <v/>
      </c>
      <c r="U2327" s="4">
        <f t="shared" si="4"/>
        <v>1767</v>
      </c>
    </row>
    <row r="2328" ht="15.75" customHeight="1">
      <c r="A2328" s="4" t="s">
        <v>3432</v>
      </c>
      <c r="B2328" s="4" t="s">
        <v>13</v>
      </c>
      <c r="I2328" s="4">
        <v>0.138</v>
      </c>
      <c r="J2328" s="4">
        <v>0.024</v>
      </c>
      <c r="K2328" s="6" t="b">
        <f t="shared" si="2227"/>
        <v>0</v>
      </c>
      <c r="L2328" s="6" t="b">
        <f t="shared" si="2228"/>
        <v>0</v>
      </c>
      <c r="M2328" s="6" t="b">
        <f t="shared" si="2230"/>
        <v>0</v>
      </c>
      <c r="P2328" s="4">
        <v>0.129272335704139</v>
      </c>
      <c r="T2328" s="4" t="str">
        <f t="shared" si="3"/>
        <v/>
      </c>
      <c r="U2328" s="4">
        <f t="shared" si="4"/>
        <v>3544</v>
      </c>
    </row>
    <row r="2329" ht="15.75" customHeight="1">
      <c r="A2329" s="4" t="s">
        <v>3433</v>
      </c>
      <c r="B2329" s="4" t="s">
        <v>13</v>
      </c>
      <c r="I2329" s="4">
        <v>0.2239</v>
      </c>
      <c r="J2329" s="4">
        <v>0.0187</v>
      </c>
      <c r="K2329" s="6" t="b">
        <f t="shared" si="2227"/>
        <v>0</v>
      </c>
      <c r="L2329" s="6" t="b">
        <f t="shared" si="2228"/>
        <v>0</v>
      </c>
      <c r="M2329" s="6" t="b">
        <f t="shared" si="2230"/>
        <v>0</v>
      </c>
      <c r="P2329" s="4">
        <v>0.202042481406156</v>
      </c>
      <c r="T2329" s="4" t="str">
        <f t="shared" si="3"/>
        <v/>
      </c>
      <c r="U2329" s="4">
        <f t="shared" si="4"/>
        <v>2200</v>
      </c>
    </row>
    <row r="2330" ht="15.75" customHeight="1">
      <c r="A2330" s="4" t="s">
        <v>3434</v>
      </c>
      <c r="B2330" s="4" t="s">
        <v>13</v>
      </c>
      <c r="I2330" s="4">
        <v>0.148</v>
      </c>
      <c r="J2330" s="4">
        <v>0.012</v>
      </c>
      <c r="K2330" s="6" t="b">
        <f t="shared" si="2227"/>
        <v>0</v>
      </c>
      <c r="L2330" s="6" t="b">
        <f t="shared" si="2228"/>
        <v>0</v>
      </c>
      <c r="M2330" s="6" t="b">
        <f t="shared" si="2230"/>
        <v>0</v>
      </c>
      <c r="P2330" s="4">
        <v>0.138021297897375</v>
      </c>
      <c r="T2330" s="4" t="str">
        <f t="shared" si="3"/>
        <v/>
      </c>
      <c r="U2330" s="4">
        <f t="shared" si="4"/>
        <v>3361</v>
      </c>
    </row>
    <row r="2331" ht="15.75" customHeight="1">
      <c r="A2331" s="4" t="s">
        <v>3435</v>
      </c>
      <c r="B2331" s="4" t="s">
        <v>13</v>
      </c>
      <c r="I2331" s="4">
        <v>0.172</v>
      </c>
      <c r="J2331" s="4">
        <v>0.017</v>
      </c>
      <c r="K2331" s="6" t="b">
        <f t="shared" si="2227"/>
        <v>0</v>
      </c>
      <c r="L2331" s="6" t="b">
        <f t="shared" si="2228"/>
        <v>0</v>
      </c>
      <c r="M2331" s="6" t="b">
        <f t="shared" si="2230"/>
        <v>0</v>
      </c>
      <c r="P2331" s="4">
        <v>0.158711691154821</v>
      </c>
      <c r="T2331" s="4" t="str">
        <f t="shared" si="3"/>
        <v/>
      </c>
      <c r="U2331" s="4">
        <f t="shared" si="4"/>
        <v>3016</v>
      </c>
    </row>
    <row r="2332" ht="15.75" customHeight="1">
      <c r="A2332" s="4" t="s">
        <v>3436</v>
      </c>
      <c r="B2332" s="4" t="s">
        <v>13</v>
      </c>
      <c r="I2332" s="4">
        <v>0.164</v>
      </c>
      <c r="J2332" s="4">
        <v>0.018</v>
      </c>
      <c r="K2332" s="6" t="b">
        <f t="shared" si="2227"/>
        <v>0</v>
      </c>
      <c r="L2332" s="6" t="b">
        <f t="shared" si="2228"/>
        <v>0</v>
      </c>
      <c r="M2332" s="6" t="b">
        <f t="shared" si="2230"/>
        <v>0</v>
      </c>
      <c r="P2332" s="4">
        <v>0.151862349309246</v>
      </c>
      <c r="T2332" s="4" t="str">
        <f t="shared" si="3"/>
        <v/>
      </c>
      <c r="U2332" s="4">
        <f t="shared" si="4"/>
        <v>3121</v>
      </c>
    </row>
    <row r="2333" ht="15.75" customHeight="1">
      <c r="A2333" s="4" t="s">
        <v>3437</v>
      </c>
      <c r="B2333" s="4" t="s">
        <v>13</v>
      </c>
      <c r="I2333" s="4">
        <v>0.211</v>
      </c>
      <c r="J2333" s="4">
        <v>0.041</v>
      </c>
      <c r="K2333" s="6" t="b">
        <f t="shared" si="2227"/>
        <v>0</v>
      </c>
      <c r="L2333" s="6" t="b">
        <f t="shared" si="2228"/>
        <v>0</v>
      </c>
      <c r="M2333" s="6" t="b">
        <f t="shared" si="2230"/>
        <v>0</v>
      </c>
      <c r="P2333" s="4">
        <v>0.191446464570955</v>
      </c>
      <c r="T2333" s="4" t="str">
        <f t="shared" si="3"/>
        <v/>
      </c>
      <c r="U2333" s="4">
        <f t="shared" si="4"/>
        <v>2398</v>
      </c>
    </row>
    <row r="2334" ht="15.75" customHeight="1">
      <c r="A2334" s="4" t="s">
        <v>3438</v>
      </c>
      <c r="B2334" s="4" t="s">
        <v>13</v>
      </c>
      <c r="I2334" s="4">
        <v>0.141</v>
      </c>
      <c r="J2334" s="4">
        <v>0.019</v>
      </c>
      <c r="K2334" s="6" t="b">
        <f t="shared" si="2227"/>
        <v>0</v>
      </c>
      <c r="L2334" s="6" t="b">
        <f t="shared" si="2228"/>
        <v>0</v>
      </c>
      <c r="M2334" s="6" t="b">
        <f t="shared" si="2230"/>
        <v>0</v>
      </c>
      <c r="P2334" s="4">
        <v>0.131905070879939</v>
      </c>
      <c r="T2334" s="4" t="str">
        <f t="shared" si="3"/>
        <v/>
      </c>
      <c r="U2334" s="4">
        <f t="shared" si="4"/>
        <v>3490</v>
      </c>
    </row>
    <row r="2335" ht="15.75" customHeight="1">
      <c r="A2335" s="4" t="s">
        <v>3439</v>
      </c>
      <c r="B2335" s="4" t="s">
        <v>13</v>
      </c>
      <c r="I2335" s="4">
        <v>0.092</v>
      </c>
      <c r="J2335" s="4">
        <v>0.004</v>
      </c>
      <c r="K2335" s="6" t="b">
        <f t="shared" si="2227"/>
        <v>0</v>
      </c>
      <c r="L2335" s="6" t="b">
        <f t="shared" si="2228"/>
        <v>0</v>
      </c>
      <c r="M2335" s="6" t="b">
        <f t="shared" si="2230"/>
        <v>0</v>
      </c>
      <c r="P2335" s="4">
        <v>0.0880108773227133</v>
      </c>
      <c r="T2335" s="4" t="str">
        <f t="shared" si="3"/>
        <v/>
      </c>
      <c r="U2335" s="4">
        <f t="shared" si="4"/>
        <v>4307</v>
      </c>
    </row>
    <row r="2336" ht="15.75" customHeight="1">
      <c r="A2336" s="4" t="s">
        <v>3440</v>
      </c>
      <c r="B2336" s="4" t="s">
        <v>13</v>
      </c>
      <c r="I2336" s="4">
        <v>0.173</v>
      </c>
      <c r="J2336" s="4">
        <v>0.021</v>
      </c>
      <c r="K2336" s="6" t="b">
        <f t="shared" si="2227"/>
        <v>0</v>
      </c>
      <c r="L2336" s="6" t="b">
        <f t="shared" si="2228"/>
        <v>0</v>
      </c>
      <c r="M2336" s="6" t="b">
        <f t="shared" si="2230"/>
        <v>0</v>
      </c>
      <c r="P2336" s="4">
        <v>0.159564569671338</v>
      </c>
      <c r="T2336" s="4" t="str">
        <f t="shared" si="3"/>
        <v/>
      </c>
      <c r="U2336" s="4">
        <f t="shared" si="4"/>
        <v>3004</v>
      </c>
    </row>
    <row r="2337" ht="15.75" customHeight="1">
      <c r="A2337" s="4" t="s">
        <v>3441</v>
      </c>
      <c r="B2337" s="4" t="s">
        <v>13</v>
      </c>
      <c r="I2337" s="4">
        <v>0.062</v>
      </c>
      <c r="J2337" s="4">
        <v>0.01</v>
      </c>
      <c r="K2337" s="6" t="b">
        <f t="shared" si="2227"/>
        <v>0</v>
      </c>
      <c r="L2337" s="6" t="b">
        <f t="shared" si="2228"/>
        <v>0</v>
      </c>
      <c r="M2337" s="6" t="b">
        <f t="shared" si="2230"/>
        <v>0</v>
      </c>
      <c r="P2337" s="4">
        <v>0.060153922819747</v>
      </c>
      <c r="T2337" s="4" t="str">
        <f t="shared" si="3"/>
        <v/>
      </c>
      <c r="U2337" s="4">
        <f t="shared" si="4"/>
        <v>4527</v>
      </c>
    </row>
    <row r="2338" ht="15.75" customHeight="1">
      <c r="A2338" s="4" t="s">
        <v>3442</v>
      </c>
      <c r="B2338" s="4" t="s">
        <v>13</v>
      </c>
      <c r="I2338" s="4">
        <v>0.178</v>
      </c>
      <c r="J2338" s="4">
        <v>0.035</v>
      </c>
      <c r="K2338" s="6" t="b">
        <f t="shared" si="2227"/>
        <v>0</v>
      </c>
      <c r="L2338" s="6" t="b">
        <f t="shared" si="2228"/>
        <v>0</v>
      </c>
      <c r="M2338" s="6" t="b">
        <f t="shared" si="2230"/>
        <v>0</v>
      </c>
      <c r="P2338" s="4">
        <v>0.163818085229395</v>
      </c>
      <c r="T2338" s="4" t="str">
        <f t="shared" si="3"/>
        <v/>
      </c>
      <c r="U2338" s="4">
        <f t="shared" si="4"/>
        <v>2917</v>
      </c>
    </row>
    <row r="2339" ht="15.75" customHeight="1">
      <c r="A2339" s="4" t="s">
        <v>3443</v>
      </c>
      <c r="B2339" s="4" t="s">
        <v>13</v>
      </c>
      <c r="I2339" s="4">
        <v>0.112</v>
      </c>
      <c r="J2339" s="4">
        <v>0.022</v>
      </c>
      <c r="K2339" s="6" t="b">
        <f t="shared" si="2227"/>
        <v>0</v>
      </c>
      <c r="L2339" s="6" t="b">
        <f t="shared" si="2228"/>
        <v>0</v>
      </c>
      <c r="M2339" s="6" t="b">
        <f t="shared" si="2230"/>
        <v>0</v>
      </c>
      <c r="P2339" s="4">
        <v>0.106160195828391</v>
      </c>
      <c r="T2339" s="4" t="str">
        <f t="shared" si="3"/>
        <v/>
      </c>
      <c r="U2339" s="4">
        <f t="shared" si="4"/>
        <v>4006</v>
      </c>
    </row>
    <row r="2340" ht="15.75" customHeight="1">
      <c r="A2340" s="4" t="s">
        <v>3444</v>
      </c>
      <c r="B2340" s="4" t="s">
        <v>13</v>
      </c>
      <c r="I2340" s="4">
        <v>0.225</v>
      </c>
      <c r="J2340" s="4">
        <v>0.022</v>
      </c>
      <c r="K2340" s="6" t="b">
        <f t="shared" si="2227"/>
        <v>0</v>
      </c>
      <c r="L2340" s="6" t="b">
        <f t="shared" si="2228"/>
        <v>0</v>
      </c>
      <c r="M2340" s="6" t="b">
        <f t="shared" si="2230"/>
        <v>0</v>
      </c>
      <c r="P2340" s="4">
        <v>0.20294084399669</v>
      </c>
      <c r="T2340" s="4" t="str">
        <f t="shared" si="3"/>
        <v/>
      </c>
      <c r="U2340" s="4">
        <f t="shared" si="4"/>
        <v>2186</v>
      </c>
    </row>
    <row r="2341" ht="15.75" customHeight="1">
      <c r="A2341" s="4" t="s">
        <v>3445</v>
      </c>
      <c r="B2341" s="4" t="s">
        <v>13</v>
      </c>
      <c r="I2341" s="4">
        <v>0.154</v>
      </c>
      <c r="J2341" s="4">
        <v>0.016</v>
      </c>
      <c r="K2341" s="6" t="b">
        <f t="shared" si="2227"/>
        <v>0</v>
      </c>
      <c r="L2341" s="6" t="b">
        <f t="shared" si="2228"/>
        <v>0</v>
      </c>
      <c r="M2341" s="6" t="b">
        <f t="shared" si="2230"/>
        <v>0</v>
      </c>
      <c r="P2341" s="4">
        <v>0.143234168085908</v>
      </c>
      <c r="T2341" s="4" t="str">
        <f t="shared" si="3"/>
        <v/>
      </c>
      <c r="U2341" s="4">
        <f t="shared" si="4"/>
        <v>3256</v>
      </c>
    </row>
    <row r="2342" ht="15.75" customHeight="1">
      <c r="A2342" s="4" t="s">
        <v>3446</v>
      </c>
      <c r="B2342" s="4" t="s">
        <v>13</v>
      </c>
      <c r="I2342" s="4">
        <v>0.058</v>
      </c>
      <c r="J2342" s="4">
        <v>0.004</v>
      </c>
      <c r="K2342" s="6" t="b">
        <f t="shared" si="2227"/>
        <v>0</v>
      </c>
      <c r="L2342" s="6" t="b">
        <f t="shared" si="2228"/>
        <v>0</v>
      </c>
      <c r="M2342" s="6" t="b">
        <f t="shared" si="2230"/>
        <v>0</v>
      </c>
      <c r="P2342" s="4">
        <v>0.0563803334361076</v>
      </c>
      <c r="T2342" s="4" t="str">
        <f t="shared" si="3"/>
        <v/>
      </c>
      <c r="U2342" s="4">
        <f t="shared" si="4"/>
        <v>4538</v>
      </c>
    </row>
    <row r="2343" ht="15.75" customHeight="1">
      <c r="A2343" s="4" t="s">
        <v>3447</v>
      </c>
      <c r="B2343" s="4" t="s">
        <v>13</v>
      </c>
      <c r="I2343" s="4">
        <v>0.079</v>
      </c>
      <c r="J2343" s="4">
        <v>0.01</v>
      </c>
      <c r="K2343" s="6" t="b">
        <f t="shared" si="2227"/>
        <v>0</v>
      </c>
      <c r="L2343" s="6" t="b">
        <f t="shared" si="2228"/>
        <v>0</v>
      </c>
      <c r="M2343" s="6" t="b">
        <f t="shared" si="2230"/>
        <v>0</v>
      </c>
      <c r="P2343" s="4">
        <v>0.0760346862759976</v>
      </c>
      <c r="T2343" s="4" t="str">
        <f t="shared" si="3"/>
        <v/>
      </c>
      <c r="U2343" s="4">
        <f t="shared" si="4"/>
        <v>4420</v>
      </c>
    </row>
    <row r="2344" ht="15.75" customHeight="1">
      <c r="A2344" s="4" t="s">
        <v>3448</v>
      </c>
      <c r="B2344" s="4" t="s">
        <v>13</v>
      </c>
      <c r="I2344" s="4">
        <v>0.161</v>
      </c>
      <c r="J2344" s="4">
        <v>0.012</v>
      </c>
      <c r="K2344" s="6" t="b">
        <f t="shared" si="2227"/>
        <v>0</v>
      </c>
      <c r="L2344" s="6" t="b">
        <f t="shared" si="2228"/>
        <v>0</v>
      </c>
      <c r="M2344" s="6" t="b">
        <f t="shared" si="2230"/>
        <v>0</v>
      </c>
      <c r="P2344" s="4">
        <v>0.149281702715754</v>
      </c>
      <c r="T2344" s="4" t="str">
        <f t="shared" si="3"/>
        <v/>
      </c>
      <c r="U2344" s="4">
        <f t="shared" si="4"/>
        <v>3165</v>
      </c>
    </row>
    <row r="2345" ht="15.75" customHeight="1">
      <c r="A2345" s="4" t="s">
        <v>3449</v>
      </c>
      <c r="B2345" s="4" t="s">
        <v>13</v>
      </c>
      <c r="I2345" s="4">
        <v>0.265</v>
      </c>
      <c r="J2345" s="4">
        <v>0.045</v>
      </c>
      <c r="K2345" s="6" t="b">
        <f t="shared" si="2227"/>
        <v>0</v>
      </c>
      <c r="L2345" s="6" t="b">
        <f t="shared" si="2228"/>
        <v>0</v>
      </c>
      <c r="M2345" s="6" t="b">
        <f t="shared" si="2230"/>
        <v>0</v>
      </c>
      <c r="P2345" s="4">
        <v>0.235072122179484</v>
      </c>
      <c r="T2345" s="4" t="str">
        <f t="shared" si="3"/>
        <v/>
      </c>
      <c r="U2345" s="4">
        <f t="shared" si="4"/>
        <v>1630</v>
      </c>
    </row>
    <row r="2346" ht="15.75" customHeight="1">
      <c r="A2346" s="4" t="s">
        <v>3450</v>
      </c>
      <c r="B2346" s="4" t="s">
        <v>13</v>
      </c>
      <c r="I2346" s="4">
        <v>0.13</v>
      </c>
      <c r="J2346" s="4">
        <v>0.009</v>
      </c>
      <c r="K2346" s="6" t="b">
        <f t="shared" si="2227"/>
        <v>0</v>
      </c>
      <c r="L2346" s="6" t="b">
        <f t="shared" si="2228"/>
        <v>0</v>
      </c>
      <c r="M2346" s="6" t="b">
        <f t="shared" si="2230"/>
        <v>0</v>
      </c>
      <c r="P2346" s="4">
        <v>0.122217632724249</v>
      </c>
      <c r="T2346" s="4" t="str">
        <f t="shared" si="3"/>
        <v/>
      </c>
      <c r="U2346" s="4">
        <f t="shared" si="4"/>
        <v>3689</v>
      </c>
    </row>
    <row r="2347" ht="15.75" customHeight="1">
      <c r="A2347" s="4" t="s">
        <v>3451</v>
      </c>
      <c r="B2347" s="4" t="s">
        <v>13</v>
      </c>
      <c r="I2347" s="4">
        <v>0.136</v>
      </c>
      <c r="J2347" s="4">
        <v>0.009</v>
      </c>
      <c r="K2347" s="6" t="b">
        <f t="shared" si="2227"/>
        <v>0</v>
      </c>
      <c r="L2347" s="6" t="b">
        <f t="shared" si="2228"/>
        <v>0</v>
      </c>
      <c r="M2347" s="6" t="b">
        <f t="shared" si="2230"/>
        <v>0</v>
      </c>
      <c r="P2347" s="4">
        <v>0.12751332029896</v>
      </c>
      <c r="T2347" s="4" t="str">
        <f t="shared" si="3"/>
        <v/>
      </c>
      <c r="U2347" s="4">
        <f t="shared" si="4"/>
        <v>3578</v>
      </c>
    </row>
    <row r="2348" ht="15.75" customHeight="1">
      <c r="A2348" s="4" t="s">
        <v>3452</v>
      </c>
      <c r="B2348" s="4" t="s">
        <v>13</v>
      </c>
      <c r="I2348" s="4">
        <v>0.114</v>
      </c>
      <c r="J2348" s="4">
        <v>0.01</v>
      </c>
      <c r="K2348" s="6" t="b">
        <f t="shared" si="2227"/>
        <v>0</v>
      </c>
      <c r="L2348" s="6" t="b">
        <f t="shared" si="2228"/>
        <v>0</v>
      </c>
      <c r="M2348" s="6" t="b">
        <f t="shared" si="2230"/>
        <v>0</v>
      </c>
      <c r="P2348" s="4">
        <v>0.107957141505092</v>
      </c>
      <c r="T2348" s="4" t="str">
        <f t="shared" si="3"/>
        <v/>
      </c>
      <c r="U2348" s="4">
        <f t="shared" si="4"/>
        <v>3983</v>
      </c>
    </row>
    <row r="2349" ht="15.75" customHeight="1">
      <c r="A2349" s="4" t="s">
        <v>3453</v>
      </c>
      <c r="B2349" s="4" t="s">
        <v>13</v>
      </c>
      <c r="I2349" s="4">
        <v>0.1</v>
      </c>
      <c r="J2349" s="4">
        <v>0.009</v>
      </c>
      <c r="K2349" s="6" t="b">
        <f t="shared" si="2227"/>
        <v>0</v>
      </c>
      <c r="L2349" s="6" t="b">
        <f t="shared" si="2228"/>
        <v>0</v>
      </c>
      <c r="M2349" s="6" t="b">
        <f t="shared" si="2230"/>
        <v>0</v>
      </c>
      <c r="P2349" s="4">
        <v>0.0953101798043248</v>
      </c>
      <c r="T2349" s="4" t="str">
        <f t="shared" si="3"/>
        <v/>
      </c>
      <c r="U2349" s="4">
        <f t="shared" si="4"/>
        <v>4214</v>
      </c>
    </row>
    <row r="2350" ht="15.75" customHeight="1">
      <c r="A2350" s="4" t="s">
        <v>3454</v>
      </c>
      <c r="B2350" s="4" t="s">
        <v>13</v>
      </c>
      <c r="I2350" s="4">
        <v>0.252</v>
      </c>
      <c r="J2350" s="4">
        <v>0.029</v>
      </c>
      <c r="K2350" s="6" t="b">
        <f t="shared" si="2227"/>
        <v>0</v>
      </c>
      <c r="L2350" s="6" t="b">
        <f t="shared" si="2228"/>
        <v>0</v>
      </c>
      <c r="M2350" s="6" t="b">
        <f t="shared" si="2230"/>
        <v>0</v>
      </c>
      <c r="P2350" s="4">
        <v>0.224742272677907</v>
      </c>
      <c r="T2350" s="4" t="str">
        <f t="shared" si="3"/>
        <v/>
      </c>
      <c r="U2350" s="4">
        <f t="shared" si="4"/>
        <v>1781</v>
      </c>
    </row>
    <row r="2351" ht="15.75" customHeight="1">
      <c r="A2351" s="4" t="s">
        <v>3455</v>
      </c>
      <c r="B2351" s="4" t="s">
        <v>13</v>
      </c>
      <c r="I2351" s="4">
        <v>0.161</v>
      </c>
      <c r="J2351" s="4">
        <v>0.031</v>
      </c>
      <c r="K2351" s="6" t="b">
        <f t="shared" si="2227"/>
        <v>0</v>
      </c>
      <c r="L2351" s="6" t="b">
        <f t="shared" si="2228"/>
        <v>0</v>
      </c>
      <c r="M2351" s="6" t="b">
        <f t="shared" si="2230"/>
        <v>0</v>
      </c>
      <c r="P2351" s="4">
        <v>0.149281702715754</v>
      </c>
      <c r="T2351" s="4" t="str">
        <f t="shared" si="3"/>
        <v/>
      </c>
      <c r="U2351" s="4">
        <f t="shared" si="4"/>
        <v>3166</v>
      </c>
    </row>
    <row r="2352" ht="15.75" customHeight="1">
      <c r="A2352" s="4" t="s">
        <v>3456</v>
      </c>
      <c r="B2352" s="4" t="s">
        <v>13</v>
      </c>
      <c r="I2352" s="4">
        <v>0.103</v>
      </c>
      <c r="J2352" s="4">
        <v>0.021</v>
      </c>
      <c r="K2352" s="6" t="b">
        <f t="shared" si="2227"/>
        <v>0</v>
      </c>
      <c r="L2352" s="6" t="b">
        <f t="shared" si="2228"/>
        <v>0</v>
      </c>
      <c r="M2352" s="6" t="b">
        <f t="shared" si="2230"/>
        <v>0</v>
      </c>
      <c r="P2352" s="4">
        <v>0.0980337402713654</v>
      </c>
      <c r="T2352" s="4" t="str">
        <f t="shared" si="3"/>
        <v/>
      </c>
      <c r="U2352" s="4">
        <f t="shared" si="4"/>
        <v>4173</v>
      </c>
    </row>
    <row r="2353" ht="15.75" customHeight="1">
      <c r="A2353" s="4" t="s">
        <v>3457</v>
      </c>
      <c r="B2353" s="4" t="s">
        <v>13</v>
      </c>
      <c r="I2353" s="4">
        <v>0.303</v>
      </c>
      <c r="J2353" s="4">
        <v>0.068</v>
      </c>
      <c r="K2353" s="6" t="b">
        <f t="shared" si="2227"/>
        <v>0</v>
      </c>
      <c r="L2353" s="6" t="b">
        <f t="shared" si="2228"/>
        <v>0</v>
      </c>
      <c r="M2353" s="6" t="b">
        <f t="shared" si="2230"/>
        <v>0</v>
      </c>
      <c r="P2353" s="4">
        <v>0.264669298142708</v>
      </c>
      <c r="T2353" s="4" t="str">
        <f t="shared" si="3"/>
        <v/>
      </c>
      <c r="U2353" s="4">
        <f t="shared" si="4"/>
        <v>1359</v>
      </c>
    </row>
    <row r="2354" ht="15.75" customHeight="1">
      <c r="A2354" s="4" t="s">
        <v>3458</v>
      </c>
      <c r="B2354" s="4" t="s">
        <v>13</v>
      </c>
      <c r="I2354" s="4">
        <v>0.077</v>
      </c>
      <c r="J2354" s="4">
        <v>0.011</v>
      </c>
      <c r="K2354" s="6" t="b">
        <f t="shared" si="2227"/>
        <v>0</v>
      </c>
      <c r="L2354" s="6" t="b">
        <f t="shared" si="2228"/>
        <v>0</v>
      </c>
      <c r="M2354" s="6" t="b">
        <f t="shared" si="2230"/>
        <v>0</v>
      </c>
      <c r="P2354" s="4">
        <v>0.0741793981742515</v>
      </c>
      <c r="T2354" s="4" t="str">
        <f t="shared" si="3"/>
        <v/>
      </c>
      <c r="U2354" s="4">
        <f t="shared" si="4"/>
        <v>4442</v>
      </c>
    </row>
    <row r="2355" ht="15.75" customHeight="1">
      <c r="A2355" s="4" t="s">
        <v>3459</v>
      </c>
      <c r="B2355" s="4" t="s">
        <v>13</v>
      </c>
      <c r="I2355" s="4">
        <v>0.232</v>
      </c>
      <c r="J2355" s="4">
        <v>0.017</v>
      </c>
      <c r="K2355" s="6" t="b">
        <f t="shared" si="2227"/>
        <v>0</v>
      </c>
      <c r="L2355" s="6" t="b">
        <f t="shared" si="2228"/>
        <v>0</v>
      </c>
      <c r="M2355" s="6" t="b">
        <f t="shared" si="2230"/>
        <v>0</v>
      </c>
      <c r="P2355" s="4">
        <v>0.208638865111328</v>
      </c>
      <c r="T2355" s="4" t="str">
        <f t="shared" si="3"/>
        <v/>
      </c>
      <c r="U2355" s="4">
        <f t="shared" si="4"/>
        <v>2079</v>
      </c>
    </row>
    <row r="2356" ht="15.75" customHeight="1">
      <c r="A2356" s="4" t="s">
        <v>3460</v>
      </c>
      <c r="B2356" s="4" t="s">
        <v>13</v>
      </c>
      <c r="I2356" s="4">
        <v>0.112</v>
      </c>
      <c r="J2356" s="4">
        <v>0.007</v>
      </c>
      <c r="K2356" s="6" t="b">
        <f t="shared" si="2227"/>
        <v>0</v>
      </c>
      <c r="L2356" s="6" t="b">
        <f t="shared" si="2228"/>
        <v>0</v>
      </c>
      <c r="M2356" s="6" t="b">
        <f t="shared" si="2230"/>
        <v>0</v>
      </c>
      <c r="P2356" s="4">
        <v>0.106160195828391</v>
      </c>
      <c r="T2356" s="4" t="str">
        <f t="shared" si="3"/>
        <v/>
      </c>
      <c r="U2356" s="4">
        <f t="shared" si="4"/>
        <v>4007</v>
      </c>
    </row>
    <row r="2357" ht="15.75" customHeight="1">
      <c r="A2357" s="4" t="s">
        <v>3461</v>
      </c>
      <c r="B2357" s="4" t="s">
        <v>13</v>
      </c>
      <c r="I2357" s="4">
        <v>0.2569</v>
      </c>
      <c r="J2357" s="4">
        <v>0.0723</v>
      </c>
      <c r="K2357" s="6" t="b">
        <f t="shared" si="2227"/>
        <v>0</v>
      </c>
      <c r="L2357" s="6" t="b">
        <f t="shared" si="2228"/>
        <v>0</v>
      </c>
      <c r="M2357" s="6" t="b">
        <f t="shared" si="2230"/>
        <v>0</v>
      </c>
      <c r="P2357" s="4">
        <v>0.228648371948655</v>
      </c>
      <c r="T2357" s="4" t="str">
        <f t="shared" si="3"/>
        <v/>
      </c>
      <c r="U2357" s="4">
        <f t="shared" si="4"/>
        <v>1718</v>
      </c>
    </row>
    <row r="2358" ht="15.75" customHeight="1">
      <c r="A2358" s="4" t="s">
        <v>3462</v>
      </c>
      <c r="B2358" s="4" t="s">
        <v>13</v>
      </c>
      <c r="I2358" s="4">
        <v>0.082</v>
      </c>
      <c r="J2358" s="4">
        <v>0.009</v>
      </c>
      <c r="K2358" s="6" t="b">
        <f t="shared" si="2227"/>
        <v>0</v>
      </c>
      <c r="L2358" s="6" t="b">
        <f t="shared" si="2228"/>
        <v>0</v>
      </c>
      <c r="M2358" s="6" t="b">
        <f t="shared" si="2230"/>
        <v>0</v>
      </c>
      <c r="P2358" s="4">
        <v>0.0788111804242897</v>
      </c>
      <c r="T2358" s="4" t="str">
        <f t="shared" si="3"/>
        <v/>
      </c>
      <c r="U2358" s="4">
        <f t="shared" si="4"/>
        <v>4399</v>
      </c>
    </row>
    <row r="2359" ht="15.75" customHeight="1">
      <c r="A2359" s="4" t="s">
        <v>3463</v>
      </c>
      <c r="B2359" s="4" t="s">
        <v>13</v>
      </c>
      <c r="I2359" s="4">
        <v>0.071</v>
      </c>
      <c r="J2359" s="4">
        <v>0.007</v>
      </c>
      <c r="K2359" s="6" t="b">
        <f t="shared" si="2227"/>
        <v>0</v>
      </c>
      <c r="L2359" s="6" t="b">
        <f t="shared" si="2228"/>
        <v>0</v>
      </c>
      <c r="M2359" s="6" t="b">
        <f t="shared" si="2230"/>
        <v>0</v>
      </c>
      <c r="P2359" s="4">
        <v>0.0685927914656117</v>
      </c>
      <c r="T2359" s="4" t="str">
        <f t="shared" si="3"/>
        <v/>
      </c>
      <c r="U2359" s="4">
        <f t="shared" si="4"/>
        <v>4480</v>
      </c>
    </row>
    <row r="2360" ht="15.75" customHeight="1">
      <c r="A2360" s="4" t="s">
        <v>3464</v>
      </c>
      <c r="B2360" s="4" t="s">
        <v>13</v>
      </c>
      <c r="I2360" s="4">
        <v>0.128</v>
      </c>
      <c r="J2360" s="4">
        <v>0.009</v>
      </c>
      <c r="K2360" s="6" t="b">
        <f t="shared" si="2227"/>
        <v>0</v>
      </c>
      <c r="L2360" s="6" t="b">
        <f t="shared" si="2228"/>
        <v>0</v>
      </c>
      <c r="M2360" s="6" t="b">
        <f t="shared" si="2230"/>
        <v>0</v>
      </c>
      <c r="P2360" s="4">
        <v>0.120446153075867</v>
      </c>
      <c r="T2360" s="4" t="str">
        <f t="shared" si="3"/>
        <v/>
      </c>
      <c r="U2360" s="4">
        <f t="shared" si="4"/>
        <v>3726</v>
      </c>
    </row>
    <row r="2361" ht="15.75" customHeight="1">
      <c r="A2361" s="4" t="s">
        <v>3465</v>
      </c>
      <c r="B2361" s="4" t="s">
        <v>13</v>
      </c>
      <c r="I2361" s="4">
        <v>0.082</v>
      </c>
      <c r="J2361" s="4">
        <v>0.007</v>
      </c>
      <c r="K2361" s="6" t="b">
        <f t="shared" si="2227"/>
        <v>0</v>
      </c>
      <c r="L2361" s="6" t="b">
        <f t="shared" si="2228"/>
        <v>0</v>
      </c>
      <c r="M2361" s="6" t="b">
        <f t="shared" si="2230"/>
        <v>0</v>
      </c>
      <c r="P2361" s="4">
        <v>0.0788111804242897</v>
      </c>
      <c r="T2361" s="4" t="str">
        <f t="shared" si="3"/>
        <v/>
      </c>
      <c r="U2361" s="4">
        <f t="shared" si="4"/>
        <v>4400</v>
      </c>
    </row>
    <row r="2362" ht="15.75" customHeight="1">
      <c r="A2362" s="4" t="s">
        <v>3466</v>
      </c>
      <c r="B2362" s="4" t="s">
        <v>13</v>
      </c>
      <c r="I2362" s="4">
        <v>0.147</v>
      </c>
      <c r="J2362" s="4">
        <v>0.015</v>
      </c>
      <c r="K2362" s="6" t="b">
        <f t="shared" si="2227"/>
        <v>0</v>
      </c>
      <c r="L2362" s="6" t="b">
        <f t="shared" si="2228"/>
        <v>0</v>
      </c>
      <c r="M2362" s="6" t="b">
        <f t="shared" si="2230"/>
        <v>0</v>
      </c>
      <c r="P2362" s="4">
        <v>0.137149838147234</v>
      </c>
      <c r="T2362" s="4" t="str">
        <f t="shared" si="3"/>
        <v/>
      </c>
      <c r="U2362" s="4">
        <f t="shared" si="4"/>
        <v>3377</v>
      </c>
    </row>
    <row r="2363" ht="15.75" customHeight="1">
      <c r="A2363" s="4" t="s">
        <v>3467</v>
      </c>
      <c r="B2363" s="4" t="s">
        <v>13</v>
      </c>
      <c r="I2363" s="4">
        <v>0.24</v>
      </c>
      <c r="J2363" s="4">
        <v>0.022</v>
      </c>
      <c r="K2363" s="6" t="b">
        <f t="shared" si="2227"/>
        <v>0</v>
      </c>
      <c r="L2363" s="6" t="b">
        <f t="shared" si="2228"/>
        <v>0</v>
      </c>
      <c r="M2363" s="6" t="b">
        <f t="shared" si="2230"/>
        <v>0</v>
      </c>
      <c r="P2363" s="4">
        <v>0.215111379616946</v>
      </c>
      <c r="T2363" s="4" t="str">
        <f t="shared" si="3"/>
        <v/>
      </c>
      <c r="U2363" s="4">
        <f t="shared" si="4"/>
        <v>1947</v>
      </c>
    </row>
    <row r="2364" ht="15.75" customHeight="1">
      <c r="A2364" s="4" t="s">
        <v>3468</v>
      </c>
      <c r="B2364" s="4" t="s">
        <v>13</v>
      </c>
      <c r="I2364" s="4">
        <v>0.1838</v>
      </c>
      <c r="J2364" s="4">
        <v>0.0241</v>
      </c>
      <c r="K2364" s="6" t="b">
        <f t="shared" si="2227"/>
        <v>0</v>
      </c>
      <c r="L2364" s="6" t="b">
        <f t="shared" si="2228"/>
        <v>0</v>
      </c>
      <c r="M2364" s="6" t="b">
        <f t="shared" si="2230"/>
        <v>0</v>
      </c>
      <c r="P2364" s="4">
        <v>0.168729603274488</v>
      </c>
      <c r="T2364" s="4" t="str">
        <f t="shared" si="3"/>
        <v/>
      </c>
      <c r="U2364" s="4">
        <f t="shared" si="4"/>
        <v>2844</v>
      </c>
    </row>
    <row r="2365" ht="15.75" customHeight="1">
      <c r="A2365" s="4" t="s">
        <v>3469</v>
      </c>
      <c r="B2365" s="4" t="s">
        <v>13</v>
      </c>
      <c r="I2365" s="4">
        <v>0.1731</v>
      </c>
      <c r="J2365" s="4">
        <v>0.0232</v>
      </c>
      <c r="K2365" s="6" t="b">
        <f t="shared" si="2227"/>
        <v>0</v>
      </c>
      <c r="L2365" s="6" t="b">
        <f t="shared" si="2228"/>
        <v>0</v>
      </c>
      <c r="M2365" s="6" t="b">
        <f t="shared" si="2230"/>
        <v>0</v>
      </c>
      <c r="P2365" s="4">
        <v>0.159649817529538</v>
      </c>
      <c r="T2365" s="4" t="str">
        <f t="shared" si="3"/>
        <v/>
      </c>
      <c r="U2365" s="4">
        <f t="shared" si="4"/>
        <v>3002</v>
      </c>
    </row>
    <row r="2366" ht="15.75" customHeight="1">
      <c r="A2366" s="4" t="s">
        <v>3470</v>
      </c>
      <c r="B2366" s="4" t="s">
        <v>13</v>
      </c>
      <c r="I2366" s="4">
        <v>0.164</v>
      </c>
      <c r="J2366" s="4">
        <v>0.023</v>
      </c>
      <c r="K2366" s="6" t="b">
        <f t="shared" si="2227"/>
        <v>0</v>
      </c>
      <c r="L2366" s="6" t="b">
        <f t="shared" si="2228"/>
        <v>0</v>
      </c>
      <c r="M2366" s="6" t="b">
        <f t="shared" si="2230"/>
        <v>0</v>
      </c>
      <c r="P2366" s="4">
        <v>0.151862349309246</v>
      </c>
      <c r="T2366" s="4" t="str">
        <f t="shared" si="3"/>
        <v/>
      </c>
      <c r="U2366" s="4">
        <f t="shared" si="4"/>
        <v>3122</v>
      </c>
    </row>
    <row r="2367" ht="15.75" customHeight="1">
      <c r="A2367" s="4" t="s">
        <v>3471</v>
      </c>
      <c r="B2367" s="4" t="s">
        <v>13</v>
      </c>
      <c r="I2367" s="4">
        <v>0.113</v>
      </c>
      <c r="J2367" s="4">
        <v>0.016</v>
      </c>
      <c r="K2367" s="6" t="b">
        <f t="shared" si="2227"/>
        <v>0</v>
      </c>
      <c r="L2367" s="6" t="b">
        <f t="shared" si="2228"/>
        <v>0</v>
      </c>
      <c r="M2367" s="6" t="b">
        <f t="shared" si="2230"/>
        <v>0</v>
      </c>
      <c r="P2367" s="4">
        <v>0.107059072293408</v>
      </c>
      <c r="T2367" s="4" t="str">
        <f t="shared" si="3"/>
        <v/>
      </c>
      <c r="U2367" s="4">
        <f t="shared" si="4"/>
        <v>3990</v>
      </c>
    </row>
    <row r="2368" ht="15.75" customHeight="1">
      <c r="A2368" s="4" t="s">
        <v>3472</v>
      </c>
      <c r="B2368" s="4" t="s">
        <v>13</v>
      </c>
      <c r="I2368" s="4">
        <v>0.065</v>
      </c>
      <c r="J2368" s="4">
        <v>0.004</v>
      </c>
      <c r="K2368" s="6" t="b">
        <f t="shared" si="2227"/>
        <v>0</v>
      </c>
      <c r="L2368" s="6" t="b">
        <f t="shared" si="2228"/>
        <v>0</v>
      </c>
      <c r="M2368" s="6" t="b">
        <f t="shared" si="2230"/>
        <v>0</v>
      </c>
      <c r="P2368" s="4">
        <v>0.0629747991613884</v>
      </c>
      <c r="T2368" s="4" t="str">
        <f t="shared" si="3"/>
        <v/>
      </c>
      <c r="U2368" s="4">
        <f t="shared" si="4"/>
        <v>4520</v>
      </c>
    </row>
    <row r="2369" ht="15.75" customHeight="1">
      <c r="A2369" s="4" t="s">
        <v>3473</v>
      </c>
      <c r="B2369" s="4" t="s">
        <v>13</v>
      </c>
      <c r="I2369" s="4">
        <v>0.057</v>
      </c>
      <c r="J2369" s="4">
        <v>0.004</v>
      </c>
      <c r="K2369" s="6" t="b">
        <f t="shared" si="2227"/>
        <v>0</v>
      </c>
      <c r="L2369" s="6" t="b">
        <f t="shared" si="2228"/>
        <v>0</v>
      </c>
      <c r="M2369" s="6" t="b">
        <f t="shared" si="2230"/>
        <v>0</v>
      </c>
      <c r="P2369" s="4">
        <v>0.0554347068881005</v>
      </c>
      <c r="T2369" s="4" t="str">
        <f t="shared" si="3"/>
        <v/>
      </c>
      <c r="U2369" s="4">
        <f t="shared" si="4"/>
        <v>4543</v>
      </c>
    </row>
    <row r="2370" ht="15.75" customHeight="1">
      <c r="A2370" s="4" t="s">
        <v>3474</v>
      </c>
      <c r="B2370" s="4" t="s">
        <v>13</v>
      </c>
      <c r="I2370" s="4">
        <v>0.113</v>
      </c>
      <c r="J2370" s="4">
        <v>0.012</v>
      </c>
      <c r="K2370" s="6" t="b">
        <f t="shared" si="2227"/>
        <v>0</v>
      </c>
      <c r="L2370" s="6" t="b">
        <f t="shared" si="2228"/>
        <v>0</v>
      </c>
      <c r="M2370" s="6" t="b">
        <f t="shared" si="2230"/>
        <v>0</v>
      </c>
      <c r="P2370" s="4">
        <v>0.107059072293408</v>
      </c>
      <c r="T2370" s="4" t="str">
        <f t="shared" si="3"/>
        <v/>
      </c>
      <c r="U2370" s="4">
        <f t="shared" si="4"/>
        <v>3991</v>
      </c>
    </row>
    <row r="2371" ht="15.75" customHeight="1">
      <c r="A2371" s="4" t="s">
        <v>3475</v>
      </c>
      <c r="B2371" s="4" t="s">
        <v>13</v>
      </c>
      <c r="I2371" s="4">
        <v>0.103</v>
      </c>
      <c r="J2371" s="4">
        <v>0.017</v>
      </c>
      <c r="K2371" s="6" t="b">
        <f t="shared" si="2227"/>
        <v>0</v>
      </c>
      <c r="L2371" s="6" t="b">
        <f t="shared" si="2228"/>
        <v>0</v>
      </c>
      <c r="M2371" s="6" t="b">
        <f t="shared" si="2230"/>
        <v>0</v>
      </c>
      <c r="P2371" s="4">
        <v>0.0980337402713654</v>
      </c>
      <c r="T2371" s="4" t="str">
        <f t="shared" si="3"/>
        <v/>
      </c>
      <c r="U2371" s="4">
        <f t="shared" si="4"/>
        <v>4174</v>
      </c>
    </row>
    <row r="2372" ht="15.75" customHeight="1">
      <c r="A2372" s="4" t="s">
        <v>3476</v>
      </c>
      <c r="B2372" s="4" t="s">
        <v>13</v>
      </c>
      <c r="I2372" s="4">
        <v>0.204</v>
      </c>
      <c r="J2372" s="4">
        <v>0.016</v>
      </c>
      <c r="K2372" s="6" t="b">
        <f t="shared" si="2227"/>
        <v>0</v>
      </c>
      <c r="L2372" s="6" t="b">
        <f t="shared" si="2228"/>
        <v>0</v>
      </c>
      <c r="M2372" s="6" t="b">
        <f t="shared" si="2230"/>
        <v>0</v>
      </c>
      <c r="P2372" s="4">
        <v>0.185649346886629</v>
      </c>
      <c r="T2372" s="4" t="str">
        <f t="shared" si="3"/>
        <v/>
      </c>
      <c r="U2372" s="4">
        <f t="shared" si="4"/>
        <v>2511</v>
      </c>
    </row>
    <row r="2373" ht="15.75" customHeight="1">
      <c r="A2373" s="4" t="s">
        <v>3477</v>
      </c>
      <c r="B2373" s="4" t="s">
        <v>13</v>
      </c>
      <c r="I2373" s="4">
        <v>0.155</v>
      </c>
      <c r="J2373" s="4">
        <v>0.03</v>
      </c>
      <c r="K2373" s="6" t="b">
        <f t="shared" si="2227"/>
        <v>0</v>
      </c>
      <c r="L2373" s="6" t="b">
        <f t="shared" si="2228"/>
        <v>0</v>
      </c>
      <c r="M2373" s="6" t="b">
        <f t="shared" si="2230"/>
        <v>0</v>
      </c>
      <c r="P2373" s="4">
        <v>0.144100343973757</v>
      </c>
      <c r="T2373" s="4" t="str">
        <f t="shared" si="3"/>
        <v/>
      </c>
      <c r="U2373" s="4">
        <f t="shared" si="4"/>
        <v>3241</v>
      </c>
    </row>
    <row r="2374" ht="15.75" customHeight="1">
      <c r="A2374" s="4" t="s">
        <v>3478</v>
      </c>
      <c r="B2374" s="4" t="s">
        <v>13</v>
      </c>
      <c r="I2374" s="4">
        <v>0.094</v>
      </c>
      <c r="J2374" s="4">
        <v>0.008</v>
      </c>
      <c r="K2374" s="6" t="b">
        <f t="shared" si="2227"/>
        <v>0</v>
      </c>
      <c r="L2374" s="6" t="b">
        <f t="shared" si="2228"/>
        <v>0</v>
      </c>
      <c r="M2374" s="6" t="b">
        <f t="shared" si="2230"/>
        <v>0</v>
      </c>
      <c r="P2374" s="4">
        <v>0.0898407039997894</v>
      </c>
      <c r="T2374" s="4" t="str">
        <f t="shared" si="3"/>
        <v/>
      </c>
      <c r="U2374" s="4">
        <f t="shared" si="4"/>
        <v>4289</v>
      </c>
    </row>
    <row r="2375" ht="15.75" customHeight="1">
      <c r="A2375" s="4" t="s">
        <v>3479</v>
      </c>
      <c r="B2375" s="4" t="s">
        <v>13</v>
      </c>
      <c r="I2375" s="4">
        <v>0.112</v>
      </c>
      <c r="J2375" s="4">
        <v>0.007</v>
      </c>
      <c r="K2375" s="6" t="b">
        <f t="shared" si="2227"/>
        <v>0</v>
      </c>
      <c r="L2375" s="6" t="b">
        <f t="shared" si="2228"/>
        <v>0</v>
      </c>
      <c r="M2375" s="6" t="b">
        <f t="shared" si="2230"/>
        <v>0</v>
      </c>
      <c r="P2375" s="4">
        <v>0.106160195828391</v>
      </c>
      <c r="T2375" s="4" t="str">
        <f t="shared" si="3"/>
        <v/>
      </c>
      <c r="U2375" s="4">
        <f t="shared" si="4"/>
        <v>4008</v>
      </c>
    </row>
    <row r="2376" ht="15.75" customHeight="1">
      <c r="A2376" s="4" t="s">
        <v>3480</v>
      </c>
      <c r="B2376" s="4" t="s">
        <v>13</v>
      </c>
      <c r="I2376" s="4">
        <v>0.196</v>
      </c>
      <c r="J2376" s="4">
        <v>0.012</v>
      </c>
      <c r="K2376" s="6" t="b">
        <f t="shared" si="2227"/>
        <v>0</v>
      </c>
      <c r="L2376" s="6" t="b">
        <f t="shared" si="2228"/>
        <v>0</v>
      </c>
      <c r="M2376" s="6" t="b">
        <f t="shared" si="2230"/>
        <v>0</v>
      </c>
      <c r="P2376" s="4">
        <v>0.17898265552844</v>
      </c>
      <c r="T2376" s="4" t="str">
        <f t="shared" si="3"/>
        <v/>
      </c>
      <c r="U2376" s="4">
        <f t="shared" si="4"/>
        <v>2650</v>
      </c>
    </row>
    <row r="2377" ht="15.75" customHeight="1">
      <c r="A2377" s="4" t="s">
        <v>3481</v>
      </c>
      <c r="B2377" s="4" t="s">
        <v>13</v>
      </c>
      <c r="I2377" s="4">
        <v>0.116</v>
      </c>
      <c r="J2377" s="4">
        <v>0.008</v>
      </c>
      <c r="K2377" s="6" t="b">
        <f t="shared" si="2227"/>
        <v>0</v>
      </c>
      <c r="L2377" s="6" t="b">
        <f t="shared" si="2228"/>
        <v>0</v>
      </c>
      <c r="M2377" s="6" t="b">
        <f t="shared" si="2230"/>
        <v>0</v>
      </c>
      <c r="P2377" s="4">
        <v>0.109750863959119</v>
      </c>
      <c r="T2377" s="4" t="str">
        <f t="shared" si="3"/>
        <v/>
      </c>
      <c r="U2377" s="4">
        <f t="shared" si="4"/>
        <v>3953</v>
      </c>
    </row>
    <row r="2378" ht="15.75" customHeight="1">
      <c r="A2378" s="4" t="s">
        <v>3482</v>
      </c>
      <c r="B2378" s="4" t="s">
        <v>13</v>
      </c>
      <c r="I2378" s="4">
        <v>0.131</v>
      </c>
      <c r="J2378" s="4">
        <v>0.01</v>
      </c>
      <c r="K2378" s="6" t="b">
        <f t="shared" si="2227"/>
        <v>0</v>
      </c>
      <c r="L2378" s="6" t="b">
        <f t="shared" si="2228"/>
        <v>0</v>
      </c>
      <c r="M2378" s="6" t="b">
        <f t="shared" si="2230"/>
        <v>0</v>
      </c>
      <c r="P2378" s="4">
        <v>0.123102197133983</v>
      </c>
      <c r="T2378" s="4" t="str">
        <f t="shared" si="3"/>
        <v/>
      </c>
      <c r="U2378" s="4">
        <f t="shared" si="4"/>
        <v>3674</v>
      </c>
    </row>
    <row r="2379" ht="15.75" customHeight="1">
      <c r="A2379" s="4" t="s">
        <v>3483</v>
      </c>
      <c r="B2379" s="4" t="s">
        <v>13</v>
      </c>
      <c r="I2379" s="4">
        <v>0.168</v>
      </c>
      <c r="J2379" s="4">
        <v>0.012</v>
      </c>
      <c r="K2379" s="6" t="b">
        <f t="shared" si="2227"/>
        <v>0</v>
      </c>
      <c r="L2379" s="6" t="b">
        <f t="shared" si="2228"/>
        <v>0</v>
      </c>
      <c r="M2379" s="6" t="b">
        <f t="shared" si="2230"/>
        <v>0</v>
      </c>
      <c r="P2379" s="4">
        <v>0.155292884406035</v>
      </c>
      <c r="T2379" s="4" t="str">
        <f t="shared" si="3"/>
        <v/>
      </c>
      <c r="U2379" s="4">
        <f t="shared" si="4"/>
        <v>3074</v>
      </c>
    </row>
    <row r="2380" ht="15.75" customHeight="1">
      <c r="A2380" s="4" t="s">
        <v>3484</v>
      </c>
      <c r="B2380" s="4" t="s">
        <v>13</v>
      </c>
      <c r="I2380" s="4">
        <v>0.128</v>
      </c>
      <c r="J2380" s="4">
        <v>0.01</v>
      </c>
      <c r="K2380" s="6" t="b">
        <f t="shared" si="2227"/>
        <v>0</v>
      </c>
      <c r="L2380" s="6" t="b">
        <f t="shared" si="2228"/>
        <v>0</v>
      </c>
      <c r="M2380" s="6" t="b">
        <f t="shared" si="2230"/>
        <v>0</v>
      </c>
      <c r="P2380" s="4">
        <v>0.120446153075867</v>
      </c>
      <c r="T2380" s="4" t="str">
        <f t="shared" si="3"/>
        <v/>
      </c>
      <c r="U2380" s="4">
        <f t="shared" si="4"/>
        <v>3727</v>
      </c>
    </row>
    <row r="2381" ht="15.75" customHeight="1">
      <c r="A2381" s="4" t="s">
        <v>3485</v>
      </c>
      <c r="B2381" s="4" t="s">
        <v>13</v>
      </c>
      <c r="I2381" s="4">
        <v>0.201</v>
      </c>
      <c r="J2381" s="4">
        <v>0.017</v>
      </c>
      <c r="K2381" s="6" t="b">
        <f t="shared" si="2227"/>
        <v>0</v>
      </c>
      <c r="L2381" s="6" t="b">
        <f t="shared" si="2228"/>
        <v>0</v>
      </c>
      <c r="M2381" s="6" t="b">
        <f t="shared" si="2230"/>
        <v>0</v>
      </c>
      <c r="P2381" s="4">
        <v>0.183154543097847</v>
      </c>
      <c r="T2381" s="4" t="str">
        <f t="shared" si="3"/>
        <v/>
      </c>
      <c r="U2381" s="4">
        <f t="shared" si="4"/>
        <v>2566</v>
      </c>
    </row>
    <row r="2382" ht="15.75" customHeight="1">
      <c r="A2382" s="4" t="s">
        <v>3486</v>
      </c>
      <c r="B2382" s="4" t="s">
        <v>13</v>
      </c>
      <c r="I2382" s="4">
        <v>0.168</v>
      </c>
      <c r="J2382" s="4">
        <v>0.03</v>
      </c>
      <c r="K2382" s="6" t="b">
        <f t="shared" si="2227"/>
        <v>0</v>
      </c>
      <c r="L2382" s="6" t="b">
        <f t="shared" si="2228"/>
        <v>0</v>
      </c>
      <c r="M2382" s="6" t="b">
        <f t="shared" si="2230"/>
        <v>0</v>
      </c>
      <c r="P2382" s="4">
        <v>0.155292884406035</v>
      </c>
      <c r="T2382" s="4" t="str">
        <f t="shared" si="3"/>
        <v/>
      </c>
      <c r="U2382" s="4">
        <f t="shared" si="4"/>
        <v>3075</v>
      </c>
    </row>
    <row r="2383" ht="15.75" customHeight="1">
      <c r="A2383" s="4" t="s">
        <v>3487</v>
      </c>
      <c r="B2383" s="4" t="s">
        <v>13</v>
      </c>
      <c r="I2383" s="4">
        <v>0.126</v>
      </c>
      <c r="J2383" s="4">
        <v>0.026</v>
      </c>
      <c r="K2383" s="6" t="b">
        <f t="shared" si="2227"/>
        <v>0</v>
      </c>
      <c r="L2383" s="6" t="b">
        <f t="shared" si="2228"/>
        <v>0</v>
      </c>
      <c r="M2383" s="6" t="b">
        <f t="shared" si="2230"/>
        <v>0</v>
      </c>
      <c r="P2383" s="4">
        <v>0.118671529717499</v>
      </c>
      <c r="T2383" s="4" t="str">
        <f t="shared" si="3"/>
        <v/>
      </c>
      <c r="U2383" s="4">
        <f t="shared" si="4"/>
        <v>3762</v>
      </c>
    </row>
    <row r="2384" ht="15.75" customHeight="1">
      <c r="A2384" s="4" t="s">
        <v>3488</v>
      </c>
      <c r="B2384" s="4" t="s">
        <v>13</v>
      </c>
      <c r="I2384" s="4">
        <v>0.173</v>
      </c>
      <c r="J2384" s="4">
        <v>0.018</v>
      </c>
      <c r="K2384" s="6" t="b">
        <f t="shared" si="2227"/>
        <v>0</v>
      </c>
      <c r="L2384" s="6" t="b">
        <f t="shared" si="2228"/>
        <v>0</v>
      </c>
      <c r="M2384" s="6" t="b">
        <f t="shared" si="2230"/>
        <v>0</v>
      </c>
      <c r="P2384" s="4">
        <v>0.159564569671338</v>
      </c>
      <c r="T2384" s="4" t="str">
        <f t="shared" si="3"/>
        <v/>
      </c>
      <c r="U2384" s="4">
        <f t="shared" si="4"/>
        <v>3005</v>
      </c>
    </row>
    <row r="2385" ht="15.75" customHeight="1">
      <c r="A2385" s="4" t="s">
        <v>3489</v>
      </c>
      <c r="B2385" s="4" t="s">
        <v>13</v>
      </c>
      <c r="I2385" s="4">
        <v>0.076</v>
      </c>
      <c r="J2385" s="4">
        <v>0.012</v>
      </c>
      <c r="K2385" s="6" t="b">
        <f t="shared" si="2227"/>
        <v>0</v>
      </c>
      <c r="L2385" s="6" t="b">
        <f t="shared" si="2228"/>
        <v>0</v>
      </c>
      <c r="M2385" s="6" t="b">
        <f t="shared" si="2230"/>
        <v>0</v>
      </c>
      <c r="P2385" s="4">
        <v>0.0732504617395926</v>
      </c>
      <c r="T2385" s="4" t="str">
        <f t="shared" si="3"/>
        <v/>
      </c>
      <c r="U2385" s="4">
        <f t="shared" si="4"/>
        <v>4448</v>
      </c>
    </row>
    <row r="2386" ht="15.75" customHeight="1">
      <c r="A2386" s="4" t="s">
        <v>3490</v>
      </c>
      <c r="B2386" s="4" t="s">
        <v>13</v>
      </c>
      <c r="I2386" s="4">
        <v>0.111</v>
      </c>
      <c r="J2386" s="4">
        <v>0.012</v>
      </c>
      <c r="K2386" s="6" t="b">
        <f t="shared" si="2227"/>
        <v>0</v>
      </c>
      <c r="L2386" s="6" t="b">
        <f t="shared" si="2228"/>
        <v>0</v>
      </c>
      <c r="M2386" s="6" t="b">
        <f t="shared" si="2230"/>
        <v>0</v>
      </c>
      <c r="P2386" s="4">
        <v>0.105260510657493</v>
      </c>
      <c r="T2386" s="4" t="str">
        <f t="shared" si="3"/>
        <v/>
      </c>
      <c r="U2386" s="4">
        <f t="shared" si="4"/>
        <v>4026</v>
      </c>
    </row>
    <row r="2387" ht="15.75" customHeight="1">
      <c r="A2387" s="4" t="s">
        <v>3491</v>
      </c>
      <c r="B2387" s="4" t="s">
        <v>13</v>
      </c>
      <c r="I2387" s="4">
        <v>0.083</v>
      </c>
      <c r="J2387" s="4">
        <v>0.008</v>
      </c>
      <c r="K2387" s="6" t="b">
        <f t="shared" si="2227"/>
        <v>0</v>
      </c>
      <c r="L2387" s="6" t="b">
        <f t="shared" si="2228"/>
        <v>0</v>
      </c>
      <c r="M2387" s="6" t="b">
        <f t="shared" si="2230"/>
        <v>0</v>
      </c>
      <c r="P2387" s="4">
        <v>0.0797349680188535</v>
      </c>
      <c r="T2387" s="4" t="str">
        <f t="shared" si="3"/>
        <v/>
      </c>
      <c r="U2387" s="4">
        <f t="shared" si="4"/>
        <v>4390</v>
      </c>
    </row>
    <row r="2388" ht="15.75" customHeight="1">
      <c r="A2388" s="4" t="s">
        <v>3492</v>
      </c>
      <c r="B2388" s="4" t="s">
        <v>13</v>
      </c>
      <c r="I2388" s="4">
        <v>0.231</v>
      </c>
      <c r="J2388" s="4">
        <v>0.012</v>
      </c>
      <c r="K2388" s="6" t="b">
        <f t="shared" si="2227"/>
        <v>0</v>
      </c>
      <c r="L2388" s="6" t="b">
        <f t="shared" si="2228"/>
        <v>0</v>
      </c>
      <c r="M2388" s="6" t="b">
        <f t="shared" si="2230"/>
        <v>0</v>
      </c>
      <c r="P2388" s="4">
        <v>0.207826847202316</v>
      </c>
      <c r="T2388" s="4" t="str">
        <f t="shared" si="3"/>
        <v/>
      </c>
      <c r="U2388" s="4">
        <f t="shared" si="4"/>
        <v>2096</v>
      </c>
    </row>
    <row r="2389" ht="15.75" customHeight="1">
      <c r="A2389" s="4" t="s">
        <v>3493</v>
      </c>
      <c r="B2389" s="4" t="s">
        <v>13</v>
      </c>
      <c r="I2389" s="4">
        <v>0.202</v>
      </c>
      <c r="J2389" s="4">
        <v>0.01</v>
      </c>
      <c r="K2389" s="6" t="b">
        <f t="shared" si="2227"/>
        <v>0</v>
      </c>
      <c r="L2389" s="6" t="b">
        <f t="shared" si="2228"/>
        <v>0</v>
      </c>
      <c r="M2389" s="6" t="b">
        <f t="shared" si="2230"/>
        <v>0</v>
      </c>
      <c r="P2389" s="4">
        <v>0.183986836113016</v>
      </c>
      <c r="T2389" s="4" t="str">
        <f t="shared" si="3"/>
        <v/>
      </c>
      <c r="U2389" s="4">
        <f t="shared" si="4"/>
        <v>2553</v>
      </c>
    </row>
    <row r="2390" ht="15.75" customHeight="1">
      <c r="A2390" s="4" t="s">
        <v>3494</v>
      </c>
      <c r="B2390" s="4" t="s">
        <v>13</v>
      </c>
      <c r="I2390" s="4">
        <v>0.255</v>
      </c>
      <c r="J2390" s="4">
        <v>0.017</v>
      </c>
      <c r="K2390" s="6" t="b">
        <f t="shared" si="2227"/>
        <v>0</v>
      </c>
      <c r="L2390" s="6" t="b">
        <f t="shared" si="2228"/>
        <v>0</v>
      </c>
      <c r="M2390" s="6" t="b">
        <f t="shared" si="2230"/>
        <v>0</v>
      </c>
      <c r="P2390" s="4">
        <v>0.227135572583747</v>
      </c>
      <c r="T2390" s="4" t="str">
        <f t="shared" si="3"/>
        <v/>
      </c>
      <c r="U2390" s="4">
        <f t="shared" si="4"/>
        <v>1747</v>
      </c>
    </row>
    <row r="2391" ht="15.75" customHeight="1">
      <c r="A2391" s="4" t="s">
        <v>3495</v>
      </c>
      <c r="B2391" s="4" t="s">
        <v>13</v>
      </c>
      <c r="I2391" s="4">
        <v>0.219</v>
      </c>
      <c r="J2391" s="4">
        <v>0.013</v>
      </c>
      <c r="K2391" s="6" t="b">
        <f t="shared" si="2227"/>
        <v>0</v>
      </c>
      <c r="L2391" s="6" t="b">
        <f t="shared" si="2228"/>
        <v>0</v>
      </c>
      <c r="M2391" s="6" t="b">
        <f t="shared" si="2230"/>
        <v>0</v>
      </c>
      <c r="P2391" s="4">
        <v>0.198030850499134</v>
      </c>
      <c r="T2391" s="4" t="str">
        <f t="shared" si="3"/>
        <v/>
      </c>
      <c r="U2391" s="4">
        <f t="shared" si="4"/>
        <v>2277</v>
      </c>
    </row>
    <row r="2392" ht="15.75" customHeight="1">
      <c r="A2392" s="4" t="s">
        <v>3496</v>
      </c>
      <c r="B2392" s="4" t="s">
        <v>13</v>
      </c>
      <c r="I2392" s="4">
        <v>0.158</v>
      </c>
      <c r="J2392" s="4">
        <v>0.012</v>
      </c>
      <c r="K2392" s="6" t="b">
        <f t="shared" si="2227"/>
        <v>0</v>
      </c>
      <c r="L2392" s="6" t="b">
        <f t="shared" si="2228"/>
        <v>0</v>
      </c>
      <c r="M2392" s="6" t="b">
        <f t="shared" si="2230"/>
        <v>0</v>
      </c>
      <c r="P2392" s="4">
        <v>0.146694379150804</v>
      </c>
      <c r="T2392" s="4" t="str">
        <f t="shared" si="3"/>
        <v/>
      </c>
      <c r="U2392" s="4">
        <f t="shared" si="4"/>
        <v>3198</v>
      </c>
    </row>
    <row r="2393" ht="15.75" customHeight="1">
      <c r="A2393" s="4" t="s">
        <v>771</v>
      </c>
      <c r="B2393" s="4" t="s">
        <v>13</v>
      </c>
      <c r="C2393" s="4">
        <v>2.1E-4</v>
      </c>
      <c r="D2393" s="4">
        <v>1.2E-4</v>
      </c>
      <c r="E2393" s="4">
        <v>1.9E-4</v>
      </c>
      <c r="I2393" s="4">
        <v>0.047</v>
      </c>
      <c r="J2393" s="4">
        <v>0.003</v>
      </c>
      <c r="K2393" s="6" t="b">
        <f t="shared" si="2227"/>
        <v>0</v>
      </c>
      <c r="L2393" s="6" t="b">
        <f t="shared" si="2228"/>
        <v>0</v>
      </c>
      <c r="M2393" s="6" t="b">
        <f t="shared" si="2230"/>
        <v>0</v>
      </c>
      <c r="N2393" s="4">
        <v>2.099779530865E-4</v>
      </c>
      <c r="P2393" s="4">
        <v>0.0459289318883998</v>
      </c>
      <c r="T2393" s="4">
        <f t="shared" si="3"/>
        <v>2078</v>
      </c>
      <c r="U2393" s="4">
        <f t="shared" si="4"/>
        <v>4557</v>
      </c>
    </row>
    <row r="2394" ht="15.75" customHeight="1">
      <c r="A2394" s="4" t="s">
        <v>772</v>
      </c>
      <c r="B2394" s="4" t="s">
        <v>13</v>
      </c>
      <c r="C2394" s="4">
        <v>0.0062</v>
      </c>
      <c r="D2394" s="4">
        <v>0.00352</v>
      </c>
      <c r="E2394" s="4">
        <v>0.00602</v>
      </c>
      <c r="I2394" s="4">
        <v>0.107</v>
      </c>
      <c r="J2394" s="4">
        <v>0.006</v>
      </c>
      <c r="K2394" s="6" t="b">
        <f t="shared" si="2227"/>
        <v>0</v>
      </c>
      <c r="L2394" s="6" t="b">
        <f t="shared" si="2228"/>
        <v>0</v>
      </c>
      <c r="M2394" s="6" t="b">
        <f t="shared" si="2230"/>
        <v>0</v>
      </c>
      <c r="N2394" s="4">
        <v>0.0061808590750811</v>
      </c>
      <c r="P2394" s="4">
        <v>0.1016536537265</v>
      </c>
      <c r="T2394" s="4">
        <f t="shared" si="3"/>
        <v>2005</v>
      </c>
      <c r="U2394" s="4">
        <f t="shared" si="4"/>
        <v>4094</v>
      </c>
    </row>
    <row r="2395" ht="15.75" customHeight="1">
      <c r="A2395" s="4" t="s">
        <v>773</v>
      </c>
      <c r="B2395" s="4" t="s">
        <v>13</v>
      </c>
      <c r="C2395" s="4">
        <v>0.00201</v>
      </c>
      <c r="D2395" s="4">
        <v>0.00122</v>
      </c>
      <c r="E2395" s="4">
        <v>0.00212</v>
      </c>
      <c r="F2395" s="4">
        <v>0.00318</v>
      </c>
      <c r="G2395" s="4">
        <v>0.00107</v>
      </c>
      <c r="H2395" s="4">
        <v>0.00132</v>
      </c>
      <c r="I2395" s="4">
        <v>0.108</v>
      </c>
      <c r="J2395" s="4">
        <v>0.007</v>
      </c>
      <c r="K2395" s="6" t="b">
        <f t="shared" si="2227"/>
        <v>0</v>
      </c>
      <c r="L2395" s="6" t="b">
        <f t="shared" si="2228"/>
        <v>0</v>
      </c>
      <c r="M2395" s="6" t="b">
        <f t="shared" si="2230"/>
        <v>0</v>
      </c>
      <c r="N2395" s="4">
        <v>0.0020079826527929</v>
      </c>
      <c r="O2395" s="4">
        <v>0.0031749544936437</v>
      </c>
      <c r="P2395" s="4">
        <v>0.102556588325092</v>
      </c>
      <c r="Q2395" s="4">
        <v>-0.626810150937942</v>
      </c>
      <c r="R2395" s="4">
        <v>-0.650448496198952</v>
      </c>
      <c r="S2395" s="4">
        <v>-1.34203566224012</v>
      </c>
      <c r="T2395" s="4">
        <f t="shared" si="3"/>
        <v>2066</v>
      </c>
      <c r="U2395" s="4">
        <f t="shared" si="4"/>
        <v>4080</v>
      </c>
    </row>
    <row r="2396" ht="15.75" customHeight="1">
      <c r="A2396" s="4" t="s">
        <v>3497</v>
      </c>
      <c r="B2396" s="4" t="s">
        <v>13</v>
      </c>
      <c r="C2396" s="4">
        <v>0.00135</v>
      </c>
      <c r="D2396" s="4">
        <v>3.0E-4</v>
      </c>
      <c r="E2396" s="4">
        <v>6.6E-4</v>
      </c>
      <c r="K2396" s="6" t="b">
        <f t="shared" si="2227"/>
        <v>0</v>
      </c>
      <c r="L2396" s="6" t="b">
        <f t="shared" si="2228"/>
        <v>0</v>
      </c>
      <c r="M2396" s="6" t="b">
        <f t="shared" si="2230"/>
        <v>0</v>
      </c>
      <c r="N2396" s="4">
        <v>0.0013490895692955</v>
      </c>
      <c r="T2396" s="4">
        <f t="shared" si="3"/>
        <v>2071</v>
      </c>
      <c r="U2396" s="4" t="str">
        <f t="shared" si="4"/>
        <v/>
      </c>
    </row>
    <row r="2397" ht="15.75" customHeight="1">
      <c r="A2397" s="4" t="s">
        <v>3498</v>
      </c>
      <c r="B2397" s="4" t="s">
        <v>13</v>
      </c>
      <c r="I2397" s="4">
        <v>0.105</v>
      </c>
      <c r="J2397" s="4">
        <v>0.012</v>
      </c>
      <c r="K2397" s="6" t="b">
        <f t="shared" si="2227"/>
        <v>0</v>
      </c>
      <c r="L2397" s="6" t="b">
        <f t="shared" si="2228"/>
        <v>0</v>
      </c>
      <c r="M2397" s="6" t="b">
        <f t="shared" si="2230"/>
        <v>0</v>
      </c>
      <c r="P2397" s="4">
        <v>0.0998453349697161</v>
      </c>
      <c r="T2397" s="4" t="str">
        <f t="shared" si="3"/>
        <v/>
      </c>
      <c r="U2397" s="4">
        <f t="shared" si="4"/>
        <v>4139</v>
      </c>
    </row>
    <row r="2398" ht="15.75" customHeight="1">
      <c r="A2398" s="4" t="s">
        <v>3499</v>
      </c>
      <c r="B2398" s="4" t="s">
        <v>13</v>
      </c>
      <c r="I2398" s="4">
        <v>0.15</v>
      </c>
      <c r="J2398" s="4">
        <v>0.016</v>
      </c>
      <c r="K2398" s="6" t="b">
        <f t="shared" si="2227"/>
        <v>0</v>
      </c>
      <c r="L2398" s="6" t="b">
        <f t="shared" si="2228"/>
        <v>0</v>
      </c>
      <c r="M2398" s="6" t="b">
        <f t="shared" si="2230"/>
        <v>0</v>
      </c>
      <c r="P2398" s="4">
        <v>0.139761942375159</v>
      </c>
      <c r="T2398" s="4" t="str">
        <f t="shared" si="3"/>
        <v/>
      </c>
      <c r="U2398" s="4">
        <f t="shared" si="4"/>
        <v>3322</v>
      </c>
    </row>
    <row r="2399" ht="15.75" customHeight="1">
      <c r="A2399" s="4" t="s">
        <v>3500</v>
      </c>
      <c r="B2399" s="4" t="s">
        <v>13</v>
      </c>
      <c r="I2399" s="4">
        <v>0.175</v>
      </c>
      <c r="J2399" s="4">
        <v>0.014</v>
      </c>
      <c r="K2399" s="6" t="b">
        <f t="shared" si="2227"/>
        <v>0</v>
      </c>
      <c r="L2399" s="6" t="b">
        <f t="shared" si="2228"/>
        <v>0</v>
      </c>
      <c r="M2399" s="6" t="b">
        <f t="shared" si="2230"/>
        <v>0</v>
      </c>
      <c r="P2399" s="4">
        <v>0.161268147596122</v>
      </c>
      <c r="T2399" s="4" t="str">
        <f t="shared" si="3"/>
        <v/>
      </c>
      <c r="U2399" s="4">
        <f t="shared" si="4"/>
        <v>2973</v>
      </c>
    </row>
    <row r="2400" ht="15.75" customHeight="1">
      <c r="A2400" s="4" t="s">
        <v>3501</v>
      </c>
      <c r="B2400" s="4" t="s">
        <v>13</v>
      </c>
      <c r="I2400" s="4">
        <v>0.071</v>
      </c>
      <c r="J2400" s="4">
        <v>0.007</v>
      </c>
      <c r="K2400" s="6" t="b">
        <f t="shared" si="2227"/>
        <v>0</v>
      </c>
      <c r="L2400" s="6" t="b">
        <f t="shared" si="2228"/>
        <v>0</v>
      </c>
      <c r="M2400" s="6" t="b">
        <f t="shared" si="2230"/>
        <v>0</v>
      </c>
      <c r="P2400" s="4">
        <v>0.0685927914656117</v>
      </c>
      <c r="T2400" s="4" t="str">
        <f t="shared" si="3"/>
        <v/>
      </c>
      <c r="U2400" s="4">
        <f t="shared" si="4"/>
        <v>4481</v>
      </c>
    </row>
    <row r="2401" ht="15.75" customHeight="1">
      <c r="A2401" s="4" t="s">
        <v>3502</v>
      </c>
      <c r="B2401" s="4" t="s">
        <v>13</v>
      </c>
      <c r="I2401" s="4">
        <v>0.124</v>
      </c>
      <c r="J2401" s="4">
        <v>0.02</v>
      </c>
      <c r="K2401" s="6" t="b">
        <f t="shared" si="2227"/>
        <v>0</v>
      </c>
      <c r="L2401" s="6" t="b">
        <f t="shared" si="2228"/>
        <v>0</v>
      </c>
      <c r="M2401" s="6" t="b">
        <f t="shared" si="2230"/>
        <v>0</v>
      </c>
      <c r="P2401" s="4">
        <v>0.116893751471499</v>
      </c>
      <c r="T2401" s="4" t="str">
        <f t="shared" si="3"/>
        <v/>
      </c>
      <c r="U2401" s="4">
        <f t="shared" si="4"/>
        <v>3799</v>
      </c>
    </row>
    <row r="2402" ht="15.75" customHeight="1">
      <c r="A2402" s="4" t="s">
        <v>3503</v>
      </c>
      <c r="B2402" s="4" t="s">
        <v>13</v>
      </c>
      <c r="I2402" s="4">
        <v>0.071</v>
      </c>
      <c r="J2402" s="4">
        <v>0.005</v>
      </c>
      <c r="K2402" s="6" t="b">
        <f t="shared" si="2227"/>
        <v>0</v>
      </c>
      <c r="L2402" s="6" t="b">
        <f t="shared" si="2228"/>
        <v>0</v>
      </c>
      <c r="M2402" s="6" t="b">
        <f t="shared" si="2230"/>
        <v>0</v>
      </c>
      <c r="P2402" s="4">
        <v>0.0685927914656117</v>
      </c>
      <c r="T2402" s="4" t="str">
        <f t="shared" si="3"/>
        <v/>
      </c>
      <c r="U2402" s="4">
        <f t="shared" si="4"/>
        <v>4482</v>
      </c>
    </row>
    <row r="2403" ht="15.75" customHeight="1">
      <c r="A2403" s="4" t="s">
        <v>3504</v>
      </c>
      <c r="B2403" s="4" t="s">
        <v>13</v>
      </c>
      <c r="I2403" s="4">
        <v>0.185</v>
      </c>
      <c r="J2403" s="4">
        <v>0.033</v>
      </c>
      <c r="K2403" s="6" t="b">
        <f t="shared" si="2227"/>
        <v>0</v>
      </c>
      <c r="L2403" s="6" t="b">
        <f t="shared" si="2228"/>
        <v>0</v>
      </c>
      <c r="M2403" s="6" t="b">
        <f t="shared" si="2230"/>
        <v>0</v>
      </c>
      <c r="P2403" s="4">
        <v>0.169742774587095</v>
      </c>
      <c r="T2403" s="4" t="str">
        <f t="shared" si="3"/>
        <v/>
      </c>
      <c r="U2403" s="4">
        <f t="shared" si="4"/>
        <v>2824</v>
      </c>
    </row>
    <row r="2404" ht="15.75" customHeight="1">
      <c r="A2404" s="4" t="s">
        <v>3505</v>
      </c>
      <c r="B2404" s="4" t="s">
        <v>13</v>
      </c>
      <c r="I2404" s="4">
        <v>0.153</v>
      </c>
      <c r="J2404" s="4">
        <v>0.012</v>
      </c>
      <c r="K2404" s="6" t="b">
        <f t="shared" si="2227"/>
        <v>0</v>
      </c>
      <c r="L2404" s="6" t="b">
        <f t="shared" si="2228"/>
        <v>0</v>
      </c>
      <c r="M2404" s="6" t="b">
        <f t="shared" si="2230"/>
        <v>0</v>
      </c>
      <c r="P2404" s="4">
        <v>0.142367241286922</v>
      </c>
      <c r="T2404" s="4" t="str">
        <f t="shared" si="3"/>
        <v/>
      </c>
      <c r="U2404" s="4">
        <f t="shared" si="4"/>
        <v>3274</v>
      </c>
    </row>
    <row r="2405" ht="15.75" customHeight="1">
      <c r="A2405" s="4" t="s">
        <v>3506</v>
      </c>
      <c r="B2405" s="4" t="s">
        <v>13</v>
      </c>
      <c r="I2405" s="4">
        <v>0.08</v>
      </c>
      <c r="J2405" s="4">
        <v>0.011</v>
      </c>
      <c r="K2405" s="6" t="b">
        <f t="shared" si="2227"/>
        <v>0</v>
      </c>
      <c r="L2405" s="6" t="b">
        <f t="shared" si="2228"/>
        <v>0</v>
      </c>
      <c r="M2405" s="6" t="b">
        <f t="shared" si="2230"/>
        <v>0</v>
      </c>
      <c r="P2405" s="4">
        <v>0.0769610411361283</v>
      </c>
      <c r="T2405" s="4" t="str">
        <f t="shared" si="3"/>
        <v/>
      </c>
      <c r="U2405" s="4">
        <f t="shared" si="4"/>
        <v>4411</v>
      </c>
    </row>
    <row r="2406" ht="15.75" customHeight="1">
      <c r="A2406" s="4" t="s">
        <v>3507</v>
      </c>
      <c r="B2406" s="4" t="s">
        <v>13</v>
      </c>
      <c r="I2406" s="4">
        <v>0.092</v>
      </c>
      <c r="J2406" s="4">
        <v>0.013</v>
      </c>
      <c r="K2406" s="6" t="b">
        <f t="shared" si="2227"/>
        <v>0</v>
      </c>
      <c r="L2406" s="6" t="b">
        <f t="shared" si="2228"/>
        <v>0</v>
      </c>
      <c r="M2406" s="6" t="b">
        <f t="shared" si="2230"/>
        <v>0</v>
      </c>
      <c r="P2406" s="4">
        <v>0.0880108773227133</v>
      </c>
      <c r="T2406" s="4" t="str">
        <f t="shared" si="3"/>
        <v/>
      </c>
      <c r="U2406" s="4">
        <f t="shared" si="4"/>
        <v>4308</v>
      </c>
    </row>
    <row r="2407" ht="15.75" customHeight="1">
      <c r="A2407" s="4" t="s">
        <v>3508</v>
      </c>
      <c r="B2407" s="4" t="s">
        <v>13</v>
      </c>
      <c r="I2407" s="4">
        <v>0.112</v>
      </c>
      <c r="J2407" s="4">
        <v>0.01</v>
      </c>
      <c r="K2407" s="6" t="b">
        <f t="shared" si="2227"/>
        <v>0</v>
      </c>
      <c r="L2407" s="6" t="b">
        <f t="shared" si="2228"/>
        <v>0</v>
      </c>
      <c r="M2407" s="6" t="b">
        <f t="shared" si="2230"/>
        <v>0</v>
      </c>
      <c r="P2407" s="4">
        <v>0.106160195828391</v>
      </c>
      <c r="T2407" s="4" t="str">
        <f t="shared" si="3"/>
        <v/>
      </c>
      <c r="U2407" s="4">
        <f t="shared" si="4"/>
        <v>4009</v>
      </c>
    </row>
    <row r="2408" ht="15.75" customHeight="1">
      <c r="A2408" s="4" t="s">
        <v>3509</v>
      </c>
      <c r="B2408" s="4" t="s">
        <v>13</v>
      </c>
      <c r="I2408" s="4">
        <v>0.262</v>
      </c>
      <c r="J2408" s="4">
        <v>0.051</v>
      </c>
      <c r="K2408" s="6" t="b">
        <f t="shared" si="2227"/>
        <v>0</v>
      </c>
      <c r="L2408" s="6" t="b">
        <f t="shared" si="2228"/>
        <v>0</v>
      </c>
      <c r="M2408" s="6" t="b">
        <f t="shared" si="2230"/>
        <v>0</v>
      </c>
      <c r="P2408" s="4">
        <v>0.232697764119021</v>
      </c>
      <c r="T2408" s="4" t="str">
        <f t="shared" si="3"/>
        <v/>
      </c>
      <c r="U2408" s="4">
        <f t="shared" si="4"/>
        <v>1658</v>
      </c>
    </row>
    <row r="2409" ht="15.75" customHeight="1">
      <c r="A2409" s="4" t="s">
        <v>3510</v>
      </c>
      <c r="B2409" s="4" t="s">
        <v>13</v>
      </c>
      <c r="I2409" s="4">
        <v>0.302</v>
      </c>
      <c r="J2409" s="4">
        <v>0.062</v>
      </c>
      <c r="K2409" s="6" t="b">
        <f t="shared" si="2227"/>
        <v>0</v>
      </c>
      <c r="L2409" s="6" t="b">
        <f t="shared" si="2228"/>
        <v>0</v>
      </c>
      <c r="M2409" s="6" t="b">
        <f t="shared" si="2230"/>
        <v>0</v>
      </c>
      <c r="P2409" s="4">
        <v>0.263901543786378</v>
      </c>
      <c r="T2409" s="4" t="str">
        <f t="shared" si="3"/>
        <v/>
      </c>
      <c r="U2409" s="4">
        <f t="shared" si="4"/>
        <v>1364</v>
      </c>
    </row>
    <row r="2410" ht="15.75" customHeight="1">
      <c r="A2410" s="4" t="s">
        <v>774</v>
      </c>
      <c r="B2410" s="4" t="s">
        <v>13</v>
      </c>
      <c r="C2410" s="4">
        <v>0.01466</v>
      </c>
      <c r="D2410" s="4">
        <v>0.006</v>
      </c>
      <c r="E2410" s="4">
        <v>0.006</v>
      </c>
      <c r="I2410" s="4">
        <v>1.695</v>
      </c>
      <c r="J2410" s="4">
        <v>0.06</v>
      </c>
      <c r="K2410" s="6" t="b">
        <f t="shared" si="2227"/>
        <v>0</v>
      </c>
      <c r="L2410" s="6" t="b">
        <f t="shared" si="2228"/>
        <v>0</v>
      </c>
      <c r="M2410" s="6" t="b">
        <f>TRUE()</f>
        <v>1</v>
      </c>
      <c r="N2410" s="4">
        <v>0.0145535810075112</v>
      </c>
      <c r="P2410" s="4">
        <v>0.99139820436096</v>
      </c>
      <c r="T2410" s="4">
        <f t="shared" si="3"/>
        <v>1829</v>
      </c>
      <c r="U2410" s="4">
        <f t="shared" si="4"/>
        <v>47</v>
      </c>
    </row>
    <row r="2411" ht="15.75" customHeight="1">
      <c r="A2411" s="4" t="s">
        <v>3511</v>
      </c>
      <c r="B2411" s="4" t="s">
        <v>13</v>
      </c>
      <c r="D2411" s="4">
        <v>0.13</v>
      </c>
      <c r="E2411" s="4">
        <v>0.13</v>
      </c>
      <c r="F2411" s="4">
        <v>1.34</v>
      </c>
      <c r="G2411" s="4">
        <v>0.13</v>
      </c>
      <c r="H2411" s="4">
        <v>0.13</v>
      </c>
      <c r="K2411" s="6" t="b">
        <f t="shared" si="2227"/>
        <v>0</v>
      </c>
      <c r="L2411" s="6" t="b">
        <f t="shared" si="2228"/>
        <v>0</v>
      </c>
      <c r="M2411" s="6" t="b">
        <f t="shared" ref="M2411:M2412" si="2231">FALSE()</f>
        <v>0</v>
      </c>
      <c r="O2411" s="4">
        <v>0.85015092936961</v>
      </c>
      <c r="T2411" s="4" t="str">
        <f t="shared" si="3"/>
        <v/>
      </c>
      <c r="U2411" s="4" t="str">
        <f t="shared" si="4"/>
        <v/>
      </c>
    </row>
    <row r="2412" ht="15.75" customHeight="1">
      <c r="A2412" s="4" t="s">
        <v>3512</v>
      </c>
      <c r="B2412" s="4" t="s">
        <v>13</v>
      </c>
      <c r="C2412" s="4">
        <v>0.113</v>
      </c>
      <c r="D2412" s="4">
        <v>0.031</v>
      </c>
      <c r="E2412" s="4">
        <v>0.031</v>
      </c>
      <c r="K2412" s="6" t="b">
        <f t="shared" si="2227"/>
        <v>0</v>
      </c>
      <c r="L2412" s="6" t="b">
        <f t="shared" si="2228"/>
        <v>0</v>
      </c>
      <c r="M2412" s="6" t="b">
        <f t="shared" si="2231"/>
        <v>0</v>
      </c>
      <c r="N2412" s="4">
        <v>0.107059072293408</v>
      </c>
      <c r="T2412" s="4">
        <f t="shared" si="3"/>
        <v>1242</v>
      </c>
      <c r="U2412" s="4" t="str">
        <f t="shared" si="4"/>
        <v/>
      </c>
    </row>
    <row r="2413" ht="15.75" customHeight="1">
      <c r="A2413" s="4" t="s">
        <v>775</v>
      </c>
      <c r="B2413" s="4" t="s">
        <v>13</v>
      </c>
      <c r="C2413" s="4">
        <v>9.28</v>
      </c>
      <c r="D2413" s="4">
        <v>0.16</v>
      </c>
      <c r="E2413" s="4">
        <v>0.16</v>
      </c>
      <c r="I2413" s="4">
        <v>1.512</v>
      </c>
      <c r="J2413" s="4">
        <v>0.035</v>
      </c>
      <c r="K2413" s="6" t="b">
        <f>TRUE()</f>
        <v>1</v>
      </c>
      <c r="L2413" s="6" t="b">
        <f t="shared" si="2228"/>
        <v>0</v>
      </c>
      <c r="M2413" s="6" t="b">
        <f>TRUE()</f>
        <v>1</v>
      </c>
      <c r="N2413" s="4">
        <v>2.33020026002702</v>
      </c>
      <c r="P2413" s="4">
        <v>0.921079248605952</v>
      </c>
      <c r="T2413" s="4">
        <f t="shared" si="3"/>
        <v>71</v>
      </c>
      <c r="U2413" s="4">
        <f t="shared" si="4"/>
        <v>107</v>
      </c>
    </row>
    <row r="2414" ht="15.75" customHeight="1">
      <c r="A2414" s="4" t="s">
        <v>3513</v>
      </c>
      <c r="B2414" s="4" t="s">
        <v>13</v>
      </c>
      <c r="I2414" s="4">
        <v>0.145</v>
      </c>
      <c r="J2414" s="4">
        <v>0.01</v>
      </c>
      <c r="K2414" s="6" t="b">
        <f t="shared" ref="K2414:M2414" si="2232">FALSE()</f>
        <v>0</v>
      </c>
      <c r="L2414" s="6" t="b">
        <f t="shared" si="2232"/>
        <v>0</v>
      </c>
      <c r="M2414" s="6" t="b">
        <f t="shared" si="2232"/>
        <v>0</v>
      </c>
      <c r="P2414" s="4">
        <v>0.135404637006203</v>
      </c>
      <c r="T2414" s="4" t="str">
        <f t="shared" si="3"/>
        <v/>
      </c>
      <c r="U2414" s="4">
        <f t="shared" si="4"/>
        <v>3412</v>
      </c>
    </row>
    <row r="2415" ht="15.75" customHeight="1">
      <c r="A2415" s="4" t="s">
        <v>3514</v>
      </c>
      <c r="B2415" s="4" t="s">
        <v>13</v>
      </c>
      <c r="I2415" s="4">
        <v>0.15</v>
      </c>
      <c r="J2415" s="4">
        <v>0.016</v>
      </c>
      <c r="K2415" s="6" t="b">
        <f t="shared" ref="K2415:M2415" si="2233">FALSE()</f>
        <v>0</v>
      </c>
      <c r="L2415" s="6" t="b">
        <f t="shared" si="2233"/>
        <v>0</v>
      </c>
      <c r="M2415" s="6" t="b">
        <f t="shared" si="2233"/>
        <v>0</v>
      </c>
      <c r="P2415" s="4">
        <v>0.139761942375159</v>
      </c>
      <c r="T2415" s="4" t="str">
        <f t="shared" si="3"/>
        <v/>
      </c>
      <c r="U2415" s="4">
        <f t="shared" si="4"/>
        <v>3323</v>
      </c>
    </row>
    <row r="2416" ht="15.75" customHeight="1">
      <c r="A2416" s="4" t="s">
        <v>3515</v>
      </c>
      <c r="B2416" s="4" t="s">
        <v>13</v>
      </c>
      <c r="I2416" s="4">
        <v>0.068</v>
      </c>
      <c r="J2416" s="4">
        <v>0.006</v>
      </c>
      <c r="K2416" s="6" t="b">
        <f t="shared" ref="K2416:M2416" si="2234">FALSE()</f>
        <v>0</v>
      </c>
      <c r="L2416" s="6" t="b">
        <f t="shared" si="2234"/>
        <v>0</v>
      </c>
      <c r="M2416" s="6" t="b">
        <f t="shared" si="2234"/>
        <v>0</v>
      </c>
      <c r="P2416" s="4">
        <v>0.0657877405380031</v>
      </c>
      <c r="T2416" s="4" t="str">
        <f t="shared" si="3"/>
        <v/>
      </c>
      <c r="U2416" s="4">
        <f t="shared" si="4"/>
        <v>4495</v>
      </c>
    </row>
    <row r="2417" ht="15.75" customHeight="1">
      <c r="A2417" s="4" t="s">
        <v>3516</v>
      </c>
      <c r="B2417" s="4" t="s">
        <v>13</v>
      </c>
      <c r="I2417" s="4">
        <v>0.191</v>
      </c>
      <c r="J2417" s="4">
        <v>0.023</v>
      </c>
      <c r="K2417" s="6" t="b">
        <f t="shared" ref="K2417:M2417" si="2235">FALSE()</f>
        <v>0</v>
      </c>
      <c r="L2417" s="6" t="b">
        <f t="shared" si="2235"/>
        <v>0</v>
      </c>
      <c r="M2417" s="6" t="b">
        <f t="shared" si="2235"/>
        <v>0</v>
      </c>
      <c r="P2417" s="4">
        <v>0.174793290373163</v>
      </c>
      <c r="T2417" s="4" t="str">
        <f t="shared" si="3"/>
        <v/>
      </c>
      <c r="U2417" s="4">
        <f t="shared" si="4"/>
        <v>2726</v>
      </c>
    </row>
    <row r="2418" ht="15.75" customHeight="1">
      <c r="A2418" s="4" t="s">
        <v>3517</v>
      </c>
      <c r="B2418" s="4" t="s">
        <v>13</v>
      </c>
      <c r="I2418" s="4">
        <v>0.179</v>
      </c>
      <c r="J2418" s="4">
        <v>0.019</v>
      </c>
      <c r="K2418" s="6" t="b">
        <f t="shared" ref="K2418:M2418" si="2236">FALSE()</f>
        <v>0</v>
      </c>
      <c r="L2418" s="6" t="b">
        <f t="shared" si="2236"/>
        <v>0</v>
      </c>
      <c r="M2418" s="6" t="b">
        <f t="shared" si="2236"/>
        <v>0</v>
      </c>
      <c r="P2418" s="4">
        <v>0.164666621555234</v>
      </c>
      <c r="T2418" s="4" t="str">
        <f t="shared" si="3"/>
        <v/>
      </c>
      <c r="U2418" s="4">
        <f t="shared" si="4"/>
        <v>2900</v>
      </c>
    </row>
    <row r="2419" ht="15.75" customHeight="1">
      <c r="A2419" s="4" t="s">
        <v>3518</v>
      </c>
      <c r="B2419" s="4" t="s">
        <v>13</v>
      </c>
      <c r="I2419" s="4">
        <v>0.353</v>
      </c>
      <c r="J2419" s="4">
        <v>0.04</v>
      </c>
      <c r="K2419" s="6" t="b">
        <f t="shared" ref="K2419:M2419" si="2237">FALSE()</f>
        <v>0</v>
      </c>
      <c r="L2419" s="6" t="b">
        <f t="shared" si="2237"/>
        <v>0</v>
      </c>
      <c r="M2419" s="6" t="b">
        <f t="shared" si="2237"/>
        <v>0</v>
      </c>
      <c r="P2419" s="4">
        <v>0.302324349188651</v>
      </c>
      <c r="T2419" s="4" t="str">
        <f t="shared" si="3"/>
        <v/>
      </c>
      <c r="U2419" s="4">
        <f t="shared" si="4"/>
        <v>1197</v>
      </c>
    </row>
    <row r="2420" ht="15.75" customHeight="1">
      <c r="A2420" s="4" t="s">
        <v>3519</v>
      </c>
      <c r="B2420" s="4" t="s">
        <v>13</v>
      </c>
      <c r="I2420" s="4">
        <v>0.098</v>
      </c>
      <c r="J2420" s="4">
        <v>0.012</v>
      </c>
      <c r="K2420" s="6" t="b">
        <f t="shared" ref="K2420:M2420" si="2238">FALSE()</f>
        <v>0</v>
      </c>
      <c r="L2420" s="6" t="b">
        <f t="shared" si="2238"/>
        <v>0</v>
      </c>
      <c r="M2420" s="6" t="b">
        <f t="shared" si="2238"/>
        <v>0</v>
      </c>
      <c r="P2420" s="4">
        <v>0.0934903430873388</v>
      </c>
      <c r="T2420" s="4" t="str">
        <f t="shared" si="3"/>
        <v/>
      </c>
      <c r="U2420" s="4">
        <f t="shared" si="4"/>
        <v>4246</v>
      </c>
    </row>
    <row r="2421" ht="15.75" customHeight="1">
      <c r="A2421" s="4" t="s">
        <v>3520</v>
      </c>
      <c r="B2421" s="4" t="s">
        <v>13</v>
      </c>
      <c r="I2421" s="4">
        <v>0.201</v>
      </c>
      <c r="J2421" s="4">
        <v>0.029</v>
      </c>
      <c r="K2421" s="6" t="b">
        <f t="shared" ref="K2421:M2421" si="2239">FALSE()</f>
        <v>0</v>
      </c>
      <c r="L2421" s="6" t="b">
        <f t="shared" si="2239"/>
        <v>0</v>
      </c>
      <c r="M2421" s="6" t="b">
        <f t="shared" si="2239"/>
        <v>0</v>
      </c>
      <c r="P2421" s="4">
        <v>0.183154543097847</v>
      </c>
      <c r="T2421" s="4" t="str">
        <f t="shared" si="3"/>
        <v/>
      </c>
      <c r="U2421" s="4">
        <f t="shared" si="4"/>
        <v>2567</v>
      </c>
    </row>
    <row r="2422" ht="15.75" customHeight="1">
      <c r="A2422" s="4" t="s">
        <v>3521</v>
      </c>
      <c r="B2422" s="4" t="s">
        <v>13</v>
      </c>
      <c r="I2422" s="4">
        <v>0.079</v>
      </c>
      <c r="J2422" s="4">
        <v>0.013</v>
      </c>
      <c r="K2422" s="6" t="b">
        <f t="shared" ref="K2422:M2422" si="2240">FALSE()</f>
        <v>0</v>
      </c>
      <c r="L2422" s="6" t="b">
        <f t="shared" si="2240"/>
        <v>0</v>
      </c>
      <c r="M2422" s="6" t="b">
        <f t="shared" si="2240"/>
        <v>0</v>
      </c>
      <c r="P2422" s="4">
        <v>0.0760346862759976</v>
      </c>
      <c r="T2422" s="4" t="str">
        <f t="shared" si="3"/>
        <v/>
      </c>
      <c r="U2422" s="4">
        <f t="shared" si="4"/>
        <v>4421</v>
      </c>
    </row>
    <row r="2423" ht="15.75" customHeight="1">
      <c r="A2423" s="4" t="s">
        <v>3522</v>
      </c>
      <c r="B2423" s="4" t="s">
        <v>13</v>
      </c>
      <c r="I2423" s="4">
        <v>0.093</v>
      </c>
      <c r="J2423" s="4">
        <v>0.006</v>
      </c>
      <c r="K2423" s="6" t="b">
        <f t="shared" ref="K2423:M2423" si="2241">FALSE()</f>
        <v>0</v>
      </c>
      <c r="L2423" s="6" t="b">
        <f t="shared" si="2241"/>
        <v>0</v>
      </c>
      <c r="M2423" s="6" t="b">
        <f t="shared" si="2241"/>
        <v>0</v>
      </c>
      <c r="P2423" s="4">
        <v>0.0889262091944015</v>
      </c>
      <c r="T2423" s="4" t="str">
        <f t="shared" si="3"/>
        <v/>
      </c>
      <c r="U2423" s="4">
        <f t="shared" si="4"/>
        <v>4297</v>
      </c>
    </row>
    <row r="2424" ht="15.75" customHeight="1">
      <c r="A2424" s="4" t="s">
        <v>3523</v>
      </c>
      <c r="B2424" s="4" t="s">
        <v>13</v>
      </c>
      <c r="I2424" s="4">
        <v>0.1231</v>
      </c>
      <c r="J2424" s="4">
        <v>0.0107</v>
      </c>
      <c r="K2424" s="6" t="b">
        <f t="shared" ref="K2424:M2424" si="2242">FALSE()</f>
        <v>0</v>
      </c>
      <c r="L2424" s="6" t="b">
        <f t="shared" si="2242"/>
        <v>0</v>
      </c>
      <c r="M2424" s="6" t="b">
        <f t="shared" si="2242"/>
        <v>0</v>
      </c>
      <c r="P2424" s="4">
        <v>0.116092718986853</v>
      </c>
      <c r="T2424" s="4" t="str">
        <f t="shared" si="3"/>
        <v/>
      </c>
      <c r="U2424" s="4">
        <f t="shared" si="4"/>
        <v>3809</v>
      </c>
    </row>
    <row r="2425" ht="15.75" customHeight="1">
      <c r="A2425" s="4" t="s">
        <v>3524</v>
      </c>
      <c r="B2425" s="4" t="s">
        <v>13</v>
      </c>
      <c r="I2425" s="4">
        <v>0.1401</v>
      </c>
      <c r="J2425" s="4">
        <v>0.0125</v>
      </c>
      <c r="K2425" s="6" t="b">
        <f t="shared" ref="K2425:M2425" si="2243">FALSE()</f>
        <v>0</v>
      </c>
      <c r="L2425" s="6" t="b">
        <f t="shared" si="2243"/>
        <v>0</v>
      </c>
      <c r="M2425" s="6" t="b">
        <f t="shared" si="2243"/>
        <v>0</v>
      </c>
      <c r="P2425" s="4">
        <v>0.131115977857537</v>
      </c>
      <c r="T2425" s="4" t="str">
        <f t="shared" si="3"/>
        <v/>
      </c>
      <c r="U2425" s="4">
        <f t="shared" si="4"/>
        <v>3497</v>
      </c>
    </row>
    <row r="2426" ht="15.75" customHeight="1">
      <c r="A2426" s="4" t="s">
        <v>3525</v>
      </c>
      <c r="B2426" s="4" t="s">
        <v>13</v>
      </c>
      <c r="I2426" s="4">
        <v>0.159</v>
      </c>
      <c r="J2426" s="4">
        <v>0.012</v>
      </c>
      <c r="K2426" s="6" t="b">
        <f t="shared" ref="K2426:M2426" si="2244">FALSE()</f>
        <v>0</v>
      </c>
      <c r="L2426" s="6" t="b">
        <f t="shared" si="2244"/>
        <v>0</v>
      </c>
      <c r="M2426" s="6" t="b">
        <f t="shared" si="2244"/>
        <v>0</v>
      </c>
      <c r="P2426" s="4">
        <v>0.147557564357615</v>
      </c>
      <c r="T2426" s="4" t="str">
        <f t="shared" si="3"/>
        <v/>
      </c>
      <c r="U2426" s="4">
        <f t="shared" si="4"/>
        <v>3188</v>
      </c>
    </row>
    <row r="2427" ht="15.75" customHeight="1">
      <c r="A2427" s="4" t="s">
        <v>3526</v>
      </c>
      <c r="B2427" s="4" t="s">
        <v>13</v>
      </c>
      <c r="I2427" s="4">
        <v>0.252</v>
      </c>
      <c r="J2427" s="4">
        <v>0.021</v>
      </c>
      <c r="K2427" s="6" t="b">
        <f t="shared" ref="K2427:M2427" si="2245">FALSE()</f>
        <v>0</v>
      </c>
      <c r="L2427" s="6" t="b">
        <f t="shared" si="2245"/>
        <v>0</v>
      </c>
      <c r="M2427" s="6" t="b">
        <f t="shared" si="2245"/>
        <v>0</v>
      </c>
      <c r="P2427" s="4">
        <v>0.224742272677907</v>
      </c>
      <c r="T2427" s="4" t="str">
        <f t="shared" si="3"/>
        <v/>
      </c>
      <c r="U2427" s="4">
        <f t="shared" si="4"/>
        <v>1782</v>
      </c>
    </row>
    <row r="2428" ht="15.75" customHeight="1">
      <c r="A2428" s="4" t="s">
        <v>3527</v>
      </c>
      <c r="B2428" s="4" t="s">
        <v>13</v>
      </c>
      <c r="I2428" s="4">
        <v>0.074</v>
      </c>
      <c r="J2428" s="4">
        <v>0.012</v>
      </c>
      <c r="K2428" s="6" t="b">
        <f t="shared" ref="K2428:M2428" si="2246">FALSE()</f>
        <v>0</v>
      </c>
      <c r="L2428" s="6" t="b">
        <f t="shared" si="2246"/>
        <v>0</v>
      </c>
      <c r="M2428" s="6" t="b">
        <f t="shared" si="2246"/>
        <v>0</v>
      </c>
      <c r="P2428" s="4">
        <v>0.0713899960866729</v>
      </c>
      <c r="T2428" s="4" t="str">
        <f t="shared" si="3"/>
        <v/>
      </c>
      <c r="U2428" s="4">
        <f t="shared" si="4"/>
        <v>4461</v>
      </c>
    </row>
    <row r="2429" ht="15.75" customHeight="1">
      <c r="A2429" s="4" t="s">
        <v>3528</v>
      </c>
      <c r="B2429" s="4" t="s">
        <v>13</v>
      </c>
      <c r="I2429" s="4">
        <v>0.162</v>
      </c>
      <c r="J2429" s="4">
        <v>0.013</v>
      </c>
      <c r="K2429" s="6" t="b">
        <f t="shared" ref="K2429:M2429" si="2247">FALSE()</f>
        <v>0</v>
      </c>
      <c r="L2429" s="6" t="b">
        <f t="shared" si="2247"/>
        <v>0</v>
      </c>
      <c r="M2429" s="6" t="b">
        <f t="shared" si="2247"/>
        <v>0</v>
      </c>
      <c r="P2429" s="4">
        <v>0.15014265842972</v>
      </c>
      <c r="T2429" s="4" t="str">
        <f t="shared" si="3"/>
        <v/>
      </c>
      <c r="U2429" s="4">
        <f t="shared" si="4"/>
        <v>3151</v>
      </c>
    </row>
    <row r="2430" ht="15.75" customHeight="1">
      <c r="A2430" s="4" t="s">
        <v>3529</v>
      </c>
      <c r="B2430" s="4" t="s">
        <v>13</v>
      </c>
      <c r="I2430" s="4">
        <v>0.11</v>
      </c>
      <c r="J2430" s="4">
        <v>0.007</v>
      </c>
      <c r="K2430" s="6" t="b">
        <f t="shared" ref="K2430:M2430" si="2248">FALSE()</f>
        <v>0</v>
      </c>
      <c r="L2430" s="6" t="b">
        <f t="shared" si="2248"/>
        <v>0</v>
      </c>
      <c r="M2430" s="6" t="b">
        <f t="shared" si="2248"/>
        <v>0</v>
      </c>
      <c r="P2430" s="4">
        <v>0.104360015324243</v>
      </c>
      <c r="T2430" s="4" t="str">
        <f t="shared" si="3"/>
        <v/>
      </c>
      <c r="U2430" s="4">
        <f t="shared" si="4"/>
        <v>4044</v>
      </c>
    </row>
    <row r="2431" ht="15.75" customHeight="1">
      <c r="A2431" s="4" t="s">
        <v>3530</v>
      </c>
      <c r="B2431" s="4" t="s">
        <v>13</v>
      </c>
      <c r="I2431" s="4">
        <v>0.115</v>
      </c>
      <c r="J2431" s="4">
        <v>0.007</v>
      </c>
      <c r="K2431" s="6" t="b">
        <f t="shared" ref="K2431:M2431" si="2249">FALSE()</f>
        <v>0</v>
      </c>
      <c r="L2431" s="6" t="b">
        <f t="shared" si="2249"/>
        <v>0</v>
      </c>
      <c r="M2431" s="6" t="b">
        <f t="shared" si="2249"/>
        <v>0</v>
      </c>
      <c r="P2431" s="4">
        <v>0.108854404912082</v>
      </c>
      <c r="T2431" s="4" t="str">
        <f t="shared" si="3"/>
        <v/>
      </c>
      <c r="U2431" s="4">
        <f t="shared" si="4"/>
        <v>3963</v>
      </c>
    </row>
    <row r="2432" ht="15.75" customHeight="1">
      <c r="A2432" s="4" t="s">
        <v>3531</v>
      </c>
      <c r="B2432" s="4" t="s">
        <v>13</v>
      </c>
      <c r="I2432" s="4">
        <v>0.079</v>
      </c>
      <c r="J2432" s="4">
        <v>0.012</v>
      </c>
      <c r="K2432" s="6" t="b">
        <f t="shared" ref="K2432:M2432" si="2250">FALSE()</f>
        <v>0</v>
      </c>
      <c r="L2432" s="6" t="b">
        <f t="shared" si="2250"/>
        <v>0</v>
      </c>
      <c r="M2432" s="6" t="b">
        <f t="shared" si="2250"/>
        <v>0</v>
      </c>
      <c r="P2432" s="4">
        <v>0.0760346862759976</v>
      </c>
      <c r="T2432" s="4" t="str">
        <f t="shared" si="3"/>
        <v/>
      </c>
      <c r="U2432" s="4">
        <f t="shared" si="4"/>
        <v>4422</v>
      </c>
    </row>
    <row r="2433" ht="15.75" customHeight="1">
      <c r="A2433" s="4" t="s">
        <v>3532</v>
      </c>
      <c r="B2433" s="4" t="s">
        <v>13</v>
      </c>
      <c r="I2433" s="4">
        <v>0.089</v>
      </c>
      <c r="J2433" s="4">
        <v>0.01</v>
      </c>
      <c r="K2433" s="6" t="b">
        <f t="shared" ref="K2433:M2433" si="2251">FALSE()</f>
        <v>0</v>
      </c>
      <c r="L2433" s="6" t="b">
        <f t="shared" si="2251"/>
        <v>0</v>
      </c>
      <c r="M2433" s="6" t="b">
        <f t="shared" si="2251"/>
        <v>0</v>
      </c>
      <c r="P2433" s="4">
        <v>0.0852598439508234</v>
      </c>
      <c r="T2433" s="4" t="str">
        <f t="shared" si="3"/>
        <v/>
      </c>
      <c r="U2433" s="4">
        <f t="shared" si="4"/>
        <v>4340</v>
      </c>
    </row>
    <row r="2434" ht="15.75" customHeight="1">
      <c r="A2434" s="4" t="s">
        <v>3533</v>
      </c>
      <c r="B2434" s="4" t="s">
        <v>13</v>
      </c>
      <c r="I2434" s="4">
        <v>0.148</v>
      </c>
      <c r="J2434" s="4">
        <v>0.012</v>
      </c>
      <c r="K2434" s="6" t="b">
        <f t="shared" ref="K2434:M2434" si="2252">FALSE()</f>
        <v>0</v>
      </c>
      <c r="L2434" s="6" t="b">
        <f t="shared" si="2252"/>
        <v>0</v>
      </c>
      <c r="M2434" s="6" t="b">
        <f t="shared" si="2252"/>
        <v>0</v>
      </c>
      <c r="P2434" s="4">
        <v>0.138021297897375</v>
      </c>
      <c r="T2434" s="4" t="str">
        <f t="shared" si="3"/>
        <v/>
      </c>
      <c r="U2434" s="4">
        <f t="shared" si="4"/>
        <v>3362</v>
      </c>
    </row>
    <row r="2435" ht="15.75" customHeight="1">
      <c r="A2435" s="4" t="s">
        <v>3534</v>
      </c>
      <c r="B2435" s="4" t="s">
        <v>13</v>
      </c>
      <c r="I2435" s="4">
        <v>0.255</v>
      </c>
      <c r="J2435" s="4">
        <v>0.026</v>
      </c>
      <c r="K2435" s="6" t="b">
        <f t="shared" ref="K2435:M2435" si="2253">FALSE()</f>
        <v>0</v>
      </c>
      <c r="L2435" s="6" t="b">
        <f t="shared" si="2253"/>
        <v>0</v>
      </c>
      <c r="M2435" s="6" t="b">
        <f t="shared" si="2253"/>
        <v>0</v>
      </c>
      <c r="P2435" s="4">
        <v>0.227135572583747</v>
      </c>
      <c r="T2435" s="4" t="str">
        <f t="shared" si="3"/>
        <v/>
      </c>
      <c r="U2435" s="4">
        <f t="shared" si="4"/>
        <v>1748</v>
      </c>
    </row>
    <row r="2436" ht="15.75" customHeight="1">
      <c r="A2436" s="4" t="s">
        <v>3535</v>
      </c>
      <c r="B2436" s="4" t="s">
        <v>13</v>
      </c>
      <c r="I2436" s="4">
        <v>0.062</v>
      </c>
      <c r="J2436" s="4">
        <v>0.004</v>
      </c>
      <c r="K2436" s="6" t="b">
        <f t="shared" ref="K2436:M2436" si="2254">FALSE()</f>
        <v>0</v>
      </c>
      <c r="L2436" s="6" t="b">
        <f t="shared" si="2254"/>
        <v>0</v>
      </c>
      <c r="M2436" s="6" t="b">
        <f t="shared" si="2254"/>
        <v>0</v>
      </c>
      <c r="P2436" s="4">
        <v>0.060153922819747</v>
      </c>
      <c r="T2436" s="4" t="str">
        <f t="shared" si="3"/>
        <v/>
      </c>
      <c r="U2436" s="4">
        <f t="shared" si="4"/>
        <v>4528</v>
      </c>
    </row>
    <row r="2437" ht="15.75" customHeight="1">
      <c r="A2437" s="4" t="s">
        <v>3536</v>
      </c>
      <c r="B2437" s="4" t="s">
        <v>13</v>
      </c>
      <c r="I2437" s="4">
        <v>0.126</v>
      </c>
      <c r="J2437" s="4">
        <v>0.008</v>
      </c>
      <c r="K2437" s="6" t="b">
        <f t="shared" ref="K2437:M2437" si="2255">FALSE()</f>
        <v>0</v>
      </c>
      <c r="L2437" s="6" t="b">
        <f t="shared" si="2255"/>
        <v>0</v>
      </c>
      <c r="M2437" s="6" t="b">
        <f t="shared" si="2255"/>
        <v>0</v>
      </c>
      <c r="P2437" s="4">
        <v>0.118671529717499</v>
      </c>
      <c r="T2437" s="4" t="str">
        <f t="shared" si="3"/>
        <v/>
      </c>
      <c r="U2437" s="4">
        <f t="shared" si="4"/>
        <v>3763</v>
      </c>
    </row>
    <row r="2438" ht="15.75" customHeight="1">
      <c r="A2438" s="4" t="s">
        <v>3537</v>
      </c>
      <c r="B2438" s="4" t="s">
        <v>13</v>
      </c>
      <c r="I2438" s="4">
        <v>0.114</v>
      </c>
      <c r="J2438" s="4">
        <v>0.011</v>
      </c>
      <c r="K2438" s="6" t="b">
        <f t="shared" ref="K2438:M2438" si="2256">FALSE()</f>
        <v>0</v>
      </c>
      <c r="L2438" s="6" t="b">
        <f t="shared" si="2256"/>
        <v>0</v>
      </c>
      <c r="M2438" s="6" t="b">
        <f t="shared" si="2256"/>
        <v>0</v>
      </c>
      <c r="P2438" s="4">
        <v>0.107957141505092</v>
      </c>
      <c r="T2438" s="4" t="str">
        <f t="shared" si="3"/>
        <v/>
      </c>
      <c r="U2438" s="4">
        <f t="shared" si="4"/>
        <v>3984</v>
      </c>
    </row>
    <row r="2439" ht="15.75" customHeight="1">
      <c r="A2439" s="4" t="s">
        <v>3538</v>
      </c>
      <c r="B2439" s="4" t="s">
        <v>13</v>
      </c>
      <c r="I2439" s="4">
        <v>0.083</v>
      </c>
      <c r="J2439" s="4">
        <v>0.01</v>
      </c>
      <c r="K2439" s="6" t="b">
        <f t="shared" ref="K2439:M2439" si="2257">FALSE()</f>
        <v>0</v>
      </c>
      <c r="L2439" s="6" t="b">
        <f t="shared" si="2257"/>
        <v>0</v>
      </c>
      <c r="M2439" s="6" t="b">
        <f t="shared" si="2257"/>
        <v>0</v>
      </c>
      <c r="P2439" s="4">
        <v>0.0797349680188535</v>
      </c>
      <c r="T2439" s="4" t="str">
        <f t="shared" si="3"/>
        <v/>
      </c>
      <c r="U2439" s="4">
        <f t="shared" si="4"/>
        <v>4391</v>
      </c>
    </row>
    <row r="2440" ht="15.75" customHeight="1">
      <c r="A2440" s="4" t="s">
        <v>3539</v>
      </c>
      <c r="B2440" s="4" t="s">
        <v>13</v>
      </c>
      <c r="I2440" s="4">
        <v>0.18</v>
      </c>
      <c r="J2440" s="4">
        <v>0.024</v>
      </c>
      <c r="K2440" s="6" t="b">
        <f t="shared" ref="K2440:M2440" si="2258">FALSE()</f>
        <v>0</v>
      </c>
      <c r="L2440" s="6" t="b">
        <f t="shared" si="2258"/>
        <v>0</v>
      </c>
      <c r="M2440" s="6" t="b">
        <f t="shared" si="2258"/>
        <v>0</v>
      </c>
      <c r="P2440" s="4">
        <v>0.165514438477573</v>
      </c>
      <c r="T2440" s="4" t="str">
        <f t="shared" si="3"/>
        <v/>
      </c>
      <c r="U2440" s="4">
        <f t="shared" si="4"/>
        <v>2886</v>
      </c>
    </row>
    <row r="2441" ht="15.75" customHeight="1">
      <c r="A2441" s="4" t="s">
        <v>3540</v>
      </c>
      <c r="B2441" s="4" t="s">
        <v>13</v>
      </c>
      <c r="I2441" s="4">
        <v>0.095</v>
      </c>
      <c r="J2441" s="4">
        <v>0.006</v>
      </c>
      <c r="K2441" s="6" t="b">
        <f t="shared" ref="K2441:M2441" si="2259">FALSE()</f>
        <v>0</v>
      </c>
      <c r="L2441" s="6" t="b">
        <f t="shared" si="2259"/>
        <v>0</v>
      </c>
      <c r="M2441" s="6" t="b">
        <f t="shared" si="2259"/>
        <v>0</v>
      </c>
      <c r="P2441" s="4">
        <v>0.0907543632684641</v>
      </c>
      <c r="T2441" s="4" t="str">
        <f t="shared" si="3"/>
        <v/>
      </c>
      <c r="U2441" s="4">
        <f t="shared" si="4"/>
        <v>4274</v>
      </c>
    </row>
    <row r="2442" ht="15.75" customHeight="1">
      <c r="A2442" s="4" t="s">
        <v>3541</v>
      </c>
      <c r="B2442" s="4" t="s">
        <v>13</v>
      </c>
      <c r="I2442" s="4">
        <v>0.103</v>
      </c>
      <c r="J2442" s="4">
        <v>0.011</v>
      </c>
      <c r="K2442" s="6" t="b">
        <f t="shared" ref="K2442:M2442" si="2260">FALSE()</f>
        <v>0</v>
      </c>
      <c r="L2442" s="6" t="b">
        <f t="shared" si="2260"/>
        <v>0</v>
      </c>
      <c r="M2442" s="6" t="b">
        <f t="shared" si="2260"/>
        <v>0</v>
      </c>
      <c r="P2442" s="4">
        <v>0.0980337402713654</v>
      </c>
      <c r="T2442" s="4" t="str">
        <f t="shared" si="3"/>
        <v/>
      </c>
      <c r="U2442" s="4">
        <f t="shared" si="4"/>
        <v>4175</v>
      </c>
    </row>
    <row r="2443" ht="15.75" customHeight="1">
      <c r="A2443" s="4" t="s">
        <v>3542</v>
      </c>
      <c r="B2443" s="4" t="s">
        <v>13</v>
      </c>
      <c r="I2443" s="4">
        <v>0.084</v>
      </c>
      <c r="J2443" s="4">
        <v>0.012</v>
      </c>
      <c r="K2443" s="6" t="b">
        <f t="shared" ref="K2443:M2443" si="2261">FALSE()</f>
        <v>0</v>
      </c>
      <c r="L2443" s="6" t="b">
        <f t="shared" si="2261"/>
        <v>0</v>
      </c>
      <c r="M2443" s="6" t="b">
        <f t="shared" si="2261"/>
        <v>0</v>
      </c>
      <c r="P2443" s="4">
        <v>0.0806579030174544</v>
      </c>
      <c r="T2443" s="4" t="str">
        <f t="shared" si="3"/>
        <v/>
      </c>
      <c r="U2443" s="4">
        <f t="shared" si="4"/>
        <v>4381</v>
      </c>
    </row>
    <row r="2444" ht="15.75" customHeight="1">
      <c r="A2444" s="4" t="s">
        <v>3543</v>
      </c>
      <c r="B2444" s="4" t="s">
        <v>13</v>
      </c>
      <c r="I2444" s="4">
        <v>0.139</v>
      </c>
      <c r="J2444" s="4">
        <v>0.015</v>
      </c>
      <c r="K2444" s="6" t="b">
        <f t="shared" ref="K2444:M2444" si="2262">FALSE()</f>
        <v>0</v>
      </c>
      <c r="L2444" s="6" t="b">
        <f t="shared" si="2262"/>
        <v>0</v>
      </c>
      <c r="M2444" s="6" t="b">
        <f t="shared" si="2262"/>
        <v>0</v>
      </c>
      <c r="P2444" s="4">
        <v>0.130150684465045</v>
      </c>
      <c r="T2444" s="4" t="str">
        <f t="shared" si="3"/>
        <v/>
      </c>
      <c r="U2444" s="4">
        <f t="shared" si="4"/>
        <v>3523</v>
      </c>
    </row>
    <row r="2445" ht="15.75" customHeight="1">
      <c r="A2445" s="4" t="s">
        <v>3544</v>
      </c>
      <c r="B2445" s="4" t="s">
        <v>13</v>
      </c>
      <c r="I2445" s="4">
        <v>0.098</v>
      </c>
      <c r="J2445" s="4">
        <v>0.011</v>
      </c>
      <c r="K2445" s="6" t="b">
        <f t="shared" ref="K2445:M2445" si="2263">FALSE()</f>
        <v>0</v>
      </c>
      <c r="L2445" s="6" t="b">
        <f t="shared" si="2263"/>
        <v>0</v>
      </c>
      <c r="M2445" s="6" t="b">
        <f t="shared" si="2263"/>
        <v>0</v>
      </c>
      <c r="P2445" s="4">
        <v>0.0934903430873388</v>
      </c>
      <c r="T2445" s="4" t="str">
        <f t="shared" si="3"/>
        <v/>
      </c>
      <c r="U2445" s="4">
        <f t="shared" si="4"/>
        <v>4247</v>
      </c>
    </row>
    <row r="2446" ht="15.75" customHeight="1">
      <c r="A2446" s="4" t="s">
        <v>3545</v>
      </c>
      <c r="B2446" s="4" t="s">
        <v>13</v>
      </c>
      <c r="I2446" s="4">
        <v>0.146</v>
      </c>
      <c r="J2446" s="4">
        <v>0.009</v>
      </c>
      <c r="K2446" s="6" t="b">
        <f t="shared" ref="K2446:M2446" si="2264">FALSE()</f>
        <v>0</v>
      </c>
      <c r="L2446" s="6" t="b">
        <f t="shared" si="2264"/>
        <v>0</v>
      </c>
      <c r="M2446" s="6" t="b">
        <f t="shared" si="2264"/>
        <v>0</v>
      </c>
      <c r="P2446" s="4">
        <v>0.136277618292548</v>
      </c>
      <c r="T2446" s="4" t="str">
        <f t="shared" si="3"/>
        <v/>
      </c>
      <c r="U2446" s="4">
        <f t="shared" si="4"/>
        <v>3392</v>
      </c>
    </row>
    <row r="2447" ht="15.75" customHeight="1">
      <c r="A2447" s="4" t="s">
        <v>3546</v>
      </c>
      <c r="B2447" s="4" t="s">
        <v>13</v>
      </c>
      <c r="I2447" s="4">
        <v>0.115</v>
      </c>
      <c r="J2447" s="4">
        <v>0.012</v>
      </c>
      <c r="K2447" s="6" t="b">
        <f t="shared" ref="K2447:M2447" si="2265">FALSE()</f>
        <v>0</v>
      </c>
      <c r="L2447" s="6" t="b">
        <f t="shared" si="2265"/>
        <v>0</v>
      </c>
      <c r="M2447" s="6" t="b">
        <f t="shared" si="2265"/>
        <v>0</v>
      </c>
      <c r="P2447" s="4">
        <v>0.108854404912082</v>
      </c>
      <c r="T2447" s="4" t="str">
        <f t="shared" si="3"/>
        <v/>
      </c>
      <c r="U2447" s="4">
        <f t="shared" si="4"/>
        <v>3964</v>
      </c>
    </row>
    <row r="2448" ht="15.75" customHeight="1">
      <c r="A2448" s="4" t="s">
        <v>3547</v>
      </c>
      <c r="B2448" s="4" t="s">
        <v>13</v>
      </c>
      <c r="I2448" s="4">
        <v>0.178</v>
      </c>
      <c r="J2448" s="4">
        <v>0.035</v>
      </c>
      <c r="K2448" s="6" t="b">
        <f t="shared" ref="K2448:M2448" si="2266">FALSE()</f>
        <v>0</v>
      </c>
      <c r="L2448" s="6" t="b">
        <f t="shared" si="2266"/>
        <v>0</v>
      </c>
      <c r="M2448" s="6" t="b">
        <f t="shared" si="2266"/>
        <v>0</v>
      </c>
      <c r="P2448" s="4">
        <v>0.163818085229395</v>
      </c>
      <c r="T2448" s="4" t="str">
        <f t="shared" si="3"/>
        <v/>
      </c>
      <c r="U2448" s="4">
        <f t="shared" si="4"/>
        <v>2918</v>
      </c>
    </row>
    <row r="2449" ht="15.75" customHeight="1">
      <c r="A2449" s="4" t="s">
        <v>3548</v>
      </c>
      <c r="B2449" s="4" t="s">
        <v>13</v>
      </c>
      <c r="I2449" s="4">
        <v>0.255</v>
      </c>
      <c r="J2449" s="4">
        <v>0.049</v>
      </c>
      <c r="K2449" s="6" t="b">
        <f t="shared" ref="K2449:M2449" si="2267">FALSE()</f>
        <v>0</v>
      </c>
      <c r="L2449" s="6" t="b">
        <f t="shared" si="2267"/>
        <v>0</v>
      </c>
      <c r="M2449" s="6" t="b">
        <f t="shared" si="2267"/>
        <v>0</v>
      </c>
      <c r="P2449" s="4">
        <v>0.227135572583747</v>
      </c>
      <c r="T2449" s="4" t="str">
        <f t="shared" si="3"/>
        <v/>
      </c>
      <c r="U2449" s="4">
        <f t="shared" si="4"/>
        <v>1749</v>
      </c>
    </row>
    <row r="2450" ht="15.75" customHeight="1">
      <c r="A2450" s="4" t="s">
        <v>3549</v>
      </c>
      <c r="B2450" s="4" t="s">
        <v>13</v>
      </c>
      <c r="I2450" s="4">
        <v>0.193</v>
      </c>
      <c r="J2450" s="4">
        <v>0.042</v>
      </c>
      <c r="K2450" s="6" t="b">
        <f t="shared" ref="K2450:M2450" si="2268">FALSE()</f>
        <v>0</v>
      </c>
      <c r="L2450" s="6" t="b">
        <f t="shared" si="2268"/>
        <v>0</v>
      </c>
      <c r="M2450" s="6" t="b">
        <f t="shared" si="2268"/>
        <v>0</v>
      </c>
      <c r="P2450" s="4">
        <v>0.176471143115779</v>
      </c>
      <c r="T2450" s="4" t="str">
        <f t="shared" si="3"/>
        <v/>
      </c>
      <c r="U2450" s="4">
        <f t="shared" si="4"/>
        <v>2699</v>
      </c>
    </row>
    <row r="2451" ht="15.75" customHeight="1">
      <c r="A2451" s="4" t="s">
        <v>3550</v>
      </c>
      <c r="B2451" s="4" t="s">
        <v>13</v>
      </c>
      <c r="I2451" s="4">
        <v>0.105</v>
      </c>
      <c r="J2451" s="4">
        <v>0.007</v>
      </c>
      <c r="K2451" s="6" t="b">
        <f t="shared" ref="K2451:M2451" si="2269">FALSE()</f>
        <v>0</v>
      </c>
      <c r="L2451" s="6" t="b">
        <f t="shared" si="2269"/>
        <v>0</v>
      </c>
      <c r="M2451" s="6" t="b">
        <f t="shared" si="2269"/>
        <v>0</v>
      </c>
      <c r="P2451" s="4">
        <v>0.0998453349697161</v>
      </c>
      <c r="T2451" s="4" t="str">
        <f t="shared" si="3"/>
        <v/>
      </c>
      <c r="U2451" s="4">
        <f t="shared" si="4"/>
        <v>4140</v>
      </c>
    </row>
    <row r="2452" ht="15.75" customHeight="1">
      <c r="A2452" s="4" t="s">
        <v>3551</v>
      </c>
      <c r="B2452" s="4" t="s">
        <v>13</v>
      </c>
      <c r="I2452" s="4">
        <v>0.131</v>
      </c>
      <c r="J2452" s="4">
        <v>0.014</v>
      </c>
      <c r="K2452" s="6" t="b">
        <f t="shared" ref="K2452:M2452" si="2270">FALSE()</f>
        <v>0</v>
      </c>
      <c r="L2452" s="6" t="b">
        <f t="shared" si="2270"/>
        <v>0</v>
      </c>
      <c r="M2452" s="6" t="b">
        <f t="shared" si="2270"/>
        <v>0</v>
      </c>
      <c r="P2452" s="4">
        <v>0.123102197133983</v>
      </c>
      <c r="T2452" s="4" t="str">
        <f t="shared" si="3"/>
        <v/>
      </c>
      <c r="U2452" s="4">
        <f t="shared" si="4"/>
        <v>3675</v>
      </c>
    </row>
    <row r="2453" ht="15.75" customHeight="1">
      <c r="A2453" s="4" t="s">
        <v>3552</v>
      </c>
      <c r="B2453" s="4" t="s">
        <v>13</v>
      </c>
      <c r="I2453" s="4">
        <v>0.198</v>
      </c>
      <c r="J2453" s="4">
        <v>0.027</v>
      </c>
      <c r="K2453" s="6" t="b">
        <f t="shared" ref="K2453:M2453" si="2271">FALSE()</f>
        <v>0</v>
      </c>
      <c r="L2453" s="6" t="b">
        <f t="shared" si="2271"/>
        <v>0</v>
      </c>
      <c r="M2453" s="6" t="b">
        <f t="shared" si="2271"/>
        <v>0</v>
      </c>
      <c r="P2453" s="4">
        <v>0.180653499693258</v>
      </c>
      <c r="T2453" s="4" t="str">
        <f t="shared" si="3"/>
        <v/>
      </c>
      <c r="U2453" s="4">
        <f t="shared" si="4"/>
        <v>2617</v>
      </c>
    </row>
    <row r="2454" ht="15.75" customHeight="1">
      <c r="A2454" s="4" t="s">
        <v>3553</v>
      </c>
      <c r="B2454" s="4" t="s">
        <v>13</v>
      </c>
      <c r="I2454" s="4">
        <v>0.139</v>
      </c>
      <c r="J2454" s="4">
        <v>0.016</v>
      </c>
      <c r="K2454" s="6" t="b">
        <f t="shared" ref="K2454:M2454" si="2272">FALSE()</f>
        <v>0</v>
      </c>
      <c r="L2454" s="6" t="b">
        <f t="shared" si="2272"/>
        <v>0</v>
      </c>
      <c r="M2454" s="6" t="b">
        <f t="shared" si="2272"/>
        <v>0</v>
      </c>
      <c r="P2454" s="4">
        <v>0.130150684465045</v>
      </c>
      <c r="T2454" s="4" t="str">
        <f t="shared" si="3"/>
        <v/>
      </c>
      <c r="U2454" s="4">
        <f t="shared" si="4"/>
        <v>3524</v>
      </c>
    </row>
    <row r="2455" ht="15.75" customHeight="1">
      <c r="A2455" s="4" t="s">
        <v>3554</v>
      </c>
      <c r="B2455" s="4" t="s">
        <v>13</v>
      </c>
      <c r="I2455" s="4">
        <v>0.099</v>
      </c>
      <c r="J2455" s="4">
        <v>0.018</v>
      </c>
      <c r="K2455" s="6" t="b">
        <f t="shared" ref="K2455:M2455" si="2273">FALSE()</f>
        <v>0</v>
      </c>
      <c r="L2455" s="6" t="b">
        <f t="shared" si="2273"/>
        <v>0</v>
      </c>
      <c r="M2455" s="6" t="b">
        <f t="shared" si="2273"/>
        <v>0</v>
      </c>
      <c r="P2455" s="4">
        <v>0.0944006754214843</v>
      </c>
      <c r="T2455" s="4" t="str">
        <f t="shared" si="3"/>
        <v/>
      </c>
      <c r="U2455" s="4">
        <f t="shared" si="4"/>
        <v>4233</v>
      </c>
    </row>
    <row r="2456" ht="15.75" customHeight="1">
      <c r="A2456" s="4" t="s">
        <v>3555</v>
      </c>
      <c r="B2456" s="4" t="s">
        <v>13</v>
      </c>
      <c r="I2456" s="4">
        <v>0.077</v>
      </c>
      <c r="J2456" s="4">
        <v>0.008</v>
      </c>
      <c r="K2456" s="6" t="b">
        <f t="shared" ref="K2456:M2456" si="2274">FALSE()</f>
        <v>0</v>
      </c>
      <c r="L2456" s="6" t="b">
        <f t="shared" si="2274"/>
        <v>0</v>
      </c>
      <c r="M2456" s="6" t="b">
        <f t="shared" si="2274"/>
        <v>0</v>
      </c>
      <c r="P2456" s="4">
        <v>0.0741793981742515</v>
      </c>
      <c r="T2456" s="4" t="str">
        <f t="shared" si="3"/>
        <v/>
      </c>
      <c r="U2456" s="4">
        <f t="shared" si="4"/>
        <v>4443</v>
      </c>
    </row>
    <row r="2457" ht="15.75" customHeight="1">
      <c r="A2457" s="4" t="s">
        <v>3556</v>
      </c>
      <c r="B2457" s="4" t="s">
        <v>13</v>
      </c>
      <c r="I2457" s="4">
        <v>0.117</v>
      </c>
      <c r="J2457" s="4">
        <v>0.016</v>
      </c>
      <c r="K2457" s="6" t="b">
        <f t="shared" ref="K2457:M2457" si="2275">FALSE()</f>
        <v>0</v>
      </c>
      <c r="L2457" s="6" t="b">
        <f t="shared" si="2275"/>
        <v>0</v>
      </c>
      <c r="M2457" s="6" t="b">
        <f t="shared" si="2275"/>
        <v>0</v>
      </c>
      <c r="P2457" s="4">
        <v>0.110646520087064</v>
      </c>
      <c r="T2457" s="4" t="str">
        <f t="shared" si="3"/>
        <v/>
      </c>
      <c r="U2457" s="4">
        <f t="shared" si="4"/>
        <v>3931</v>
      </c>
    </row>
    <row r="2458" ht="15.75" customHeight="1">
      <c r="A2458" s="4" t="s">
        <v>3557</v>
      </c>
      <c r="B2458" s="4" t="s">
        <v>13</v>
      </c>
      <c r="I2458" s="4">
        <v>0.122</v>
      </c>
      <c r="J2458" s="4">
        <v>0.012</v>
      </c>
      <c r="K2458" s="6" t="b">
        <f t="shared" ref="K2458:M2458" si="2276">FALSE()</f>
        <v>0</v>
      </c>
      <c r="L2458" s="6" t="b">
        <f t="shared" si="2276"/>
        <v>0</v>
      </c>
      <c r="M2458" s="6" t="b">
        <f t="shared" si="2276"/>
        <v>0</v>
      </c>
      <c r="P2458" s="4">
        <v>0.115112807100505</v>
      </c>
      <c r="T2458" s="4" t="str">
        <f t="shared" si="3"/>
        <v/>
      </c>
      <c r="U2458" s="4">
        <f t="shared" si="4"/>
        <v>3828</v>
      </c>
    </row>
    <row r="2459" ht="15.75" customHeight="1">
      <c r="A2459" s="4" t="s">
        <v>3558</v>
      </c>
      <c r="B2459" s="4" t="s">
        <v>13</v>
      </c>
      <c r="I2459" s="4">
        <v>0.084</v>
      </c>
      <c r="J2459" s="4">
        <v>0.009</v>
      </c>
      <c r="K2459" s="6" t="b">
        <f t="shared" ref="K2459:M2459" si="2277">FALSE()</f>
        <v>0</v>
      </c>
      <c r="L2459" s="6" t="b">
        <f t="shared" si="2277"/>
        <v>0</v>
      </c>
      <c r="M2459" s="6" t="b">
        <f t="shared" si="2277"/>
        <v>0</v>
      </c>
      <c r="P2459" s="4">
        <v>0.0806579030174544</v>
      </c>
      <c r="T2459" s="4" t="str">
        <f t="shared" si="3"/>
        <v/>
      </c>
      <c r="U2459" s="4">
        <f t="shared" si="4"/>
        <v>4382</v>
      </c>
    </row>
    <row r="2460" ht="15.75" customHeight="1">
      <c r="A2460" s="4" t="s">
        <v>3559</v>
      </c>
      <c r="B2460" s="4" t="s">
        <v>13</v>
      </c>
      <c r="I2460" s="4">
        <v>0.13</v>
      </c>
      <c r="J2460" s="4">
        <v>0.019</v>
      </c>
      <c r="K2460" s="6" t="b">
        <f t="shared" ref="K2460:M2460" si="2278">FALSE()</f>
        <v>0</v>
      </c>
      <c r="L2460" s="6" t="b">
        <f t="shared" si="2278"/>
        <v>0</v>
      </c>
      <c r="M2460" s="6" t="b">
        <f t="shared" si="2278"/>
        <v>0</v>
      </c>
      <c r="P2460" s="4">
        <v>0.122217632724249</v>
      </c>
      <c r="T2460" s="4" t="str">
        <f t="shared" si="3"/>
        <v/>
      </c>
      <c r="U2460" s="4">
        <f t="shared" si="4"/>
        <v>3690</v>
      </c>
    </row>
    <row r="2461" ht="15.75" customHeight="1">
      <c r="A2461" s="4" t="s">
        <v>3560</v>
      </c>
      <c r="B2461" s="4" t="s">
        <v>13</v>
      </c>
      <c r="I2461" s="4">
        <v>0.215</v>
      </c>
      <c r="J2461" s="4">
        <v>0.054</v>
      </c>
      <c r="K2461" s="6" t="b">
        <f t="shared" ref="K2461:M2461" si="2279">FALSE()</f>
        <v>0</v>
      </c>
      <c r="L2461" s="6" t="b">
        <f t="shared" si="2279"/>
        <v>0</v>
      </c>
      <c r="M2461" s="6" t="b">
        <f t="shared" si="2279"/>
        <v>0</v>
      </c>
      <c r="P2461" s="4">
        <v>0.194744076792512</v>
      </c>
      <c r="T2461" s="4" t="str">
        <f t="shared" si="3"/>
        <v/>
      </c>
      <c r="U2461" s="4">
        <f t="shared" si="4"/>
        <v>2338</v>
      </c>
    </row>
    <row r="2462" ht="15.75" customHeight="1">
      <c r="A2462" s="4" t="s">
        <v>3561</v>
      </c>
      <c r="B2462" s="4" t="s">
        <v>13</v>
      </c>
      <c r="I2462" s="4">
        <v>0.301</v>
      </c>
      <c r="J2462" s="4">
        <v>0.075</v>
      </c>
      <c r="K2462" s="6" t="b">
        <f t="shared" ref="K2462:M2462" si="2280">FALSE()</f>
        <v>0</v>
      </c>
      <c r="L2462" s="6" t="b">
        <f t="shared" si="2280"/>
        <v>0</v>
      </c>
      <c r="M2462" s="6" t="b">
        <f t="shared" si="2280"/>
        <v>0</v>
      </c>
      <c r="P2462" s="4">
        <v>0.263133199530368</v>
      </c>
      <c r="T2462" s="4" t="str">
        <f t="shared" si="3"/>
        <v/>
      </c>
      <c r="U2462" s="4">
        <f t="shared" si="4"/>
        <v>1376</v>
      </c>
    </row>
    <row r="2463" ht="15.75" customHeight="1">
      <c r="A2463" s="4" t="s">
        <v>3562</v>
      </c>
      <c r="B2463" s="4" t="s">
        <v>13</v>
      </c>
      <c r="I2463" s="4">
        <v>0.112</v>
      </c>
      <c r="J2463" s="4">
        <v>0.012</v>
      </c>
      <c r="K2463" s="6" t="b">
        <f t="shared" ref="K2463:M2463" si="2281">FALSE()</f>
        <v>0</v>
      </c>
      <c r="L2463" s="6" t="b">
        <f t="shared" si="2281"/>
        <v>0</v>
      </c>
      <c r="M2463" s="6" t="b">
        <f t="shared" si="2281"/>
        <v>0</v>
      </c>
      <c r="P2463" s="4">
        <v>0.106160195828391</v>
      </c>
      <c r="T2463" s="4" t="str">
        <f t="shared" si="3"/>
        <v/>
      </c>
      <c r="U2463" s="4">
        <f t="shared" si="4"/>
        <v>4010</v>
      </c>
    </row>
    <row r="2464" ht="15.75" customHeight="1">
      <c r="A2464" s="4" t="s">
        <v>3563</v>
      </c>
      <c r="B2464" s="4" t="s">
        <v>13</v>
      </c>
      <c r="I2464" s="4">
        <v>0.117</v>
      </c>
      <c r="J2464" s="4">
        <v>0.012</v>
      </c>
      <c r="K2464" s="6" t="b">
        <f t="shared" ref="K2464:M2464" si="2282">FALSE()</f>
        <v>0</v>
      </c>
      <c r="L2464" s="6" t="b">
        <f t="shared" si="2282"/>
        <v>0</v>
      </c>
      <c r="M2464" s="6" t="b">
        <f t="shared" si="2282"/>
        <v>0</v>
      </c>
      <c r="P2464" s="4">
        <v>0.110646520087064</v>
      </c>
      <c r="T2464" s="4" t="str">
        <f t="shared" si="3"/>
        <v/>
      </c>
      <c r="U2464" s="4">
        <f t="shared" si="4"/>
        <v>3932</v>
      </c>
    </row>
    <row r="2465" ht="15.75" customHeight="1">
      <c r="A2465" s="4" t="s">
        <v>3564</v>
      </c>
      <c r="B2465" s="4" t="s">
        <v>13</v>
      </c>
      <c r="I2465" s="4">
        <v>0.351</v>
      </c>
      <c r="J2465" s="4">
        <v>0.026</v>
      </c>
      <c r="K2465" s="6" t="b">
        <f t="shared" ref="K2465:M2465" si="2283">FALSE()</f>
        <v>0</v>
      </c>
      <c r="L2465" s="6" t="b">
        <f t="shared" si="2283"/>
        <v>0</v>
      </c>
      <c r="M2465" s="6" t="b">
        <f t="shared" si="2283"/>
        <v>0</v>
      </c>
      <c r="P2465" s="4">
        <v>0.300845058978062</v>
      </c>
      <c r="T2465" s="4" t="str">
        <f t="shared" si="3"/>
        <v/>
      </c>
      <c r="U2465" s="4">
        <f t="shared" si="4"/>
        <v>1207</v>
      </c>
    </row>
    <row r="2466" ht="15.75" customHeight="1">
      <c r="A2466" s="4" t="s">
        <v>3565</v>
      </c>
      <c r="B2466" s="4" t="s">
        <v>13</v>
      </c>
      <c r="I2466" s="4">
        <v>0.087</v>
      </c>
      <c r="J2466" s="4">
        <v>0.008</v>
      </c>
      <c r="K2466" s="6" t="b">
        <f t="shared" ref="K2466:M2466" si="2284">FALSE()</f>
        <v>0</v>
      </c>
      <c r="L2466" s="6" t="b">
        <f t="shared" si="2284"/>
        <v>0</v>
      </c>
      <c r="M2466" s="6" t="b">
        <f t="shared" si="2284"/>
        <v>0</v>
      </c>
      <c r="P2466" s="4">
        <v>0.0834216081390723</v>
      </c>
      <c r="T2466" s="4" t="str">
        <f t="shared" si="3"/>
        <v/>
      </c>
      <c r="U2466" s="4">
        <f t="shared" si="4"/>
        <v>4361</v>
      </c>
    </row>
    <row r="2467" ht="15.75" customHeight="1">
      <c r="A2467" s="4" t="s">
        <v>3566</v>
      </c>
      <c r="B2467" s="4" t="s">
        <v>13</v>
      </c>
      <c r="I2467" s="4">
        <v>0.194</v>
      </c>
      <c r="J2467" s="4">
        <v>0.017</v>
      </c>
      <c r="K2467" s="6" t="b">
        <f t="shared" ref="K2467:M2467" si="2285">FALSE()</f>
        <v>0</v>
      </c>
      <c r="L2467" s="6" t="b">
        <f t="shared" si="2285"/>
        <v>0</v>
      </c>
      <c r="M2467" s="6" t="b">
        <f t="shared" si="2285"/>
        <v>0</v>
      </c>
      <c r="P2467" s="4">
        <v>0.17730901497041</v>
      </c>
      <c r="T2467" s="4" t="str">
        <f t="shared" si="3"/>
        <v/>
      </c>
      <c r="U2467" s="4">
        <f t="shared" si="4"/>
        <v>2684</v>
      </c>
    </row>
    <row r="2468" ht="15.75" customHeight="1">
      <c r="A2468" s="4" t="s">
        <v>3567</v>
      </c>
      <c r="B2468" s="4" t="s">
        <v>13</v>
      </c>
      <c r="I2468" s="4">
        <v>0.0972</v>
      </c>
      <c r="J2468" s="4">
        <v>0.0187</v>
      </c>
      <c r="K2468" s="6" t="b">
        <f t="shared" ref="K2468:M2468" si="2286">FALSE()</f>
        <v>0</v>
      </c>
      <c r="L2468" s="6" t="b">
        <f t="shared" si="2286"/>
        <v>0</v>
      </c>
      <c r="M2468" s="6" t="b">
        <f t="shared" si="2286"/>
        <v>0</v>
      </c>
      <c r="P2468" s="4">
        <v>0.0927614800813111</v>
      </c>
      <c r="T2468" s="4" t="str">
        <f t="shared" si="3"/>
        <v/>
      </c>
      <c r="U2468" s="4">
        <f t="shared" si="4"/>
        <v>4252</v>
      </c>
    </row>
    <row r="2469" ht="15.75" customHeight="1">
      <c r="A2469" s="4" t="s">
        <v>3568</v>
      </c>
      <c r="B2469" s="4" t="s">
        <v>13</v>
      </c>
      <c r="I2469" s="4">
        <v>0.073</v>
      </c>
      <c r="J2469" s="4">
        <v>0.002</v>
      </c>
      <c r="K2469" s="6" t="b">
        <f t="shared" ref="K2469:M2469" si="2287">FALSE()</f>
        <v>0</v>
      </c>
      <c r="L2469" s="6" t="b">
        <f t="shared" si="2287"/>
        <v>0</v>
      </c>
      <c r="M2469" s="6" t="b">
        <f t="shared" si="2287"/>
        <v>0</v>
      </c>
      <c r="P2469" s="4">
        <v>0.0704584636485614</v>
      </c>
      <c r="T2469" s="4" t="str">
        <f t="shared" si="3"/>
        <v/>
      </c>
      <c r="U2469" s="4">
        <f t="shared" si="4"/>
        <v>4466</v>
      </c>
    </row>
    <row r="2470" ht="15.75" customHeight="1">
      <c r="A2470" s="4" t="s">
        <v>3569</v>
      </c>
      <c r="B2470" s="4" t="s">
        <v>13</v>
      </c>
      <c r="I2470" s="4">
        <v>0.259</v>
      </c>
      <c r="J2470" s="4">
        <v>0.021</v>
      </c>
      <c r="K2470" s="6" t="b">
        <f t="shared" ref="K2470:M2470" si="2288">FALSE()</f>
        <v>0</v>
      </c>
      <c r="L2470" s="6" t="b">
        <f t="shared" si="2288"/>
        <v>0</v>
      </c>
      <c r="M2470" s="6" t="b">
        <f t="shared" si="2288"/>
        <v>0</v>
      </c>
      <c r="P2470" s="4">
        <v>0.23031775506221</v>
      </c>
      <c r="T2470" s="4" t="str">
        <f t="shared" si="3"/>
        <v/>
      </c>
      <c r="U2470" s="4">
        <f t="shared" si="4"/>
        <v>1694</v>
      </c>
    </row>
    <row r="2471" ht="15.75" customHeight="1">
      <c r="A2471" s="4" t="s">
        <v>3570</v>
      </c>
      <c r="B2471" s="4" t="s">
        <v>13</v>
      </c>
      <c r="I2471" s="4">
        <v>0.144</v>
      </c>
      <c r="J2471" s="4">
        <v>0.014</v>
      </c>
      <c r="K2471" s="6" t="b">
        <f t="shared" ref="K2471:M2471" si="2289">FALSE()</f>
        <v>0</v>
      </c>
      <c r="L2471" s="6" t="b">
        <f t="shared" si="2289"/>
        <v>0</v>
      </c>
      <c r="M2471" s="6" t="b">
        <f t="shared" si="2289"/>
        <v>0</v>
      </c>
      <c r="P2471" s="4">
        <v>0.134530892957606</v>
      </c>
      <c r="T2471" s="4" t="str">
        <f t="shared" si="3"/>
        <v/>
      </c>
      <c r="U2471" s="4">
        <f t="shared" si="4"/>
        <v>3441</v>
      </c>
    </row>
    <row r="2472" ht="15.75" customHeight="1">
      <c r="A2472" s="4" t="s">
        <v>3571</v>
      </c>
      <c r="B2472" s="4" t="s">
        <v>13</v>
      </c>
      <c r="I2472" s="4">
        <v>0.15</v>
      </c>
      <c r="J2472" s="4">
        <v>0.016</v>
      </c>
      <c r="K2472" s="6" t="b">
        <f t="shared" ref="K2472:M2472" si="2290">FALSE()</f>
        <v>0</v>
      </c>
      <c r="L2472" s="6" t="b">
        <f t="shared" si="2290"/>
        <v>0</v>
      </c>
      <c r="M2472" s="6" t="b">
        <f t="shared" si="2290"/>
        <v>0</v>
      </c>
      <c r="P2472" s="4">
        <v>0.139761942375159</v>
      </c>
      <c r="T2472" s="4" t="str">
        <f t="shared" si="3"/>
        <v/>
      </c>
      <c r="U2472" s="4">
        <f t="shared" si="4"/>
        <v>3324</v>
      </c>
    </row>
    <row r="2473" ht="15.75" customHeight="1">
      <c r="A2473" s="4" t="s">
        <v>3572</v>
      </c>
      <c r="B2473" s="4" t="s">
        <v>13</v>
      </c>
      <c r="I2473" s="4">
        <v>0.119</v>
      </c>
      <c r="J2473" s="4">
        <v>0.023</v>
      </c>
      <c r="K2473" s="6" t="b">
        <f t="shared" ref="K2473:M2473" si="2291">FALSE()</f>
        <v>0</v>
      </c>
      <c r="L2473" s="6" t="b">
        <f t="shared" si="2291"/>
        <v>0</v>
      </c>
      <c r="M2473" s="6" t="b">
        <f t="shared" si="2291"/>
        <v>0</v>
      </c>
      <c r="P2473" s="4">
        <v>0.112435429329788</v>
      </c>
      <c r="T2473" s="4" t="str">
        <f t="shared" si="3"/>
        <v/>
      </c>
      <c r="U2473" s="4">
        <f t="shared" si="4"/>
        <v>3886</v>
      </c>
    </row>
    <row r="2474" ht="15.75" customHeight="1">
      <c r="A2474" s="4" t="s">
        <v>3573</v>
      </c>
      <c r="B2474" s="4" t="s">
        <v>13</v>
      </c>
      <c r="I2474" s="4">
        <v>0.12</v>
      </c>
      <c r="J2474" s="4">
        <v>0.023</v>
      </c>
      <c r="K2474" s="6" t="b">
        <f t="shared" ref="K2474:M2474" si="2292">FALSE()</f>
        <v>0</v>
      </c>
      <c r="L2474" s="6" t="b">
        <f t="shared" si="2292"/>
        <v>0</v>
      </c>
      <c r="M2474" s="6" t="b">
        <f t="shared" si="2292"/>
        <v>0</v>
      </c>
      <c r="P2474" s="4">
        <v>0.113328685307003</v>
      </c>
      <c r="T2474" s="4" t="str">
        <f t="shared" si="3"/>
        <v/>
      </c>
      <c r="U2474" s="4">
        <f t="shared" si="4"/>
        <v>3862</v>
      </c>
    </row>
    <row r="2475" ht="15.75" customHeight="1">
      <c r="A2475" s="4" t="s">
        <v>3574</v>
      </c>
      <c r="B2475" s="4" t="s">
        <v>13</v>
      </c>
      <c r="I2475" s="4">
        <v>0.153</v>
      </c>
      <c r="J2475" s="4">
        <v>0.01</v>
      </c>
      <c r="K2475" s="6" t="b">
        <f t="shared" ref="K2475:M2475" si="2293">FALSE()</f>
        <v>0</v>
      </c>
      <c r="L2475" s="6" t="b">
        <f t="shared" si="2293"/>
        <v>0</v>
      </c>
      <c r="M2475" s="6" t="b">
        <f t="shared" si="2293"/>
        <v>0</v>
      </c>
      <c r="P2475" s="4">
        <v>0.142367241286922</v>
      </c>
      <c r="T2475" s="4" t="str">
        <f t="shared" si="3"/>
        <v/>
      </c>
      <c r="U2475" s="4">
        <f t="shared" si="4"/>
        <v>3275</v>
      </c>
    </row>
    <row r="2476" ht="15.75" customHeight="1">
      <c r="A2476" s="4" t="s">
        <v>3575</v>
      </c>
      <c r="B2476" s="4" t="s">
        <v>13</v>
      </c>
      <c r="I2476" s="4">
        <v>0.299</v>
      </c>
      <c r="J2476" s="4">
        <v>0.059</v>
      </c>
      <c r="K2476" s="6" t="b">
        <f t="shared" ref="K2476:M2476" si="2294">FALSE()</f>
        <v>0</v>
      </c>
      <c r="L2476" s="6" t="b">
        <f t="shared" si="2294"/>
        <v>0</v>
      </c>
      <c r="M2476" s="6" t="b">
        <f t="shared" si="2294"/>
        <v>0</v>
      </c>
      <c r="P2476" s="4">
        <v>0.261594737688463</v>
      </c>
      <c r="T2476" s="4" t="str">
        <f t="shared" si="3"/>
        <v/>
      </c>
      <c r="U2476" s="4">
        <f t="shared" si="4"/>
        <v>1388</v>
      </c>
    </row>
    <row r="2477" ht="15.75" customHeight="1">
      <c r="A2477" s="4" t="s">
        <v>3576</v>
      </c>
      <c r="B2477" s="4" t="s">
        <v>13</v>
      </c>
      <c r="I2477" s="4">
        <v>0.241</v>
      </c>
      <c r="J2477" s="4">
        <v>0.031</v>
      </c>
      <c r="K2477" s="6" t="b">
        <f t="shared" ref="K2477:M2477" si="2295">FALSE()</f>
        <v>0</v>
      </c>
      <c r="L2477" s="6" t="b">
        <f t="shared" si="2295"/>
        <v>0</v>
      </c>
      <c r="M2477" s="6" t="b">
        <f t="shared" si="2295"/>
        <v>0</v>
      </c>
      <c r="P2477" s="4">
        <v>0.21591750622247</v>
      </c>
      <c r="T2477" s="4" t="str">
        <f t="shared" si="3"/>
        <v/>
      </c>
      <c r="U2477" s="4">
        <f t="shared" si="4"/>
        <v>1929</v>
      </c>
    </row>
    <row r="2478" ht="15.75" customHeight="1">
      <c r="A2478" s="4" t="s">
        <v>3577</v>
      </c>
      <c r="B2478" s="4" t="s">
        <v>13</v>
      </c>
      <c r="I2478" s="4">
        <v>0.238</v>
      </c>
      <c r="J2478" s="4">
        <v>0.019</v>
      </c>
      <c r="K2478" s="6" t="b">
        <f t="shared" ref="K2478:M2478" si="2296">FALSE()</f>
        <v>0</v>
      </c>
      <c r="L2478" s="6" t="b">
        <f t="shared" si="2296"/>
        <v>0</v>
      </c>
      <c r="M2478" s="6" t="b">
        <f t="shared" si="2296"/>
        <v>0</v>
      </c>
      <c r="P2478" s="4">
        <v>0.213497174262404</v>
      </c>
      <c r="T2478" s="4" t="str">
        <f t="shared" si="3"/>
        <v/>
      </c>
      <c r="U2478" s="4">
        <f t="shared" si="4"/>
        <v>1975</v>
      </c>
    </row>
    <row r="2479" ht="15.75" customHeight="1">
      <c r="A2479" s="4" t="s">
        <v>3578</v>
      </c>
      <c r="B2479" s="4" t="s">
        <v>13</v>
      </c>
      <c r="I2479" s="4">
        <v>0.168</v>
      </c>
      <c r="J2479" s="4">
        <v>0.015</v>
      </c>
      <c r="K2479" s="6" t="b">
        <f t="shared" ref="K2479:M2479" si="2297">FALSE()</f>
        <v>0</v>
      </c>
      <c r="L2479" s="6" t="b">
        <f t="shared" si="2297"/>
        <v>0</v>
      </c>
      <c r="M2479" s="6" t="b">
        <f t="shared" si="2297"/>
        <v>0</v>
      </c>
      <c r="P2479" s="4">
        <v>0.155292884406035</v>
      </c>
      <c r="T2479" s="4" t="str">
        <f t="shared" si="3"/>
        <v/>
      </c>
      <c r="U2479" s="4">
        <f t="shared" si="4"/>
        <v>3076</v>
      </c>
    </row>
    <row r="2480" ht="15.75" customHeight="1">
      <c r="A2480" s="4" t="s">
        <v>3579</v>
      </c>
      <c r="B2480" s="4" t="s">
        <v>13</v>
      </c>
      <c r="I2480" s="4">
        <v>0.193</v>
      </c>
      <c r="J2480" s="4">
        <v>0.014</v>
      </c>
      <c r="K2480" s="6" t="b">
        <f t="shared" ref="K2480:M2480" si="2298">FALSE()</f>
        <v>0</v>
      </c>
      <c r="L2480" s="6" t="b">
        <f t="shared" si="2298"/>
        <v>0</v>
      </c>
      <c r="M2480" s="6" t="b">
        <f t="shared" si="2298"/>
        <v>0</v>
      </c>
      <c r="P2480" s="4">
        <v>0.176471143115779</v>
      </c>
      <c r="T2480" s="4" t="str">
        <f t="shared" si="3"/>
        <v/>
      </c>
      <c r="U2480" s="4">
        <f t="shared" si="4"/>
        <v>2700</v>
      </c>
    </row>
    <row r="2481" ht="15.75" customHeight="1">
      <c r="A2481" s="4" t="s">
        <v>3580</v>
      </c>
      <c r="B2481" s="4" t="s">
        <v>13</v>
      </c>
      <c r="I2481" s="4">
        <v>0.102</v>
      </c>
      <c r="J2481" s="4">
        <v>0.013</v>
      </c>
      <c r="K2481" s="6" t="b">
        <f t="shared" ref="K2481:M2481" si="2299">FALSE()</f>
        <v>0</v>
      </c>
      <c r="L2481" s="6" t="b">
        <f t="shared" si="2299"/>
        <v>0</v>
      </c>
      <c r="M2481" s="6" t="b">
        <f t="shared" si="2299"/>
        <v>0</v>
      </c>
      <c r="P2481" s="4">
        <v>0.0971267107307227</v>
      </c>
      <c r="T2481" s="4" t="str">
        <f t="shared" si="3"/>
        <v/>
      </c>
      <c r="U2481" s="4">
        <f t="shared" si="4"/>
        <v>4189</v>
      </c>
    </row>
    <row r="2482" ht="15.75" customHeight="1">
      <c r="A2482" s="4" t="s">
        <v>3581</v>
      </c>
      <c r="B2482" s="4" t="s">
        <v>13</v>
      </c>
      <c r="I2482" s="4">
        <v>0.178</v>
      </c>
      <c r="J2482" s="4">
        <v>0.018</v>
      </c>
      <c r="K2482" s="6" t="b">
        <f t="shared" ref="K2482:M2482" si="2300">FALSE()</f>
        <v>0</v>
      </c>
      <c r="L2482" s="6" t="b">
        <f t="shared" si="2300"/>
        <v>0</v>
      </c>
      <c r="M2482" s="6" t="b">
        <f t="shared" si="2300"/>
        <v>0</v>
      </c>
      <c r="P2482" s="4">
        <v>0.163818085229395</v>
      </c>
      <c r="T2482" s="4" t="str">
        <f t="shared" si="3"/>
        <v/>
      </c>
      <c r="U2482" s="4">
        <f t="shared" si="4"/>
        <v>2919</v>
      </c>
    </row>
    <row r="2483" ht="15.75" customHeight="1">
      <c r="A2483" s="4" t="s">
        <v>3582</v>
      </c>
      <c r="B2483" s="4" t="s">
        <v>13</v>
      </c>
      <c r="I2483" s="4">
        <v>0.246</v>
      </c>
      <c r="J2483" s="4">
        <v>0.019</v>
      </c>
      <c r="K2483" s="6" t="b">
        <f t="shared" ref="K2483:M2483" si="2301">FALSE()</f>
        <v>0</v>
      </c>
      <c r="L2483" s="6" t="b">
        <f t="shared" si="2301"/>
        <v>0</v>
      </c>
      <c r="M2483" s="6" t="b">
        <f t="shared" si="2301"/>
        <v>0</v>
      </c>
      <c r="P2483" s="4">
        <v>0.219938420365261</v>
      </c>
      <c r="T2483" s="4" t="str">
        <f t="shared" si="3"/>
        <v/>
      </c>
      <c r="U2483" s="4">
        <f t="shared" si="4"/>
        <v>1863</v>
      </c>
    </row>
    <row r="2484" ht="15.75" customHeight="1">
      <c r="A2484" s="4" t="s">
        <v>3583</v>
      </c>
      <c r="B2484" s="4" t="s">
        <v>13</v>
      </c>
      <c r="I2484" s="4">
        <v>0.121</v>
      </c>
      <c r="J2484" s="4">
        <v>0.007</v>
      </c>
      <c r="K2484" s="6" t="b">
        <f t="shared" ref="K2484:M2484" si="2302">FALSE()</f>
        <v>0</v>
      </c>
      <c r="L2484" s="6" t="b">
        <f t="shared" si="2302"/>
        <v>0</v>
      </c>
      <c r="M2484" s="6" t="b">
        <f t="shared" si="2302"/>
        <v>0</v>
      </c>
      <c r="P2484" s="4">
        <v>0.114221144090023</v>
      </c>
      <c r="T2484" s="4" t="str">
        <f t="shared" si="3"/>
        <v/>
      </c>
      <c r="U2484" s="4">
        <f t="shared" si="4"/>
        <v>3844</v>
      </c>
    </row>
    <row r="2485" ht="15.75" customHeight="1">
      <c r="A2485" s="4" t="s">
        <v>777</v>
      </c>
      <c r="B2485" s="4" t="s">
        <v>13</v>
      </c>
      <c r="C2485" s="4">
        <v>0.117</v>
      </c>
      <c r="D2485" s="4">
        <v>0.036</v>
      </c>
      <c r="E2485" s="4">
        <v>0.036</v>
      </c>
      <c r="I2485" s="4">
        <v>0.236</v>
      </c>
      <c r="J2485" s="4">
        <v>0.007</v>
      </c>
      <c r="K2485" s="6" t="b">
        <f t="shared" ref="K2485:M2485" si="2303">FALSE()</f>
        <v>0</v>
      </c>
      <c r="L2485" s="6" t="b">
        <f t="shared" si="2303"/>
        <v>0</v>
      </c>
      <c r="M2485" s="6" t="b">
        <f t="shared" si="2303"/>
        <v>0</v>
      </c>
      <c r="N2485" s="4">
        <v>0.110646520087064</v>
      </c>
      <c r="P2485" s="4">
        <v>0.211880359035499</v>
      </c>
      <c r="T2485" s="4">
        <f t="shared" si="3"/>
        <v>1235</v>
      </c>
      <c r="U2485" s="4">
        <f t="shared" si="4"/>
        <v>2014</v>
      </c>
    </row>
    <row r="2486" ht="15.75" customHeight="1">
      <c r="A2486" s="4" t="s">
        <v>778</v>
      </c>
      <c r="B2486" s="4" t="s">
        <v>13</v>
      </c>
      <c r="C2486" s="4">
        <v>0.25</v>
      </c>
      <c r="D2486" s="4">
        <v>0.052</v>
      </c>
      <c r="E2486" s="4">
        <v>0.052</v>
      </c>
      <c r="I2486" s="4">
        <v>0.385</v>
      </c>
      <c r="J2486" s="4">
        <v>0.011</v>
      </c>
      <c r="K2486" s="6" t="b">
        <f t="shared" ref="K2486:M2486" si="2304">FALSE()</f>
        <v>0</v>
      </c>
      <c r="L2486" s="6" t="b">
        <f t="shared" si="2304"/>
        <v>0</v>
      </c>
      <c r="M2486" s="6" t="b">
        <f t="shared" si="2304"/>
        <v>0</v>
      </c>
      <c r="N2486" s="4">
        <v>0.22314355131421</v>
      </c>
      <c r="P2486" s="4">
        <v>0.325700139639302</v>
      </c>
      <c r="T2486" s="4">
        <f t="shared" si="3"/>
        <v>1108</v>
      </c>
      <c r="U2486" s="4">
        <f t="shared" si="4"/>
        <v>1139</v>
      </c>
    </row>
    <row r="2487" ht="15.75" customHeight="1">
      <c r="A2487" s="4" t="s">
        <v>3584</v>
      </c>
      <c r="B2487" s="4" t="s">
        <v>13</v>
      </c>
      <c r="I2487" s="4">
        <v>0.175</v>
      </c>
      <c r="J2487" s="4">
        <v>0.012</v>
      </c>
      <c r="K2487" s="6" t="b">
        <f t="shared" ref="K2487:M2487" si="2305">FALSE()</f>
        <v>0</v>
      </c>
      <c r="L2487" s="6" t="b">
        <f t="shared" si="2305"/>
        <v>0</v>
      </c>
      <c r="M2487" s="6" t="b">
        <f t="shared" si="2305"/>
        <v>0</v>
      </c>
      <c r="P2487" s="4">
        <v>0.161268147596122</v>
      </c>
      <c r="T2487" s="4" t="str">
        <f t="shared" si="3"/>
        <v/>
      </c>
      <c r="U2487" s="4">
        <f t="shared" si="4"/>
        <v>2974</v>
      </c>
    </row>
    <row r="2488" ht="15.75" customHeight="1">
      <c r="A2488" s="4" t="s">
        <v>3585</v>
      </c>
      <c r="B2488" s="4" t="s">
        <v>13</v>
      </c>
      <c r="I2488" s="4">
        <v>0.181</v>
      </c>
      <c r="J2488" s="4">
        <v>0.014</v>
      </c>
      <c r="K2488" s="6" t="b">
        <f t="shared" ref="K2488:M2488" si="2306">FALSE()</f>
        <v>0</v>
      </c>
      <c r="L2488" s="6" t="b">
        <f t="shared" si="2306"/>
        <v>0</v>
      </c>
      <c r="M2488" s="6" t="b">
        <f t="shared" si="2306"/>
        <v>0</v>
      </c>
      <c r="P2488" s="4">
        <v>0.166361537215225</v>
      </c>
      <c r="T2488" s="4" t="str">
        <f t="shared" si="3"/>
        <v/>
      </c>
      <c r="U2488" s="4">
        <f t="shared" si="4"/>
        <v>2880</v>
      </c>
    </row>
    <row r="2489" ht="15.75" customHeight="1">
      <c r="A2489" s="4" t="s">
        <v>3586</v>
      </c>
      <c r="B2489" s="4" t="s">
        <v>13</v>
      </c>
      <c r="I2489" s="4">
        <v>0.341</v>
      </c>
      <c r="J2489" s="4">
        <v>0.035</v>
      </c>
      <c r="K2489" s="6" t="b">
        <f t="shared" ref="K2489:M2489" si="2307">FALSE()</f>
        <v>0</v>
      </c>
      <c r="L2489" s="6" t="b">
        <f t="shared" si="2307"/>
        <v>0</v>
      </c>
      <c r="M2489" s="6" t="b">
        <f t="shared" si="2307"/>
        <v>0</v>
      </c>
      <c r="P2489" s="4">
        <v>0.293415604299542</v>
      </c>
      <c r="T2489" s="4" t="str">
        <f t="shared" si="3"/>
        <v/>
      </c>
      <c r="U2489" s="4">
        <f t="shared" si="4"/>
        <v>1234</v>
      </c>
    </row>
    <row r="2490" ht="15.75" customHeight="1">
      <c r="A2490" s="4" t="s">
        <v>3587</v>
      </c>
      <c r="B2490" s="4" t="s">
        <v>13</v>
      </c>
      <c r="I2490" s="4">
        <v>0.166</v>
      </c>
      <c r="J2490" s="4">
        <v>0.017</v>
      </c>
      <c r="K2490" s="6" t="b">
        <f t="shared" ref="K2490:M2490" si="2308">FALSE()</f>
        <v>0</v>
      </c>
      <c r="L2490" s="6" t="b">
        <f t="shared" si="2308"/>
        <v>0</v>
      </c>
      <c r="M2490" s="6" t="b">
        <f t="shared" si="2308"/>
        <v>0</v>
      </c>
      <c r="P2490" s="4">
        <v>0.153579087928301</v>
      </c>
      <c r="T2490" s="4" t="str">
        <f t="shared" si="3"/>
        <v/>
      </c>
      <c r="U2490" s="4">
        <f t="shared" si="4"/>
        <v>3095</v>
      </c>
    </row>
    <row r="2491" ht="15.75" customHeight="1">
      <c r="A2491" s="4" t="s">
        <v>3588</v>
      </c>
      <c r="B2491" s="4" t="s">
        <v>13</v>
      </c>
      <c r="I2491" s="4">
        <v>0.148</v>
      </c>
      <c r="J2491" s="4">
        <v>0.014</v>
      </c>
      <c r="K2491" s="6" t="b">
        <f t="shared" ref="K2491:M2491" si="2309">FALSE()</f>
        <v>0</v>
      </c>
      <c r="L2491" s="6" t="b">
        <f t="shared" si="2309"/>
        <v>0</v>
      </c>
      <c r="M2491" s="6" t="b">
        <f t="shared" si="2309"/>
        <v>0</v>
      </c>
      <c r="P2491" s="4">
        <v>0.138021297897375</v>
      </c>
      <c r="T2491" s="4" t="str">
        <f t="shared" si="3"/>
        <v/>
      </c>
      <c r="U2491" s="4">
        <f t="shared" si="4"/>
        <v>3363</v>
      </c>
    </row>
    <row r="2492" ht="15.75" customHeight="1">
      <c r="A2492" s="4" t="s">
        <v>3589</v>
      </c>
      <c r="B2492" s="4" t="s">
        <v>13</v>
      </c>
      <c r="I2492" s="4">
        <v>0.089</v>
      </c>
      <c r="J2492" s="4">
        <v>0.01</v>
      </c>
      <c r="K2492" s="6" t="b">
        <f t="shared" ref="K2492:M2492" si="2310">FALSE()</f>
        <v>0</v>
      </c>
      <c r="L2492" s="6" t="b">
        <f t="shared" si="2310"/>
        <v>0</v>
      </c>
      <c r="M2492" s="6" t="b">
        <f t="shared" si="2310"/>
        <v>0</v>
      </c>
      <c r="P2492" s="4">
        <v>0.0852598439508234</v>
      </c>
      <c r="T2492" s="4" t="str">
        <f t="shared" si="3"/>
        <v/>
      </c>
      <c r="U2492" s="4">
        <f t="shared" si="4"/>
        <v>4341</v>
      </c>
    </row>
    <row r="2493" ht="15.75" customHeight="1">
      <c r="A2493" s="4" t="s">
        <v>3590</v>
      </c>
      <c r="B2493" s="4" t="s">
        <v>13</v>
      </c>
      <c r="I2493" s="4">
        <v>0.158</v>
      </c>
      <c r="J2493" s="4">
        <v>0.017</v>
      </c>
      <c r="K2493" s="6" t="b">
        <f t="shared" ref="K2493:M2493" si="2311">FALSE()</f>
        <v>0</v>
      </c>
      <c r="L2493" s="6" t="b">
        <f t="shared" si="2311"/>
        <v>0</v>
      </c>
      <c r="M2493" s="6" t="b">
        <f t="shared" si="2311"/>
        <v>0</v>
      </c>
      <c r="P2493" s="4">
        <v>0.146694379150804</v>
      </c>
      <c r="T2493" s="4" t="str">
        <f t="shared" si="3"/>
        <v/>
      </c>
      <c r="U2493" s="4">
        <f t="shared" si="4"/>
        <v>3199</v>
      </c>
    </row>
    <row r="2494" ht="15.75" customHeight="1">
      <c r="A2494" s="4" t="s">
        <v>3591</v>
      </c>
      <c r="B2494" s="4" t="s">
        <v>13</v>
      </c>
      <c r="I2494" s="4">
        <v>0.138</v>
      </c>
      <c r="J2494" s="4">
        <v>0.015</v>
      </c>
      <c r="K2494" s="6" t="b">
        <f t="shared" ref="K2494:M2494" si="2312">FALSE()</f>
        <v>0</v>
      </c>
      <c r="L2494" s="6" t="b">
        <f t="shared" si="2312"/>
        <v>0</v>
      </c>
      <c r="M2494" s="6" t="b">
        <f t="shared" si="2312"/>
        <v>0</v>
      </c>
      <c r="P2494" s="4">
        <v>0.129272335704139</v>
      </c>
      <c r="T2494" s="4" t="str">
        <f t="shared" si="3"/>
        <v/>
      </c>
      <c r="U2494" s="4">
        <f t="shared" si="4"/>
        <v>3545</v>
      </c>
    </row>
    <row r="2495" ht="15.75" customHeight="1">
      <c r="A2495" s="4" t="s">
        <v>3592</v>
      </c>
      <c r="B2495" s="4" t="s">
        <v>13</v>
      </c>
      <c r="I2495" s="4">
        <v>0.294</v>
      </c>
      <c r="J2495" s="4">
        <v>0.022</v>
      </c>
      <c r="K2495" s="6" t="b">
        <f t="shared" ref="K2495:M2495" si="2313">FALSE()</f>
        <v>0</v>
      </c>
      <c r="L2495" s="6" t="b">
        <f t="shared" si="2313"/>
        <v>0</v>
      </c>
      <c r="M2495" s="6" t="b">
        <f t="shared" si="2313"/>
        <v>0</v>
      </c>
      <c r="P2495" s="4">
        <v>0.257738196078709</v>
      </c>
      <c r="T2495" s="4" t="str">
        <f t="shared" si="3"/>
        <v/>
      </c>
      <c r="U2495" s="4">
        <f t="shared" si="4"/>
        <v>1412</v>
      </c>
    </row>
    <row r="2496" ht="15.75" customHeight="1">
      <c r="A2496" s="4" t="s">
        <v>3593</v>
      </c>
      <c r="B2496" s="4" t="s">
        <v>13</v>
      </c>
      <c r="I2496" s="4">
        <v>0.154</v>
      </c>
      <c r="J2496" s="4">
        <v>0.017</v>
      </c>
      <c r="K2496" s="6" t="b">
        <f t="shared" ref="K2496:M2496" si="2314">FALSE()</f>
        <v>0</v>
      </c>
      <c r="L2496" s="6" t="b">
        <f t="shared" si="2314"/>
        <v>0</v>
      </c>
      <c r="M2496" s="6" t="b">
        <f t="shared" si="2314"/>
        <v>0</v>
      </c>
      <c r="P2496" s="4">
        <v>0.143234168085908</v>
      </c>
      <c r="T2496" s="4" t="str">
        <f t="shared" si="3"/>
        <v/>
      </c>
      <c r="U2496" s="4">
        <f t="shared" si="4"/>
        <v>3257</v>
      </c>
    </row>
    <row r="2497" ht="15.75" customHeight="1">
      <c r="A2497" s="4" t="s">
        <v>3594</v>
      </c>
      <c r="B2497" s="4" t="s">
        <v>13</v>
      </c>
      <c r="I2497" s="4">
        <v>0.103</v>
      </c>
      <c r="J2497" s="4">
        <v>0.012</v>
      </c>
      <c r="K2497" s="6" t="b">
        <f t="shared" ref="K2497:M2497" si="2315">FALSE()</f>
        <v>0</v>
      </c>
      <c r="L2497" s="6" t="b">
        <f t="shared" si="2315"/>
        <v>0</v>
      </c>
      <c r="M2497" s="6" t="b">
        <f t="shared" si="2315"/>
        <v>0</v>
      </c>
      <c r="P2497" s="4">
        <v>0.0980337402713654</v>
      </c>
      <c r="T2497" s="4" t="str">
        <f t="shared" si="3"/>
        <v/>
      </c>
      <c r="U2497" s="4">
        <f t="shared" si="4"/>
        <v>4176</v>
      </c>
    </row>
    <row r="2498" ht="15.75" customHeight="1">
      <c r="A2498" s="4" t="s">
        <v>3595</v>
      </c>
      <c r="B2498" s="4" t="s">
        <v>13</v>
      </c>
      <c r="I2498" s="4">
        <v>0.29717</v>
      </c>
      <c r="K2498" s="6" t="b">
        <f t="shared" ref="K2498:M2498" si="2316">FALSE()</f>
        <v>0</v>
      </c>
      <c r="L2498" s="6" t="b">
        <f t="shared" si="2316"/>
        <v>0</v>
      </c>
      <c r="M2498" s="6" t="b">
        <f t="shared" si="2316"/>
        <v>0</v>
      </c>
      <c r="P2498" s="4">
        <v>0.260184968449094</v>
      </c>
      <c r="T2498" s="4" t="str">
        <f t="shared" si="3"/>
        <v/>
      </c>
      <c r="U2498" s="4">
        <f t="shared" si="4"/>
        <v>1395</v>
      </c>
    </row>
    <row r="2499" ht="15.75" customHeight="1">
      <c r="A2499" s="4" t="s">
        <v>3596</v>
      </c>
      <c r="B2499" s="4" t="s">
        <v>13</v>
      </c>
      <c r="I2499" s="4">
        <v>0.25</v>
      </c>
      <c r="J2499" s="4">
        <v>0.023</v>
      </c>
      <c r="K2499" s="6" t="b">
        <f t="shared" ref="K2499:M2499" si="2317">FALSE()</f>
        <v>0</v>
      </c>
      <c r="L2499" s="6" t="b">
        <f t="shared" si="2317"/>
        <v>0</v>
      </c>
      <c r="M2499" s="6" t="b">
        <f t="shared" si="2317"/>
        <v>0</v>
      </c>
      <c r="P2499" s="4">
        <v>0.22314355131421</v>
      </c>
      <c r="T2499" s="4" t="str">
        <f t="shared" si="3"/>
        <v/>
      </c>
      <c r="U2499" s="4">
        <f t="shared" si="4"/>
        <v>1806</v>
      </c>
    </row>
    <row r="2500" ht="15.75" customHeight="1">
      <c r="A2500" s="4" t="s">
        <v>3597</v>
      </c>
      <c r="B2500" s="4" t="s">
        <v>13</v>
      </c>
      <c r="I2500" s="4">
        <v>0.331</v>
      </c>
      <c r="J2500" s="4">
        <v>0.062</v>
      </c>
      <c r="K2500" s="6" t="b">
        <f t="shared" ref="K2500:M2500" si="2318">FALSE()</f>
        <v>0</v>
      </c>
      <c r="L2500" s="6" t="b">
        <f t="shared" si="2318"/>
        <v>0</v>
      </c>
      <c r="M2500" s="6" t="b">
        <f t="shared" si="2318"/>
        <v>0</v>
      </c>
      <c r="P2500" s="4">
        <v>0.285930539412975</v>
      </c>
      <c r="T2500" s="4" t="str">
        <f t="shared" si="3"/>
        <v/>
      </c>
      <c r="U2500" s="4">
        <f t="shared" si="4"/>
        <v>1256</v>
      </c>
    </row>
    <row r="2501" ht="15.75" customHeight="1">
      <c r="A2501" s="4" t="s">
        <v>3598</v>
      </c>
      <c r="B2501" s="4" t="s">
        <v>13</v>
      </c>
      <c r="I2501" s="4">
        <v>0.2792</v>
      </c>
      <c r="J2501" s="4">
        <v>0.0526</v>
      </c>
      <c r="K2501" s="6" t="b">
        <f t="shared" ref="K2501:M2501" si="2319">FALSE()</f>
        <v>0</v>
      </c>
      <c r="L2501" s="6" t="b">
        <f t="shared" si="2319"/>
        <v>0</v>
      </c>
      <c r="M2501" s="6" t="b">
        <f t="shared" si="2319"/>
        <v>0</v>
      </c>
      <c r="P2501" s="4">
        <v>0.246234882537607</v>
      </c>
      <c r="T2501" s="4" t="str">
        <f t="shared" si="3"/>
        <v/>
      </c>
      <c r="U2501" s="4">
        <f t="shared" si="4"/>
        <v>1507</v>
      </c>
    </row>
    <row r="2502" ht="15.75" customHeight="1">
      <c r="A2502" s="4" t="s">
        <v>3599</v>
      </c>
      <c r="B2502" s="4" t="s">
        <v>13</v>
      </c>
      <c r="I2502" s="4">
        <v>0.095</v>
      </c>
      <c r="J2502" s="4">
        <v>0.007</v>
      </c>
      <c r="K2502" s="6" t="b">
        <f t="shared" ref="K2502:M2502" si="2320">FALSE()</f>
        <v>0</v>
      </c>
      <c r="L2502" s="6" t="b">
        <f t="shared" si="2320"/>
        <v>0</v>
      </c>
      <c r="M2502" s="6" t="b">
        <f t="shared" si="2320"/>
        <v>0</v>
      </c>
      <c r="P2502" s="4">
        <v>0.0907543632684641</v>
      </c>
      <c r="T2502" s="4" t="str">
        <f t="shared" si="3"/>
        <v/>
      </c>
      <c r="U2502" s="4">
        <f t="shared" si="4"/>
        <v>4275</v>
      </c>
    </row>
    <row r="2503" ht="15.75" customHeight="1">
      <c r="A2503" s="4" t="s">
        <v>3600</v>
      </c>
      <c r="B2503" s="4" t="s">
        <v>13</v>
      </c>
      <c r="I2503" s="4">
        <v>0.126</v>
      </c>
      <c r="J2503" s="4">
        <v>0.012</v>
      </c>
      <c r="K2503" s="6" t="b">
        <f t="shared" ref="K2503:M2503" si="2321">FALSE()</f>
        <v>0</v>
      </c>
      <c r="L2503" s="6" t="b">
        <f t="shared" si="2321"/>
        <v>0</v>
      </c>
      <c r="M2503" s="6" t="b">
        <f t="shared" si="2321"/>
        <v>0</v>
      </c>
      <c r="P2503" s="4">
        <v>0.118671529717499</v>
      </c>
      <c r="T2503" s="4" t="str">
        <f t="shared" si="3"/>
        <v/>
      </c>
      <c r="U2503" s="4">
        <f t="shared" si="4"/>
        <v>3764</v>
      </c>
    </row>
    <row r="2504" ht="15.75" customHeight="1">
      <c r="A2504" s="4" t="s">
        <v>3601</v>
      </c>
      <c r="B2504" s="4" t="s">
        <v>13</v>
      </c>
      <c r="I2504" s="4">
        <v>0.17</v>
      </c>
      <c r="J2504" s="4">
        <v>0.032</v>
      </c>
      <c r="K2504" s="6" t="b">
        <f t="shared" ref="K2504:M2504" si="2322">FALSE()</f>
        <v>0</v>
      </c>
      <c r="L2504" s="6" t="b">
        <f t="shared" si="2322"/>
        <v>0</v>
      </c>
      <c r="M2504" s="6" t="b">
        <f t="shared" si="2322"/>
        <v>0</v>
      </c>
      <c r="P2504" s="4">
        <v>0.157003748809665</v>
      </c>
      <c r="T2504" s="4" t="str">
        <f t="shared" si="3"/>
        <v/>
      </c>
      <c r="U2504" s="4">
        <f t="shared" si="4"/>
        <v>3042</v>
      </c>
    </row>
    <row r="2505" ht="15.75" customHeight="1">
      <c r="A2505" s="4" t="s">
        <v>3602</v>
      </c>
      <c r="B2505" s="4" t="s">
        <v>13</v>
      </c>
      <c r="I2505" s="4">
        <v>0.106</v>
      </c>
      <c r="J2505" s="4">
        <v>0.007</v>
      </c>
      <c r="K2505" s="6" t="b">
        <f t="shared" ref="K2505:M2505" si="2323">FALSE()</f>
        <v>0</v>
      </c>
      <c r="L2505" s="6" t="b">
        <f t="shared" si="2323"/>
        <v>0</v>
      </c>
      <c r="M2505" s="6" t="b">
        <f t="shared" si="2323"/>
        <v>0</v>
      </c>
      <c r="P2505" s="4">
        <v>0.100749903100143</v>
      </c>
      <c r="T2505" s="4" t="str">
        <f t="shared" si="3"/>
        <v/>
      </c>
      <c r="U2505" s="4">
        <f t="shared" si="4"/>
        <v>4119</v>
      </c>
    </row>
    <row r="2506" ht="15.75" customHeight="1">
      <c r="A2506" s="4" t="s">
        <v>3603</v>
      </c>
      <c r="B2506" s="4" t="s">
        <v>13</v>
      </c>
      <c r="I2506" s="4">
        <v>0.193</v>
      </c>
      <c r="J2506" s="4">
        <v>0.021</v>
      </c>
      <c r="K2506" s="6" t="b">
        <f t="shared" ref="K2506:M2506" si="2324">FALSE()</f>
        <v>0</v>
      </c>
      <c r="L2506" s="6" t="b">
        <f t="shared" si="2324"/>
        <v>0</v>
      </c>
      <c r="M2506" s="6" t="b">
        <f t="shared" si="2324"/>
        <v>0</v>
      </c>
      <c r="P2506" s="4">
        <v>0.176471143115779</v>
      </c>
      <c r="T2506" s="4" t="str">
        <f t="shared" si="3"/>
        <v/>
      </c>
      <c r="U2506" s="4">
        <f t="shared" si="4"/>
        <v>2701</v>
      </c>
    </row>
    <row r="2507" ht="15.75" customHeight="1">
      <c r="A2507" s="4" t="s">
        <v>3604</v>
      </c>
      <c r="B2507" s="4" t="s">
        <v>13</v>
      </c>
      <c r="I2507" s="4">
        <v>0.261</v>
      </c>
      <c r="J2507" s="4">
        <v>0.041</v>
      </c>
      <c r="K2507" s="6" t="b">
        <f t="shared" ref="K2507:M2507" si="2325">FALSE()</f>
        <v>0</v>
      </c>
      <c r="L2507" s="6" t="b">
        <f t="shared" si="2325"/>
        <v>0</v>
      </c>
      <c r="M2507" s="6" t="b">
        <f t="shared" si="2325"/>
        <v>0</v>
      </c>
      <c r="P2507" s="4">
        <v>0.231905056982783</v>
      </c>
      <c r="T2507" s="4" t="str">
        <f t="shared" si="3"/>
        <v/>
      </c>
      <c r="U2507" s="4">
        <f t="shared" si="4"/>
        <v>1672</v>
      </c>
    </row>
    <row r="2508" ht="15.75" customHeight="1">
      <c r="A2508" s="4" t="s">
        <v>3605</v>
      </c>
      <c r="B2508" s="4" t="s">
        <v>13</v>
      </c>
      <c r="I2508" s="4">
        <v>0.149</v>
      </c>
      <c r="J2508" s="4">
        <v>0.012</v>
      </c>
      <c r="K2508" s="6" t="b">
        <f t="shared" ref="K2508:M2508" si="2326">FALSE()</f>
        <v>0</v>
      </c>
      <c r="L2508" s="6" t="b">
        <f t="shared" si="2326"/>
        <v>0</v>
      </c>
      <c r="M2508" s="6" t="b">
        <f t="shared" si="2326"/>
        <v>0</v>
      </c>
      <c r="P2508" s="4">
        <v>0.138891998866619</v>
      </c>
      <c r="T2508" s="4" t="str">
        <f t="shared" si="3"/>
        <v/>
      </c>
      <c r="U2508" s="4">
        <f t="shared" si="4"/>
        <v>3346</v>
      </c>
    </row>
    <row r="2509" ht="15.75" customHeight="1">
      <c r="A2509" s="4" t="s">
        <v>3606</v>
      </c>
      <c r="B2509" s="4" t="s">
        <v>13</v>
      </c>
      <c r="I2509" s="4">
        <v>0.105</v>
      </c>
      <c r="J2509" s="4">
        <v>0.008</v>
      </c>
      <c r="K2509" s="6" t="b">
        <f t="shared" ref="K2509:M2509" si="2327">FALSE()</f>
        <v>0</v>
      </c>
      <c r="L2509" s="6" t="b">
        <f t="shared" si="2327"/>
        <v>0</v>
      </c>
      <c r="M2509" s="6" t="b">
        <f t="shared" si="2327"/>
        <v>0</v>
      </c>
      <c r="P2509" s="4">
        <v>0.0998453349697161</v>
      </c>
      <c r="T2509" s="4" t="str">
        <f t="shared" si="3"/>
        <v/>
      </c>
      <c r="U2509" s="4">
        <f t="shared" si="4"/>
        <v>4141</v>
      </c>
    </row>
    <row r="2510" ht="15.75" customHeight="1">
      <c r="A2510" s="4" t="s">
        <v>3607</v>
      </c>
      <c r="B2510" s="4" t="s">
        <v>13</v>
      </c>
      <c r="I2510" s="4">
        <v>0.154</v>
      </c>
      <c r="J2510" s="4">
        <v>0.017</v>
      </c>
      <c r="K2510" s="6" t="b">
        <f t="shared" ref="K2510:M2510" si="2328">FALSE()</f>
        <v>0</v>
      </c>
      <c r="L2510" s="6" t="b">
        <f t="shared" si="2328"/>
        <v>0</v>
      </c>
      <c r="M2510" s="6" t="b">
        <f t="shared" si="2328"/>
        <v>0</v>
      </c>
      <c r="P2510" s="4">
        <v>0.143234168085908</v>
      </c>
      <c r="T2510" s="4" t="str">
        <f t="shared" si="3"/>
        <v/>
      </c>
      <c r="U2510" s="4">
        <f t="shared" si="4"/>
        <v>3258</v>
      </c>
    </row>
    <row r="2511" ht="15.75" customHeight="1">
      <c r="A2511" s="4" t="s">
        <v>3608</v>
      </c>
      <c r="B2511" s="4" t="s">
        <v>13</v>
      </c>
      <c r="I2511" s="4">
        <v>0.163</v>
      </c>
      <c r="J2511" s="4">
        <v>0.014</v>
      </c>
      <c r="K2511" s="6" t="b">
        <f t="shared" ref="K2511:M2511" si="2329">FALSE()</f>
        <v>0</v>
      </c>
      <c r="L2511" s="6" t="b">
        <f t="shared" si="2329"/>
        <v>0</v>
      </c>
      <c r="M2511" s="6" t="b">
        <f t="shared" si="2329"/>
        <v>0</v>
      </c>
      <c r="P2511" s="4">
        <v>0.151002873536527</v>
      </c>
      <c r="T2511" s="4" t="str">
        <f t="shared" si="3"/>
        <v/>
      </c>
      <c r="U2511" s="4">
        <f t="shared" si="4"/>
        <v>3141</v>
      </c>
    </row>
    <row r="2512" ht="15.75" customHeight="1">
      <c r="A2512" s="4" t="s">
        <v>3609</v>
      </c>
      <c r="B2512" s="4" t="s">
        <v>13</v>
      </c>
      <c r="I2512" s="4">
        <v>0.136</v>
      </c>
      <c r="J2512" s="4">
        <v>0.028</v>
      </c>
      <c r="K2512" s="6" t="b">
        <f t="shared" ref="K2512:M2512" si="2330">FALSE()</f>
        <v>0</v>
      </c>
      <c r="L2512" s="6" t="b">
        <f t="shared" si="2330"/>
        <v>0</v>
      </c>
      <c r="M2512" s="6" t="b">
        <f t="shared" si="2330"/>
        <v>0</v>
      </c>
      <c r="P2512" s="4">
        <v>0.12751332029896</v>
      </c>
      <c r="T2512" s="4" t="str">
        <f t="shared" si="3"/>
        <v/>
      </c>
      <c r="U2512" s="4">
        <f t="shared" si="4"/>
        <v>3579</v>
      </c>
    </row>
    <row r="2513" ht="15.75" customHeight="1">
      <c r="A2513" s="4" t="s">
        <v>3610</v>
      </c>
      <c r="B2513" s="4" t="s">
        <v>13</v>
      </c>
      <c r="I2513" s="4">
        <v>0.217</v>
      </c>
      <c r="J2513" s="4">
        <v>0.044</v>
      </c>
      <c r="K2513" s="6" t="b">
        <f t="shared" ref="K2513:M2513" si="2331">FALSE()</f>
        <v>0</v>
      </c>
      <c r="L2513" s="6" t="b">
        <f t="shared" si="2331"/>
        <v>0</v>
      </c>
      <c r="M2513" s="6" t="b">
        <f t="shared" si="2331"/>
        <v>0</v>
      </c>
      <c r="P2513" s="4">
        <v>0.19638881400539</v>
      </c>
      <c r="T2513" s="4" t="str">
        <f t="shared" si="3"/>
        <v/>
      </c>
      <c r="U2513" s="4">
        <f t="shared" si="4"/>
        <v>2301</v>
      </c>
    </row>
    <row r="2514" ht="15.75" customHeight="1">
      <c r="A2514" s="4" t="s">
        <v>3611</v>
      </c>
      <c r="B2514" s="4" t="s">
        <v>13</v>
      </c>
      <c r="I2514" s="4">
        <v>0.3515</v>
      </c>
      <c r="J2514" s="4">
        <v>0.1303</v>
      </c>
      <c r="K2514" s="6" t="b">
        <f t="shared" ref="K2514:M2514" si="2332">FALSE()</f>
        <v>0</v>
      </c>
      <c r="L2514" s="6" t="b">
        <f t="shared" si="2332"/>
        <v>0</v>
      </c>
      <c r="M2514" s="6" t="b">
        <f t="shared" si="2332"/>
        <v>0</v>
      </c>
      <c r="P2514" s="4">
        <v>0.301215086734365</v>
      </c>
      <c r="T2514" s="4" t="str">
        <f t="shared" si="3"/>
        <v/>
      </c>
      <c r="U2514" s="4">
        <f t="shared" si="4"/>
        <v>1206</v>
      </c>
    </row>
    <row r="2515" ht="15.75" customHeight="1">
      <c r="A2515" s="4" t="s">
        <v>3612</v>
      </c>
      <c r="B2515" s="4" t="s">
        <v>13</v>
      </c>
      <c r="I2515" s="4">
        <v>0.11</v>
      </c>
      <c r="J2515" s="4">
        <v>0.005</v>
      </c>
      <c r="K2515" s="6" t="b">
        <f t="shared" ref="K2515:M2515" si="2333">FALSE()</f>
        <v>0</v>
      </c>
      <c r="L2515" s="6" t="b">
        <f t="shared" si="2333"/>
        <v>0</v>
      </c>
      <c r="M2515" s="6" t="b">
        <f t="shared" si="2333"/>
        <v>0</v>
      </c>
      <c r="P2515" s="4">
        <v>0.104360015324243</v>
      </c>
      <c r="T2515" s="4" t="str">
        <f t="shared" si="3"/>
        <v/>
      </c>
      <c r="U2515" s="4">
        <f t="shared" si="4"/>
        <v>4045</v>
      </c>
    </row>
    <row r="2516" ht="15.75" customHeight="1">
      <c r="A2516" s="4" t="s">
        <v>3613</v>
      </c>
      <c r="B2516" s="4" t="s">
        <v>13</v>
      </c>
      <c r="I2516" s="4">
        <v>0.09</v>
      </c>
      <c r="J2516" s="4">
        <v>0.0027</v>
      </c>
      <c r="K2516" s="6" t="b">
        <f t="shared" ref="K2516:M2516" si="2334">FALSE()</f>
        <v>0</v>
      </c>
      <c r="L2516" s="6" t="b">
        <f t="shared" si="2334"/>
        <v>0</v>
      </c>
      <c r="M2516" s="6" t="b">
        <f t="shared" si="2334"/>
        <v>0</v>
      </c>
      <c r="P2516" s="4">
        <v>0.0861776962410523</v>
      </c>
      <c r="T2516" s="4" t="str">
        <f t="shared" si="3"/>
        <v/>
      </c>
      <c r="U2516" s="4">
        <f t="shared" si="4"/>
        <v>4333</v>
      </c>
    </row>
    <row r="2517" ht="15.75" customHeight="1">
      <c r="A2517" s="4" t="s">
        <v>3614</v>
      </c>
      <c r="B2517" s="4" t="s">
        <v>13</v>
      </c>
      <c r="I2517" s="4">
        <v>0.136</v>
      </c>
      <c r="J2517" s="4">
        <v>0.027</v>
      </c>
      <c r="K2517" s="6" t="b">
        <f t="shared" ref="K2517:M2517" si="2335">FALSE()</f>
        <v>0</v>
      </c>
      <c r="L2517" s="6" t="b">
        <f t="shared" si="2335"/>
        <v>0</v>
      </c>
      <c r="M2517" s="6" t="b">
        <f t="shared" si="2335"/>
        <v>0</v>
      </c>
      <c r="P2517" s="4">
        <v>0.12751332029896</v>
      </c>
      <c r="T2517" s="4" t="str">
        <f t="shared" si="3"/>
        <v/>
      </c>
      <c r="U2517" s="4">
        <f t="shared" si="4"/>
        <v>3580</v>
      </c>
    </row>
    <row r="2518" ht="15.75" customHeight="1">
      <c r="A2518" s="4" t="s">
        <v>3615</v>
      </c>
      <c r="B2518" s="4" t="s">
        <v>13</v>
      </c>
      <c r="I2518" s="4">
        <v>0.188</v>
      </c>
      <c r="J2518" s="4">
        <v>0.02</v>
      </c>
      <c r="K2518" s="6" t="b">
        <f t="shared" ref="K2518:M2518" si="2336">FALSE()</f>
        <v>0</v>
      </c>
      <c r="L2518" s="6" t="b">
        <f t="shared" si="2336"/>
        <v>0</v>
      </c>
      <c r="M2518" s="6" t="b">
        <f t="shared" si="2336"/>
        <v>0</v>
      </c>
      <c r="P2518" s="4">
        <v>0.172271220940453</v>
      </c>
      <c r="T2518" s="4" t="str">
        <f t="shared" si="3"/>
        <v/>
      </c>
      <c r="U2518" s="4">
        <f t="shared" si="4"/>
        <v>2773</v>
      </c>
    </row>
    <row r="2519" ht="15.75" customHeight="1">
      <c r="A2519" s="4" t="s">
        <v>3616</v>
      </c>
      <c r="B2519" s="4" t="s">
        <v>13</v>
      </c>
      <c r="I2519" s="4">
        <v>0.131</v>
      </c>
      <c r="J2519" s="4">
        <v>0.012</v>
      </c>
      <c r="K2519" s="6" t="b">
        <f t="shared" ref="K2519:M2519" si="2337">FALSE()</f>
        <v>0</v>
      </c>
      <c r="L2519" s="6" t="b">
        <f t="shared" si="2337"/>
        <v>0</v>
      </c>
      <c r="M2519" s="6" t="b">
        <f t="shared" si="2337"/>
        <v>0</v>
      </c>
      <c r="P2519" s="4">
        <v>0.123102197133983</v>
      </c>
      <c r="T2519" s="4" t="str">
        <f t="shared" si="3"/>
        <v/>
      </c>
      <c r="U2519" s="4">
        <f t="shared" si="4"/>
        <v>3676</v>
      </c>
    </row>
    <row r="2520" ht="15.75" customHeight="1">
      <c r="A2520" s="4" t="s">
        <v>3617</v>
      </c>
      <c r="B2520" s="4" t="s">
        <v>13</v>
      </c>
      <c r="I2520" s="4">
        <v>0.207</v>
      </c>
      <c r="J2520" s="4">
        <v>0.026</v>
      </c>
      <c r="K2520" s="6" t="b">
        <f t="shared" ref="K2520:M2520" si="2338">FALSE()</f>
        <v>0</v>
      </c>
      <c r="L2520" s="6" t="b">
        <f t="shared" si="2338"/>
        <v>0</v>
      </c>
      <c r="M2520" s="6" t="b">
        <f t="shared" si="2338"/>
        <v>0</v>
      </c>
      <c r="P2520" s="4">
        <v>0.188137942115394</v>
      </c>
      <c r="T2520" s="4" t="str">
        <f t="shared" si="3"/>
        <v/>
      </c>
      <c r="U2520" s="4">
        <f t="shared" si="4"/>
        <v>2466</v>
      </c>
    </row>
    <row r="2521" ht="15.75" customHeight="1">
      <c r="A2521" s="4" t="s">
        <v>3618</v>
      </c>
      <c r="B2521" s="4" t="s">
        <v>13</v>
      </c>
      <c r="I2521" s="4">
        <v>0.19</v>
      </c>
      <c r="J2521" s="4">
        <v>0.04</v>
      </c>
      <c r="K2521" s="6" t="b">
        <f t="shared" ref="K2521:M2521" si="2339">FALSE()</f>
        <v>0</v>
      </c>
      <c r="L2521" s="6" t="b">
        <f t="shared" si="2339"/>
        <v>0</v>
      </c>
      <c r="M2521" s="6" t="b">
        <f t="shared" si="2339"/>
        <v>0</v>
      </c>
      <c r="P2521" s="4">
        <v>0.173953307123438</v>
      </c>
      <c r="T2521" s="4" t="str">
        <f t="shared" si="3"/>
        <v/>
      </c>
      <c r="U2521" s="4">
        <f t="shared" si="4"/>
        <v>2734</v>
      </c>
    </row>
    <row r="2522" ht="15.75" customHeight="1">
      <c r="A2522" s="4" t="s">
        <v>3619</v>
      </c>
      <c r="B2522" s="4" t="s">
        <v>13</v>
      </c>
      <c r="I2522" s="4">
        <v>0.166</v>
      </c>
      <c r="J2522" s="4">
        <v>0.033</v>
      </c>
      <c r="K2522" s="6" t="b">
        <f t="shared" ref="K2522:M2522" si="2340">FALSE()</f>
        <v>0</v>
      </c>
      <c r="L2522" s="6" t="b">
        <f t="shared" si="2340"/>
        <v>0</v>
      </c>
      <c r="M2522" s="6" t="b">
        <f t="shared" si="2340"/>
        <v>0</v>
      </c>
      <c r="P2522" s="4">
        <v>0.153579087928301</v>
      </c>
      <c r="T2522" s="4" t="str">
        <f t="shared" si="3"/>
        <v/>
      </c>
      <c r="U2522" s="4">
        <f t="shared" si="4"/>
        <v>3096</v>
      </c>
    </row>
    <row r="2523" ht="15.75" customHeight="1">
      <c r="A2523" s="4" t="s">
        <v>3620</v>
      </c>
      <c r="B2523" s="4" t="s">
        <v>13</v>
      </c>
      <c r="I2523" s="4">
        <v>0.14729</v>
      </c>
      <c r="K2523" s="6" t="b">
        <f t="shared" ref="K2523:M2523" si="2341">FALSE()</f>
        <v>0</v>
      </c>
      <c r="L2523" s="6" t="b">
        <f t="shared" si="2341"/>
        <v>0</v>
      </c>
      <c r="M2523" s="6" t="b">
        <f t="shared" si="2341"/>
        <v>0</v>
      </c>
      <c r="P2523" s="4">
        <v>0.137402639668876</v>
      </c>
      <c r="T2523" s="4" t="str">
        <f t="shared" si="3"/>
        <v/>
      </c>
      <c r="U2523" s="4">
        <f t="shared" si="4"/>
        <v>3370</v>
      </c>
    </row>
    <row r="2524" ht="15.75" customHeight="1">
      <c r="A2524" s="4" t="s">
        <v>3621</v>
      </c>
      <c r="B2524" s="4" t="s">
        <v>13</v>
      </c>
      <c r="I2524" s="4">
        <v>0.158</v>
      </c>
      <c r="J2524" s="4">
        <v>0.016</v>
      </c>
      <c r="K2524" s="6" t="b">
        <f t="shared" ref="K2524:M2524" si="2342">FALSE()</f>
        <v>0</v>
      </c>
      <c r="L2524" s="6" t="b">
        <f t="shared" si="2342"/>
        <v>0</v>
      </c>
      <c r="M2524" s="6" t="b">
        <f t="shared" si="2342"/>
        <v>0</v>
      </c>
      <c r="P2524" s="4">
        <v>0.146694379150804</v>
      </c>
      <c r="T2524" s="4" t="str">
        <f t="shared" si="3"/>
        <v/>
      </c>
      <c r="U2524" s="4">
        <f t="shared" si="4"/>
        <v>3200</v>
      </c>
    </row>
    <row r="2525" ht="15.75" customHeight="1">
      <c r="A2525" s="4" t="s">
        <v>3622</v>
      </c>
      <c r="B2525" s="4" t="s">
        <v>13</v>
      </c>
      <c r="I2525" s="4">
        <v>0.0455</v>
      </c>
      <c r="J2525" s="4">
        <v>0.0071</v>
      </c>
      <c r="K2525" s="6" t="b">
        <f t="shared" ref="K2525:M2525" si="2343">FALSE()</f>
        <v>0</v>
      </c>
      <c r="L2525" s="6" t="b">
        <f t="shared" si="2343"/>
        <v>0</v>
      </c>
      <c r="M2525" s="6" t="b">
        <f t="shared" si="2343"/>
        <v>0</v>
      </c>
      <c r="P2525" s="4">
        <v>0.0444952398865512</v>
      </c>
      <c r="T2525" s="4" t="str">
        <f t="shared" si="3"/>
        <v/>
      </c>
      <c r="U2525" s="4">
        <f t="shared" si="4"/>
        <v>4560</v>
      </c>
    </row>
    <row r="2526" ht="15.75" customHeight="1">
      <c r="A2526" s="4" t="s">
        <v>3623</v>
      </c>
      <c r="B2526" s="4" t="s">
        <v>13</v>
      </c>
      <c r="I2526" s="4">
        <v>0.161</v>
      </c>
      <c r="J2526" s="4">
        <v>0.078</v>
      </c>
      <c r="K2526" s="6" t="b">
        <f t="shared" ref="K2526:M2526" si="2344">FALSE()</f>
        <v>0</v>
      </c>
      <c r="L2526" s="6" t="b">
        <f t="shared" si="2344"/>
        <v>0</v>
      </c>
      <c r="M2526" s="6" t="b">
        <f t="shared" si="2344"/>
        <v>0</v>
      </c>
      <c r="P2526" s="4">
        <v>0.149281702715754</v>
      </c>
      <c r="T2526" s="4" t="str">
        <f t="shared" si="3"/>
        <v/>
      </c>
      <c r="U2526" s="4">
        <f t="shared" si="4"/>
        <v>3167</v>
      </c>
    </row>
    <row r="2527" ht="15.75" customHeight="1">
      <c r="A2527" s="4" t="s">
        <v>3624</v>
      </c>
      <c r="B2527" s="4" t="s">
        <v>13</v>
      </c>
      <c r="I2527" s="4">
        <v>0.321</v>
      </c>
      <c r="J2527" s="4">
        <v>0.157</v>
      </c>
      <c r="K2527" s="6" t="b">
        <f t="shared" ref="K2527:M2527" si="2345">FALSE()</f>
        <v>0</v>
      </c>
      <c r="L2527" s="6" t="b">
        <f t="shared" si="2345"/>
        <v>0</v>
      </c>
      <c r="M2527" s="6" t="b">
        <f t="shared" si="2345"/>
        <v>0</v>
      </c>
      <c r="P2527" s="4">
        <v>0.278389025540188</v>
      </c>
      <c r="T2527" s="4" t="str">
        <f t="shared" si="3"/>
        <v/>
      </c>
      <c r="U2527" s="4">
        <f t="shared" si="4"/>
        <v>1297</v>
      </c>
    </row>
    <row r="2528" ht="15.75" customHeight="1">
      <c r="A2528" s="4" t="s">
        <v>3625</v>
      </c>
      <c r="B2528" s="4" t="s">
        <v>13</v>
      </c>
      <c r="I2528" s="4">
        <v>0.774</v>
      </c>
      <c r="J2528" s="4">
        <v>0.037</v>
      </c>
      <c r="K2528" s="6" t="b">
        <f t="shared" ref="K2528:L2528" si="2346">FALSE()</f>
        <v>0</v>
      </c>
      <c r="L2528" s="6" t="b">
        <f t="shared" si="2346"/>
        <v>0</v>
      </c>
      <c r="M2528" s="6" t="b">
        <f>TRUE()</f>
        <v>1</v>
      </c>
      <c r="P2528" s="4">
        <v>0.573236883887388</v>
      </c>
      <c r="T2528" s="4" t="str">
        <f t="shared" si="3"/>
        <v/>
      </c>
      <c r="U2528" s="4">
        <f t="shared" si="4"/>
        <v>858</v>
      </c>
    </row>
    <row r="2529" ht="15.75" customHeight="1">
      <c r="A2529" s="4" t="s">
        <v>3626</v>
      </c>
      <c r="B2529" s="4" t="s">
        <v>13</v>
      </c>
      <c r="I2529" s="4">
        <v>0.271</v>
      </c>
      <c r="J2529" s="4">
        <v>0.056</v>
      </c>
      <c r="K2529" s="6" t="b">
        <f t="shared" ref="K2529:M2529" si="2347">FALSE()</f>
        <v>0</v>
      </c>
      <c r="L2529" s="6" t="b">
        <f t="shared" si="2347"/>
        <v>0</v>
      </c>
      <c r="M2529" s="6" t="b">
        <f t="shared" si="2347"/>
        <v>0</v>
      </c>
      <c r="P2529" s="4">
        <v>0.239803992207317</v>
      </c>
      <c r="T2529" s="4" t="str">
        <f t="shared" si="3"/>
        <v/>
      </c>
      <c r="U2529" s="4">
        <f t="shared" si="4"/>
        <v>1577</v>
      </c>
    </row>
    <row r="2530" ht="15.75" customHeight="1">
      <c r="A2530" s="4" t="s">
        <v>3627</v>
      </c>
      <c r="B2530" s="4" t="s">
        <v>13</v>
      </c>
      <c r="I2530" s="4">
        <v>0.135</v>
      </c>
      <c r="J2530" s="4">
        <v>0.012</v>
      </c>
      <c r="K2530" s="6" t="b">
        <f t="shared" ref="K2530:M2530" si="2348">FALSE()</f>
        <v>0</v>
      </c>
      <c r="L2530" s="6" t="b">
        <f t="shared" si="2348"/>
        <v>0</v>
      </c>
      <c r="M2530" s="6" t="b">
        <f t="shared" si="2348"/>
        <v>0</v>
      </c>
      <c r="P2530" s="4">
        <v>0.126632650933366</v>
      </c>
      <c r="T2530" s="4" t="str">
        <f t="shared" si="3"/>
        <v/>
      </c>
      <c r="U2530" s="4">
        <f t="shared" si="4"/>
        <v>3613</v>
      </c>
    </row>
    <row r="2531" ht="15.75" customHeight="1">
      <c r="A2531" s="4" t="s">
        <v>3628</v>
      </c>
      <c r="B2531" s="4" t="s">
        <v>13</v>
      </c>
      <c r="I2531" s="4">
        <v>0.133</v>
      </c>
      <c r="J2531" s="4">
        <v>0.014</v>
      </c>
      <c r="K2531" s="6" t="b">
        <f t="shared" ref="K2531:M2531" si="2349">FALSE()</f>
        <v>0</v>
      </c>
      <c r="L2531" s="6" t="b">
        <f t="shared" si="2349"/>
        <v>0</v>
      </c>
      <c r="M2531" s="6" t="b">
        <f t="shared" si="2349"/>
        <v>0</v>
      </c>
      <c r="P2531" s="4">
        <v>0.124868982045869</v>
      </c>
      <c r="T2531" s="4" t="str">
        <f t="shared" si="3"/>
        <v/>
      </c>
      <c r="U2531" s="4">
        <f t="shared" si="4"/>
        <v>3644</v>
      </c>
    </row>
    <row r="2532" ht="15.75" customHeight="1">
      <c r="A2532" s="4" t="s">
        <v>3629</v>
      </c>
      <c r="B2532" s="4" t="s">
        <v>13</v>
      </c>
      <c r="I2532" s="4">
        <v>0.126</v>
      </c>
      <c r="J2532" s="4">
        <v>0.021</v>
      </c>
      <c r="K2532" s="6" t="b">
        <f t="shared" ref="K2532:M2532" si="2350">FALSE()</f>
        <v>0</v>
      </c>
      <c r="L2532" s="6" t="b">
        <f t="shared" si="2350"/>
        <v>0</v>
      </c>
      <c r="M2532" s="6" t="b">
        <f t="shared" si="2350"/>
        <v>0</v>
      </c>
      <c r="P2532" s="4">
        <v>0.118671529717499</v>
      </c>
      <c r="T2532" s="4" t="str">
        <f t="shared" si="3"/>
        <v/>
      </c>
      <c r="U2532" s="4">
        <f t="shared" si="4"/>
        <v>3765</v>
      </c>
    </row>
    <row r="2533" ht="15.75" customHeight="1">
      <c r="A2533" s="4" t="s">
        <v>3630</v>
      </c>
      <c r="B2533" s="4" t="s">
        <v>13</v>
      </c>
      <c r="I2533" s="4">
        <v>0.274</v>
      </c>
      <c r="J2533" s="4">
        <v>0.051</v>
      </c>
      <c r="K2533" s="6" t="b">
        <f t="shared" ref="K2533:M2533" si="2351">FALSE()</f>
        <v>0</v>
      </c>
      <c r="L2533" s="6" t="b">
        <f t="shared" si="2351"/>
        <v>0</v>
      </c>
      <c r="M2533" s="6" t="b">
        <f t="shared" si="2351"/>
        <v>0</v>
      </c>
      <c r="P2533" s="4">
        <v>0.242161557149972</v>
      </c>
      <c r="T2533" s="4" t="str">
        <f t="shared" si="3"/>
        <v/>
      </c>
      <c r="U2533" s="4">
        <f t="shared" si="4"/>
        <v>1551</v>
      </c>
    </row>
    <row r="2534" ht="15.75" customHeight="1">
      <c r="A2534" s="4" t="s">
        <v>3631</v>
      </c>
      <c r="B2534" s="4" t="s">
        <v>13</v>
      </c>
      <c r="I2534" s="4">
        <v>0.262</v>
      </c>
      <c r="J2534" s="4">
        <v>0.029</v>
      </c>
      <c r="K2534" s="6" t="b">
        <f t="shared" ref="K2534:M2534" si="2352">FALSE()</f>
        <v>0</v>
      </c>
      <c r="L2534" s="6" t="b">
        <f t="shared" si="2352"/>
        <v>0</v>
      </c>
      <c r="M2534" s="6" t="b">
        <f t="shared" si="2352"/>
        <v>0</v>
      </c>
      <c r="P2534" s="4">
        <v>0.232697764119021</v>
      </c>
      <c r="T2534" s="4" t="str">
        <f t="shared" si="3"/>
        <v/>
      </c>
      <c r="U2534" s="4">
        <f t="shared" si="4"/>
        <v>1659</v>
      </c>
    </row>
    <row r="2535" ht="15.75" customHeight="1">
      <c r="A2535" s="4" t="s">
        <v>3632</v>
      </c>
      <c r="B2535" s="4" t="s">
        <v>13</v>
      </c>
      <c r="I2535" s="4">
        <v>0.198</v>
      </c>
      <c r="J2535" s="4">
        <v>0.032</v>
      </c>
      <c r="K2535" s="6" t="b">
        <f t="shared" ref="K2535:M2535" si="2353">FALSE()</f>
        <v>0</v>
      </c>
      <c r="L2535" s="6" t="b">
        <f t="shared" si="2353"/>
        <v>0</v>
      </c>
      <c r="M2535" s="6" t="b">
        <f t="shared" si="2353"/>
        <v>0</v>
      </c>
      <c r="P2535" s="4">
        <v>0.180653499693258</v>
      </c>
      <c r="T2535" s="4" t="str">
        <f t="shared" si="3"/>
        <v/>
      </c>
      <c r="U2535" s="4">
        <f t="shared" si="4"/>
        <v>2618</v>
      </c>
    </row>
    <row r="2536" ht="15.75" customHeight="1">
      <c r="A2536" s="4" t="s">
        <v>3633</v>
      </c>
      <c r="B2536" s="4" t="s">
        <v>13</v>
      </c>
      <c r="I2536" s="4">
        <v>0.148</v>
      </c>
      <c r="J2536" s="4">
        <v>0.014</v>
      </c>
      <c r="K2536" s="6" t="b">
        <f t="shared" ref="K2536:M2536" si="2354">FALSE()</f>
        <v>0</v>
      </c>
      <c r="L2536" s="6" t="b">
        <f t="shared" si="2354"/>
        <v>0</v>
      </c>
      <c r="M2536" s="6" t="b">
        <f t="shared" si="2354"/>
        <v>0</v>
      </c>
      <c r="P2536" s="4">
        <v>0.138021297897375</v>
      </c>
      <c r="T2536" s="4" t="str">
        <f t="shared" si="3"/>
        <v/>
      </c>
      <c r="U2536" s="4">
        <f t="shared" si="4"/>
        <v>3364</v>
      </c>
    </row>
    <row r="2537" ht="15.75" customHeight="1">
      <c r="A2537" s="4" t="s">
        <v>3634</v>
      </c>
      <c r="B2537" s="4" t="s">
        <v>13</v>
      </c>
      <c r="I2537" s="4">
        <v>0.119</v>
      </c>
      <c r="J2537" s="4">
        <v>0.008</v>
      </c>
      <c r="K2537" s="6" t="b">
        <f t="shared" ref="K2537:M2537" si="2355">FALSE()</f>
        <v>0</v>
      </c>
      <c r="L2537" s="6" t="b">
        <f t="shared" si="2355"/>
        <v>0</v>
      </c>
      <c r="M2537" s="6" t="b">
        <f t="shared" si="2355"/>
        <v>0</v>
      </c>
      <c r="P2537" s="4">
        <v>0.112435429329788</v>
      </c>
      <c r="T2537" s="4" t="str">
        <f t="shared" si="3"/>
        <v/>
      </c>
      <c r="U2537" s="4">
        <f t="shared" si="4"/>
        <v>3887</v>
      </c>
    </row>
    <row r="2538" ht="15.75" customHeight="1">
      <c r="A2538" s="4" t="s">
        <v>3635</v>
      </c>
      <c r="B2538" s="4" t="s">
        <v>13</v>
      </c>
      <c r="I2538" s="4">
        <v>0.106</v>
      </c>
      <c r="J2538" s="4">
        <v>0.012</v>
      </c>
      <c r="K2538" s="6" t="b">
        <f t="shared" ref="K2538:M2538" si="2356">FALSE()</f>
        <v>0</v>
      </c>
      <c r="L2538" s="6" t="b">
        <f t="shared" si="2356"/>
        <v>0</v>
      </c>
      <c r="M2538" s="6" t="b">
        <f t="shared" si="2356"/>
        <v>0</v>
      </c>
      <c r="P2538" s="4">
        <v>0.100749903100143</v>
      </c>
      <c r="T2538" s="4" t="str">
        <f t="shared" si="3"/>
        <v/>
      </c>
      <c r="U2538" s="4">
        <f t="shared" si="4"/>
        <v>4120</v>
      </c>
    </row>
    <row r="2539" ht="15.75" customHeight="1">
      <c r="A2539" s="4" t="s">
        <v>3636</v>
      </c>
      <c r="B2539" s="4" t="s">
        <v>13</v>
      </c>
      <c r="I2539" s="4">
        <v>0.3702</v>
      </c>
      <c r="J2539" s="4">
        <v>0.0285</v>
      </c>
      <c r="K2539" s="6" t="b">
        <f t="shared" ref="K2539:M2539" si="2357">FALSE()</f>
        <v>0</v>
      </c>
      <c r="L2539" s="6" t="b">
        <f t="shared" si="2357"/>
        <v>0</v>
      </c>
      <c r="M2539" s="6" t="b">
        <f t="shared" si="2357"/>
        <v>0</v>
      </c>
      <c r="P2539" s="4">
        <v>0.314956714586662</v>
      </c>
      <c r="T2539" s="4" t="str">
        <f t="shared" si="3"/>
        <v/>
      </c>
      <c r="U2539" s="4">
        <f t="shared" si="4"/>
        <v>1161</v>
      </c>
    </row>
    <row r="2540" ht="15.75" customHeight="1">
      <c r="A2540" s="4" t="s">
        <v>3637</v>
      </c>
      <c r="B2540" s="4" t="s">
        <v>13</v>
      </c>
      <c r="I2540" s="4">
        <v>0.149</v>
      </c>
      <c r="J2540" s="4">
        <v>0.0116</v>
      </c>
      <c r="K2540" s="6" t="b">
        <f t="shared" ref="K2540:M2540" si="2358">FALSE()</f>
        <v>0</v>
      </c>
      <c r="L2540" s="6" t="b">
        <f t="shared" si="2358"/>
        <v>0</v>
      </c>
      <c r="M2540" s="6" t="b">
        <f t="shared" si="2358"/>
        <v>0</v>
      </c>
      <c r="P2540" s="4">
        <v>0.138891998866619</v>
      </c>
      <c r="T2540" s="4" t="str">
        <f t="shared" si="3"/>
        <v/>
      </c>
      <c r="U2540" s="4">
        <f t="shared" si="4"/>
        <v>3347</v>
      </c>
    </row>
    <row r="2541" ht="15.75" customHeight="1">
      <c r="A2541" s="4" t="s">
        <v>3638</v>
      </c>
      <c r="B2541" s="4" t="s">
        <v>13</v>
      </c>
      <c r="I2541" s="4">
        <v>0.3818</v>
      </c>
      <c r="J2541" s="4">
        <v>0.0294</v>
      </c>
      <c r="K2541" s="6" t="b">
        <f t="shared" ref="K2541:M2541" si="2359">FALSE()</f>
        <v>0</v>
      </c>
      <c r="L2541" s="6" t="b">
        <f t="shared" si="2359"/>
        <v>0</v>
      </c>
      <c r="M2541" s="6" t="b">
        <f t="shared" si="2359"/>
        <v>0</v>
      </c>
      <c r="P2541" s="4">
        <v>0.323386997072557</v>
      </c>
      <c r="T2541" s="4" t="str">
        <f t="shared" si="3"/>
        <v/>
      </c>
      <c r="U2541" s="4">
        <f t="shared" si="4"/>
        <v>1146</v>
      </c>
    </row>
    <row r="2542" ht="15.75" customHeight="1">
      <c r="A2542" s="4" t="s">
        <v>779</v>
      </c>
      <c r="B2542" s="4" t="s">
        <v>13</v>
      </c>
      <c r="C2542" s="4">
        <v>8.4</v>
      </c>
      <c r="D2542" s="4">
        <v>0.19</v>
      </c>
      <c r="E2542" s="4">
        <v>0.19</v>
      </c>
      <c r="I2542" s="4">
        <v>1.136</v>
      </c>
      <c r="J2542" s="4">
        <v>0.054</v>
      </c>
      <c r="K2542" s="6" t="b">
        <f>TRUE()</f>
        <v>1</v>
      </c>
      <c r="L2542" s="6" t="b">
        <f>FALSE()</f>
        <v>0</v>
      </c>
      <c r="M2542" s="6" t="b">
        <f>TRUE()</f>
        <v>1</v>
      </c>
      <c r="N2542" s="4">
        <v>2.24070968927596</v>
      </c>
      <c r="P2542" s="4">
        <v>0.758934921097948</v>
      </c>
      <c r="T2542" s="4">
        <f t="shared" si="3"/>
        <v>98</v>
      </c>
      <c r="U2542" s="4">
        <f t="shared" si="4"/>
        <v>465</v>
      </c>
    </row>
    <row r="2543" ht="15.75" customHeight="1">
      <c r="A2543" s="4" t="s">
        <v>3639</v>
      </c>
      <c r="B2543" s="4" t="s">
        <v>13</v>
      </c>
      <c r="I2543" s="4">
        <v>0.107</v>
      </c>
      <c r="J2543" s="4">
        <v>0.013</v>
      </c>
      <c r="K2543" s="6" t="b">
        <f t="shared" ref="K2543:M2543" si="2360">FALSE()</f>
        <v>0</v>
      </c>
      <c r="L2543" s="6" t="b">
        <f t="shared" si="2360"/>
        <v>0</v>
      </c>
      <c r="M2543" s="6" t="b">
        <f t="shared" si="2360"/>
        <v>0</v>
      </c>
      <c r="P2543" s="4">
        <v>0.1016536537265</v>
      </c>
      <c r="T2543" s="4" t="str">
        <f t="shared" si="3"/>
        <v/>
      </c>
      <c r="U2543" s="4">
        <f t="shared" si="4"/>
        <v>4095</v>
      </c>
    </row>
    <row r="2544" ht="15.75" customHeight="1">
      <c r="A2544" s="4" t="s">
        <v>3640</v>
      </c>
      <c r="B2544" s="4" t="s">
        <v>13</v>
      </c>
      <c r="I2544" s="4">
        <v>0.139</v>
      </c>
      <c r="J2544" s="4">
        <v>0.022</v>
      </c>
      <c r="K2544" s="6" t="b">
        <f t="shared" ref="K2544:M2544" si="2361">FALSE()</f>
        <v>0</v>
      </c>
      <c r="L2544" s="6" t="b">
        <f t="shared" si="2361"/>
        <v>0</v>
      </c>
      <c r="M2544" s="6" t="b">
        <f t="shared" si="2361"/>
        <v>0</v>
      </c>
      <c r="P2544" s="4">
        <v>0.130150684465045</v>
      </c>
      <c r="T2544" s="4" t="str">
        <f t="shared" si="3"/>
        <v/>
      </c>
      <c r="U2544" s="4">
        <f t="shared" si="4"/>
        <v>3525</v>
      </c>
    </row>
    <row r="2545" ht="15.75" customHeight="1">
      <c r="A2545" s="4" t="s">
        <v>3641</v>
      </c>
      <c r="B2545" s="4" t="s">
        <v>13</v>
      </c>
      <c r="I2545" s="4">
        <v>0.284</v>
      </c>
      <c r="J2545" s="4">
        <v>0.057</v>
      </c>
      <c r="K2545" s="6" t="b">
        <f t="shared" ref="K2545:M2545" si="2362">FALSE()</f>
        <v>0</v>
      </c>
      <c r="L2545" s="6" t="b">
        <f t="shared" si="2362"/>
        <v>0</v>
      </c>
      <c r="M2545" s="6" t="b">
        <f t="shared" si="2362"/>
        <v>0</v>
      </c>
      <c r="P2545" s="4">
        <v>0.249980205267769</v>
      </c>
      <c r="T2545" s="4" t="str">
        <f t="shared" si="3"/>
        <v/>
      </c>
      <c r="U2545" s="4">
        <f t="shared" si="4"/>
        <v>1479</v>
      </c>
    </row>
    <row r="2546" ht="15.75" customHeight="1">
      <c r="A2546" s="4" t="s">
        <v>3642</v>
      </c>
      <c r="B2546" s="4" t="s">
        <v>13</v>
      </c>
      <c r="I2546" s="4">
        <v>0.203</v>
      </c>
      <c r="J2546" s="4">
        <v>0.021</v>
      </c>
      <c r="K2546" s="6" t="b">
        <f t="shared" ref="K2546:M2546" si="2363">FALSE()</f>
        <v>0</v>
      </c>
      <c r="L2546" s="6" t="b">
        <f t="shared" si="2363"/>
        <v>0</v>
      </c>
      <c r="M2546" s="6" t="b">
        <f t="shared" si="2363"/>
        <v>0</v>
      </c>
      <c r="P2546" s="4">
        <v>0.184818436992542</v>
      </c>
      <c r="T2546" s="4" t="str">
        <f t="shared" si="3"/>
        <v/>
      </c>
      <c r="U2546" s="4">
        <f t="shared" si="4"/>
        <v>2525</v>
      </c>
    </row>
    <row r="2547" ht="15.75" customHeight="1">
      <c r="A2547" s="4" t="s">
        <v>3643</v>
      </c>
      <c r="B2547" s="4" t="s">
        <v>13</v>
      </c>
      <c r="I2547" s="4">
        <v>0.19</v>
      </c>
      <c r="J2547" s="4">
        <v>0.017</v>
      </c>
      <c r="K2547" s="6" t="b">
        <f t="shared" ref="K2547:M2547" si="2364">FALSE()</f>
        <v>0</v>
      </c>
      <c r="L2547" s="6" t="b">
        <f t="shared" si="2364"/>
        <v>0</v>
      </c>
      <c r="M2547" s="6" t="b">
        <f t="shared" si="2364"/>
        <v>0</v>
      </c>
      <c r="P2547" s="4">
        <v>0.173953307123438</v>
      </c>
      <c r="T2547" s="4" t="str">
        <f t="shared" si="3"/>
        <v/>
      </c>
      <c r="U2547" s="4">
        <f t="shared" si="4"/>
        <v>2735</v>
      </c>
    </row>
    <row r="2548" ht="15.75" customHeight="1">
      <c r="A2548" s="4" t="s">
        <v>3644</v>
      </c>
      <c r="B2548" s="4" t="s">
        <v>13</v>
      </c>
      <c r="I2548" s="4">
        <v>0.083</v>
      </c>
      <c r="J2548" s="4">
        <v>0.004</v>
      </c>
      <c r="K2548" s="6" t="b">
        <f t="shared" ref="K2548:M2548" si="2365">FALSE()</f>
        <v>0</v>
      </c>
      <c r="L2548" s="6" t="b">
        <f t="shared" si="2365"/>
        <v>0</v>
      </c>
      <c r="M2548" s="6" t="b">
        <f t="shared" si="2365"/>
        <v>0</v>
      </c>
      <c r="P2548" s="4">
        <v>0.0797349680188535</v>
      </c>
      <c r="T2548" s="4" t="str">
        <f t="shared" si="3"/>
        <v/>
      </c>
      <c r="U2548" s="4">
        <f t="shared" si="4"/>
        <v>4392</v>
      </c>
    </row>
    <row r="2549" ht="15.75" customHeight="1">
      <c r="A2549" s="4" t="s">
        <v>3645</v>
      </c>
      <c r="B2549" s="4" t="s">
        <v>13</v>
      </c>
      <c r="I2549" s="4">
        <v>0.118</v>
      </c>
      <c r="J2549" s="4">
        <v>0.012</v>
      </c>
      <c r="K2549" s="6" t="b">
        <f t="shared" ref="K2549:M2549" si="2366">FALSE()</f>
        <v>0</v>
      </c>
      <c r="L2549" s="6" t="b">
        <f t="shared" si="2366"/>
        <v>0</v>
      </c>
      <c r="M2549" s="6" t="b">
        <f t="shared" si="2366"/>
        <v>0</v>
      </c>
      <c r="P2549" s="4">
        <v>0.111541374732907</v>
      </c>
      <c r="T2549" s="4" t="str">
        <f t="shared" si="3"/>
        <v/>
      </c>
      <c r="U2549" s="4">
        <f t="shared" si="4"/>
        <v>3908</v>
      </c>
    </row>
    <row r="2550" ht="15.75" customHeight="1">
      <c r="A2550" s="4" t="s">
        <v>3646</v>
      </c>
      <c r="B2550" s="4" t="s">
        <v>13</v>
      </c>
      <c r="I2550" s="4">
        <v>0.075</v>
      </c>
      <c r="J2550" s="4">
        <v>0.008</v>
      </c>
      <c r="K2550" s="6" t="b">
        <f t="shared" ref="K2550:M2550" si="2367">FALSE()</f>
        <v>0</v>
      </c>
      <c r="L2550" s="6" t="b">
        <f t="shared" si="2367"/>
        <v>0</v>
      </c>
      <c r="M2550" s="6" t="b">
        <f t="shared" si="2367"/>
        <v>0</v>
      </c>
      <c r="P2550" s="4">
        <v>0.0723206615796261</v>
      </c>
      <c r="T2550" s="4" t="str">
        <f t="shared" si="3"/>
        <v/>
      </c>
      <c r="U2550" s="4">
        <f t="shared" si="4"/>
        <v>4454</v>
      </c>
    </row>
    <row r="2551" ht="15.75" customHeight="1">
      <c r="A2551" s="4" t="s">
        <v>3647</v>
      </c>
      <c r="B2551" s="4" t="s">
        <v>13</v>
      </c>
      <c r="I2551" s="4">
        <v>0.119</v>
      </c>
      <c r="J2551" s="4">
        <v>0.023</v>
      </c>
      <c r="K2551" s="6" t="b">
        <f t="shared" ref="K2551:M2551" si="2368">FALSE()</f>
        <v>0</v>
      </c>
      <c r="L2551" s="6" t="b">
        <f t="shared" si="2368"/>
        <v>0</v>
      </c>
      <c r="M2551" s="6" t="b">
        <f t="shared" si="2368"/>
        <v>0</v>
      </c>
      <c r="P2551" s="4">
        <v>0.112435429329788</v>
      </c>
      <c r="T2551" s="4" t="str">
        <f t="shared" si="3"/>
        <v/>
      </c>
      <c r="U2551" s="4">
        <f t="shared" si="4"/>
        <v>3888</v>
      </c>
    </row>
    <row r="2552" ht="15.75" customHeight="1">
      <c r="A2552" s="4" t="s">
        <v>3648</v>
      </c>
      <c r="B2552" s="4" t="s">
        <v>13</v>
      </c>
      <c r="I2552" s="4">
        <v>0.165</v>
      </c>
      <c r="J2552" s="4">
        <v>0.014</v>
      </c>
      <c r="K2552" s="6" t="b">
        <f t="shared" ref="K2552:M2552" si="2369">FALSE()</f>
        <v>0</v>
      </c>
      <c r="L2552" s="6" t="b">
        <f t="shared" si="2369"/>
        <v>0</v>
      </c>
      <c r="M2552" s="6" t="b">
        <f t="shared" si="2369"/>
        <v>0</v>
      </c>
      <c r="P2552" s="4">
        <v>0.152721087017664</v>
      </c>
      <c r="T2552" s="4" t="str">
        <f t="shared" si="3"/>
        <v/>
      </c>
      <c r="U2552" s="4">
        <f t="shared" si="4"/>
        <v>3105</v>
      </c>
    </row>
    <row r="2553" ht="15.75" customHeight="1">
      <c r="A2553" s="4" t="s">
        <v>3649</v>
      </c>
      <c r="B2553" s="4" t="s">
        <v>13</v>
      </c>
      <c r="I2553" s="4">
        <v>0.112</v>
      </c>
      <c r="J2553" s="4">
        <v>0.017</v>
      </c>
      <c r="K2553" s="6" t="b">
        <f t="shared" ref="K2553:M2553" si="2370">FALSE()</f>
        <v>0</v>
      </c>
      <c r="L2553" s="6" t="b">
        <f t="shared" si="2370"/>
        <v>0</v>
      </c>
      <c r="M2553" s="6" t="b">
        <f t="shared" si="2370"/>
        <v>0</v>
      </c>
      <c r="P2553" s="4">
        <v>0.106160195828391</v>
      </c>
      <c r="T2553" s="4" t="str">
        <f t="shared" si="3"/>
        <v/>
      </c>
      <c r="U2553" s="4">
        <f t="shared" si="4"/>
        <v>4011</v>
      </c>
    </row>
    <row r="2554" ht="15.75" customHeight="1">
      <c r="A2554" s="4" t="s">
        <v>3650</v>
      </c>
      <c r="B2554" s="4" t="s">
        <v>13</v>
      </c>
      <c r="I2554" s="4">
        <v>0.329</v>
      </c>
      <c r="J2554" s="4">
        <v>0.053</v>
      </c>
      <c r="K2554" s="6" t="b">
        <f t="shared" ref="K2554:M2554" si="2371">FALSE()</f>
        <v>0</v>
      </c>
      <c r="L2554" s="6" t="b">
        <f t="shared" si="2371"/>
        <v>0</v>
      </c>
      <c r="M2554" s="6" t="b">
        <f t="shared" si="2371"/>
        <v>0</v>
      </c>
      <c r="P2554" s="4">
        <v>0.284426779731108</v>
      </c>
      <c r="T2554" s="4" t="str">
        <f t="shared" si="3"/>
        <v/>
      </c>
      <c r="U2554" s="4">
        <f t="shared" si="4"/>
        <v>1260</v>
      </c>
    </row>
    <row r="2555" ht="15.75" customHeight="1">
      <c r="A2555" s="4" t="s">
        <v>3651</v>
      </c>
      <c r="B2555" s="4" t="s">
        <v>13</v>
      </c>
      <c r="I2555" s="4">
        <v>0.249</v>
      </c>
      <c r="J2555" s="4">
        <v>0.037</v>
      </c>
      <c r="K2555" s="6" t="b">
        <f t="shared" ref="K2555:M2555" si="2372">FALSE()</f>
        <v>0</v>
      </c>
      <c r="L2555" s="6" t="b">
        <f t="shared" si="2372"/>
        <v>0</v>
      </c>
      <c r="M2555" s="6" t="b">
        <f t="shared" si="2372"/>
        <v>0</v>
      </c>
      <c r="P2555" s="4">
        <v>0.222343231143441</v>
      </c>
      <c r="T2555" s="4" t="str">
        <f t="shared" si="3"/>
        <v/>
      </c>
      <c r="U2555" s="4">
        <f t="shared" si="4"/>
        <v>1820</v>
      </c>
    </row>
    <row r="2556" ht="15.75" customHeight="1">
      <c r="A2556" s="4" t="s">
        <v>3652</v>
      </c>
      <c r="B2556" s="4" t="s">
        <v>13</v>
      </c>
      <c r="I2556" s="4">
        <v>0.278</v>
      </c>
      <c r="J2556" s="4">
        <v>0.049</v>
      </c>
      <c r="K2556" s="6" t="b">
        <f t="shared" ref="K2556:M2556" si="2373">FALSE()</f>
        <v>0</v>
      </c>
      <c r="L2556" s="6" t="b">
        <f t="shared" si="2373"/>
        <v>0</v>
      </c>
      <c r="M2556" s="6" t="b">
        <f t="shared" si="2373"/>
        <v>0</v>
      </c>
      <c r="P2556" s="4">
        <v>0.245296355955343</v>
      </c>
      <c r="T2556" s="4" t="str">
        <f t="shared" si="3"/>
        <v/>
      </c>
      <c r="U2556" s="4">
        <f t="shared" si="4"/>
        <v>1522</v>
      </c>
    </row>
    <row r="2557" ht="15.75" customHeight="1">
      <c r="A2557" s="4" t="s">
        <v>780</v>
      </c>
      <c r="B2557" s="4" t="s">
        <v>13</v>
      </c>
      <c r="C2557" s="4">
        <v>0.0283</v>
      </c>
      <c r="D2557" s="4">
        <v>0.00475</v>
      </c>
      <c r="E2557" s="4">
        <v>0.00431</v>
      </c>
      <c r="I2557" s="4">
        <v>0.325</v>
      </c>
      <c r="J2557" s="4">
        <v>0.035</v>
      </c>
      <c r="K2557" s="6" t="b">
        <f t="shared" ref="K2557:M2557" si="2374">FALSE()</f>
        <v>0</v>
      </c>
      <c r="L2557" s="6" t="b">
        <f t="shared" si="2374"/>
        <v>0</v>
      </c>
      <c r="M2557" s="6" t="b">
        <f t="shared" si="2374"/>
        <v>0</v>
      </c>
      <c r="N2557" s="4">
        <v>0.0279069532530078</v>
      </c>
      <c r="P2557" s="4">
        <v>0.281412459438186</v>
      </c>
      <c r="T2557" s="4">
        <f t="shared" si="3"/>
        <v>1580</v>
      </c>
      <c r="U2557" s="4">
        <f t="shared" si="4"/>
        <v>1280</v>
      </c>
    </row>
    <row r="2558" ht="15.75" customHeight="1">
      <c r="A2558" s="4" t="s">
        <v>3653</v>
      </c>
      <c r="B2558" s="4" t="s">
        <v>13</v>
      </c>
      <c r="I2558" s="4">
        <v>0.3</v>
      </c>
      <c r="J2558" s="4">
        <v>0.05</v>
      </c>
      <c r="K2558" s="6" t="b">
        <f t="shared" ref="K2558:M2558" si="2375">FALSE()</f>
        <v>0</v>
      </c>
      <c r="L2558" s="6" t="b">
        <f t="shared" si="2375"/>
        <v>0</v>
      </c>
      <c r="M2558" s="6" t="b">
        <f t="shared" si="2375"/>
        <v>0</v>
      </c>
      <c r="P2558" s="4">
        <v>0.262364264467491</v>
      </c>
      <c r="T2558" s="4" t="str">
        <f t="shared" si="3"/>
        <v/>
      </c>
      <c r="U2558" s="4">
        <f t="shared" si="4"/>
        <v>1381</v>
      </c>
    </row>
    <row r="2559" ht="15.75" customHeight="1">
      <c r="A2559" s="4" t="s">
        <v>3654</v>
      </c>
      <c r="B2559" s="4" t="s">
        <v>13</v>
      </c>
      <c r="I2559" s="4">
        <v>0.15</v>
      </c>
      <c r="J2559" s="4">
        <v>0.021</v>
      </c>
      <c r="K2559" s="6" t="b">
        <f t="shared" ref="K2559:M2559" si="2376">FALSE()</f>
        <v>0</v>
      </c>
      <c r="L2559" s="6" t="b">
        <f t="shared" si="2376"/>
        <v>0</v>
      </c>
      <c r="M2559" s="6" t="b">
        <f t="shared" si="2376"/>
        <v>0</v>
      </c>
      <c r="P2559" s="4">
        <v>0.139761942375159</v>
      </c>
      <c r="T2559" s="4" t="str">
        <f t="shared" si="3"/>
        <v/>
      </c>
      <c r="U2559" s="4">
        <f t="shared" si="4"/>
        <v>3325</v>
      </c>
    </row>
    <row r="2560" ht="15.75" customHeight="1">
      <c r="A2560" s="4" t="s">
        <v>3655</v>
      </c>
      <c r="B2560" s="4" t="s">
        <v>13</v>
      </c>
      <c r="I2560" s="4">
        <v>0.105</v>
      </c>
      <c r="J2560" s="4">
        <v>0.01</v>
      </c>
      <c r="K2560" s="6" t="b">
        <f t="shared" ref="K2560:M2560" si="2377">FALSE()</f>
        <v>0</v>
      </c>
      <c r="L2560" s="6" t="b">
        <f t="shared" si="2377"/>
        <v>0</v>
      </c>
      <c r="M2560" s="6" t="b">
        <f t="shared" si="2377"/>
        <v>0</v>
      </c>
      <c r="P2560" s="4">
        <v>0.0998453349697161</v>
      </c>
      <c r="T2560" s="4" t="str">
        <f t="shared" si="3"/>
        <v/>
      </c>
      <c r="U2560" s="4">
        <f t="shared" si="4"/>
        <v>4142</v>
      </c>
    </row>
    <row r="2561" ht="15.75" customHeight="1">
      <c r="A2561" s="4" t="s">
        <v>781</v>
      </c>
      <c r="B2561" s="4" t="s">
        <v>13</v>
      </c>
      <c r="C2561" s="4">
        <v>0.152</v>
      </c>
      <c r="D2561" s="4">
        <v>0.061</v>
      </c>
      <c r="E2561" s="4">
        <v>0.104</v>
      </c>
      <c r="I2561" s="4">
        <v>0.76671</v>
      </c>
      <c r="J2561" s="4">
        <v>0.00196</v>
      </c>
      <c r="K2561" s="6" t="b">
        <f t="shared" ref="K2561:L2561" si="2378">FALSE()</f>
        <v>0</v>
      </c>
      <c r="L2561" s="6" t="b">
        <f t="shared" si="2378"/>
        <v>0</v>
      </c>
      <c r="M2561" s="6" t="b">
        <f>TRUE()</f>
        <v>1</v>
      </c>
      <c r="N2561" s="4">
        <v>0.1414995622737</v>
      </c>
      <c r="P2561" s="4">
        <v>0.569119059891039</v>
      </c>
      <c r="T2561" s="4">
        <f t="shared" si="3"/>
        <v>1193</v>
      </c>
      <c r="U2561" s="4">
        <f t="shared" si="4"/>
        <v>864</v>
      </c>
    </row>
    <row r="2562" ht="15.75" customHeight="1">
      <c r="A2562" s="4" t="s">
        <v>3656</v>
      </c>
      <c r="B2562" s="4" t="s">
        <v>13</v>
      </c>
      <c r="D2562" s="4">
        <v>0.063</v>
      </c>
      <c r="E2562" s="4">
        <v>0.098</v>
      </c>
      <c r="F2562" s="4">
        <v>0.2659</v>
      </c>
      <c r="G2562" s="4">
        <v>0.063</v>
      </c>
      <c r="H2562" s="4">
        <v>0.098</v>
      </c>
      <c r="K2562" s="6" t="b">
        <f t="shared" ref="K2562:M2562" si="2379">FALSE()</f>
        <v>0</v>
      </c>
      <c r="L2562" s="6" t="b">
        <f t="shared" si="2379"/>
        <v>0</v>
      </c>
      <c r="M2562" s="6" t="b">
        <f t="shared" si="2379"/>
        <v>0</v>
      </c>
      <c r="O2562" s="4">
        <v>0.235783331660646</v>
      </c>
      <c r="T2562" s="4" t="str">
        <f t="shared" si="3"/>
        <v/>
      </c>
      <c r="U2562" s="4" t="str">
        <f t="shared" si="4"/>
        <v/>
      </c>
    </row>
    <row r="2563" ht="15.75" customHeight="1">
      <c r="A2563" s="4" t="s">
        <v>783</v>
      </c>
      <c r="B2563" s="4" t="s">
        <v>13</v>
      </c>
      <c r="C2563" s="4">
        <v>5.28</v>
      </c>
      <c r="D2563" s="4">
        <v>0.22</v>
      </c>
      <c r="E2563" s="4">
        <v>0.22</v>
      </c>
      <c r="I2563" s="4">
        <v>1.108</v>
      </c>
      <c r="J2563" s="4">
        <v>0.025</v>
      </c>
      <c r="K2563" s="6" t="b">
        <f>TRUE()</f>
        <v>1</v>
      </c>
      <c r="L2563" s="6" t="b">
        <f>FALSE()</f>
        <v>0</v>
      </c>
      <c r="M2563" s="6" t="b">
        <f>TRUE()</f>
        <v>1</v>
      </c>
      <c r="N2563" s="4">
        <v>1.83736998048011</v>
      </c>
      <c r="P2563" s="4">
        <v>0.745739630679116</v>
      </c>
      <c r="T2563" s="4">
        <f t="shared" si="3"/>
        <v>199</v>
      </c>
      <c r="U2563" s="4">
        <f t="shared" si="4"/>
        <v>506</v>
      </c>
    </row>
    <row r="2564" ht="15.75" customHeight="1">
      <c r="A2564" s="4" t="s">
        <v>3657</v>
      </c>
      <c r="B2564" s="4" t="s">
        <v>13</v>
      </c>
      <c r="I2564" s="4">
        <v>0.105</v>
      </c>
      <c r="J2564" s="4">
        <v>0.004</v>
      </c>
      <c r="K2564" s="6" t="b">
        <f t="shared" ref="K2564:M2564" si="2380">FALSE()</f>
        <v>0</v>
      </c>
      <c r="L2564" s="6" t="b">
        <f t="shared" si="2380"/>
        <v>0</v>
      </c>
      <c r="M2564" s="6" t="b">
        <f t="shared" si="2380"/>
        <v>0</v>
      </c>
      <c r="P2564" s="4">
        <v>0.0998453349697161</v>
      </c>
      <c r="T2564" s="4" t="str">
        <f t="shared" si="3"/>
        <v/>
      </c>
      <c r="U2564" s="4">
        <f t="shared" si="4"/>
        <v>4143</v>
      </c>
    </row>
    <row r="2565" ht="15.75" customHeight="1">
      <c r="A2565" s="4" t="s">
        <v>3658</v>
      </c>
      <c r="B2565" s="4" t="s">
        <v>13</v>
      </c>
      <c r="I2565" s="4">
        <v>0.852</v>
      </c>
      <c r="J2565" s="4">
        <v>0.057</v>
      </c>
      <c r="K2565" s="6" t="b">
        <f t="shared" ref="K2565:L2565" si="2381">FALSE()</f>
        <v>0</v>
      </c>
      <c r="L2565" s="6" t="b">
        <f t="shared" si="2381"/>
        <v>0</v>
      </c>
      <c r="M2565" s="6" t="b">
        <f>TRUE()</f>
        <v>1</v>
      </c>
      <c r="P2565" s="4">
        <v>0.616266136223988</v>
      </c>
      <c r="T2565" s="4" t="str">
        <f t="shared" si="3"/>
        <v/>
      </c>
      <c r="U2565" s="4">
        <f t="shared" si="4"/>
        <v>800</v>
      </c>
    </row>
    <row r="2566" ht="15.75" customHeight="1">
      <c r="A2566" s="4" t="s">
        <v>3659</v>
      </c>
      <c r="B2566" s="4" t="s">
        <v>13</v>
      </c>
      <c r="I2566" s="4">
        <v>0.156</v>
      </c>
      <c r="J2566" s="4">
        <v>0.017</v>
      </c>
      <c r="K2566" s="6" t="b">
        <f t="shared" ref="K2566:M2566" si="2382">FALSE()</f>
        <v>0</v>
      </c>
      <c r="L2566" s="6" t="b">
        <f t="shared" si="2382"/>
        <v>0</v>
      </c>
      <c r="M2566" s="6" t="b">
        <f t="shared" si="2382"/>
        <v>0</v>
      </c>
      <c r="P2566" s="4">
        <v>0.144965770250186</v>
      </c>
      <c r="T2566" s="4" t="str">
        <f t="shared" si="3"/>
        <v/>
      </c>
      <c r="U2566" s="4">
        <f t="shared" si="4"/>
        <v>3229</v>
      </c>
    </row>
    <row r="2567" ht="15.75" customHeight="1">
      <c r="A2567" s="4" t="s">
        <v>3660</v>
      </c>
      <c r="B2567" s="4" t="s">
        <v>13</v>
      </c>
      <c r="I2567" s="4">
        <v>0.871</v>
      </c>
      <c r="J2567" s="4">
        <v>0.172</v>
      </c>
      <c r="K2567" s="6" t="b">
        <f t="shared" ref="K2567:L2567" si="2383">FALSE()</f>
        <v>0</v>
      </c>
      <c r="L2567" s="6" t="b">
        <f t="shared" si="2383"/>
        <v>0</v>
      </c>
      <c r="M2567" s="6" t="b">
        <f>TRUE()</f>
        <v>1</v>
      </c>
      <c r="P2567" s="4">
        <v>0.626473047291953</v>
      </c>
      <c r="T2567" s="4" t="str">
        <f t="shared" si="3"/>
        <v/>
      </c>
      <c r="U2567" s="4">
        <f t="shared" si="4"/>
        <v>784</v>
      </c>
    </row>
    <row r="2568" ht="15.75" customHeight="1">
      <c r="A2568" s="4" t="s">
        <v>3661</v>
      </c>
      <c r="B2568" s="4" t="s">
        <v>13</v>
      </c>
      <c r="I2568" s="4">
        <v>0.272</v>
      </c>
      <c r="J2568" s="4">
        <v>0.056</v>
      </c>
      <c r="K2568" s="6" t="b">
        <f t="shared" ref="K2568:M2568" si="2384">FALSE()</f>
        <v>0</v>
      </c>
      <c r="L2568" s="6" t="b">
        <f t="shared" si="2384"/>
        <v>0</v>
      </c>
      <c r="M2568" s="6" t="b">
        <f t="shared" si="2384"/>
        <v>0</v>
      </c>
      <c r="P2568" s="4">
        <v>0.24059046491793</v>
      </c>
      <c r="T2568" s="4" t="str">
        <f t="shared" si="3"/>
        <v/>
      </c>
      <c r="U2568" s="4">
        <f t="shared" si="4"/>
        <v>1572</v>
      </c>
    </row>
    <row r="2569" ht="15.75" customHeight="1">
      <c r="A2569" s="4" t="s">
        <v>3662</v>
      </c>
      <c r="B2569" s="4" t="s">
        <v>13</v>
      </c>
      <c r="I2569" s="4">
        <v>0.63</v>
      </c>
      <c r="J2569" s="4">
        <v>0.048</v>
      </c>
      <c r="K2569" s="6" t="b">
        <f t="shared" ref="K2569:M2569" si="2385">FALSE()</f>
        <v>0</v>
      </c>
      <c r="L2569" s="6" t="b">
        <f t="shared" si="2385"/>
        <v>0</v>
      </c>
      <c r="M2569" s="6" t="b">
        <f t="shared" si="2385"/>
        <v>0</v>
      </c>
      <c r="P2569" s="4">
        <v>0.488580014818671</v>
      </c>
      <c r="T2569" s="4" t="str">
        <f t="shared" si="3"/>
        <v/>
      </c>
      <c r="U2569" s="4">
        <f t="shared" si="4"/>
        <v>927</v>
      </c>
    </row>
    <row r="2570" ht="15.75" customHeight="1">
      <c r="A2570" s="4" t="s">
        <v>3663</v>
      </c>
      <c r="B2570" s="4" t="s">
        <v>13</v>
      </c>
      <c r="I2570" s="4">
        <v>0.273</v>
      </c>
      <c r="J2570" s="4">
        <v>0.136</v>
      </c>
      <c r="K2570" s="6" t="b">
        <f t="shared" ref="K2570:M2570" si="2386">FALSE()</f>
        <v>0</v>
      </c>
      <c r="L2570" s="6" t="b">
        <f t="shared" si="2386"/>
        <v>0</v>
      </c>
      <c r="M2570" s="6" t="b">
        <f t="shared" si="2386"/>
        <v>0</v>
      </c>
      <c r="P2570" s="4">
        <v>0.241376319575269</v>
      </c>
      <c r="T2570" s="4" t="str">
        <f t="shared" si="3"/>
        <v/>
      </c>
      <c r="U2570" s="4">
        <f t="shared" si="4"/>
        <v>1561</v>
      </c>
    </row>
    <row r="2571" ht="15.75" customHeight="1">
      <c r="A2571" s="4" t="s">
        <v>3664</v>
      </c>
      <c r="B2571" s="4" t="s">
        <v>13</v>
      </c>
      <c r="I2571" s="4">
        <v>0.186</v>
      </c>
      <c r="J2571" s="4">
        <v>0.093</v>
      </c>
      <c r="K2571" s="6" t="b">
        <f t="shared" ref="K2571:M2571" si="2387">FALSE()</f>
        <v>0</v>
      </c>
      <c r="L2571" s="6" t="b">
        <f t="shared" si="2387"/>
        <v>0</v>
      </c>
      <c r="M2571" s="6" t="b">
        <f t="shared" si="2387"/>
        <v>0</v>
      </c>
      <c r="P2571" s="4">
        <v>0.170586300575534</v>
      </c>
      <c r="T2571" s="4" t="str">
        <f t="shared" si="3"/>
        <v/>
      </c>
      <c r="U2571" s="4">
        <f t="shared" si="4"/>
        <v>2802</v>
      </c>
    </row>
    <row r="2572" ht="15.75" customHeight="1">
      <c r="A2572" s="4" t="s">
        <v>3665</v>
      </c>
      <c r="B2572" s="4" t="s">
        <v>13</v>
      </c>
      <c r="I2572" s="4">
        <v>0.223</v>
      </c>
      <c r="J2572" s="4">
        <v>0.009</v>
      </c>
      <c r="K2572" s="6" t="b">
        <f t="shared" ref="K2572:M2572" si="2388">FALSE()</f>
        <v>0</v>
      </c>
      <c r="L2572" s="6" t="b">
        <f t="shared" si="2388"/>
        <v>0</v>
      </c>
      <c r="M2572" s="6" t="b">
        <f t="shared" si="2388"/>
        <v>0</v>
      </c>
      <c r="P2572" s="4">
        <v>0.201306856705035</v>
      </c>
      <c r="T2572" s="4" t="str">
        <f t="shared" si="3"/>
        <v/>
      </c>
      <c r="U2572" s="4">
        <f t="shared" si="4"/>
        <v>2213</v>
      </c>
    </row>
    <row r="2573" ht="15.75" customHeight="1">
      <c r="A2573" s="4" t="s">
        <v>3666</v>
      </c>
      <c r="B2573" s="4" t="s">
        <v>13</v>
      </c>
      <c r="I2573" s="4">
        <v>0.154</v>
      </c>
      <c r="J2573" s="4">
        <v>0.012</v>
      </c>
      <c r="K2573" s="6" t="b">
        <f t="shared" ref="K2573:M2573" si="2389">FALSE()</f>
        <v>0</v>
      </c>
      <c r="L2573" s="6" t="b">
        <f t="shared" si="2389"/>
        <v>0</v>
      </c>
      <c r="M2573" s="6" t="b">
        <f t="shared" si="2389"/>
        <v>0</v>
      </c>
      <c r="P2573" s="4">
        <v>0.143234168085908</v>
      </c>
      <c r="T2573" s="4" t="str">
        <f t="shared" si="3"/>
        <v/>
      </c>
      <c r="U2573" s="4">
        <f t="shared" si="4"/>
        <v>3259</v>
      </c>
    </row>
    <row r="2574" ht="15.75" customHeight="1">
      <c r="A2574" s="4" t="s">
        <v>3667</v>
      </c>
      <c r="B2574" s="4" t="s">
        <v>13</v>
      </c>
      <c r="I2574" s="4">
        <v>0.141</v>
      </c>
      <c r="J2574" s="4">
        <v>0.013</v>
      </c>
      <c r="K2574" s="6" t="b">
        <f t="shared" ref="K2574:M2574" si="2390">FALSE()</f>
        <v>0</v>
      </c>
      <c r="L2574" s="6" t="b">
        <f t="shared" si="2390"/>
        <v>0</v>
      </c>
      <c r="M2574" s="6" t="b">
        <f t="shared" si="2390"/>
        <v>0</v>
      </c>
      <c r="P2574" s="4">
        <v>0.131905070879939</v>
      </c>
      <c r="T2574" s="4" t="str">
        <f t="shared" si="3"/>
        <v/>
      </c>
      <c r="U2574" s="4">
        <f t="shared" si="4"/>
        <v>3491</v>
      </c>
    </row>
    <row r="2575" ht="15.75" customHeight="1">
      <c r="A2575" s="4" t="s">
        <v>3668</v>
      </c>
      <c r="B2575" s="4" t="s">
        <v>13</v>
      </c>
      <c r="I2575" s="4">
        <v>0.316</v>
      </c>
      <c r="J2575" s="4">
        <v>0.048</v>
      </c>
      <c r="K2575" s="6" t="b">
        <f t="shared" ref="K2575:M2575" si="2391">FALSE()</f>
        <v>0</v>
      </c>
      <c r="L2575" s="6" t="b">
        <f t="shared" si="2391"/>
        <v>0</v>
      </c>
      <c r="M2575" s="6" t="b">
        <f t="shared" si="2391"/>
        <v>0</v>
      </c>
      <c r="P2575" s="4">
        <v>0.274596832903126</v>
      </c>
      <c r="T2575" s="4" t="str">
        <f t="shared" si="3"/>
        <v/>
      </c>
      <c r="U2575" s="4">
        <f t="shared" si="4"/>
        <v>1314</v>
      </c>
    </row>
    <row r="2576" ht="15.75" customHeight="1">
      <c r="A2576" s="4" t="s">
        <v>3669</v>
      </c>
      <c r="B2576" s="4" t="s">
        <v>13</v>
      </c>
      <c r="I2576" s="4">
        <v>0.081</v>
      </c>
      <c r="J2576" s="4">
        <v>0.004</v>
      </c>
      <c r="K2576" s="6" t="b">
        <f t="shared" ref="K2576:M2576" si="2392">FALSE()</f>
        <v>0</v>
      </c>
      <c r="L2576" s="6" t="b">
        <f t="shared" si="2392"/>
        <v>0</v>
      </c>
      <c r="M2576" s="6" t="b">
        <f t="shared" si="2392"/>
        <v>0</v>
      </c>
      <c r="P2576" s="4">
        <v>0.0778865386570712</v>
      </c>
      <c r="T2576" s="4" t="str">
        <f t="shared" si="3"/>
        <v/>
      </c>
      <c r="U2576" s="4">
        <f t="shared" si="4"/>
        <v>4407</v>
      </c>
    </row>
    <row r="2577" ht="15.75" customHeight="1">
      <c r="A2577" s="4" t="s">
        <v>3670</v>
      </c>
      <c r="B2577" s="4" t="s">
        <v>13</v>
      </c>
      <c r="I2577" s="4">
        <v>0.217</v>
      </c>
      <c r="J2577" s="4">
        <v>0.035</v>
      </c>
      <c r="K2577" s="6" t="b">
        <f t="shared" ref="K2577:M2577" si="2393">FALSE()</f>
        <v>0</v>
      </c>
      <c r="L2577" s="6" t="b">
        <f t="shared" si="2393"/>
        <v>0</v>
      </c>
      <c r="M2577" s="6" t="b">
        <f t="shared" si="2393"/>
        <v>0</v>
      </c>
      <c r="P2577" s="4">
        <v>0.19638881400539</v>
      </c>
      <c r="T2577" s="4" t="str">
        <f t="shared" si="3"/>
        <v/>
      </c>
      <c r="U2577" s="4">
        <f t="shared" si="4"/>
        <v>2302</v>
      </c>
    </row>
    <row r="2578" ht="15.75" customHeight="1">
      <c r="A2578" s="4" t="s">
        <v>3671</v>
      </c>
      <c r="B2578" s="4" t="s">
        <v>13</v>
      </c>
      <c r="I2578" s="4">
        <v>0.426</v>
      </c>
      <c r="J2578" s="4">
        <v>0.067</v>
      </c>
      <c r="K2578" s="6" t="b">
        <f t="shared" ref="K2578:M2578" si="2394">FALSE()</f>
        <v>0</v>
      </c>
      <c r="L2578" s="6" t="b">
        <f t="shared" si="2394"/>
        <v>0</v>
      </c>
      <c r="M2578" s="6" t="b">
        <f t="shared" si="2394"/>
        <v>0</v>
      </c>
      <c r="P2578" s="4">
        <v>0.354873321992104</v>
      </c>
      <c r="T2578" s="4" t="str">
        <f t="shared" si="3"/>
        <v/>
      </c>
      <c r="U2578" s="4">
        <f t="shared" si="4"/>
        <v>1082</v>
      </c>
    </row>
    <row r="2579" ht="15.75" customHeight="1">
      <c r="A2579" s="4" t="s">
        <v>3672</v>
      </c>
      <c r="B2579" s="4" t="s">
        <v>13</v>
      </c>
      <c r="I2579" s="4">
        <v>0.13</v>
      </c>
      <c r="J2579" s="4">
        <v>0.012</v>
      </c>
      <c r="K2579" s="6" t="b">
        <f t="shared" ref="K2579:M2579" si="2395">FALSE()</f>
        <v>0</v>
      </c>
      <c r="L2579" s="6" t="b">
        <f t="shared" si="2395"/>
        <v>0</v>
      </c>
      <c r="M2579" s="6" t="b">
        <f t="shared" si="2395"/>
        <v>0</v>
      </c>
      <c r="P2579" s="4">
        <v>0.122217632724249</v>
      </c>
      <c r="T2579" s="4" t="str">
        <f t="shared" si="3"/>
        <v/>
      </c>
      <c r="U2579" s="4">
        <f t="shared" si="4"/>
        <v>3691</v>
      </c>
    </row>
    <row r="2580" ht="15.75" customHeight="1">
      <c r="A2580" s="4" t="s">
        <v>3673</v>
      </c>
      <c r="B2580" s="4" t="s">
        <v>13</v>
      </c>
      <c r="I2580" s="4">
        <v>0.187</v>
      </c>
      <c r="J2580" s="4">
        <v>0.01</v>
      </c>
      <c r="K2580" s="6" t="b">
        <f t="shared" ref="K2580:M2580" si="2396">FALSE()</f>
        <v>0</v>
      </c>
      <c r="L2580" s="6" t="b">
        <f t="shared" si="2396"/>
        <v>0</v>
      </c>
      <c r="M2580" s="6" t="b">
        <f t="shared" si="2396"/>
        <v>0</v>
      </c>
      <c r="P2580" s="4">
        <v>0.171429115627531</v>
      </c>
      <c r="T2580" s="4" t="str">
        <f t="shared" si="3"/>
        <v/>
      </c>
      <c r="U2580" s="4">
        <f t="shared" si="4"/>
        <v>2786</v>
      </c>
    </row>
    <row r="2581" ht="15.75" customHeight="1">
      <c r="A2581" s="4" t="s">
        <v>3674</v>
      </c>
      <c r="B2581" s="4" t="s">
        <v>13</v>
      </c>
      <c r="I2581" s="4">
        <v>0.249</v>
      </c>
      <c r="J2581" s="4">
        <v>0.015</v>
      </c>
      <c r="K2581" s="6" t="b">
        <f t="shared" ref="K2581:M2581" si="2397">FALSE()</f>
        <v>0</v>
      </c>
      <c r="L2581" s="6" t="b">
        <f t="shared" si="2397"/>
        <v>0</v>
      </c>
      <c r="M2581" s="6" t="b">
        <f t="shared" si="2397"/>
        <v>0</v>
      </c>
      <c r="P2581" s="4">
        <v>0.222343231143441</v>
      </c>
      <c r="T2581" s="4" t="str">
        <f t="shared" si="3"/>
        <v/>
      </c>
      <c r="U2581" s="4">
        <f t="shared" si="4"/>
        <v>1821</v>
      </c>
    </row>
    <row r="2582" ht="15.75" customHeight="1">
      <c r="A2582" s="4" t="s">
        <v>3675</v>
      </c>
      <c r="B2582" s="4" t="s">
        <v>13</v>
      </c>
      <c r="I2582" s="4">
        <v>0.213</v>
      </c>
      <c r="J2582" s="4">
        <v>0.014</v>
      </c>
      <c r="K2582" s="6" t="b">
        <f t="shared" ref="K2582:M2582" si="2398">FALSE()</f>
        <v>0</v>
      </c>
      <c r="L2582" s="6" t="b">
        <f t="shared" si="2398"/>
        <v>0</v>
      </c>
      <c r="M2582" s="6" t="b">
        <f t="shared" si="2398"/>
        <v>0</v>
      </c>
      <c r="P2582" s="4">
        <v>0.193096629961913</v>
      </c>
      <c r="T2582" s="4" t="str">
        <f t="shared" si="3"/>
        <v/>
      </c>
      <c r="U2582" s="4">
        <f t="shared" si="4"/>
        <v>2358</v>
      </c>
    </row>
    <row r="2583" ht="15.75" customHeight="1">
      <c r="A2583" s="4" t="s">
        <v>3676</v>
      </c>
      <c r="B2583" s="4" t="s">
        <v>13</v>
      </c>
      <c r="I2583" s="4">
        <v>0.146</v>
      </c>
      <c r="J2583" s="4">
        <v>0.01</v>
      </c>
      <c r="K2583" s="6" t="b">
        <f t="shared" ref="K2583:M2583" si="2399">FALSE()</f>
        <v>0</v>
      </c>
      <c r="L2583" s="6" t="b">
        <f t="shared" si="2399"/>
        <v>0</v>
      </c>
      <c r="M2583" s="6" t="b">
        <f t="shared" si="2399"/>
        <v>0</v>
      </c>
      <c r="P2583" s="4">
        <v>0.136277618292548</v>
      </c>
      <c r="T2583" s="4" t="str">
        <f t="shared" si="3"/>
        <v/>
      </c>
      <c r="U2583" s="4">
        <f t="shared" si="4"/>
        <v>3393</v>
      </c>
    </row>
    <row r="2584" ht="15.75" customHeight="1">
      <c r="A2584" s="4" t="s">
        <v>3677</v>
      </c>
      <c r="B2584" s="4" t="s">
        <v>13</v>
      </c>
      <c r="I2584" s="4">
        <v>0.147</v>
      </c>
      <c r="J2584" s="4">
        <v>0.01</v>
      </c>
      <c r="K2584" s="6" t="b">
        <f t="shared" ref="K2584:M2584" si="2400">FALSE()</f>
        <v>0</v>
      </c>
      <c r="L2584" s="6" t="b">
        <f t="shared" si="2400"/>
        <v>0</v>
      </c>
      <c r="M2584" s="6" t="b">
        <f t="shared" si="2400"/>
        <v>0</v>
      </c>
      <c r="P2584" s="4">
        <v>0.137149838147234</v>
      </c>
      <c r="T2584" s="4" t="str">
        <f t="shared" si="3"/>
        <v/>
      </c>
      <c r="U2584" s="4">
        <f t="shared" si="4"/>
        <v>3378</v>
      </c>
    </row>
    <row r="2585" ht="15.75" customHeight="1">
      <c r="A2585" s="4" t="s">
        <v>3678</v>
      </c>
      <c r="B2585" s="4" t="s">
        <v>13</v>
      </c>
      <c r="I2585" s="4">
        <v>0.29245</v>
      </c>
      <c r="K2585" s="6" t="b">
        <f t="shared" ref="K2585:M2585" si="2401">FALSE()</f>
        <v>0</v>
      </c>
      <c r="L2585" s="6" t="b">
        <f t="shared" si="2401"/>
        <v>0</v>
      </c>
      <c r="M2585" s="6" t="b">
        <f t="shared" si="2401"/>
        <v>0</v>
      </c>
      <c r="P2585" s="4">
        <v>0.256539641932638</v>
      </c>
      <c r="T2585" s="4" t="str">
        <f t="shared" si="3"/>
        <v/>
      </c>
      <c r="U2585" s="4">
        <f t="shared" si="4"/>
        <v>1422</v>
      </c>
    </row>
    <row r="2586" ht="15.75" customHeight="1">
      <c r="A2586" s="4" t="s">
        <v>3679</v>
      </c>
      <c r="B2586" s="4" t="s">
        <v>13</v>
      </c>
      <c r="I2586" s="4">
        <v>0.099</v>
      </c>
      <c r="J2586" s="4">
        <v>0.016</v>
      </c>
      <c r="K2586" s="6" t="b">
        <f t="shared" ref="K2586:M2586" si="2402">FALSE()</f>
        <v>0</v>
      </c>
      <c r="L2586" s="6" t="b">
        <f t="shared" si="2402"/>
        <v>0</v>
      </c>
      <c r="M2586" s="6" t="b">
        <f t="shared" si="2402"/>
        <v>0</v>
      </c>
      <c r="P2586" s="4">
        <v>0.0944006754214843</v>
      </c>
      <c r="T2586" s="4" t="str">
        <f t="shared" si="3"/>
        <v/>
      </c>
      <c r="U2586" s="4">
        <f t="shared" si="4"/>
        <v>4234</v>
      </c>
    </row>
    <row r="2587" ht="15.75" customHeight="1">
      <c r="A2587" s="4" t="s">
        <v>3680</v>
      </c>
      <c r="B2587" s="4" t="s">
        <v>13</v>
      </c>
      <c r="I2587" s="4">
        <v>0.12</v>
      </c>
      <c r="J2587" s="4">
        <v>0.011</v>
      </c>
      <c r="K2587" s="6" t="b">
        <f t="shared" ref="K2587:M2587" si="2403">FALSE()</f>
        <v>0</v>
      </c>
      <c r="L2587" s="6" t="b">
        <f t="shared" si="2403"/>
        <v>0</v>
      </c>
      <c r="M2587" s="6" t="b">
        <f t="shared" si="2403"/>
        <v>0</v>
      </c>
      <c r="P2587" s="4">
        <v>0.113328685307003</v>
      </c>
      <c r="T2587" s="4" t="str">
        <f t="shared" si="3"/>
        <v/>
      </c>
      <c r="U2587" s="4">
        <f t="shared" si="4"/>
        <v>3863</v>
      </c>
    </row>
    <row r="2588" ht="15.75" customHeight="1">
      <c r="A2588" s="4" t="s">
        <v>3681</v>
      </c>
      <c r="B2588" s="4" t="s">
        <v>13</v>
      </c>
      <c r="I2588" s="4">
        <v>0.309</v>
      </c>
      <c r="J2588" s="4">
        <v>0.061</v>
      </c>
      <c r="K2588" s="6" t="b">
        <f t="shared" ref="K2588:M2588" si="2404">FALSE()</f>
        <v>0</v>
      </c>
      <c r="L2588" s="6" t="b">
        <f t="shared" si="2404"/>
        <v>0</v>
      </c>
      <c r="M2588" s="6" t="b">
        <f t="shared" si="2404"/>
        <v>0</v>
      </c>
      <c r="P2588" s="4">
        <v>0.269263486927763</v>
      </c>
      <c r="T2588" s="4" t="str">
        <f t="shared" si="3"/>
        <v/>
      </c>
      <c r="U2588" s="4">
        <f t="shared" si="4"/>
        <v>1341</v>
      </c>
    </row>
    <row r="2589" ht="15.75" customHeight="1">
      <c r="A2589" s="4" t="s">
        <v>3682</v>
      </c>
      <c r="B2589" s="4" t="s">
        <v>13</v>
      </c>
      <c r="I2589" s="4">
        <v>0.169</v>
      </c>
      <c r="J2589" s="4">
        <v>0.013</v>
      </c>
      <c r="K2589" s="6" t="b">
        <f t="shared" ref="K2589:M2589" si="2405">FALSE()</f>
        <v>0</v>
      </c>
      <c r="L2589" s="6" t="b">
        <f t="shared" si="2405"/>
        <v>0</v>
      </c>
      <c r="M2589" s="6" t="b">
        <f t="shared" si="2405"/>
        <v>0</v>
      </c>
      <c r="P2589" s="4">
        <v>0.156148682489931</v>
      </c>
      <c r="T2589" s="4" t="str">
        <f t="shared" si="3"/>
        <v/>
      </c>
      <c r="U2589" s="4">
        <f t="shared" si="4"/>
        <v>3063</v>
      </c>
    </row>
    <row r="2590" ht="15.75" customHeight="1">
      <c r="A2590" s="4" t="s">
        <v>3683</v>
      </c>
      <c r="B2590" s="4" t="s">
        <v>13</v>
      </c>
      <c r="I2590" s="4">
        <v>0.227</v>
      </c>
      <c r="J2590" s="4">
        <v>0.017</v>
      </c>
      <c r="K2590" s="6" t="b">
        <f t="shared" ref="K2590:M2590" si="2406">FALSE()</f>
        <v>0</v>
      </c>
      <c r="L2590" s="6" t="b">
        <f t="shared" si="2406"/>
        <v>0</v>
      </c>
      <c r="M2590" s="6" t="b">
        <f t="shared" si="2406"/>
        <v>0</v>
      </c>
      <c r="P2590" s="4">
        <v>0.204572165728774</v>
      </c>
      <c r="T2590" s="4" t="str">
        <f t="shared" si="3"/>
        <v/>
      </c>
      <c r="U2590" s="4">
        <f t="shared" si="4"/>
        <v>2156</v>
      </c>
    </row>
    <row r="2591" ht="15.75" customHeight="1">
      <c r="A2591" s="4" t="s">
        <v>3684</v>
      </c>
      <c r="B2591" s="4" t="s">
        <v>13</v>
      </c>
      <c r="I2591" s="4">
        <v>0.28</v>
      </c>
      <c r="J2591" s="4">
        <v>0.047</v>
      </c>
      <c r="K2591" s="6" t="b">
        <f t="shared" ref="K2591:M2591" si="2407">FALSE()</f>
        <v>0</v>
      </c>
      <c r="L2591" s="6" t="b">
        <f t="shared" si="2407"/>
        <v>0</v>
      </c>
      <c r="M2591" s="6" t="b">
        <f t="shared" si="2407"/>
        <v>0</v>
      </c>
      <c r="P2591" s="4">
        <v>0.246860077931526</v>
      </c>
      <c r="T2591" s="4" t="str">
        <f t="shared" si="3"/>
        <v/>
      </c>
      <c r="U2591" s="4">
        <f t="shared" si="4"/>
        <v>1505</v>
      </c>
    </row>
    <row r="2592" ht="15.75" customHeight="1">
      <c r="A2592" s="4" t="s">
        <v>3685</v>
      </c>
      <c r="B2592" s="4" t="s">
        <v>13</v>
      </c>
      <c r="I2592" s="4">
        <v>0.105</v>
      </c>
      <c r="J2592" s="4">
        <v>0.008</v>
      </c>
      <c r="K2592" s="6" t="b">
        <f t="shared" ref="K2592:M2592" si="2408">FALSE()</f>
        <v>0</v>
      </c>
      <c r="L2592" s="6" t="b">
        <f t="shared" si="2408"/>
        <v>0</v>
      </c>
      <c r="M2592" s="6" t="b">
        <f t="shared" si="2408"/>
        <v>0</v>
      </c>
      <c r="P2592" s="4">
        <v>0.0998453349697161</v>
      </c>
      <c r="T2592" s="4" t="str">
        <f t="shared" si="3"/>
        <v/>
      </c>
      <c r="U2592" s="4">
        <f t="shared" si="4"/>
        <v>4144</v>
      </c>
    </row>
    <row r="2593" ht="15.75" customHeight="1">
      <c r="A2593" s="4" t="s">
        <v>3686</v>
      </c>
      <c r="B2593" s="4" t="s">
        <v>13</v>
      </c>
      <c r="I2593" s="4">
        <v>0.252</v>
      </c>
      <c r="J2593" s="4">
        <v>0.028</v>
      </c>
      <c r="K2593" s="6" t="b">
        <f t="shared" ref="K2593:M2593" si="2409">FALSE()</f>
        <v>0</v>
      </c>
      <c r="L2593" s="6" t="b">
        <f t="shared" si="2409"/>
        <v>0</v>
      </c>
      <c r="M2593" s="6" t="b">
        <f t="shared" si="2409"/>
        <v>0</v>
      </c>
      <c r="P2593" s="4">
        <v>0.224742272677907</v>
      </c>
      <c r="T2593" s="4" t="str">
        <f t="shared" si="3"/>
        <v/>
      </c>
      <c r="U2593" s="4">
        <f t="shared" si="4"/>
        <v>1783</v>
      </c>
    </row>
    <row r="2594" ht="15.75" customHeight="1">
      <c r="A2594" s="4" t="s">
        <v>3687</v>
      </c>
      <c r="B2594" s="4" t="s">
        <v>13</v>
      </c>
      <c r="I2594" s="4">
        <v>0.241</v>
      </c>
      <c r="J2594" s="4">
        <v>0.013</v>
      </c>
      <c r="K2594" s="6" t="b">
        <f t="shared" ref="K2594:M2594" si="2410">FALSE()</f>
        <v>0</v>
      </c>
      <c r="L2594" s="6" t="b">
        <f t="shared" si="2410"/>
        <v>0</v>
      </c>
      <c r="M2594" s="6" t="b">
        <f t="shared" si="2410"/>
        <v>0</v>
      </c>
      <c r="P2594" s="4">
        <v>0.21591750622247</v>
      </c>
      <c r="T2594" s="4" t="str">
        <f t="shared" si="3"/>
        <v/>
      </c>
      <c r="U2594" s="4">
        <f t="shared" si="4"/>
        <v>1930</v>
      </c>
    </row>
    <row r="2595" ht="15.75" customHeight="1">
      <c r="A2595" s="4" t="s">
        <v>3688</v>
      </c>
      <c r="B2595" s="4" t="s">
        <v>13</v>
      </c>
      <c r="I2595" s="4">
        <v>0.261</v>
      </c>
      <c r="J2595" s="4">
        <v>0.157</v>
      </c>
      <c r="K2595" s="6" t="b">
        <f t="shared" ref="K2595:M2595" si="2411">FALSE()</f>
        <v>0</v>
      </c>
      <c r="L2595" s="6" t="b">
        <f t="shared" si="2411"/>
        <v>0</v>
      </c>
      <c r="M2595" s="6" t="b">
        <f t="shared" si="2411"/>
        <v>0</v>
      </c>
      <c r="P2595" s="4">
        <v>0.231905056982783</v>
      </c>
      <c r="T2595" s="4" t="str">
        <f t="shared" si="3"/>
        <v/>
      </c>
      <c r="U2595" s="4">
        <f t="shared" si="4"/>
        <v>1673</v>
      </c>
    </row>
    <row r="2596" ht="15.75" customHeight="1">
      <c r="A2596" s="4" t="s">
        <v>3689</v>
      </c>
      <c r="B2596" s="4" t="s">
        <v>13</v>
      </c>
      <c r="I2596" s="4">
        <v>0.226</v>
      </c>
      <c r="J2596" s="4">
        <v>0.136</v>
      </c>
      <c r="K2596" s="6" t="b">
        <f t="shared" ref="K2596:M2596" si="2412">FALSE()</f>
        <v>0</v>
      </c>
      <c r="L2596" s="6" t="b">
        <f t="shared" si="2412"/>
        <v>0</v>
      </c>
      <c r="M2596" s="6" t="b">
        <f t="shared" si="2412"/>
        <v>0</v>
      </c>
      <c r="P2596" s="4">
        <v>0.20375683751402</v>
      </c>
      <c r="T2596" s="4" t="str">
        <f t="shared" si="3"/>
        <v/>
      </c>
      <c r="U2596" s="4">
        <f t="shared" si="4"/>
        <v>2174</v>
      </c>
    </row>
    <row r="2597" ht="15.75" customHeight="1">
      <c r="A2597" s="4" t="s">
        <v>3690</v>
      </c>
      <c r="B2597" s="4" t="s">
        <v>13</v>
      </c>
      <c r="I2597" s="4">
        <v>0.2801</v>
      </c>
      <c r="J2597" s="4">
        <v>0.0152</v>
      </c>
      <c r="K2597" s="6" t="b">
        <f t="shared" ref="K2597:M2597" si="2413">FALSE()</f>
        <v>0</v>
      </c>
      <c r="L2597" s="6" t="b">
        <f t="shared" si="2413"/>
        <v>0</v>
      </c>
      <c r="M2597" s="6" t="b">
        <f t="shared" si="2413"/>
        <v>0</v>
      </c>
      <c r="P2597" s="4">
        <v>0.246938199879927</v>
      </c>
      <c r="T2597" s="4" t="str">
        <f t="shared" si="3"/>
        <v/>
      </c>
      <c r="U2597" s="4">
        <f t="shared" si="4"/>
        <v>1503</v>
      </c>
    </row>
    <row r="2598" ht="15.75" customHeight="1">
      <c r="A2598" s="4" t="s">
        <v>3691</v>
      </c>
      <c r="B2598" s="4" t="s">
        <v>13</v>
      </c>
      <c r="I2598" s="4">
        <v>0.103</v>
      </c>
      <c r="J2598" s="4">
        <v>0.007</v>
      </c>
      <c r="K2598" s="6" t="b">
        <f t="shared" ref="K2598:M2598" si="2414">FALSE()</f>
        <v>0</v>
      </c>
      <c r="L2598" s="6" t="b">
        <f t="shared" si="2414"/>
        <v>0</v>
      </c>
      <c r="M2598" s="6" t="b">
        <f t="shared" si="2414"/>
        <v>0</v>
      </c>
      <c r="P2598" s="4">
        <v>0.0980337402713654</v>
      </c>
      <c r="T2598" s="4" t="str">
        <f t="shared" si="3"/>
        <v/>
      </c>
      <c r="U2598" s="4">
        <f t="shared" si="4"/>
        <v>4177</v>
      </c>
    </row>
    <row r="2599" ht="15.75" customHeight="1">
      <c r="A2599" s="4" t="s">
        <v>3692</v>
      </c>
      <c r="B2599" s="4" t="s">
        <v>13</v>
      </c>
      <c r="I2599" s="4">
        <v>0.068</v>
      </c>
      <c r="J2599" s="4">
        <v>0.007</v>
      </c>
      <c r="K2599" s="6" t="b">
        <f t="shared" ref="K2599:M2599" si="2415">FALSE()</f>
        <v>0</v>
      </c>
      <c r="L2599" s="6" t="b">
        <f t="shared" si="2415"/>
        <v>0</v>
      </c>
      <c r="M2599" s="6" t="b">
        <f t="shared" si="2415"/>
        <v>0</v>
      </c>
      <c r="P2599" s="4">
        <v>0.0657877405380031</v>
      </c>
      <c r="T2599" s="4" t="str">
        <f t="shared" si="3"/>
        <v/>
      </c>
      <c r="U2599" s="4">
        <f t="shared" si="4"/>
        <v>4496</v>
      </c>
    </row>
    <row r="2600" ht="15.75" customHeight="1">
      <c r="A2600" s="4" t="s">
        <v>3693</v>
      </c>
      <c r="B2600" s="4" t="s">
        <v>13</v>
      </c>
      <c r="I2600" s="4">
        <v>0.058</v>
      </c>
      <c r="J2600" s="4">
        <v>0.005</v>
      </c>
      <c r="K2600" s="6" t="b">
        <f t="shared" ref="K2600:M2600" si="2416">FALSE()</f>
        <v>0</v>
      </c>
      <c r="L2600" s="6" t="b">
        <f t="shared" si="2416"/>
        <v>0</v>
      </c>
      <c r="M2600" s="6" t="b">
        <f t="shared" si="2416"/>
        <v>0</v>
      </c>
      <c r="P2600" s="4">
        <v>0.0563803334361076</v>
      </c>
      <c r="T2600" s="4" t="str">
        <f t="shared" si="3"/>
        <v/>
      </c>
      <c r="U2600" s="4">
        <f t="shared" si="4"/>
        <v>4539</v>
      </c>
    </row>
    <row r="2601" ht="15.75" customHeight="1">
      <c r="A2601" s="4" t="s">
        <v>3694</v>
      </c>
      <c r="B2601" s="4" t="s">
        <v>13</v>
      </c>
      <c r="I2601" s="4">
        <v>0.078</v>
      </c>
      <c r="J2601" s="4">
        <v>0.008</v>
      </c>
      <c r="K2601" s="6" t="b">
        <f t="shared" ref="K2601:M2601" si="2417">FALSE()</f>
        <v>0</v>
      </c>
      <c r="L2601" s="6" t="b">
        <f t="shared" si="2417"/>
        <v>0</v>
      </c>
      <c r="M2601" s="6" t="b">
        <f t="shared" si="2417"/>
        <v>0</v>
      </c>
      <c r="P2601" s="4">
        <v>0.0751074724868054</v>
      </c>
      <c r="T2601" s="4" t="str">
        <f t="shared" si="3"/>
        <v/>
      </c>
      <c r="U2601" s="4">
        <f t="shared" si="4"/>
        <v>4433</v>
      </c>
    </row>
    <row r="2602" ht="15.75" customHeight="1">
      <c r="A2602" s="4" t="s">
        <v>3695</v>
      </c>
      <c r="B2602" s="4" t="s">
        <v>13</v>
      </c>
      <c r="I2602" s="4">
        <v>0.068</v>
      </c>
      <c r="J2602" s="4">
        <v>0.007</v>
      </c>
      <c r="K2602" s="6" t="b">
        <f t="shared" ref="K2602:M2602" si="2418">FALSE()</f>
        <v>0</v>
      </c>
      <c r="L2602" s="6" t="b">
        <f t="shared" si="2418"/>
        <v>0</v>
      </c>
      <c r="M2602" s="6" t="b">
        <f t="shared" si="2418"/>
        <v>0</v>
      </c>
      <c r="P2602" s="4">
        <v>0.0657877405380031</v>
      </c>
      <c r="T2602" s="4" t="str">
        <f t="shared" si="3"/>
        <v/>
      </c>
      <c r="U2602" s="4">
        <f t="shared" si="4"/>
        <v>4497</v>
      </c>
    </row>
    <row r="2603" ht="15.75" customHeight="1">
      <c r="A2603" s="4" t="s">
        <v>3696</v>
      </c>
      <c r="B2603" s="4" t="s">
        <v>13</v>
      </c>
      <c r="I2603" s="4">
        <v>0.242</v>
      </c>
      <c r="J2603" s="4">
        <v>0.045</v>
      </c>
      <c r="K2603" s="6" t="b">
        <f t="shared" ref="K2603:M2603" si="2419">FALSE()</f>
        <v>0</v>
      </c>
      <c r="L2603" s="6" t="b">
        <f t="shared" si="2419"/>
        <v>0</v>
      </c>
      <c r="M2603" s="6" t="b">
        <f t="shared" si="2419"/>
        <v>0</v>
      </c>
      <c r="P2603" s="4">
        <v>0.216722983511287</v>
      </c>
      <c r="T2603" s="4" t="str">
        <f t="shared" si="3"/>
        <v/>
      </c>
      <c r="U2603" s="4">
        <f t="shared" si="4"/>
        <v>1913</v>
      </c>
    </row>
    <row r="2604" ht="15.75" customHeight="1">
      <c r="A2604" s="4" t="s">
        <v>3697</v>
      </c>
      <c r="B2604" s="4" t="s">
        <v>13</v>
      </c>
      <c r="I2604" s="4">
        <v>0.159</v>
      </c>
      <c r="J2604" s="4">
        <v>0.006</v>
      </c>
      <c r="K2604" s="6" t="b">
        <f t="shared" ref="K2604:M2604" si="2420">FALSE()</f>
        <v>0</v>
      </c>
      <c r="L2604" s="6" t="b">
        <f t="shared" si="2420"/>
        <v>0</v>
      </c>
      <c r="M2604" s="6" t="b">
        <f t="shared" si="2420"/>
        <v>0</v>
      </c>
      <c r="P2604" s="4">
        <v>0.147557564357615</v>
      </c>
      <c r="T2604" s="4" t="str">
        <f t="shared" si="3"/>
        <v/>
      </c>
      <c r="U2604" s="4">
        <f t="shared" si="4"/>
        <v>3189</v>
      </c>
    </row>
    <row r="2605" ht="15.75" customHeight="1">
      <c r="A2605" s="4" t="s">
        <v>3698</v>
      </c>
      <c r="B2605" s="4" t="s">
        <v>13</v>
      </c>
      <c r="I2605" s="4">
        <v>0.241</v>
      </c>
      <c r="J2605" s="4">
        <v>0.016</v>
      </c>
      <c r="K2605" s="6" t="b">
        <f t="shared" ref="K2605:M2605" si="2421">FALSE()</f>
        <v>0</v>
      </c>
      <c r="L2605" s="6" t="b">
        <f t="shared" si="2421"/>
        <v>0</v>
      </c>
      <c r="M2605" s="6" t="b">
        <f t="shared" si="2421"/>
        <v>0</v>
      </c>
      <c r="P2605" s="4">
        <v>0.21591750622247</v>
      </c>
      <c r="T2605" s="4" t="str">
        <f t="shared" si="3"/>
        <v/>
      </c>
      <c r="U2605" s="4">
        <f t="shared" si="4"/>
        <v>1931</v>
      </c>
    </row>
    <row r="2606" ht="15.75" customHeight="1">
      <c r="A2606" s="4" t="s">
        <v>3699</v>
      </c>
      <c r="B2606" s="4" t="s">
        <v>13</v>
      </c>
      <c r="I2606" s="4">
        <v>0.279</v>
      </c>
      <c r="J2606" s="4">
        <v>0.03</v>
      </c>
      <c r="K2606" s="6" t="b">
        <f t="shared" ref="K2606:M2606" si="2422">FALSE()</f>
        <v>0</v>
      </c>
      <c r="L2606" s="6" t="b">
        <f t="shared" si="2422"/>
        <v>0</v>
      </c>
      <c r="M2606" s="6" t="b">
        <f t="shared" si="2422"/>
        <v>0</v>
      </c>
      <c r="P2606" s="4">
        <v>0.246078522596706</v>
      </c>
      <c r="T2606" s="4" t="str">
        <f t="shared" si="3"/>
        <v/>
      </c>
      <c r="U2606" s="4">
        <f t="shared" si="4"/>
        <v>1509</v>
      </c>
    </row>
    <row r="2607" ht="15.75" customHeight="1">
      <c r="A2607" s="4" t="s">
        <v>3700</v>
      </c>
      <c r="B2607" s="4" t="s">
        <v>13</v>
      </c>
      <c r="I2607" s="4">
        <v>0.08</v>
      </c>
      <c r="J2607" s="4">
        <v>0.011</v>
      </c>
      <c r="K2607" s="6" t="b">
        <f t="shared" ref="K2607:M2607" si="2423">FALSE()</f>
        <v>0</v>
      </c>
      <c r="L2607" s="6" t="b">
        <f t="shared" si="2423"/>
        <v>0</v>
      </c>
      <c r="M2607" s="6" t="b">
        <f t="shared" si="2423"/>
        <v>0</v>
      </c>
      <c r="P2607" s="4">
        <v>0.0769610411361283</v>
      </c>
      <c r="T2607" s="4" t="str">
        <f t="shared" si="3"/>
        <v/>
      </c>
      <c r="U2607" s="4">
        <f t="shared" si="4"/>
        <v>4412</v>
      </c>
    </row>
    <row r="2608" ht="15.75" customHeight="1">
      <c r="A2608" s="4" t="s">
        <v>3701</v>
      </c>
      <c r="B2608" s="4" t="s">
        <v>13</v>
      </c>
      <c r="I2608" s="4">
        <v>0.236</v>
      </c>
      <c r="J2608" s="4">
        <v>0.019</v>
      </c>
      <c r="K2608" s="6" t="b">
        <f t="shared" ref="K2608:M2608" si="2424">FALSE()</f>
        <v>0</v>
      </c>
      <c r="L2608" s="6" t="b">
        <f t="shared" si="2424"/>
        <v>0</v>
      </c>
      <c r="M2608" s="6" t="b">
        <f t="shared" si="2424"/>
        <v>0</v>
      </c>
      <c r="P2608" s="4">
        <v>0.211880359035499</v>
      </c>
      <c r="T2608" s="4" t="str">
        <f t="shared" si="3"/>
        <v/>
      </c>
      <c r="U2608" s="4">
        <f t="shared" si="4"/>
        <v>2015</v>
      </c>
    </row>
    <row r="2609" ht="15.75" customHeight="1">
      <c r="A2609" s="4" t="s">
        <v>3702</v>
      </c>
      <c r="B2609" s="4" t="s">
        <v>13</v>
      </c>
      <c r="I2609" s="4">
        <v>0.229</v>
      </c>
      <c r="J2609" s="4">
        <v>0.018</v>
      </c>
      <c r="K2609" s="6" t="b">
        <f t="shared" ref="K2609:M2609" si="2425">FALSE()</f>
        <v>0</v>
      </c>
      <c r="L2609" s="6" t="b">
        <f t="shared" si="2425"/>
        <v>0</v>
      </c>
      <c r="M2609" s="6" t="b">
        <f t="shared" si="2425"/>
        <v>0</v>
      </c>
      <c r="P2609" s="4">
        <v>0.206200830583898</v>
      </c>
      <c r="T2609" s="4" t="str">
        <f t="shared" si="3"/>
        <v/>
      </c>
      <c r="U2609" s="4">
        <f t="shared" si="4"/>
        <v>2124</v>
      </c>
    </row>
    <row r="2610" ht="15.75" customHeight="1">
      <c r="A2610" s="4" t="s">
        <v>3703</v>
      </c>
      <c r="B2610" s="4" t="s">
        <v>13</v>
      </c>
      <c r="I2610" s="4">
        <v>0.202</v>
      </c>
      <c r="J2610" s="4">
        <v>0.039</v>
      </c>
      <c r="K2610" s="6" t="b">
        <f t="shared" ref="K2610:M2610" si="2426">FALSE()</f>
        <v>0</v>
      </c>
      <c r="L2610" s="6" t="b">
        <f t="shared" si="2426"/>
        <v>0</v>
      </c>
      <c r="M2610" s="6" t="b">
        <f t="shared" si="2426"/>
        <v>0</v>
      </c>
      <c r="P2610" s="4">
        <v>0.183986836113016</v>
      </c>
      <c r="T2610" s="4" t="str">
        <f t="shared" si="3"/>
        <v/>
      </c>
      <c r="U2610" s="4">
        <f t="shared" si="4"/>
        <v>2554</v>
      </c>
    </row>
    <row r="2611" ht="15.75" customHeight="1">
      <c r="A2611" s="4" t="s">
        <v>3704</v>
      </c>
      <c r="B2611" s="4" t="s">
        <v>13</v>
      </c>
      <c r="I2611" s="4">
        <v>0.263</v>
      </c>
      <c r="J2611" s="4">
        <v>0.055</v>
      </c>
      <c r="K2611" s="6" t="b">
        <f t="shared" ref="K2611:M2611" si="2427">FALSE()</f>
        <v>0</v>
      </c>
      <c r="L2611" s="6" t="b">
        <f t="shared" si="2427"/>
        <v>0</v>
      </c>
      <c r="M2611" s="6" t="b">
        <f t="shared" si="2427"/>
        <v>0</v>
      </c>
      <c r="P2611" s="4">
        <v>0.233489843368354</v>
      </c>
      <c r="T2611" s="4" t="str">
        <f t="shared" si="3"/>
        <v/>
      </c>
      <c r="U2611" s="4">
        <f t="shared" si="4"/>
        <v>1643</v>
      </c>
    </row>
    <row r="2612" ht="15.75" customHeight="1">
      <c r="A2612" s="4" t="s">
        <v>3705</v>
      </c>
      <c r="B2612" s="4" t="s">
        <v>13</v>
      </c>
      <c r="I2612" s="4">
        <v>0.343</v>
      </c>
      <c r="J2612" s="4">
        <v>0.021</v>
      </c>
      <c r="K2612" s="6" t="b">
        <f t="shared" ref="K2612:M2612" si="2428">FALSE()</f>
        <v>0</v>
      </c>
      <c r="L2612" s="6" t="b">
        <f t="shared" si="2428"/>
        <v>0</v>
      </c>
      <c r="M2612" s="6" t="b">
        <f t="shared" si="2428"/>
        <v>0</v>
      </c>
      <c r="P2612" s="4">
        <v>0.294905917541101</v>
      </c>
      <c r="T2612" s="4" t="str">
        <f t="shared" si="3"/>
        <v/>
      </c>
      <c r="U2612" s="4">
        <f t="shared" si="4"/>
        <v>1229</v>
      </c>
    </row>
    <row r="2613" ht="15.75" customHeight="1">
      <c r="A2613" s="4" t="s">
        <v>3706</v>
      </c>
      <c r="B2613" s="4" t="s">
        <v>13</v>
      </c>
      <c r="I2613" s="4">
        <v>0.134</v>
      </c>
      <c r="J2613" s="4">
        <v>0.011</v>
      </c>
      <c r="K2613" s="6" t="b">
        <f t="shared" ref="K2613:M2613" si="2429">FALSE()</f>
        <v>0</v>
      </c>
      <c r="L2613" s="6" t="b">
        <f t="shared" si="2429"/>
        <v>0</v>
      </c>
      <c r="M2613" s="6" t="b">
        <f t="shared" si="2429"/>
        <v>0</v>
      </c>
      <c r="P2613" s="4">
        <v>0.12575120530556</v>
      </c>
      <c r="T2613" s="4" t="str">
        <f t="shared" si="3"/>
        <v/>
      </c>
      <c r="U2613" s="4">
        <f t="shared" si="4"/>
        <v>3625</v>
      </c>
    </row>
    <row r="2614" ht="15.75" customHeight="1">
      <c r="A2614" s="4" t="s">
        <v>3707</v>
      </c>
      <c r="B2614" s="4" t="s">
        <v>13</v>
      </c>
      <c r="I2614" s="4">
        <v>0.134</v>
      </c>
      <c r="J2614" s="4">
        <v>0.019</v>
      </c>
      <c r="K2614" s="6" t="b">
        <f t="shared" ref="K2614:M2614" si="2430">FALSE()</f>
        <v>0</v>
      </c>
      <c r="L2614" s="6" t="b">
        <f t="shared" si="2430"/>
        <v>0</v>
      </c>
      <c r="M2614" s="6" t="b">
        <f t="shared" si="2430"/>
        <v>0</v>
      </c>
      <c r="P2614" s="4">
        <v>0.12575120530556</v>
      </c>
      <c r="T2614" s="4" t="str">
        <f t="shared" si="3"/>
        <v/>
      </c>
      <c r="U2614" s="4">
        <f t="shared" si="4"/>
        <v>3626</v>
      </c>
    </row>
    <row r="2615" ht="15.75" customHeight="1">
      <c r="A2615" s="4" t="s">
        <v>3708</v>
      </c>
      <c r="B2615" s="4" t="s">
        <v>13</v>
      </c>
      <c r="I2615" s="4">
        <v>0.9145</v>
      </c>
      <c r="J2615" s="4">
        <v>0.0321</v>
      </c>
      <c r="K2615" s="6" t="b">
        <f t="shared" ref="K2615:L2615" si="2431">FALSE()</f>
        <v>0</v>
      </c>
      <c r="L2615" s="6" t="b">
        <f t="shared" si="2431"/>
        <v>0</v>
      </c>
      <c r="M2615" s="6" t="b">
        <f>TRUE()</f>
        <v>1</v>
      </c>
      <c r="P2615" s="4">
        <v>0.649456491935212</v>
      </c>
      <c r="T2615" s="4" t="str">
        <f t="shared" si="3"/>
        <v/>
      </c>
      <c r="U2615" s="4">
        <f t="shared" si="4"/>
        <v>754</v>
      </c>
    </row>
    <row r="2616" ht="15.75" customHeight="1">
      <c r="A2616" s="4" t="s">
        <v>3709</v>
      </c>
      <c r="B2616" s="4" t="s">
        <v>13</v>
      </c>
      <c r="I2616" s="4">
        <v>0.269</v>
      </c>
      <c r="J2616" s="4">
        <v>0.034</v>
      </c>
      <c r="K2616" s="6" t="b">
        <f t="shared" ref="K2616:M2616" si="2432">FALSE()</f>
        <v>0</v>
      </c>
      <c r="L2616" s="6" t="b">
        <f t="shared" si="2432"/>
        <v>0</v>
      </c>
      <c r="M2616" s="6" t="b">
        <f t="shared" si="2432"/>
        <v>0</v>
      </c>
      <c r="P2616" s="4">
        <v>0.238229188732251</v>
      </c>
      <c r="T2616" s="4" t="str">
        <f t="shared" si="3"/>
        <v/>
      </c>
      <c r="U2616" s="4">
        <f t="shared" si="4"/>
        <v>1602</v>
      </c>
    </row>
    <row r="2617" ht="15.75" customHeight="1">
      <c r="A2617" s="4" t="s">
        <v>3710</v>
      </c>
      <c r="B2617" s="4" t="s">
        <v>13</v>
      </c>
      <c r="I2617" s="4">
        <v>0.237</v>
      </c>
      <c r="J2617" s="4">
        <v>0.037</v>
      </c>
      <c r="K2617" s="6" t="b">
        <f t="shared" ref="K2617:M2617" si="2433">FALSE()</f>
        <v>0</v>
      </c>
      <c r="L2617" s="6" t="b">
        <f t="shared" si="2433"/>
        <v>0</v>
      </c>
      <c r="M2617" s="6" t="b">
        <f t="shared" si="2433"/>
        <v>0</v>
      </c>
      <c r="P2617" s="4">
        <v>0.212689093410351</v>
      </c>
      <c r="T2617" s="4" t="str">
        <f t="shared" si="3"/>
        <v/>
      </c>
      <c r="U2617" s="4">
        <f t="shared" si="4"/>
        <v>1992</v>
      </c>
    </row>
    <row r="2618" ht="15.75" customHeight="1">
      <c r="A2618" s="4" t="s">
        <v>3711</v>
      </c>
      <c r="B2618" s="4" t="s">
        <v>13</v>
      </c>
      <c r="I2618" s="4">
        <v>0.22</v>
      </c>
      <c r="J2618" s="4">
        <v>0.009</v>
      </c>
      <c r="K2618" s="6" t="b">
        <f t="shared" ref="K2618:M2618" si="2434">FALSE()</f>
        <v>0</v>
      </c>
      <c r="L2618" s="6" t="b">
        <f t="shared" si="2434"/>
        <v>0</v>
      </c>
      <c r="M2618" s="6" t="b">
        <f t="shared" si="2434"/>
        <v>0</v>
      </c>
      <c r="P2618" s="4">
        <v>0.198850858745165</v>
      </c>
      <c r="T2618" s="4" t="str">
        <f t="shared" si="3"/>
        <v/>
      </c>
      <c r="U2618" s="4">
        <f t="shared" si="4"/>
        <v>2259</v>
      </c>
    </row>
    <row r="2619" ht="15.75" customHeight="1">
      <c r="A2619" s="4" t="s">
        <v>3712</v>
      </c>
      <c r="B2619" s="4" t="s">
        <v>13</v>
      </c>
      <c r="I2619" s="4">
        <v>0.103</v>
      </c>
      <c r="J2619" s="4">
        <v>0.008</v>
      </c>
      <c r="K2619" s="6" t="b">
        <f t="shared" ref="K2619:M2619" si="2435">FALSE()</f>
        <v>0</v>
      </c>
      <c r="L2619" s="6" t="b">
        <f t="shared" si="2435"/>
        <v>0</v>
      </c>
      <c r="M2619" s="6" t="b">
        <f t="shared" si="2435"/>
        <v>0</v>
      </c>
      <c r="P2619" s="4">
        <v>0.0980337402713654</v>
      </c>
      <c r="T2619" s="4" t="str">
        <f t="shared" si="3"/>
        <v/>
      </c>
      <c r="U2619" s="4">
        <f t="shared" si="4"/>
        <v>4178</v>
      </c>
    </row>
    <row r="2620" ht="15.75" customHeight="1">
      <c r="A2620" s="4" t="s">
        <v>3713</v>
      </c>
      <c r="B2620" s="4" t="s">
        <v>13</v>
      </c>
      <c r="I2620" s="4">
        <v>0.259</v>
      </c>
      <c r="J2620" s="4">
        <v>0.024</v>
      </c>
      <c r="K2620" s="6" t="b">
        <f t="shared" ref="K2620:M2620" si="2436">FALSE()</f>
        <v>0</v>
      </c>
      <c r="L2620" s="6" t="b">
        <f t="shared" si="2436"/>
        <v>0</v>
      </c>
      <c r="M2620" s="6" t="b">
        <f t="shared" si="2436"/>
        <v>0</v>
      </c>
      <c r="P2620" s="4">
        <v>0.23031775506221</v>
      </c>
      <c r="T2620" s="4" t="str">
        <f t="shared" si="3"/>
        <v/>
      </c>
      <c r="U2620" s="4">
        <f t="shared" si="4"/>
        <v>1695</v>
      </c>
    </row>
    <row r="2621" ht="15.75" customHeight="1">
      <c r="A2621" s="4" t="s">
        <v>3714</v>
      </c>
      <c r="B2621" s="4" t="s">
        <v>13</v>
      </c>
      <c r="I2621" s="4">
        <v>0.144</v>
      </c>
      <c r="J2621" s="4">
        <v>0.015</v>
      </c>
      <c r="K2621" s="6" t="b">
        <f t="shared" ref="K2621:M2621" si="2437">FALSE()</f>
        <v>0</v>
      </c>
      <c r="L2621" s="6" t="b">
        <f t="shared" si="2437"/>
        <v>0</v>
      </c>
      <c r="M2621" s="6" t="b">
        <f t="shared" si="2437"/>
        <v>0</v>
      </c>
      <c r="P2621" s="4">
        <v>0.134530892957606</v>
      </c>
      <c r="T2621" s="4" t="str">
        <f t="shared" si="3"/>
        <v/>
      </c>
      <c r="U2621" s="4">
        <f t="shared" si="4"/>
        <v>3442</v>
      </c>
    </row>
    <row r="2622" ht="15.75" customHeight="1">
      <c r="A2622" s="4" t="s">
        <v>3715</v>
      </c>
      <c r="B2622" s="4" t="s">
        <v>13</v>
      </c>
      <c r="I2622" s="4">
        <v>0.175</v>
      </c>
      <c r="J2622" s="4">
        <v>0.013</v>
      </c>
      <c r="K2622" s="6" t="b">
        <f t="shared" ref="K2622:M2622" si="2438">FALSE()</f>
        <v>0</v>
      </c>
      <c r="L2622" s="6" t="b">
        <f t="shared" si="2438"/>
        <v>0</v>
      </c>
      <c r="M2622" s="6" t="b">
        <f t="shared" si="2438"/>
        <v>0</v>
      </c>
      <c r="P2622" s="4">
        <v>0.161268147596122</v>
      </c>
      <c r="T2622" s="4" t="str">
        <f t="shared" si="3"/>
        <v/>
      </c>
      <c r="U2622" s="4">
        <f t="shared" si="4"/>
        <v>2975</v>
      </c>
    </row>
    <row r="2623" ht="15.75" customHeight="1">
      <c r="A2623" s="4" t="s">
        <v>3716</v>
      </c>
      <c r="B2623" s="4" t="s">
        <v>13</v>
      </c>
      <c r="I2623" s="4">
        <v>0.136</v>
      </c>
      <c r="J2623" s="4">
        <v>0.019</v>
      </c>
      <c r="K2623" s="6" t="b">
        <f t="shared" ref="K2623:M2623" si="2439">FALSE()</f>
        <v>0</v>
      </c>
      <c r="L2623" s="6" t="b">
        <f t="shared" si="2439"/>
        <v>0</v>
      </c>
      <c r="M2623" s="6" t="b">
        <f t="shared" si="2439"/>
        <v>0</v>
      </c>
      <c r="P2623" s="4">
        <v>0.12751332029896</v>
      </c>
      <c r="T2623" s="4" t="str">
        <f t="shared" si="3"/>
        <v/>
      </c>
      <c r="U2623" s="4">
        <f t="shared" si="4"/>
        <v>3581</v>
      </c>
    </row>
    <row r="2624" ht="15.75" customHeight="1">
      <c r="A2624" s="4" t="s">
        <v>3717</v>
      </c>
      <c r="B2624" s="4" t="s">
        <v>13</v>
      </c>
      <c r="I2624" s="4">
        <v>0.061</v>
      </c>
      <c r="J2624" s="4">
        <v>0.004</v>
      </c>
      <c r="K2624" s="6" t="b">
        <f t="shared" ref="K2624:M2624" si="2440">FALSE()</f>
        <v>0</v>
      </c>
      <c r="L2624" s="6" t="b">
        <f t="shared" si="2440"/>
        <v>0</v>
      </c>
      <c r="M2624" s="6" t="b">
        <f t="shared" si="2440"/>
        <v>0</v>
      </c>
      <c r="P2624" s="4">
        <v>0.059211859631846</v>
      </c>
      <c r="T2624" s="4" t="str">
        <f t="shared" si="3"/>
        <v/>
      </c>
      <c r="U2624" s="4">
        <f t="shared" si="4"/>
        <v>4534</v>
      </c>
    </row>
    <row r="2625" ht="15.75" customHeight="1">
      <c r="A2625" s="4" t="s">
        <v>3718</v>
      </c>
      <c r="B2625" s="4" t="s">
        <v>13</v>
      </c>
      <c r="I2625" s="4">
        <v>0.064</v>
      </c>
      <c r="J2625" s="4">
        <v>0.004</v>
      </c>
      <c r="K2625" s="6" t="b">
        <f t="shared" ref="K2625:M2625" si="2441">FALSE()</f>
        <v>0</v>
      </c>
      <c r="L2625" s="6" t="b">
        <f t="shared" si="2441"/>
        <v>0</v>
      </c>
      <c r="M2625" s="6" t="b">
        <f t="shared" si="2441"/>
        <v>0</v>
      </c>
      <c r="P2625" s="4">
        <v>0.0620353909194526</v>
      </c>
      <c r="T2625" s="4" t="str">
        <f t="shared" si="3"/>
        <v/>
      </c>
      <c r="U2625" s="4">
        <f t="shared" si="4"/>
        <v>4522</v>
      </c>
    </row>
    <row r="2626" ht="15.75" customHeight="1">
      <c r="A2626" s="4" t="s">
        <v>3719</v>
      </c>
      <c r="B2626" s="4" t="s">
        <v>13</v>
      </c>
      <c r="I2626" s="4">
        <v>0.186</v>
      </c>
      <c r="J2626" s="4">
        <v>0.019</v>
      </c>
      <c r="K2626" s="6" t="b">
        <f t="shared" ref="K2626:M2626" si="2442">FALSE()</f>
        <v>0</v>
      </c>
      <c r="L2626" s="6" t="b">
        <f t="shared" si="2442"/>
        <v>0</v>
      </c>
      <c r="M2626" s="6" t="b">
        <f t="shared" si="2442"/>
        <v>0</v>
      </c>
      <c r="P2626" s="4">
        <v>0.170586300575534</v>
      </c>
      <c r="T2626" s="4" t="str">
        <f t="shared" si="3"/>
        <v/>
      </c>
      <c r="U2626" s="4">
        <f t="shared" si="4"/>
        <v>2803</v>
      </c>
    </row>
    <row r="2627" ht="15.75" customHeight="1">
      <c r="A2627" s="4" t="s">
        <v>3720</v>
      </c>
      <c r="B2627" s="4" t="s">
        <v>13</v>
      </c>
      <c r="I2627" s="4">
        <v>0.2</v>
      </c>
      <c r="J2627" s="4">
        <v>0.013</v>
      </c>
      <c r="K2627" s="6" t="b">
        <f t="shared" ref="K2627:M2627" si="2443">FALSE()</f>
        <v>0</v>
      </c>
      <c r="L2627" s="6" t="b">
        <f t="shared" si="2443"/>
        <v>0</v>
      </c>
      <c r="M2627" s="6" t="b">
        <f t="shared" si="2443"/>
        <v>0</v>
      </c>
      <c r="P2627" s="4">
        <v>0.182321556793955</v>
      </c>
      <c r="T2627" s="4" t="str">
        <f t="shared" si="3"/>
        <v/>
      </c>
      <c r="U2627" s="4">
        <f t="shared" si="4"/>
        <v>2584</v>
      </c>
    </row>
    <row r="2628" ht="15.75" customHeight="1">
      <c r="A2628" s="4" t="s">
        <v>3721</v>
      </c>
      <c r="B2628" s="4" t="s">
        <v>13</v>
      </c>
      <c r="I2628" s="4">
        <v>0.079</v>
      </c>
      <c r="J2628" s="4">
        <v>0.008</v>
      </c>
      <c r="K2628" s="6" t="b">
        <f t="shared" ref="K2628:M2628" si="2444">FALSE()</f>
        <v>0</v>
      </c>
      <c r="L2628" s="6" t="b">
        <f t="shared" si="2444"/>
        <v>0</v>
      </c>
      <c r="M2628" s="6" t="b">
        <f t="shared" si="2444"/>
        <v>0</v>
      </c>
      <c r="P2628" s="4">
        <v>0.0760346862759976</v>
      </c>
      <c r="T2628" s="4" t="str">
        <f t="shared" si="3"/>
        <v/>
      </c>
      <c r="U2628" s="4">
        <f t="shared" si="4"/>
        <v>4423</v>
      </c>
    </row>
    <row r="2629" ht="15.75" customHeight="1">
      <c r="A2629" s="4" t="s">
        <v>3722</v>
      </c>
      <c r="B2629" s="4" t="s">
        <v>13</v>
      </c>
      <c r="I2629" s="4">
        <v>0.097</v>
      </c>
      <c r="J2629" s="4">
        <v>0.016</v>
      </c>
      <c r="K2629" s="6" t="b">
        <f t="shared" ref="K2629:M2629" si="2445">FALSE()</f>
        <v>0</v>
      </c>
      <c r="L2629" s="6" t="b">
        <f t="shared" si="2445"/>
        <v>0</v>
      </c>
      <c r="M2629" s="6" t="b">
        <f t="shared" si="2445"/>
        <v>0</v>
      </c>
      <c r="P2629" s="4">
        <v>0.0925791812930932</v>
      </c>
      <c r="T2629" s="4" t="str">
        <f t="shared" si="3"/>
        <v/>
      </c>
      <c r="U2629" s="4">
        <f t="shared" si="4"/>
        <v>4257</v>
      </c>
    </row>
    <row r="2630" ht="15.75" customHeight="1">
      <c r="A2630" s="4" t="s">
        <v>3723</v>
      </c>
      <c r="B2630" s="4" t="s">
        <v>13</v>
      </c>
      <c r="I2630" s="4">
        <v>0.317</v>
      </c>
      <c r="J2630" s="4">
        <v>0.037</v>
      </c>
      <c r="K2630" s="6" t="b">
        <f t="shared" ref="K2630:M2630" si="2446">FALSE()</f>
        <v>0</v>
      </c>
      <c r="L2630" s="6" t="b">
        <f t="shared" si="2446"/>
        <v>0</v>
      </c>
      <c r="M2630" s="6" t="b">
        <f t="shared" si="2446"/>
        <v>0</v>
      </c>
      <c r="P2630" s="4">
        <v>0.275356422761144</v>
      </c>
      <c r="T2630" s="4" t="str">
        <f t="shared" si="3"/>
        <v/>
      </c>
      <c r="U2630" s="4">
        <f t="shared" si="4"/>
        <v>1310</v>
      </c>
    </row>
    <row r="2631" ht="15.75" customHeight="1">
      <c r="A2631" s="4" t="s">
        <v>3724</v>
      </c>
      <c r="B2631" s="4" t="s">
        <v>13</v>
      </c>
      <c r="I2631" s="4">
        <v>0.067</v>
      </c>
      <c r="J2631" s="4">
        <v>0.007</v>
      </c>
      <c r="K2631" s="6" t="b">
        <f t="shared" ref="K2631:M2631" si="2447">FALSE()</f>
        <v>0</v>
      </c>
      <c r="L2631" s="6" t="b">
        <f t="shared" si="2447"/>
        <v>0</v>
      </c>
      <c r="M2631" s="6" t="b">
        <f t="shared" si="2447"/>
        <v>0</v>
      </c>
      <c r="P2631" s="4">
        <v>0.0648509723196163</v>
      </c>
      <c r="T2631" s="4" t="str">
        <f t="shared" si="3"/>
        <v/>
      </c>
      <c r="U2631" s="4">
        <f t="shared" si="4"/>
        <v>4506</v>
      </c>
    </row>
    <row r="2632" ht="15.75" customHeight="1">
      <c r="A2632" s="4" t="s">
        <v>3725</v>
      </c>
      <c r="B2632" s="4" t="s">
        <v>13</v>
      </c>
      <c r="I2632" s="4">
        <v>0.131</v>
      </c>
      <c r="J2632" s="4">
        <v>0.012</v>
      </c>
      <c r="K2632" s="6" t="b">
        <f t="shared" ref="K2632:M2632" si="2448">FALSE()</f>
        <v>0</v>
      </c>
      <c r="L2632" s="6" t="b">
        <f t="shared" si="2448"/>
        <v>0</v>
      </c>
      <c r="M2632" s="6" t="b">
        <f t="shared" si="2448"/>
        <v>0</v>
      </c>
      <c r="P2632" s="4">
        <v>0.123102197133983</v>
      </c>
      <c r="T2632" s="4" t="str">
        <f t="shared" si="3"/>
        <v/>
      </c>
      <c r="U2632" s="4">
        <f t="shared" si="4"/>
        <v>3677</v>
      </c>
    </row>
    <row r="2633" ht="15.75" customHeight="1">
      <c r="A2633" s="4" t="s">
        <v>3726</v>
      </c>
      <c r="B2633" s="4" t="s">
        <v>13</v>
      </c>
      <c r="I2633" s="4">
        <v>0.106</v>
      </c>
      <c r="J2633" s="4">
        <v>0.011</v>
      </c>
      <c r="K2633" s="6" t="b">
        <f t="shared" ref="K2633:M2633" si="2449">FALSE()</f>
        <v>0</v>
      </c>
      <c r="L2633" s="6" t="b">
        <f t="shared" si="2449"/>
        <v>0</v>
      </c>
      <c r="M2633" s="6" t="b">
        <f t="shared" si="2449"/>
        <v>0</v>
      </c>
      <c r="P2633" s="4">
        <v>0.100749903100143</v>
      </c>
      <c r="T2633" s="4" t="str">
        <f t="shared" si="3"/>
        <v/>
      </c>
      <c r="U2633" s="4">
        <f t="shared" si="4"/>
        <v>4121</v>
      </c>
    </row>
    <row r="2634" ht="15.75" customHeight="1">
      <c r="A2634" s="4" t="s">
        <v>3727</v>
      </c>
      <c r="B2634" s="4" t="s">
        <v>13</v>
      </c>
      <c r="I2634" s="4">
        <v>0.07</v>
      </c>
      <c r="J2634" s="4">
        <v>0.004</v>
      </c>
      <c r="K2634" s="6" t="b">
        <f t="shared" ref="K2634:M2634" si="2450">FALSE()</f>
        <v>0</v>
      </c>
      <c r="L2634" s="6" t="b">
        <f t="shared" si="2450"/>
        <v>0</v>
      </c>
      <c r="M2634" s="6" t="b">
        <f t="shared" si="2450"/>
        <v>0</v>
      </c>
      <c r="P2634" s="4">
        <v>0.0676586484738148</v>
      </c>
      <c r="T2634" s="4" t="str">
        <f t="shared" si="3"/>
        <v/>
      </c>
      <c r="U2634" s="4">
        <f t="shared" si="4"/>
        <v>4488</v>
      </c>
    </row>
    <row r="2635" ht="15.75" customHeight="1">
      <c r="A2635" s="4" t="s">
        <v>3728</v>
      </c>
      <c r="B2635" s="4" t="s">
        <v>13</v>
      </c>
      <c r="I2635" s="4">
        <v>0.244</v>
      </c>
      <c r="J2635" s="4">
        <v>0.021</v>
      </c>
      <c r="K2635" s="6" t="b">
        <f t="shared" ref="K2635:M2635" si="2451">FALSE()</f>
        <v>0</v>
      </c>
      <c r="L2635" s="6" t="b">
        <f t="shared" si="2451"/>
        <v>0</v>
      </c>
      <c r="M2635" s="6" t="b">
        <f t="shared" si="2451"/>
        <v>0</v>
      </c>
      <c r="P2635" s="4">
        <v>0.218331994316988</v>
      </c>
      <c r="T2635" s="4" t="str">
        <f t="shared" si="3"/>
        <v/>
      </c>
      <c r="U2635" s="4">
        <f t="shared" si="4"/>
        <v>1886</v>
      </c>
    </row>
    <row r="2636" ht="15.75" customHeight="1">
      <c r="A2636" s="4" t="s">
        <v>3729</v>
      </c>
      <c r="B2636" s="4" t="s">
        <v>13</v>
      </c>
      <c r="I2636" s="4">
        <v>0.116</v>
      </c>
      <c r="J2636" s="4">
        <v>0.013</v>
      </c>
      <c r="K2636" s="6" t="b">
        <f t="shared" ref="K2636:M2636" si="2452">FALSE()</f>
        <v>0</v>
      </c>
      <c r="L2636" s="6" t="b">
        <f t="shared" si="2452"/>
        <v>0</v>
      </c>
      <c r="M2636" s="6" t="b">
        <f t="shared" si="2452"/>
        <v>0</v>
      </c>
      <c r="P2636" s="4">
        <v>0.109750863959119</v>
      </c>
      <c r="T2636" s="4" t="str">
        <f t="shared" si="3"/>
        <v/>
      </c>
      <c r="U2636" s="4">
        <f t="shared" si="4"/>
        <v>3954</v>
      </c>
    </row>
    <row r="2637" ht="15.75" customHeight="1">
      <c r="A2637" s="4" t="s">
        <v>3730</v>
      </c>
      <c r="B2637" s="4" t="s">
        <v>13</v>
      </c>
      <c r="I2637" s="4">
        <v>0.15</v>
      </c>
      <c r="J2637" s="4">
        <v>0.028</v>
      </c>
      <c r="K2637" s="6" t="b">
        <f t="shared" ref="K2637:M2637" si="2453">FALSE()</f>
        <v>0</v>
      </c>
      <c r="L2637" s="6" t="b">
        <f t="shared" si="2453"/>
        <v>0</v>
      </c>
      <c r="M2637" s="6" t="b">
        <f t="shared" si="2453"/>
        <v>0</v>
      </c>
      <c r="P2637" s="4">
        <v>0.139761942375159</v>
      </c>
      <c r="T2637" s="4" t="str">
        <f t="shared" si="3"/>
        <v/>
      </c>
      <c r="U2637" s="4">
        <f t="shared" si="4"/>
        <v>3326</v>
      </c>
    </row>
    <row r="2638" ht="15.75" customHeight="1">
      <c r="A2638" s="4" t="s">
        <v>3731</v>
      </c>
      <c r="B2638" s="4" t="s">
        <v>13</v>
      </c>
      <c r="I2638" s="4">
        <v>0.205</v>
      </c>
      <c r="J2638" s="4">
        <v>0.015</v>
      </c>
      <c r="K2638" s="6" t="b">
        <f t="shared" ref="K2638:M2638" si="2454">FALSE()</f>
        <v>0</v>
      </c>
      <c r="L2638" s="6" t="b">
        <f t="shared" si="2454"/>
        <v>0</v>
      </c>
      <c r="M2638" s="6" t="b">
        <f t="shared" si="2454"/>
        <v>0</v>
      </c>
      <c r="P2638" s="4">
        <v>0.186479566942618</v>
      </c>
      <c r="T2638" s="4" t="str">
        <f t="shared" si="3"/>
        <v/>
      </c>
      <c r="U2638" s="4">
        <f t="shared" si="4"/>
        <v>2492</v>
      </c>
    </row>
    <row r="2639" ht="15.75" customHeight="1">
      <c r="A2639" s="4" t="s">
        <v>3732</v>
      </c>
      <c r="B2639" s="4" t="s">
        <v>13</v>
      </c>
      <c r="I2639" s="4">
        <v>0.227</v>
      </c>
      <c r="J2639" s="4">
        <v>0.017</v>
      </c>
      <c r="K2639" s="6" t="b">
        <f t="shared" ref="K2639:M2639" si="2455">FALSE()</f>
        <v>0</v>
      </c>
      <c r="L2639" s="6" t="b">
        <f t="shared" si="2455"/>
        <v>0</v>
      </c>
      <c r="M2639" s="6" t="b">
        <f t="shared" si="2455"/>
        <v>0</v>
      </c>
      <c r="P2639" s="4">
        <v>0.204572165728774</v>
      </c>
      <c r="T2639" s="4" t="str">
        <f t="shared" si="3"/>
        <v/>
      </c>
      <c r="U2639" s="4">
        <f t="shared" si="4"/>
        <v>2157</v>
      </c>
    </row>
    <row r="2640" ht="15.75" customHeight="1">
      <c r="A2640" s="4" t="s">
        <v>3733</v>
      </c>
      <c r="B2640" s="4" t="s">
        <v>13</v>
      </c>
      <c r="I2640" s="4">
        <v>0.095</v>
      </c>
      <c r="J2640" s="4">
        <v>0.009</v>
      </c>
      <c r="K2640" s="6" t="b">
        <f t="shared" ref="K2640:M2640" si="2456">FALSE()</f>
        <v>0</v>
      </c>
      <c r="L2640" s="6" t="b">
        <f t="shared" si="2456"/>
        <v>0</v>
      </c>
      <c r="M2640" s="6" t="b">
        <f t="shared" si="2456"/>
        <v>0</v>
      </c>
      <c r="P2640" s="4">
        <v>0.0907543632684641</v>
      </c>
      <c r="T2640" s="4" t="str">
        <f t="shared" si="3"/>
        <v/>
      </c>
      <c r="U2640" s="4">
        <f t="shared" si="4"/>
        <v>4276</v>
      </c>
    </row>
    <row r="2641" ht="15.75" customHeight="1">
      <c r="A2641" s="4" t="s">
        <v>3734</v>
      </c>
      <c r="B2641" s="4" t="s">
        <v>13</v>
      </c>
      <c r="I2641" s="4">
        <v>0.136</v>
      </c>
      <c r="J2641" s="4">
        <v>0.03</v>
      </c>
      <c r="K2641" s="6" t="b">
        <f t="shared" ref="K2641:M2641" si="2457">FALSE()</f>
        <v>0</v>
      </c>
      <c r="L2641" s="6" t="b">
        <f t="shared" si="2457"/>
        <v>0</v>
      </c>
      <c r="M2641" s="6" t="b">
        <f t="shared" si="2457"/>
        <v>0</v>
      </c>
      <c r="P2641" s="4">
        <v>0.12751332029896</v>
      </c>
      <c r="T2641" s="4" t="str">
        <f t="shared" si="3"/>
        <v/>
      </c>
      <c r="U2641" s="4">
        <f t="shared" si="4"/>
        <v>3582</v>
      </c>
    </row>
    <row r="2642" ht="15.75" customHeight="1">
      <c r="A2642" s="4" t="s">
        <v>3735</v>
      </c>
      <c r="B2642" s="4" t="s">
        <v>13</v>
      </c>
      <c r="I2642" s="4">
        <v>0.084</v>
      </c>
      <c r="J2642" s="4">
        <v>0.007</v>
      </c>
      <c r="K2642" s="6" t="b">
        <f t="shared" ref="K2642:M2642" si="2458">FALSE()</f>
        <v>0</v>
      </c>
      <c r="L2642" s="6" t="b">
        <f t="shared" si="2458"/>
        <v>0</v>
      </c>
      <c r="M2642" s="6" t="b">
        <f t="shared" si="2458"/>
        <v>0</v>
      </c>
      <c r="P2642" s="4">
        <v>0.0806579030174544</v>
      </c>
      <c r="T2642" s="4" t="str">
        <f t="shared" si="3"/>
        <v/>
      </c>
      <c r="U2642" s="4">
        <f t="shared" si="4"/>
        <v>4383</v>
      </c>
    </row>
    <row r="2643" ht="15.75" customHeight="1">
      <c r="A2643" s="4" t="s">
        <v>3736</v>
      </c>
      <c r="B2643" s="4" t="s">
        <v>13</v>
      </c>
      <c r="I2643" s="4">
        <v>0.107</v>
      </c>
      <c r="J2643" s="4">
        <v>0.01</v>
      </c>
      <c r="K2643" s="6" t="b">
        <f t="shared" ref="K2643:M2643" si="2459">FALSE()</f>
        <v>0</v>
      </c>
      <c r="L2643" s="6" t="b">
        <f t="shared" si="2459"/>
        <v>0</v>
      </c>
      <c r="M2643" s="6" t="b">
        <f t="shared" si="2459"/>
        <v>0</v>
      </c>
      <c r="P2643" s="4">
        <v>0.1016536537265</v>
      </c>
      <c r="T2643" s="4" t="str">
        <f t="shared" si="3"/>
        <v/>
      </c>
      <c r="U2643" s="4">
        <f t="shared" si="4"/>
        <v>4096</v>
      </c>
    </row>
    <row r="2644" ht="15.75" customHeight="1">
      <c r="A2644" s="4" t="s">
        <v>3737</v>
      </c>
      <c r="B2644" s="4" t="s">
        <v>13</v>
      </c>
      <c r="I2644" s="4">
        <v>0.115</v>
      </c>
      <c r="J2644" s="4">
        <v>0.013</v>
      </c>
      <c r="K2644" s="6" t="b">
        <f t="shared" ref="K2644:M2644" si="2460">FALSE()</f>
        <v>0</v>
      </c>
      <c r="L2644" s="6" t="b">
        <f t="shared" si="2460"/>
        <v>0</v>
      </c>
      <c r="M2644" s="6" t="b">
        <f t="shared" si="2460"/>
        <v>0</v>
      </c>
      <c r="P2644" s="4">
        <v>0.108854404912082</v>
      </c>
      <c r="T2644" s="4" t="str">
        <f t="shared" si="3"/>
        <v/>
      </c>
      <c r="U2644" s="4">
        <f t="shared" si="4"/>
        <v>3965</v>
      </c>
    </row>
    <row r="2645" ht="15.75" customHeight="1">
      <c r="A2645" s="4" t="s">
        <v>3738</v>
      </c>
      <c r="B2645" s="4" t="s">
        <v>13</v>
      </c>
      <c r="I2645" s="4">
        <v>0.117</v>
      </c>
      <c r="J2645" s="4">
        <v>0.012</v>
      </c>
      <c r="K2645" s="6" t="b">
        <f t="shared" ref="K2645:M2645" si="2461">FALSE()</f>
        <v>0</v>
      </c>
      <c r="L2645" s="6" t="b">
        <f t="shared" si="2461"/>
        <v>0</v>
      </c>
      <c r="M2645" s="6" t="b">
        <f t="shared" si="2461"/>
        <v>0</v>
      </c>
      <c r="P2645" s="4">
        <v>0.110646520087064</v>
      </c>
      <c r="T2645" s="4" t="str">
        <f t="shared" si="3"/>
        <v/>
      </c>
      <c r="U2645" s="4">
        <f t="shared" si="4"/>
        <v>3933</v>
      </c>
    </row>
    <row r="2646" ht="15.75" customHeight="1">
      <c r="A2646" s="4" t="s">
        <v>3739</v>
      </c>
      <c r="B2646" s="4" t="s">
        <v>13</v>
      </c>
      <c r="I2646" s="4">
        <v>0.093</v>
      </c>
      <c r="J2646" s="4">
        <v>0.012</v>
      </c>
      <c r="K2646" s="6" t="b">
        <f t="shared" ref="K2646:M2646" si="2462">FALSE()</f>
        <v>0</v>
      </c>
      <c r="L2646" s="6" t="b">
        <f t="shared" si="2462"/>
        <v>0</v>
      </c>
      <c r="M2646" s="6" t="b">
        <f t="shared" si="2462"/>
        <v>0</v>
      </c>
      <c r="P2646" s="4">
        <v>0.0889262091944015</v>
      </c>
      <c r="T2646" s="4" t="str">
        <f t="shared" si="3"/>
        <v/>
      </c>
      <c r="U2646" s="4">
        <f t="shared" si="4"/>
        <v>4298</v>
      </c>
    </row>
    <row r="2647" ht="15.75" customHeight="1">
      <c r="A2647" s="4" t="s">
        <v>3740</v>
      </c>
      <c r="B2647" s="4" t="s">
        <v>13</v>
      </c>
      <c r="I2647" s="4">
        <v>0.101</v>
      </c>
      <c r="J2647" s="4">
        <v>0.01</v>
      </c>
      <c r="K2647" s="6" t="b">
        <f t="shared" ref="K2647:M2647" si="2463">FALSE()</f>
        <v>0</v>
      </c>
      <c r="L2647" s="6" t="b">
        <f t="shared" si="2463"/>
        <v>0</v>
      </c>
      <c r="M2647" s="6" t="b">
        <f t="shared" si="2463"/>
        <v>0</v>
      </c>
      <c r="P2647" s="4">
        <v>0.0962188577405429</v>
      </c>
      <c r="T2647" s="4" t="str">
        <f t="shared" si="3"/>
        <v/>
      </c>
      <c r="U2647" s="4">
        <f t="shared" si="4"/>
        <v>4199</v>
      </c>
    </row>
    <row r="2648" ht="15.75" customHeight="1">
      <c r="A2648" s="4" t="s">
        <v>3741</v>
      </c>
      <c r="B2648" s="4" t="s">
        <v>13</v>
      </c>
      <c r="I2648" s="4">
        <v>0.093</v>
      </c>
      <c r="J2648" s="4">
        <v>0.01</v>
      </c>
      <c r="K2648" s="6" t="b">
        <f t="shared" ref="K2648:M2648" si="2464">FALSE()</f>
        <v>0</v>
      </c>
      <c r="L2648" s="6" t="b">
        <f t="shared" si="2464"/>
        <v>0</v>
      </c>
      <c r="M2648" s="6" t="b">
        <f t="shared" si="2464"/>
        <v>0</v>
      </c>
      <c r="P2648" s="4">
        <v>0.0889262091944015</v>
      </c>
      <c r="T2648" s="4" t="str">
        <f t="shared" si="3"/>
        <v/>
      </c>
      <c r="U2648" s="4">
        <f t="shared" si="4"/>
        <v>4299</v>
      </c>
    </row>
    <row r="2649" ht="15.75" customHeight="1">
      <c r="A2649" s="4" t="s">
        <v>3742</v>
      </c>
      <c r="B2649" s="4" t="s">
        <v>13</v>
      </c>
      <c r="I2649" s="4">
        <v>0.075</v>
      </c>
      <c r="J2649" s="4">
        <v>0.004</v>
      </c>
      <c r="K2649" s="6" t="b">
        <f t="shared" ref="K2649:M2649" si="2465">FALSE()</f>
        <v>0</v>
      </c>
      <c r="L2649" s="6" t="b">
        <f t="shared" si="2465"/>
        <v>0</v>
      </c>
      <c r="M2649" s="6" t="b">
        <f t="shared" si="2465"/>
        <v>0</v>
      </c>
      <c r="P2649" s="4">
        <v>0.0723206615796261</v>
      </c>
      <c r="T2649" s="4" t="str">
        <f t="shared" si="3"/>
        <v/>
      </c>
      <c r="U2649" s="4">
        <f t="shared" si="4"/>
        <v>4455</v>
      </c>
    </row>
    <row r="2650" ht="15.75" customHeight="1">
      <c r="A2650" s="4" t="s">
        <v>3743</v>
      </c>
      <c r="B2650" s="4" t="s">
        <v>13</v>
      </c>
      <c r="I2650" s="4">
        <v>0.118</v>
      </c>
      <c r="J2650" s="4">
        <v>0.023</v>
      </c>
      <c r="K2650" s="6" t="b">
        <f t="shared" ref="K2650:M2650" si="2466">FALSE()</f>
        <v>0</v>
      </c>
      <c r="L2650" s="6" t="b">
        <f t="shared" si="2466"/>
        <v>0</v>
      </c>
      <c r="M2650" s="6" t="b">
        <f t="shared" si="2466"/>
        <v>0</v>
      </c>
      <c r="P2650" s="4">
        <v>0.111541374732907</v>
      </c>
      <c r="T2650" s="4" t="str">
        <f t="shared" si="3"/>
        <v/>
      </c>
      <c r="U2650" s="4">
        <f t="shared" si="4"/>
        <v>3909</v>
      </c>
    </row>
    <row r="2651" ht="15.75" customHeight="1">
      <c r="A2651" s="4" t="s">
        <v>3744</v>
      </c>
      <c r="B2651" s="4" t="s">
        <v>13</v>
      </c>
      <c r="I2651" s="4">
        <v>0.2</v>
      </c>
      <c r="J2651" s="4">
        <v>0.038</v>
      </c>
      <c r="K2651" s="6" t="b">
        <f t="shared" ref="K2651:M2651" si="2467">FALSE()</f>
        <v>0</v>
      </c>
      <c r="L2651" s="6" t="b">
        <f t="shared" si="2467"/>
        <v>0</v>
      </c>
      <c r="M2651" s="6" t="b">
        <f t="shared" si="2467"/>
        <v>0</v>
      </c>
      <c r="P2651" s="4">
        <v>0.182321556793955</v>
      </c>
      <c r="T2651" s="4" t="str">
        <f t="shared" si="3"/>
        <v/>
      </c>
      <c r="U2651" s="4">
        <f t="shared" si="4"/>
        <v>2585</v>
      </c>
    </row>
    <row r="2652" ht="15.75" customHeight="1">
      <c r="A2652" s="4" t="s">
        <v>3745</v>
      </c>
      <c r="B2652" s="4" t="s">
        <v>13</v>
      </c>
      <c r="I2652" s="4">
        <v>0.13</v>
      </c>
      <c r="J2652" s="4">
        <v>0.009</v>
      </c>
      <c r="K2652" s="6" t="b">
        <f t="shared" ref="K2652:M2652" si="2468">FALSE()</f>
        <v>0</v>
      </c>
      <c r="L2652" s="6" t="b">
        <f t="shared" si="2468"/>
        <v>0</v>
      </c>
      <c r="M2652" s="6" t="b">
        <f t="shared" si="2468"/>
        <v>0</v>
      </c>
      <c r="P2652" s="4">
        <v>0.122217632724249</v>
      </c>
      <c r="T2652" s="4" t="str">
        <f t="shared" si="3"/>
        <v/>
      </c>
      <c r="U2652" s="4">
        <f t="shared" si="4"/>
        <v>3692</v>
      </c>
    </row>
    <row r="2653" ht="15.75" customHeight="1">
      <c r="A2653" s="4" t="s">
        <v>3746</v>
      </c>
      <c r="B2653" s="4" t="s">
        <v>13</v>
      </c>
      <c r="I2653" s="4">
        <v>0.188</v>
      </c>
      <c r="J2653" s="4">
        <v>0.028</v>
      </c>
      <c r="K2653" s="6" t="b">
        <f t="shared" ref="K2653:M2653" si="2469">FALSE()</f>
        <v>0</v>
      </c>
      <c r="L2653" s="6" t="b">
        <f t="shared" si="2469"/>
        <v>0</v>
      </c>
      <c r="M2653" s="6" t="b">
        <f t="shared" si="2469"/>
        <v>0</v>
      </c>
      <c r="P2653" s="4">
        <v>0.172271220940453</v>
      </c>
      <c r="T2653" s="4" t="str">
        <f t="shared" si="3"/>
        <v/>
      </c>
      <c r="U2653" s="4">
        <f t="shared" si="4"/>
        <v>2774</v>
      </c>
    </row>
    <row r="2654" ht="15.75" customHeight="1">
      <c r="A2654" s="4" t="s">
        <v>3747</v>
      </c>
      <c r="B2654" s="4" t="s">
        <v>13</v>
      </c>
      <c r="I2654" s="4">
        <v>0.071</v>
      </c>
      <c r="J2654" s="4">
        <v>0.008</v>
      </c>
      <c r="K2654" s="6" t="b">
        <f t="shared" ref="K2654:M2654" si="2470">FALSE()</f>
        <v>0</v>
      </c>
      <c r="L2654" s="6" t="b">
        <f t="shared" si="2470"/>
        <v>0</v>
      </c>
      <c r="M2654" s="6" t="b">
        <f t="shared" si="2470"/>
        <v>0</v>
      </c>
      <c r="P2654" s="4">
        <v>0.0685927914656117</v>
      </c>
      <c r="T2654" s="4" t="str">
        <f t="shared" si="3"/>
        <v/>
      </c>
      <c r="U2654" s="4">
        <f t="shared" si="4"/>
        <v>4483</v>
      </c>
    </row>
    <row r="2655" ht="15.75" customHeight="1">
      <c r="A2655" s="4" t="s">
        <v>3748</v>
      </c>
      <c r="B2655" s="4" t="s">
        <v>13</v>
      </c>
      <c r="I2655" s="4">
        <v>0.133</v>
      </c>
      <c r="J2655" s="4">
        <v>0.012</v>
      </c>
      <c r="K2655" s="6" t="b">
        <f t="shared" ref="K2655:M2655" si="2471">FALSE()</f>
        <v>0</v>
      </c>
      <c r="L2655" s="6" t="b">
        <f t="shared" si="2471"/>
        <v>0</v>
      </c>
      <c r="M2655" s="6" t="b">
        <f t="shared" si="2471"/>
        <v>0</v>
      </c>
      <c r="P2655" s="4">
        <v>0.124868982045869</v>
      </c>
      <c r="T2655" s="4" t="str">
        <f t="shared" si="3"/>
        <v/>
      </c>
      <c r="U2655" s="4">
        <f t="shared" si="4"/>
        <v>3645</v>
      </c>
    </row>
    <row r="2656" ht="15.75" customHeight="1">
      <c r="A2656" s="4" t="s">
        <v>3749</v>
      </c>
      <c r="B2656" s="4" t="s">
        <v>13</v>
      </c>
      <c r="I2656" s="4">
        <v>0.054</v>
      </c>
      <c r="J2656" s="4">
        <v>0.004</v>
      </c>
      <c r="K2656" s="6" t="b">
        <f t="shared" ref="K2656:M2656" si="2472">FALSE()</f>
        <v>0</v>
      </c>
      <c r="L2656" s="6" t="b">
        <f t="shared" si="2472"/>
        <v>0</v>
      </c>
      <c r="M2656" s="6" t="b">
        <f t="shared" si="2472"/>
        <v>0</v>
      </c>
      <c r="P2656" s="4">
        <v>0.0525924501191705</v>
      </c>
      <c r="T2656" s="4" t="str">
        <f t="shared" si="3"/>
        <v/>
      </c>
      <c r="U2656" s="4">
        <f t="shared" si="4"/>
        <v>4550</v>
      </c>
    </row>
    <row r="2657" ht="15.75" customHeight="1">
      <c r="A2657" s="4" t="s">
        <v>3750</v>
      </c>
      <c r="B2657" s="4" t="s">
        <v>13</v>
      </c>
      <c r="I2657" s="4">
        <v>0.144</v>
      </c>
      <c r="J2657" s="4">
        <v>0.019</v>
      </c>
      <c r="K2657" s="6" t="b">
        <f t="shared" ref="K2657:M2657" si="2473">FALSE()</f>
        <v>0</v>
      </c>
      <c r="L2657" s="6" t="b">
        <f t="shared" si="2473"/>
        <v>0</v>
      </c>
      <c r="M2657" s="6" t="b">
        <f t="shared" si="2473"/>
        <v>0</v>
      </c>
      <c r="P2657" s="4">
        <v>0.134530892957606</v>
      </c>
      <c r="T2657" s="4" t="str">
        <f t="shared" si="3"/>
        <v/>
      </c>
      <c r="U2657" s="4">
        <f t="shared" si="4"/>
        <v>3443</v>
      </c>
    </row>
    <row r="2658" ht="15.75" customHeight="1">
      <c r="A2658" s="4" t="s">
        <v>3751</v>
      </c>
      <c r="B2658" s="4" t="s">
        <v>13</v>
      </c>
      <c r="I2658" s="4">
        <v>0.16</v>
      </c>
      <c r="J2658" s="4">
        <v>0.014</v>
      </c>
      <c r="K2658" s="6" t="b">
        <f t="shared" ref="K2658:M2658" si="2474">FALSE()</f>
        <v>0</v>
      </c>
      <c r="L2658" s="6" t="b">
        <f t="shared" si="2474"/>
        <v>0</v>
      </c>
      <c r="M2658" s="6" t="b">
        <f t="shared" si="2474"/>
        <v>0</v>
      </c>
      <c r="P2658" s="4">
        <v>0.148420005118273</v>
      </c>
      <c r="T2658" s="4" t="str">
        <f t="shared" si="3"/>
        <v/>
      </c>
      <c r="U2658" s="4">
        <f t="shared" si="4"/>
        <v>3175</v>
      </c>
    </row>
    <row r="2659" ht="15.75" customHeight="1">
      <c r="A2659" s="4" t="s">
        <v>3752</v>
      </c>
      <c r="B2659" s="4" t="s">
        <v>13</v>
      </c>
      <c r="I2659" s="4">
        <v>0.136</v>
      </c>
      <c r="J2659" s="4">
        <v>0.03</v>
      </c>
      <c r="K2659" s="6" t="b">
        <f t="shared" ref="K2659:M2659" si="2475">FALSE()</f>
        <v>0</v>
      </c>
      <c r="L2659" s="6" t="b">
        <f t="shared" si="2475"/>
        <v>0</v>
      </c>
      <c r="M2659" s="6" t="b">
        <f t="shared" si="2475"/>
        <v>0</v>
      </c>
      <c r="P2659" s="4">
        <v>0.12751332029896</v>
      </c>
      <c r="T2659" s="4" t="str">
        <f t="shared" si="3"/>
        <v/>
      </c>
      <c r="U2659" s="4">
        <f t="shared" si="4"/>
        <v>3583</v>
      </c>
    </row>
    <row r="2660" ht="15.75" customHeight="1">
      <c r="A2660" s="4" t="s">
        <v>3753</v>
      </c>
      <c r="B2660" s="4" t="s">
        <v>13</v>
      </c>
      <c r="I2660" s="4">
        <v>0.119</v>
      </c>
      <c r="J2660" s="4">
        <v>0.021</v>
      </c>
      <c r="K2660" s="6" t="b">
        <f t="shared" ref="K2660:M2660" si="2476">FALSE()</f>
        <v>0</v>
      </c>
      <c r="L2660" s="6" t="b">
        <f t="shared" si="2476"/>
        <v>0</v>
      </c>
      <c r="M2660" s="6" t="b">
        <f t="shared" si="2476"/>
        <v>0</v>
      </c>
      <c r="P2660" s="4">
        <v>0.112435429329788</v>
      </c>
      <c r="T2660" s="4" t="str">
        <f t="shared" si="3"/>
        <v/>
      </c>
      <c r="U2660" s="4">
        <f t="shared" si="4"/>
        <v>3889</v>
      </c>
    </row>
    <row r="2661" ht="15.75" customHeight="1">
      <c r="A2661" s="4" t="s">
        <v>3754</v>
      </c>
      <c r="B2661" s="4" t="s">
        <v>13</v>
      </c>
      <c r="I2661" s="4">
        <v>0.068</v>
      </c>
      <c r="J2661" s="4">
        <v>0.006</v>
      </c>
      <c r="K2661" s="6" t="b">
        <f t="shared" ref="K2661:M2661" si="2477">FALSE()</f>
        <v>0</v>
      </c>
      <c r="L2661" s="6" t="b">
        <f t="shared" si="2477"/>
        <v>0</v>
      </c>
      <c r="M2661" s="6" t="b">
        <f t="shared" si="2477"/>
        <v>0</v>
      </c>
      <c r="P2661" s="4">
        <v>0.0657877405380031</v>
      </c>
      <c r="T2661" s="4" t="str">
        <f t="shared" si="3"/>
        <v/>
      </c>
      <c r="U2661" s="4">
        <f t="shared" si="4"/>
        <v>4498</v>
      </c>
    </row>
    <row r="2662" ht="15.75" customHeight="1">
      <c r="A2662" s="4" t="s">
        <v>3755</v>
      </c>
      <c r="B2662" s="4" t="s">
        <v>13</v>
      </c>
      <c r="I2662" s="4">
        <v>0.097</v>
      </c>
      <c r="J2662" s="4">
        <v>0.015</v>
      </c>
      <c r="K2662" s="6" t="b">
        <f t="shared" ref="K2662:M2662" si="2478">FALSE()</f>
        <v>0</v>
      </c>
      <c r="L2662" s="6" t="b">
        <f t="shared" si="2478"/>
        <v>0</v>
      </c>
      <c r="M2662" s="6" t="b">
        <f t="shared" si="2478"/>
        <v>0</v>
      </c>
      <c r="P2662" s="4">
        <v>0.0925791812930932</v>
      </c>
      <c r="T2662" s="4" t="str">
        <f t="shared" si="3"/>
        <v/>
      </c>
      <c r="U2662" s="4">
        <f t="shared" si="4"/>
        <v>4258</v>
      </c>
    </row>
    <row r="2663" ht="15.75" customHeight="1">
      <c r="A2663" s="4" t="s">
        <v>3756</v>
      </c>
      <c r="B2663" s="4" t="s">
        <v>13</v>
      </c>
      <c r="I2663" s="4">
        <v>0.189</v>
      </c>
      <c r="J2663" s="4">
        <v>0.032</v>
      </c>
      <c r="K2663" s="6" t="b">
        <f t="shared" ref="K2663:M2663" si="2479">FALSE()</f>
        <v>0</v>
      </c>
      <c r="L2663" s="6" t="b">
        <f t="shared" si="2479"/>
        <v>0</v>
      </c>
      <c r="M2663" s="6" t="b">
        <f t="shared" si="2479"/>
        <v>0</v>
      </c>
      <c r="P2663" s="4">
        <v>0.173112617708645</v>
      </c>
      <c r="T2663" s="4" t="str">
        <f t="shared" si="3"/>
        <v/>
      </c>
      <c r="U2663" s="4">
        <f t="shared" si="4"/>
        <v>2755</v>
      </c>
    </row>
    <row r="2664" ht="15.75" customHeight="1">
      <c r="A2664" s="4" t="s">
        <v>3757</v>
      </c>
      <c r="B2664" s="4" t="s">
        <v>13</v>
      </c>
      <c r="I2664" s="4">
        <v>0.17</v>
      </c>
      <c r="J2664" s="4">
        <v>0.027</v>
      </c>
      <c r="K2664" s="6" t="b">
        <f t="shared" ref="K2664:M2664" si="2480">FALSE()</f>
        <v>0</v>
      </c>
      <c r="L2664" s="6" t="b">
        <f t="shared" si="2480"/>
        <v>0</v>
      </c>
      <c r="M2664" s="6" t="b">
        <f t="shared" si="2480"/>
        <v>0</v>
      </c>
      <c r="P2664" s="4">
        <v>0.157003748809665</v>
      </c>
      <c r="T2664" s="4" t="str">
        <f t="shared" si="3"/>
        <v/>
      </c>
      <c r="U2664" s="4">
        <f t="shared" si="4"/>
        <v>3043</v>
      </c>
    </row>
    <row r="2665" ht="15.75" customHeight="1">
      <c r="A2665" s="4" t="s">
        <v>3758</v>
      </c>
      <c r="B2665" s="4" t="s">
        <v>13</v>
      </c>
      <c r="I2665" s="4">
        <v>0.0384</v>
      </c>
      <c r="J2665" s="4">
        <v>0.0045</v>
      </c>
      <c r="K2665" s="6" t="b">
        <f t="shared" ref="K2665:M2665" si="2481">FALSE()</f>
        <v>0</v>
      </c>
      <c r="L2665" s="6" t="b">
        <f t="shared" si="2481"/>
        <v>0</v>
      </c>
      <c r="M2665" s="6" t="b">
        <f t="shared" si="2481"/>
        <v>0</v>
      </c>
      <c r="P2665" s="4">
        <v>0.0376810669676884</v>
      </c>
      <c r="T2665" s="4" t="str">
        <f t="shared" si="3"/>
        <v/>
      </c>
      <c r="U2665" s="4">
        <f t="shared" si="4"/>
        <v>4565</v>
      </c>
    </row>
    <row r="2666" ht="15.75" customHeight="1">
      <c r="A2666" s="4" t="s">
        <v>3759</v>
      </c>
      <c r="B2666" s="4" t="s">
        <v>13</v>
      </c>
      <c r="I2666" s="4">
        <v>0.102</v>
      </c>
      <c r="J2666" s="4">
        <v>0.013</v>
      </c>
      <c r="K2666" s="6" t="b">
        <f t="shared" ref="K2666:M2666" si="2482">FALSE()</f>
        <v>0</v>
      </c>
      <c r="L2666" s="6" t="b">
        <f t="shared" si="2482"/>
        <v>0</v>
      </c>
      <c r="M2666" s="6" t="b">
        <f t="shared" si="2482"/>
        <v>0</v>
      </c>
      <c r="P2666" s="4">
        <v>0.0971267107307227</v>
      </c>
      <c r="T2666" s="4" t="str">
        <f t="shared" si="3"/>
        <v/>
      </c>
      <c r="U2666" s="4">
        <f t="shared" si="4"/>
        <v>4190</v>
      </c>
    </row>
    <row r="2667" ht="15.75" customHeight="1">
      <c r="A2667" s="4" t="s">
        <v>3760</v>
      </c>
      <c r="B2667" s="4" t="s">
        <v>13</v>
      </c>
      <c r="I2667" s="4">
        <v>0.113</v>
      </c>
      <c r="J2667" s="4">
        <v>0.017</v>
      </c>
      <c r="K2667" s="6" t="b">
        <f t="shared" ref="K2667:M2667" si="2483">FALSE()</f>
        <v>0</v>
      </c>
      <c r="L2667" s="6" t="b">
        <f t="shared" si="2483"/>
        <v>0</v>
      </c>
      <c r="M2667" s="6" t="b">
        <f t="shared" si="2483"/>
        <v>0</v>
      </c>
      <c r="P2667" s="4">
        <v>0.107059072293408</v>
      </c>
      <c r="T2667" s="4" t="str">
        <f t="shared" si="3"/>
        <v/>
      </c>
      <c r="U2667" s="4">
        <f t="shared" si="4"/>
        <v>3992</v>
      </c>
    </row>
    <row r="2668" ht="15.75" customHeight="1">
      <c r="A2668" s="4" t="s">
        <v>3761</v>
      </c>
      <c r="B2668" s="4" t="s">
        <v>13</v>
      </c>
      <c r="I2668" s="4">
        <v>0.137</v>
      </c>
      <c r="J2668" s="4">
        <v>0.025</v>
      </c>
      <c r="K2668" s="6" t="b">
        <f t="shared" ref="K2668:M2668" si="2484">FALSE()</f>
        <v>0</v>
      </c>
      <c r="L2668" s="6" t="b">
        <f t="shared" si="2484"/>
        <v>0</v>
      </c>
      <c r="M2668" s="6" t="b">
        <f t="shared" si="2484"/>
        <v>0</v>
      </c>
      <c r="P2668" s="4">
        <v>0.128393214768399</v>
      </c>
      <c r="T2668" s="4" t="str">
        <f t="shared" si="3"/>
        <v/>
      </c>
      <c r="U2668" s="4">
        <f t="shared" si="4"/>
        <v>3561</v>
      </c>
    </row>
    <row r="2669" ht="15.75" customHeight="1">
      <c r="A2669" s="4" t="s">
        <v>3762</v>
      </c>
      <c r="B2669" s="4" t="s">
        <v>13</v>
      </c>
      <c r="I2669" s="4">
        <v>0.283</v>
      </c>
      <c r="J2669" s="4">
        <v>0.025</v>
      </c>
      <c r="K2669" s="6" t="b">
        <f t="shared" ref="K2669:M2669" si="2485">FALSE()</f>
        <v>0</v>
      </c>
      <c r="L2669" s="6" t="b">
        <f t="shared" si="2485"/>
        <v>0</v>
      </c>
      <c r="M2669" s="6" t="b">
        <f t="shared" si="2485"/>
        <v>0</v>
      </c>
      <c r="P2669" s="4">
        <v>0.249201085633499</v>
      </c>
      <c r="T2669" s="4" t="str">
        <f t="shared" si="3"/>
        <v/>
      </c>
      <c r="U2669" s="4">
        <f t="shared" si="4"/>
        <v>1488</v>
      </c>
    </row>
    <row r="2670" ht="15.75" customHeight="1">
      <c r="A2670" s="4" t="s">
        <v>3763</v>
      </c>
      <c r="B2670" s="4" t="s">
        <v>13</v>
      </c>
      <c r="I2670" s="4">
        <v>0.095</v>
      </c>
      <c r="J2670" s="4">
        <v>0.011</v>
      </c>
      <c r="K2670" s="6" t="b">
        <f t="shared" ref="K2670:M2670" si="2486">FALSE()</f>
        <v>0</v>
      </c>
      <c r="L2670" s="6" t="b">
        <f t="shared" si="2486"/>
        <v>0</v>
      </c>
      <c r="M2670" s="6" t="b">
        <f t="shared" si="2486"/>
        <v>0</v>
      </c>
      <c r="P2670" s="4">
        <v>0.0907543632684641</v>
      </c>
      <c r="T2670" s="4" t="str">
        <f t="shared" si="3"/>
        <v/>
      </c>
      <c r="U2670" s="4">
        <f t="shared" si="4"/>
        <v>4277</v>
      </c>
    </row>
    <row r="2671" ht="15.75" customHeight="1">
      <c r="A2671" s="4" t="s">
        <v>3764</v>
      </c>
      <c r="B2671" s="4" t="s">
        <v>13</v>
      </c>
      <c r="I2671" s="4">
        <v>0.11</v>
      </c>
      <c r="J2671" s="4">
        <v>0.009</v>
      </c>
      <c r="K2671" s="6" t="b">
        <f t="shared" ref="K2671:M2671" si="2487">FALSE()</f>
        <v>0</v>
      </c>
      <c r="L2671" s="6" t="b">
        <f t="shared" si="2487"/>
        <v>0</v>
      </c>
      <c r="M2671" s="6" t="b">
        <f t="shared" si="2487"/>
        <v>0</v>
      </c>
      <c r="P2671" s="4">
        <v>0.104360015324243</v>
      </c>
      <c r="T2671" s="4" t="str">
        <f t="shared" si="3"/>
        <v/>
      </c>
      <c r="U2671" s="4">
        <f t="shared" si="4"/>
        <v>4046</v>
      </c>
    </row>
    <row r="2672" ht="15.75" customHeight="1">
      <c r="A2672" s="4" t="s">
        <v>3765</v>
      </c>
      <c r="B2672" s="4" t="s">
        <v>13</v>
      </c>
      <c r="I2672" s="4">
        <v>0.17</v>
      </c>
      <c r="J2672" s="4">
        <v>0.015</v>
      </c>
      <c r="K2672" s="6" t="b">
        <f t="shared" ref="K2672:M2672" si="2488">FALSE()</f>
        <v>0</v>
      </c>
      <c r="L2672" s="6" t="b">
        <f t="shared" si="2488"/>
        <v>0</v>
      </c>
      <c r="M2672" s="6" t="b">
        <f t="shared" si="2488"/>
        <v>0</v>
      </c>
      <c r="P2672" s="4">
        <v>0.157003748809665</v>
      </c>
      <c r="T2672" s="4" t="str">
        <f t="shared" si="3"/>
        <v/>
      </c>
      <c r="U2672" s="4">
        <f t="shared" si="4"/>
        <v>3044</v>
      </c>
    </row>
    <row r="2673" ht="15.75" customHeight="1">
      <c r="A2673" s="4" t="s">
        <v>3766</v>
      </c>
      <c r="B2673" s="4" t="s">
        <v>13</v>
      </c>
      <c r="I2673" s="4">
        <v>0.095</v>
      </c>
      <c r="J2673" s="4">
        <v>0.015</v>
      </c>
      <c r="K2673" s="6" t="b">
        <f t="shared" ref="K2673:M2673" si="2489">FALSE()</f>
        <v>0</v>
      </c>
      <c r="L2673" s="6" t="b">
        <f t="shared" si="2489"/>
        <v>0</v>
      </c>
      <c r="M2673" s="6" t="b">
        <f t="shared" si="2489"/>
        <v>0</v>
      </c>
      <c r="P2673" s="4">
        <v>0.0907543632684641</v>
      </c>
      <c r="T2673" s="4" t="str">
        <f t="shared" si="3"/>
        <v/>
      </c>
      <c r="U2673" s="4">
        <f t="shared" si="4"/>
        <v>4278</v>
      </c>
    </row>
    <row r="2674" ht="15.75" customHeight="1">
      <c r="A2674" s="4" t="s">
        <v>3767</v>
      </c>
      <c r="B2674" s="4" t="s">
        <v>13</v>
      </c>
      <c r="I2674" s="4">
        <v>0.085</v>
      </c>
      <c r="J2674" s="4">
        <v>0.009</v>
      </c>
      <c r="K2674" s="6" t="b">
        <f t="shared" ref="K2674:M2674" si="2490">FALSE()</f>
        <v>0</v>
      </c>
      <c r="L2674" s="6" t="b">
        <f t="shared" si="2490"/>
        <v>0</v>
      </c>
      <c r="M2674" s="6" t="b">
        <f t="shared" si="2490"/>
        <v>0</v>
      </c>
      <c r="P2674" s="4">
        <v>0.0815799869924228</v>
      </c>
      <c r="T2674" s="4" t="str">
        <f t="shared" si="3"/>
        <v/>
      </c>
      <c r="U2674" s="4">
        <f t="shared" si="4"/>
        <v>4377</v>
      </c>
    </row>
    <row r="2675" ht="15.75" customHeight="1">
      <c r="A2675" s="4" t="s">
        <v>3768</v>
      </c>
      <c r="B2675" s="4" t="s">
        <v>13</v>
      </c>
      <c r="I2675" s="4">
        <v>0.145</v>
      </c>
      <c r="J2675" s="4">
        <v>0.021</v>
      </c>
      <c r="K2675" s="6" t="b">
        <f t="shared" ref="K2675:M2675" si="2491">FALSE()</f>
        <v>0</v>
      </c>
      <c r="L2675" s="6" t="b">
        <f t="shared" si="2491"/>
        <v>0</v>
      </c>
      <c r="M2675" s="6" t="b">
        <f t="shared" si="2491"/>
        <v>0</v>
      </c>
      <c r="P2675" s="4">
        <v>0.135404637006203</v>
      </c>
      <c r="T2675" s="4" t="str">
        <f t="shared" si="3"/>
        <v/>
      </c>
      <c r="U2675" s="4">
        <f t="shared" si="4"/>
        <v>3413</v>
      </c>
    </row>
    <row r="2676" ht="15.75" customHeight="1">
      <c r="A2676" s="4" t="s">
        <v>3769</v>
      </c>
      <c r="B2676" s="4" t="s">
        <v>13</v>
      </c>
      <c r="I2676" s="4">
        <v>0.212</v>
      </c>
      <c r="J2676" s="4">
        <v>0.016</v>
      </c>
      <c r="K2676" s="6" t="b">
        <f t="shared" ref="K2676:M2676" si="2492">FALSE()</f>
        <v>0</v>
      </c>
      <c r="L2676" s="6" t="b">
        <f t="shared" si="2492"/>
        <v>0</v>
      </c>
      <c r="M2676" s="6" t="b">
        <f t="shared" si="2492"/>
        <v>0</v>
      </c>
      <c r="P2676" s="4">
        <v>0.192271887647123</v>
      </c>
      <c r="T2676" s="4" t="str">
        <f t="shared" si="3"/>
        <v/>
      </c>
      <c r="U2676" s="4">
        <f t="shared" si="4"/>
        <v>2378</v>
      </c>
    </row>
    <row r="2677" ht="15.75" customHeight="1">
      <c r="A2677" s="4" t="s">
        <v>3770</v>
      </c>
      <c r="B2677" s="4" t="s">
        <v>13</v>
      </c>
      <c r="I2677" s="4">
        <v>0.304</v>
      </c>
      <c r="J2677" s="4">
        <v>0.025</v>
      </c>
      <c r="K2677" s="6" t="b">
        <f t="shared" ref="K2677:M2677" si="2493">FALSE()</f>
        <v>0</v>
      </c>
      <c r="L2677" s="6" t="b">
        <f t="shared" si="2493"/>
        <v>0</v>
      </c>
      <c r="M2677" s="6" t="b">
        <f t="shared" si="2493"/>
        <v>0</v>
      </c>
      <c r="P2677" s="4">
        <v>0.265436463504461</v>
      </c>
      <c r="T2677" s="4" t="str">
        <f t="shared" si="3"/>
        <v/>
      </c>
      <c r="U2677" s="4">
        <f t="shared" si="4"/>
        <v>1352</v>
      </c>
    </row>
    <row r="2678" ht="15.75" customHeight="1">
      <c r="A2678" s="4" t="s">
        <v>784</v>
      </c>
      <c r="B2678" s="4" t="s">
        <v>13</v>
      </c>
      <c r="C2678" s="4">
        <v>0.66</v>
      </c>
      <c r="D2678" s="4">
        <v>0.09</v>
      </c>
      <c r="E2678" s="4">
        <v>0.09</v>
      </c>
      <c r="I2678" s="4">
        <v>0.96</v>
      </c>
      <c r="J2678" s="4">
        <v>0.07</v>
      </c>
      <c r="K2678" s="6" t="b">
        <f t="shared" ref="K2678:L2678" si="2494">FALSE()</f>
        <v>0</v>
      </c>
      <c r="L2678" s="6" t="b">
        <f t="shared" si="2494"/>
        <v>0</v>
      </c>
      <c r="M2678" s="6" t="b">
        <f>TRUE()</f>
        <v>1</v>
      </c>
      <c r="N2678" s="4">
        <v>0.506817602368452</v>
      </c>
      <c r="P2678" s="4">
        <v>0.672944473242426</v>
      </c>
      <c r="T2678" s="4">
        <f t="shared" si="3"/>
        <v>851</v>
      </c>
      <c r="U2678" s="4">
        <f t="shared" si="4"/>
        <v>710</v>
      </c>
    </row>
    <row r="2679" ht="15.75" customHeight="1">
      <c r="A2679" s="4" t="s">
        <v>3771</v>
      </c>
      <c r="B2679" s="4" t="s">
        <v>13</v>
      </c>
      <c r="I2679" s="4">
        <v>0.279</v>
      </c>
      <c r="J2679" s="4">
        <v>0.015</v>
      </c>
      <c r="K2679" s="6" t="b">
        <f t="shared" ref="K2679:M2679" si="2495">FALSE()</f>
        <v>0</v>
      </c>
      <c r="L2679" s="6" t="b">
        <f t="shared" si="2495"/>
        <v>0</v>
      </c>
      <c r="M2679" s="6" t="b">
        <f t="shared" si="2495"/>
        <v>0</v>
      </c>
      <c r="P2679" s="4">
        <v>0.246078522596706</v>
      </c>
      <c r="T2679" s="4" t="str">
        <f t="shared" si="3"/>
        <v/>
      </c>
      <c r="U2679" s="4">
        <f t="shared" si="4"/>
        <v>1510</v>
      </c>
    </row>
    <row r="2680" ht="15.75" customHeight="1">
      <c r="A2680" s="4" t="s">
        <v>3772</v>
      </c>
      <c r="B2680" s="4" t="s">
        <v>13</v>
      </c>
      <c r="I2680" s="4">
        <v>0.17326</v>
      </c>
      <c r="K2680" s="6" t="b">
        <f t="shared" ref="K2680:M2680" si="2496">FALSE()</f>
        <v>0</v>
      </c>
      <c r="L2680" s="6" t="b">
        <f t="shared" si="2496"/>
        <v>0</v>
      </c>
      <c r="M2680" s="6" t="b">
        <f t="shared" si="2496"/>
        <v>0</v>
      </c>
      <c r="P2680" s="4">
        <v>0.15978619898869</v>
      </c>
      <c r="T2680" s="4" t="str">
        <f t="shared" si="3"/>
        <v/>
      </c>
      <c r="U2680" s="4">
        <f t="shared" si="4"/>
        <v>3000</v>
      </c>
    </row>
    <row r="2681" ht="15.75" customHeight="1">
      <c r="A2681" s="4" t="s">
        <v>3773</v>
      </c>
      <c r="B2681" s="4" t="s">
        <v>13</v>
      </c>
      <c r="I2681" s="4">
        <v>0.073</v>
      </c>
      <c r="J2681" s="4">
        <v>0.01</v>
      </c>
      <c r="K2681" s="6" t="b">
        <f t="shared" ref="K2681:M2681" si="2497">FALSE()</f>
        <v>0</v>
      </c>
      <c r="L2681" s="6" t="b">
        <f t="shared" si="2497"/>
        <v>0</v>
      </c>
      <c r="M2681" s="6" t="b">
        <f t="shared" si="2497"/>
        <v>0</v>
      </c>
      <c r="P2681" s="4">
        <v>0.0704584636485614</v>
      </c>
      <c r="T2681" s="4" t="str">
        <f t="shared" si="3"/>
        <v/>
      </c>
      <c r="U2681" s="4">
        <f t="shared" si="4"/>
        <v>4467</v>
      </c>
    </row>
    <row r="2682" ht="15.75" customHeight="1">
      <c r="A2682" s="4" t="s">
        <v>3774</v>
      </c>
      <c r="B2682" s="4" t="s">
        <v>13</v>
      </c>
      <c r="I2682" s="4">
        <v>0.12</v>
      </c>
      <c r="J2682" s="4">
        <v>0.021</v>
      </c>
      <c r="K2682" s="6" t="b">
        <f t="shared" ref="K2682:M2682" si="2498">FALSE()</f>
        <v>0</v>
      </c>
      <c r="L2682" s="6" t="b">
        <f t="shared" si="2498"/>
        <v>0</v>
      </c>
      <c r="M2682" s="6" t="b">
        <f t="shared" si="2498"/>
        <v>0</v>
      </c>
      <c r="P2682" s="4">
        <v>0.113328685307003</v>
      </c>
      <c r="T2682" s="4" t="str">
        <f t="shared" si="3"/>
        <v/>
      </c>
      <c r="U2682" s="4">
        <f t="shared" si="4"/>
        <v>3864</v>
      </c>
    </row>
    <row r="2683" ht="15.75" customHeight="1">
      <c r="A2683" s="4" t="s">
        <v>3775</v>
      </c>
      <c r="B2683" s="4" t="s">
        <v>13</v>
      </c>
      <c r="I2683" s="4">
        <v>0.115</v>
      </c>
      <c r="J2683" s="4">
        <v>0.017</v>
      </c>
      <c r="K2683" s="6" t="b">
        <f t="shared" ref="K2683:M2683" si="2499">FALSE()</f>
        <v>0</v>
      </c>
      <c r="L2683" s="6" t="b">
        <f t="shared" si="2499"/>
        <v>0</v>
      </c>
      <c r="M2683" s="6" t="b">
        <f t="shared" si="2499"/>
        <v>0</v>
      </c>
      <c r="P2683" s="4">
        <v>0.108854404912082</v>
      </c>
      <c r="T2683" s="4" t="str">
        <f t="shared" si="3"/>
        <v/>
      </c>
      <c r="U2683" s="4">
        <f t="shared" si="4"/>
        <v>3966</v>
      </c>
    </row>
    <row r="2684" ht="15.75" customHeight="1">
      <c r="A2684" s="4" t="s">
        <v>3776</v>
      </c>
      <c r="B2684" s="4" t="s">
        <v>13</v>
      </c>
      <c r="I2684" s="4">
        <v>0.126</v>
      </c>
      <c r="J2684" s="4">
        <v>0.01</v>
      </c>
      <c r="K2684" s="6" t="b">
        <f t="shared" ref="K2684:M2684" si="2500">FALSE()</f>
        <v>0</v>
      </c>
      <c r="L2684" s="6" t="b">
        <f t="shared" si="2500"/>
        <v>0</v>
      </c>
      <c r="M2684" s="6" t="b">
        <f t="shared" si="2500"/>
        <v>0</v>
      </c>
      <c r="P2684" s="4">
        <v>0.118671529717499</v>
      </c>
      <c r="T2684" s="4" t="str">
        <f t="shared" si="3"/>
        <v/>
      </c>
      <c r="U2684" s="4">
        <f t="shared" si="4"/>
        <v>3766</v>
      </c>
    </row>
    <row r="2685" ht="15.75" customHeight="1">
      <c r="A2685" s="4" t="s">
        <v>3777</v>
      </c>
      <c r="B2685" s="4" t="s">
        <v>13</v>
      </c>
      <c r="I2685" s="4">
        <v>0.096</v>
      </c>
      <c r="J2685" s="4">
        <v>0.007</v>
      </c>
      <c r="K2685" s="6" t="b">
        <f t="shared" ref="K2685:M2685" si="2501">FALSE()</f>
        <v>0</v>
      </c>
      <c r="L2685" s="6" t="b">
        <f t="shared" si="2501"/>
        <v>0</v>
      </c>
      <c r="M2685" s="6" t="b">
        <f t="shared" si="2501"/>
        <v>0</v>
      </c>
      <c r="P2685" s="4">
        <v>0.0916671885258238</v>
      </c>
      <c r="T2685" s="4" t="str">
        <f t="shared" si="3"/>
        <v/>
      </c>
      <c r="U2685" s="4">
        <f t="shared" si="4"/>
        <v>4266</v>
      </c>
    </row>
    <row r="2686" ht="15.75" customHeight="1">
      <c r="A2686" s="4" t="s">
        <v>3778</v>
      </c>
      <c r="B2686" s="4" t="s">
        <v>13</v>
      </c>
      <c r="I2686" s="4">
        <v>0.185</v>
      </c>
      <c r="J2686" s="4">
        <v>0.013</v>
      </c>
      <c r="K2686" s="6" t="b">
        <f t="shared" ref="K2686:M2686" si="2502">FALSE()</f>
        <v>0</v>
      </c>
      <c r="L2686" s="6" t="b">
        <f t="shared" si="2502"/>
        <v>0</v>
      </c>
      <c r="M2686" s="6" t="b">
        <f t="shared" si="2502"/>
        <v>0</v>
      </c>
      <c r="P2686" s="4">
        <v>0.169742774587095</v>
      </c>
      <c r="T2686" s="4" t="str">
        <f t="shared" si="3"/>
        <v/>
      </c>
      <c r="U2686" s="4">
        <f t="shared" si="4"/>
        <v>2825</v>
      </c>
    </row>
    <row r="2687" ht="15.75" customHeight="1">
      <c r="A2687" s="4" t="s">
        <v>3779</v>
      </c>
      <c r="B2687" s="4" t="s">
        <v>13</v>
      </c>
      <c r="I2687" s="4">
        <v>0.082</v>
      </c>
      <c r="J2687" s="4">
        <v>0.012</v>
      </c>
      <c r="K2687" s="6" t="b">
        <f t="shared" ref="K2687:M2687" si="2503">FALSE()</f>
        <v>0</v>
      </c>
      <c r="L2687" s="6" t="b">
        <f t="shared" si="2503"/>
        <v>0</v>
      </c>
      <c r="M2687" s="6" t="b">
        <f t="shared" si="2503"/>
        <v>0</v>
      </c>
      <c r="P2687" s="4">
        <v>0.0788111804242897</v>
      </c>
      <c r="T2687" s="4" t="str">
        <f t="shared" si="3"/>
        <v/>
      </c>
      <c r="U2687" s="4">
        <f t="shared" si="4"/>
        <v>4401</v>
      </c>
    </row>
    <row r="2688" ht="15.75" customHeight="1">
      <c r="A2688" s="4" t="s">
        <v>3780</v>
      </c>
      <c r="B2688" s="4" t="s">
        <v>13</v>
      </c>
      <c r="I2688" s="4">
        <v>0.154</v>
      </c>
      <c r="J2688" s="4">
        <v>0.017</v>
      </c>
      <c r="K2688" s="6" t="b">
        <f t="shared" ref="K2688:M2688" si="2504">FALSE()</f>
        <v>0</v>
      </c>
      <c r="L2688" s="6" t="b">
        <f t="shared" si="2504"/>
        <v>0</v>
      </c>
      <c r="M2688" s="6" t="b">
        <f t="shared" si="2504"/>
        <v>0</v>
      </c>
      <c r="P2688" s="4">
        <v>0.143234168085908</v>
      </c>
      <c r="T2688" s="4" t="str">
        <f t="shared" si="3"/>
        <v/>
      </c>
      <c r="U2688" s="4">
        <f t="shared" si="4"/>
        <v>3260</v>
      </c>
    </row>
    <row r="2689" ht="15.75" customHeight="1">
      <c r="A2689" s="4" t="s">
        <v>3781</v>
      </c>
      <c r="B2689" s="4" t="s">
        <v>13</v>
      </c>
      <c r="I2689" s="4">
        <v>0.198</v>
      </c>
      <c r="J2689" s="4">
        <v>0.029</v>
      </c>
      <c r="K2689" s="6" t="b">
        <f t="shared" ref="K2689:M2689" si="2505">FALSE()</f>
        <v>0</v>
      </c>
      <c r="L2689" s="6" t="b">
        <f t="shared" si="2505"/>
        <v>0</v>
      </c>
      <c r="M2689" s="6" t="b">
        <f t="shared" si="2505"/>
        <v>0</v>
      </c>
      <c r="P2689" s="4">
        <v>0.180653499693258</v>
      </c>
      <c r="T2689" s="4" t="str">
        <f t="shared" si="3"/>
        <v/>
      </c>
      <c r="U2689" s="4">
        <f t="shared" si="4"/>
        <v>2619</v>
      </c>
    </row>
    <row r="2690" ht="15.75" customHeight="1">
      <c r="A2690" s="4" t="s">
        <v>3782</v>
      </c>
      <c r="B2690" s="4" t="s">
        <v>13</v>
      </c>
      <c r="I2690" s="4">
        <v>0.153</v>
      </c>
      <c r="J2690" s="4">
        <v>0.004</v>
      </c>
      <c r="K2690" s="6" t="b">
        <f t="shared" ref="K2690:M2690" si="2506">FALSE()</f>
        <v>0</v>
      </c>
      <c r="L2690" s="6" t="b">
        <f t="shared" si="2506"/>
        <v>0</v>
      </c>
      <c r="M2690" s="6" t="b">
        <f t="shared" si="2506"/>
        <v>0</v>
      </c>
      <c r="P2690" s="4">
        <v>0.142367241286922</v>
      </c>
      <c r="T2690" s="4" t="str">
        <f t="shared" si="3"/>
        <v/>
      </c>
      <c r="U2690" s="4">
        <f t="shared" si="4"/>
        <v>3276</v>
      </c>
    </row>
    <row r="2691" ht="15.75" customHeight="1">
      <c r="A2691" s="4" t="s">
        <v>3783</v>
      </c>
      <c r="B2691" s="4" t="s">
        <v>13</v>
      </c>
      <c r="I2691" s="4">
        <v>0.335</v>
      </c>
      <c r="J2691" s="4">
        <v>0.008</v>
      </c>
      <c r="K2691" s="6" t="b">
        <f t="shared" ref="K2691:M2691" si="2507">FALSE()</f>
        <v>0</v>
      </c>
      <c r="L2691" s="6" t="b">
        <f t="shared" si="2507"/>
        <v>0</v>
      </c>
      <c r="M2691" s="6" t="b">
        <f t="shared" si="2507"/>
        <v>0</v>
      </c>
      <c r="P2691" s="4">
        <v>0.288931291852213</v>
      </c>
      <c r="T2691" s="4" t="str">
        <f t="shared" si="3"/>
        <v/>
      </c>
      <c r="U2691" s="4">
        <f t="shared" si="4"/>
        <v>1246</v>
      </c>
    </row>
    <row r="2692" ht="15.75" customHeight="1">
      <c r="A2692" s="4" t="s">
        <v>3784</v>
      </c>
      <c r="B2692" s="4" t="s">
        <v>13</v>
      </c>
      <c r="C2692" s="4">
        <v>0.31463</v>
      </c>
      <c r="K2692" s="6" t="b">
        <f t="shared" ref="K2692:M2692" si="2508">FALSE()</f>
        <v>0</v>
      </c>
      <c r="L2692" s="6" t="b">
        <f t="shared" si="2508"/>
        <v>0</v>
      </c>
      <c r="M2692" s="6" t="b">
        <f t="shared" si="2508"/>
        <v>0</v>
      </c>
      <c r="N2692" s="4">
        <v>0.273555257216802</v>
      </c>
      <c r="T2692" s="4">
        <f t="shared" si="3"/>
        <v>1060</v>
      </c>
      <c r="U2692" s="4" t="str">
        <f t="shared" si="4"/>
        <v/>
      </c>
    </row>
    <row r="2693" ht="15.75" customHeight="1">
      <c r="A2693" s="4" t="s">
        <v>3785</v>
      </c>
      <c r="B2693" s="4" t="s">
        <v>13</v>
      </c>
      <c r="I2693" s="4">
        <v>0.144</v>
      </c>
      <c r="J2693" s="4">
        <v>0.012</v>
      </c>
      <c r="K2693" s="6" t="b">
        <f t="shared" ref="K2693:M2693" si="2509">FALSE()</f>
        <v>0</v>
      </c>
      <c r="L2693" s="6" t="b">
        <f t="shared" si="2509"/>
        <v>0</v>
      </c>
      <c r="M2693" s="6" t="b">
        <f t="shared" si="2509"/>
        <v>0</v>
      </c>
      <c r="P2693" s="4">
        <v>0.134530892957606</v>
      </c>
      <c r="T2693" s="4" t="str">
        <f t="shared" si="3"/>
        <v/>
      </c>
      <c r="U2693" s="4">
        <f t="shared" si="4"/>
        <v>3444</v>
      </c>
    </row>
    <row r="2694" ht="15.75" customHeight="1">
      <c r="A2694" s="4" t="s">
        <v>3786</v>
      </c>
      <c r="B2694" s="4" t="s">
        <v>13</v>
      </c>
      <c r="I2694" s="4">
        <v>0.1865</v>
      </c>
      <c r="J2694" s="4">
        <v>0.0187</v>
      </c>
      <c r="K2694" s="6" t="b">
        <f t="shared" ref="K2694:M2694" si="2510">FALSE()</f>
        <v>0</v>
      </c>
      <c r="L2694" s="6" t="b">
        <f t="shared" si="2510"/>
        <v>0</v>
      </c>
      <c r="M2694" s="6" t="b">
        <f t="shared" si="2510"/>
        <v>0</v>
      </c>
      <c r="P2694" s="4">
        <v>0.171007796893681</v>
      </c>
      <c r="T2694" s="4" t="str">
        <f t="shared" si="3"/>
        <v/>
      </c>
      <c r="U2694" s="4">
        <f t="shared" si="4"/>
        <v>2795</v>
      </c>
    </row>
    <row r="2695" ht="15.75" customHeight="1">
      <c r="A2695" s="4" t="s">
        <v>3787</v>
      </c>
      <c r="B2695" s="4" t="s">
        <v>13</v>
      </c>
      <c r="I2695" s="4">
        <v>0.072</v>
      </c>
      <c r="J2695" s="4">
        <v>0.006</v>
      </c>
      <c r="K2695" s="6" t="b">
        <f t="shared" ref="K2695:M2695" si="2511">FALSE()</f>
        <v>0</v>
      </c>
      <c r="L2695" s="6" t="b">
        <f t="shared" si="2511"/>
        <v>0</v>
      </c>
      <c r="M2695" s="6" t="b">
        <f t="shared" si="2511"/>
        <v>0</v>
      </c>
      <c r="P2695" s="4">
        <v>0.0695260626486102</v>
      </c>
      <c r="T2695" s="4" t="str">
        <f t="shared" si="3"/>
        <v/>
      </c>
      <c r="U2695" s="4">
        <f t="shared" si="4"/>
        <v>4472</v>
      </c>
    </row>
    <row r="2696" ht="15.75" customHeight="1">
      <c r="A2696" s="4" t="s">
        <v>3788</v>
      </c>
      <c r="B2696" s="4" t="s">
        <v>13</v>
      </c>
      <c r="I2696" s="4">
        <v>0.092</v>
      </c>
      <c r="J2696" s="4">
        <v>0.01</v>
      </c>
      <c r="K2696" s="6" t="b">
        <f t="shared" ref="K2696:M2696" si="2512">FALSE()</f>
        <v>0</v>
      </c>
      <c r="L2696" s="6" t="b">
        <f t="shared" si="2512"/>
        <v>0</v>
      </c>
      <c r="M2696" s="6" t="b">
        <f t="shared" si="2512"/>
        <v>0</v>
      </c>
      <c r="P2696" s="4">
        <v>0.0880108773227133</v>
      </c>
      <c r="T2696" s="4" t="str">
        <f t="shared" si="3"/>
        <v/>
      </c>
      <c r="U2696" s="4">
        <f t="shared" si="4"/>
        <v>4309</v>
      </c>
    </row>
    <row r="2697" ht="15.75" customHeight="1">
      <c r="A2697" s="4" t="s">
        <v>3789</v>
      </c>
      <c r="B2697" s="4" t="s">
        <v>13</v>
      </c>
      <c r="I2697" s="4">
        <v>0.186</v>
      </c>
      <c r="J2697" s="4">
        <v>0.045</v>
      </c>
      <c r="K2697" s="6" t="b">
        <f t="shared" ref="K2697:M2697" si="2513">FALSE()</f>
        <v>0</v>
      </c>
      <c r="L2697" s="6" t="b">
        <f t="shared" si="2513"/>
        <v>0</v>
      </c>
      <c r="M2697" s="6" t="b">
        <f t="shared" si="2513"/>
        <v>0</v>
      </c>
      <c r="P2697" s="4">
        <v>0.170586300575534</v>
      </c>
      <c r="T2697" s="4" t="str">
        <f t="shared" si="3"/>
        <v/>
      </c>
      <c r="U2697" s="4">
        <f t="shared" si="4"/>
        <v>2804</v>
      </c>
    </row>
    <row r="2698" ht="15.75" customHeight="1">
      <c r="A2698" s="4" t="s">
        <v>3790</v>
      </c>
      <c r="B2698" s="4" t="s">
        <v>13</v>
      </c>
      <c r="I2698" s="4">
        <v>0.133</v>
      </c>
      <c r="J2698" s="4">
        <v>0.013</v>
      </c>
      <c r="K2698" s="6" t="b">
        <f t="shared" ref="K2698:M2698" si="2514">FALSE()</f>
        <v>0</v>
      </c>
      <c r="L2698" s="6" t="b">
        <f t="shared" si="2514"/>
        <v>0</v>
      </c>
      <c r="M2698" s="6" t="b">
        <f t="shared" si="2514"/>
        <v>0</v>
      </c>
      <c r="P2698" s="4">
        <v>0.124868982045869</v>
      </c>
      <c r="T2698" s="4" t="str">
        <f t="shared" si="3"/>
        <v/>
      </c>
      <c r="U2698" s="4">
        <f t="shared" si="4"/>
        <v>3646</v>
      </c>
    </row>
    <row r="2699" ht="15.75" customHeight="1">
      <c r="A2699" s="4" t="s">
        <v>3791</v>
      </c>
      <c r="B2699" s="4" t="s">
        <v>13</v>
      </c>
      <c r="I2699" s="4">
        <v>0.184</v>
      </c>
      <c r="J2699" s="4">
        <v>0.052</v>
      </c>
      <c r="K2699" s="6" t="b">
        <f t="shared" ref="K2699:M2699" si="2515">FALSE()</f>
        <v>0</v>
      </c>
      <c r="L2699" s="6" t="b">
        <f t="shared" si="2515"/>
        <v>0</v>
      </c>
      <c r="M2699" s="6" t="b">
        <f t="shared" si="2515"/>
        <v>0</v>
      </c>
      <c r="P2699" s="4">
        <v>0.168898536461814</v>
      </c>
      <c r="T2699" s="4" t="str">
        <f t="shared" si="3"/>
        <v/>
      </c>
      <c r="U2699" s="4">
        <f t="shared" si="4"/>
        <v>2836</v>
      </c>
    </row>
    <row r="2700" ht="15.75" customHeight="1">
      <c r="A2700" s="4" t="s">
        <v>3792</v>
      </c>
      <c r="B2700" s="4" t="s">
        <v>13</v>
      </c>
      <c r="I2700" s="4">
        <v>0.091</v>
      </c>
      <c r="J2700" s="4">
        <v>0.013</v>
      </c>
      <c r="K2700" s="6" t="b">
        <f t="shared" ref="K2700:M2700" si="2516">FALSE()</f>
        <v>0</v>
      </c>
      <c r="L2700" s="6" t="b">
        <f t="shared" si="2516"/>
        <v>0</v>
      </c>
      <c r="M2700" s="6" t="b">
        <f t="shared" si="2516"/>
        <v>0</v>
      </c>
      <c r="P2700" s="4">
        <v>0.0870947068509337</v>
      </c>
      <c r="T2700" s="4" t="str">
        <f t="shared" si="3"/>
        <v/>
      </c>
      <c r="U2700" s="4">
        <f t="shared" si="4"/>
        <v>4320</v>
      </c>
    </row>
    <row r="2701" ht="15.75" customHeight="1">
      <c r="A2701" s="4" t="s">
        <v>3793</v>
      </c>
      <c r="B2701" s="4" t="s">
        <v>13</v>
      </c>
      <c r="I2701" s="4">
        <v>0.107</v>
      </c>
      <c r="J2701" s="4">
        <v>0.014</v>
      </c>
      <c r="K2701" s="6" t="b">
        <f t="shared" ref="K2701:M2701" si="2517">FALSE()</f>
        <v>0</v>
      </c>
      <c r="L2701" s="6" t="b">
        <f t="shared" si="2517"/>
        <v>0</v>
      </c>
      <c r="M2701" s="6" t="b">
        <f t="shared" si="2517"/>
        <v>0</v>
      </c>
      <c r="P2701" s="4">
        <v>0.1016536537265</v>
      </c>
      <c r="T2701" s="4" t="str">
        <f t="shared" si="3"/>
        <v/>
      </c>
      <c r="U2701" s="4">
        <f t="shared" si="4"/>
        <v>4097</v>
      </c>
    </row>
    <row r="2702" ht="15.75" customHeight="1">
      <c r="A2702" s="4" t="s">
        <v>3794</v>
      </c>
      <c r="B2702" s="4" t="s">
        <v>13</v>
      </c>
      <c r="I2702" s="4">
        <v>0.112</v>
      </c>
      <c r="J2702" s="4">
        <v>0.021</v>
      </c>
      <c r="K2702" s="6" t="b">
        <f t="shared" ref="K2702:M2702" si="2518">FALSE()</f>
        <v>0</v>
      </c>
      <c r="L2702" s="6" t="b">
        <f t="shared" si="2518"/>
        <v>0</v>
      </c>
      <c r="M2702" s="6" t="b">
        <f t="shared" si="2518"/>
        <v>0</v>
      </c>
      <c r="P2702" s="4">
        <v>0.106160195828391</v>
      </c>
      <c r="T2702" s="4" t="str">
        <f t="shared" si="3"/>
        <v/>
      </c>
      <c r="U2702" s="4">
        <f t="shared" si="4"/>
        <v>4012</v>
      </c>
    </row>
    <row r="2703" ht="15.75" customHeight="1">
      <c r="A2703" s="4" t="s">
        <v>3795</v>
      </c>
      <c r="B2703" s="4" t="s">
        <v>13</v>
      </c>
      <c r="I2703" s="4">
        <v>0.068</v>
      </c>
      <c r="J2703" s="4">
        <v>0.007</v>
      </c>
      <c r="K2703" s="6" t="b">
        <f t="shared" ref="K2703:M2703" si="2519">FALSE()</f>
        <v>0</v>
      </c>
      <c r="L2703" s="6" t="b">
        <f t="shared" si="2519"/>
        <v>0</v>
      </c>
      <c r="M2703" s="6" t="b">
        <f t="shared" si="2519"/>
        <v>0</v>
      </c>
      <c r="P2703" s="4">
        <v>0.0657877405380031</v>
      </c>
      <c r="T2703" s="4" t="str">
        <f t="shared" si="3"/>
        <v/>
      </c>
      <c r="U2703" s="4">
        <f t="shared" si="4"/>
        <v>4499</v>
      </c>
    </row>
    <row r="2704" ht="15.75" customHeight="1">
      <c r="A2704" s="4" t="s">
        <v>3796</v>
      </c>
      <c r="B2704" s="4" t="s">
        <v>13</v>
      </c>
      <c r="I2704" s="4">
        <v>0.189</v>
      </c>
      <c r="J2704" s="4">
        <v>0.012</v>
      </c>
      <c r="K2704" s="6" t="b">
        <f t="shared" ref="K2704:M2704" si="2520">FALSE()</f>
        <v>0</v>
      </c>
      <c r="L2704" s="6" t="b">
        <f t="shared" si="2520"/>
        <v>0</v>
      </c>
      <c r="M2704" s="6" t="b">
        <f t="shared" si="2520"/>
        <v>0</v>
      </c>
      <c r="P2704" s="4">
        <v>0.173112617708645</v>
      </c>
      <c r="T2704" s="4" t="str">
        <f t="shared" si="3"/>
        <v/>
      </c>
      <c r="U2704" s="4">
        <f t="shared" si="4"/>
        <v>2756</v>
      </c>
    </row>
    <row r="2705" ht="15.75" customHeight="1">
      <c r="A2705" s="4" t="s">
        <v>3797</v>
      </c>
      <c r="B2705" s="4" t="s">
        <v>13</v>
      </c>
      <c r="I2705" s="4">
        <v>0.183</v>
      </c>
      <c r="J2705" s="4">
        <v>0.013</v>
      </c>
      <c r="K2705" s="6" t="b">
        <f t="shared" ref="K2705:M2705" si="2521">FALSE()</f>
        <v>0</v>
      </c>
      <c r="L2705" s="6" t="b">
        <f t="shared" si="2521"/>
        <v>0</v>
      </c>
      <c r="M2705" s="6" t="b">
        <f t="shared" si="2521"/>
        <v>0</v>
      </c>
      <c r="P2705" s="4">
        <v>0.16805358499625</v>
      </c>
      <c r="T2705" s="4" t="str">
        <f t="shared" si="3"/>
        <v/>
      </c>
      <c r="U2705" s="4">
        <f t="shared" si="4"/>
        <v>2850</v>
      </c>
    </row>
    <row r="2706" ht="15.75" customHeight="1">
      <c r="A2706" s="4" t="s">
        <v>3798</v>
      </c>
      <c r="B2706" s="4" t="s">
        <v>13</v>
      </c>
      <c r="I2706" s="4">
        <v>0.144</v>
      </c>
      <c r="J2706" s="4">
        <v>0.024</v>
      </c>
      <c r="K2706" s="6" t="b">
        <f t="shared" ref="K2706:M2706" si="2522">FALSE()</f>
        <v>0</v>
      </c>
      <c r="L2706" s="6" t="b">
        <f t="shared" si="2522"/>
        <v>0</v>
      </c>
      <c r="M2706" s="6" t="b">
        <f t="shared" si="2522"/>
        <v>0</v>
      </c>
      <c r="P2706" s="4">
        <v>0.134530892957606</v>
      </c>
      <c r="T2706" s="4" t="str">
        <f t="shared" si="3"/>
        <v/>
      </c>
      <c r="U2706" s="4">
        <f t="shared" si="4"/>
        <v>3445</v>
      </c>
    </row>
    <row r="2707" ht="15.75" customHeight="1">
      <c r="A2707" s="4" t="s">
        <v>3799</v>
      </c>
      <c r="B2707" s="4" t="s">
        <v>13</v>
      </c>
      <c r="I2707" s="4">
        <v>0.193</v>
      </c>
      <c r="J2707" s="4">
        <v>0.033</v>
      </c>
      <c r="K2707" s="6" t="b">
        <f t="shared" ref="K2707:M2707" si="2523">FALSE()</f>
        <v>0</v>
      </c>
      <c r="L2707" s="6" t="b">
        <f t="shared" si="2523"/>
        <v>0</v>
      </c>
      <c r="M2707" s="6" t="b">
        <f t="shared" si="2523"/>
        <v>0</v>
      </c>
      <c r="P2707" s="4">
        <v>0.176471143115779</v>
      </c>
      <c r="T2707" s="4" t="str">
        <f t="shared" si="3"/>
        <v/>
      </c>
      <c r="U2707" s="4">
        <f t="shared" si="4"/>
        <v>2702</v>
      </c>
    </row>
    <row r="2708" ht="15.75" customHeight="1">
      <c r="A2708" s="4" t="s">
        <v>3800</v>
      </c>
      <c r="B2708" s="4" t="s">
        <v>13</v>
      </c>
      <c r="I2708" s="4">
        <v>0.131</v>
      </c>
      <c r="J2708" s="4">
        <v>0.024</v>
      </c>
      <c r="K2708" s="6" t="b">
        <f t="shared" ref="K2708:M2708" si="2524">FALSE()</f>
        <v>0</v>
      </c>
      <c r="L2708" s="6" t="b">
        <f t="shared" si="2524"/>
        <v>0</v>
      </c>
      <c r="M2708" s="6" t="b">
        <f t="shared" si="2524"/>
        <v>0</v>
      </c>
      <c r="P2708" s="4">
        <v>0.123102197133983</v>
      </c>
      <c r="T2708" s="4" t="str">
        <f t="shared" si="3"/>
        <v/>
      </c>
      <c r="U2708" s="4">
        <f t="shared" si="4"/>
        <v>3678</v>
      </c>
    </row>
    <row r="2709" ht="15.75" customHeight="1">
      <c r="A2709" s="4" t="s">
        <v>3801</v>
      </c>
      <c r="B2709" s="4" t="s">
        <v>13</v>
      </c>
      <c r="I2709" s="4">
        <v>0.117</v>
      </c>
      <c r="J2709" s="4">
        <v>0.016</v>
      </c>
      <c r="K2709" s="6" t="b">
        <f t="shared" ref="K2709:M2709" si="2525">FALSE()</f>
        <v>0</v>
      </c>
      <c r="L2709" s="6" t="b">
        <f t="shared" si="2525"/>
        <v>0</v>
      </c>
      <c r="M2709" s="6" t="b">
        <f t="shared" si="2525"/>
        <v>0</v>
      </c>
      <c r="P2709" s="4">
        <v>0.110646520087064</v>
      </c>
      <c r="T2709" s="4" t="str">
        <f t="shared" si="3"/>
        <v/>
      </c>
      <c r="U2709" s="4">
        <f t="shared" si="4"/>
        <v>3934</v>
      </c>
    </row>
    <row r="2710" ht="15.75" customHeight="1">
      <c r="A2710" s="4" t="s">
        <v>3802</v>
      </c>
      <c r="B2710" s="4" t="s">
        <v>13</v>
      </c>
      <c r="I2710" s="4">
        <v>0.509</v>
      </c>
      <c r="J2710" s="4">
        <v>0.041</v>
      </c>
      <c r="K2710" s="6" t="b">
        <f t="shared" ref="K2710:M2710" si="2526">FALSE()</f>
        <v>0</v>
      </c>
      <c r="L2710" s="6" t="b">
        <f t="shared" si="2526"/>
        <v>0</v>
      </c>
      <c r="M2710" s="6" t="b">
        <f t="shared" si="2526"/>
        <v>0</v>
      </c>
      <c r="P2710" s="4">
        <v>0.411447179785712</v>
      </c>
      <c r="T2710" s="4" t="str">
        <f t="shared" si="3"/>
        <v/>
      </c>
      <c r="U2710" s="4">
        <f t="shared" si="4"/>
        <v>1006</v>
      </c>
    </row>
    <row r="2711" ht="15.75" customHeight="1">
      <c r="A2711" s="4" t="s">
        <v>178</v>
      </c>
      <c r="B2711" s="4" t="s">
        <v>13</v>
      </c>
      <c r="C2711" s="4">
        <v>11.6</v>
      </c>
      <c r="D2711" s="4">
        <v>11.6</v>
      </c>
      <c r="E2711" s="4">
        <v>0.0</v>
      </c>
      <c r="I2711" s="4">
        <v>0.541</v>
      </c>
      <c r="J2711" s="4">
        <v>0.047</v>
      </c>
      <c r="K2711" s="6" t="b">
        <f>TRUE()</f>
        <v>1</v>
      </c>
      <c r="L2711" s="6" t="b">
        <f t="shared" ref="L2711:M2711" si="2527">FALSE()</f>
        <v>0</v>
      </c>
      <c r="M2711" s="6" t="b">
        <f t="shared" si="2527"/>
        <v>0</v>
      </c>
      <c r="N2711" s="4">
        <v>2.53369681395743</v>
      </c>
      <c r="P2711" s="4">
        <v>0.432431556337979</v>
      </c>
      <c r="T2711" s="4">
        <f t="shared" si="3"/>
        <v>25</v>
      </c>
      <c r="U2711" s="4">
        <f t="shared" si="4"/>
        <v>985</v>
      </c>
    </row>
    <row r="2712" ht="15.75" customHeight="1">
      <c r="A2712" s="4" t="s">
        <v>3803</v>
      </c>
      <c r="B2712" s="4" t="s">
        <v>13</v>
      </c>
      <c r="I2712" s="4">
        <v>0.18</v>
      </c>
      <c r="J2712" s="4">
        <v>0.038</v>
      </c>
      <c r="K2712" s="6" t="b">
        <f t="shared" ref="K2712:M2712" si="2528">FALSE()</f>
        <v>0</v>
      </c>
      <c r="L2712" s="6" t="b">
        <f t="shared" si="2528"/>
        <v>0</v>
      </c>
      <c r="M2712" s="6" t="b">
        <f t="shared" si="2528"/>
        <v>0</v>
      </c>
      <c r="P2712" s="4">
        <v>0.165514438477573</v>
      </c>
      <c r="T2712" s="4" t="str">
        <f t="shared" si="3"/>
        <v/>
      </c>
      <c r="U2712" s="4">
        <f t="shared" si="4"/>
        <v>2887</v>
      </c>
    </row>
    <row r="2713" ht="15.75" customHeight="1">
      <c r="A2713" s="4" t="s">
        <v>3804</v>
      </c>
      <c r="B2713" s="4" t="s">
        <v>13</v>
      </c>
      <c r="I2713" s="4">
        <v>0.329</v>
      </c>
      <c r="J2713" s="4">
        <v>0.037</v>
      </c>
      <c r="K2713" s="6" t="b">
        <f t="shared" ref="K2713:M2713" si="2529">FALSE()</f>
        <v>0</v>
      </c>
      <c r="L2713" s="6" t="b">
        <f t="shared" si="2529"/>
        <v>0</v>
      </c>
      <c r="M2713" s="6" t="b">
        <f t="shared" si="2529"/>
        <v>0</v>
      </c>
      <c r="P2713" s="4">
        <v>0.284426779731108</v>
      </c>
      <c r="T2713" s="4" t="str">
        <f t="shared" si="3"/>
        <v/>
      </c>
      <c r="U2713" s="4">
        <f t="shared" si="4"/>
        <v>1261</v>
      </c>
    </row>
    <row r="2714" ht="15.75" customHeight="1">
      <c r="A2714" s="4" t="s">
        <v>3805</v>
      </c>
      <c r="B2714" s="4" t="s">
        <v>13</v>
      </c>
      <c r="I2714" s="4">
        <v>0.574</v>
      </c>
      <c r="J2714" s="4">
        <v>0.045</v>
      </c>
      <c r="K2714" s="6" t="b">
        <f t="shared" ref="K2714:M2714" si="2530">FALSE()</f>
        <v>0</v>
      </c>
      <c r="L2714" s="6" t="b">
        <f t="shared" si="2530"/>
        <v>0</v>
      </c>
      <c r="M2714" s="6" t="b">
        <f t="shared" si="2530"/>
        <v>0</v>
      </c>
      <c r="P2714" s="4">
        <v>0.453620149995211</v>
      </c>
      <c r="T2714" s="4" t="str">
        <f t="shared" si="3"/>
        <v/>
      </c>
      <c r="U2714" s="4">
        <f t="shared" si="4"/>
        <v>956</v>
      </c>
    </row>
    <row r="2715" ht="15.75" customHeight="1">
      <c r="A2715" s="4" t="s">
        <v>3806</v>
      </c>
      <c r="B2715" s="4" t="s">
        <v>13</v>
      </c>
      <c r="I2715" s="4">
        <v>0.069</v>
      </c>
      <c r="J2715" s="4">
        <v>0.007</v>
      </c>
      <c r="K2715" s="6" t="b">
        <f t="shared" ref="K2715:M2715" si="2531">FALSE()</f>
        <v>0</v>
      </c>
      <c r="L2715" s="6" t="b">
        <f t="shared" si="2531"/>
        <v>0</v>
      </c>
      <c r="M2715" s="6" t="b">
        <f t="shared" si="2531"/>
        <v>0</v>
      </c>
      <c r="P2715" s="4">
        <v>0.0667236320429081</v>
      </c>
      <c r="T2715" s="4" t="str">
        <f t="shared" si="3"/>
        <v/>
      </c>
      <c r="U2715" s="4">
        <f t="shared" si="4"/>
        <v>4493</v>
      </c>
    </row>
    <row r="2716" ht="15.75" customHeight="1">
      <c r="A2716" s="4" t="s">
        <v>3807</v>
      </c>
      <c r="B2716" s="4" t="s">
        <v>13</v>
      </c>
      <c r="I2716" s="4">
        <v>0.112</v>
      </c>
      <c r="J2716" s="4">
        <v>0.06</v>
      </c>
      <c r="K2716" s="6" t="b">
        <f t="shared" ref="K2716:M2716" si="2532">FALSE()</f>
        <v>0</v>
      </c>
      <c r="L2716" s="6" t="b">
        <f t="shared" si="2532"/>
        <v>0</v>
      </c>
      <c r="M2716" s="6" t="b">
        <f t="shared" si="2532"/>
        <v>0</v>
      </c>
      <c r="P2716" s="4">
        <v>0.106160195828391</v>
      </c>
      <c r="T2716" s="4" t="str">
        <f t="shared" si="3"/>
        <v/>
      </c>
      <c r="U2716" s="4">
        <f t="shared" si="4"/>
        <v>4013</v>
      </c>
    </row>
    <row r="2717" ht="15.75" customHeight="1">
      <c r="A2717" s="4" t="s">
        <v>3808</v>
      </c>
      <c r="B2717" s="4" t="s">
        <v>13</v>
      </c>
      <c r="I2717" s="4">
        <v>0.27</v>
      </c>
      <c r="J2717" s="4">
        <v>0.145</v>
      </c>
      <c r="K2717" s="6" t="b">
        <f t="shared" ref="K2717:M2717" si="2533">FALSE()</f>
        <v>0</v>
      </c>
      <c r="L2717" s="6" t="b">
        <f t="shared" si="2533"/>
        <v>0</v>
      </c>
      <c r="M2717" s="6" t="b">
        <f t="shared" si="2533"/>
        <v>0</v>
      </c>
      <c r="P2717" s="4">
        <v>0.2390169004705</v>
      </c>
      <c r="T2717" s="4" t="str">
        <f t="shared" si="3"/>
        <v/>
      </c>
      <c r="U2717" s="4">
        <f t="shared" si="4"/>
        <v>1583</v>
      </c>
    </row>
    <row r="2718" ht="15.75" customHeight="1">
      <c r="A2718" s="4" t="s">
        <v>3809</v>
      </c>
      <c r="B2718" s="4" t="s">
        <v>13</v>
      </c>
      <c r="I2718" s="4">
        <v>0.195</v>
      </c>
      <c r="J2718" s="4">
        <v>0.009</v>
      </c>
      <c r="K2718" s="6" t="b">
        <f t="shared" ref="K2718:M2718" si="2534">FALSE()</f>
        <v>0</v>
      </c>
      <c r="L2718" s="6" t="b">
        <f t="shared" si="2534"/>
        <v>0</v>
      </c>
      <c r="M2718" s="6" t="b">
        <f t="shared" si="2534"/>
        <v>0</v>
      </c>
      <c r="P2718" s="4">
        <v>0.178146185383474</v>
      </c>
      <c r="T2718" s="4" t="str">
        <f t="shared" si="3"/>
        <v/>
      </c>
      <c r="U2718" s="4">
        <f t="shared" si="4"/>
        <v>2668</v>
      </c>
    </row>
    <row r="2719" ht="15.75" customHeight="1">
      <c r="A2719" s="4" t="s">
        <v>3810</v>
      </c>
      <c r="B2719" s="4" t="s">
        <v>13</v>
      </c>
      <c r="I2719" s="4">
        <v>0.12</v>
      </c>
      <c r="J2719" s="4">
        <v>0.013</v>
      </c>
      <c r="K2719" s="6" t="b">
        <f t="shared" ref="K2719:M2719" si="2535">FALSE()</f>
        <v>0</v>
      </c>
      <c r="L2719" s="6" t="b">
        <f t="shared" si="2535"/>
        <v>0</v>
      </c>
      <c r="M2719" s="6" t="b">
        <f t="shared" si="2535"/>
        <v>0</v>
      </c>
      <c r="P2719" s="4">
        <v>0.113328685307003</v>
      </c>
      <c r="T2719" s="4" t="str">
        <f t="shared" si="3"/>
        <v/>
      </c>
      <c r="U2719" s="4">
        <f t="shared" si="4"/>
        <v>3865</v>
      </c>
    </row>
    <row r="2720" ht="15.75" customHeight="1">
      <c r="A2720" s="4" t="s">
        <v>3811</v>
      </c>
      <c r="B2720" s="4" t="s">
        <v>13</v>
      </c>
      <c r="I2720" s="4">
        <v>0.22</v>
      </c>
      <c r="J2720" s="4">
        <v>0.031</v>
      </c>
      <c r="K2720" s="6" t="b">
        <f t="shared" ref="K2720:M2720" si="2536">FALSE()</f>
        <v>0</v>
      </c>
      <c r="L2720" s="6" t="b">
        <f t="shared" si="2536"/>
        <v>0</v>
      </c>
      <c r="M2720" s="6" t="b">
        <f t="shared" si="2536"/>
        <v>0</v>
      </c>
      <c r="P2720" s="4">
        <v>0.198850858745165</v>
      </c>
      <c r="T2720" s="4" t="str">
        <f t="shared" si="3"/>
        <v/>
      </c>
      <c r="U2720" s="4">
        <f t="shared" si="4"/>
        <v>2260</v>
      </c>
    </row>
    <row r="2721" ht="15.75" customHeight="1">
      <c r="A2721" s="4" t="s">
        <v>3812</v>
      </c>
      <c r="B2721" s="4" t="s">
        <v>13</v>
      </c>
      <c r="I2721" s="4">
        <v>0.141</v>
      </c>
      <c r="J2721" s="4">
        <v>0.022</v>
      </c>
      <c r="K2721" s="6" t="b">
        <f t="shared" ref="K2721:M2721" si="2537">FALSE()</f>
        <v>0</v>
      </c>
      <c r="L2721" s="6" t="b">
        <f t="shared" si="2537"/>
        <v>0</v>
      </c>
      <c r="M2721" s="6" t="b">
        <f t="shared" si="2537"/>
        <v>0</v>
      </c>
      <c r="P2721" s="4">
        <v>0.131905070879939</v>
      </c>
      <c r="T2721" s="4" t="str">
        <f t="shared" si="3"/>
        <v/>
      </c>
      <c r="U2721" s="4">
        <f t="shared" si="4"/>
        <v>3492</v>
      </c>
    </row>
    <row r="2722" ht="15.75" customHeight="1">
      <c r="A2722" s="4" t="s">
        <v>3813</v>
      </c>
      <c r="B2722" s="4" t="s">
        <v>13</v>
      </c>
      <c r="I2722" s="4">
        <v>0.285</v>
      </c>
      <c r="J2722" s="4">
        <v>0.054</v>
      </c>
      <c r="K2722" s="6" t="b">
        <f t="shared" ref="K2722:M2722" si="2538">FALSE()</f>
        <v>0</v>
      </c>
      <c r="L2722" s="6" t="b">
        <f t="shared" si="2538"/>
        <v>0</v>
      </c>
      <c r="M2722" s="6" t="b">
        <f t="shared" si="2538"/>
        <v>0</v>
      </c>
      <c r="P2722" s="4">
        <v>0.250758718347183</v>
      </c>
      <c r="T2722" s="4" t="str">
        <f t="shared" si="3"/>
        <v/>
      </c>
      <c r="U2722" s="4">
        <f t="shared" si="4"/>
        <v>1465</v>
      </c>
    </row>
    <row r="2723" ht="15.75" customHeight="1">
      <c r="A2723" s="4" t="s">
        <v>3814</v>
      </c>
      <c r="B2723" s="4" t="s">
        <v>13</v>
      </c>
      <c r="I2723" s="4">
        <v>0.325</v>
      </c>
      <c r="J2723" s="4">
        <v>0.06</v>
      </c>
      <c r="K2723" s="6" t="b">
        <f t="shared" ref="K2723:M2723" si="2539">FALSE()</f>
        <v>0</v>
      </c>
      <c r="L2723" s="6" t="b">
        <f t="shared" si="2539"/>
        <v>0</v>
      </c>
      <c r="M2723" s="6" t="b">
        <f t="shared" si="2539"/>
        <v>0</v>
      </c>
      <c r="P2723" s="4">
        <v>0.281412459438186</v>
      </c>
      <c r="T2723" s="4" t="str">
        <f t="shared" si="3"/>
        <v/>
      </c>
      <c r="U2723" s="4">
        <f t="shared" si="4"/>
        <v>1281</v>
      </c>
    </row>
    <row r="2724" ht="15.75" customHeight="1">
      <c r="A2724" s="4" t="s">
        <v>3815</v>
      </c>
      <c r="B2724" s="4" t="s">
        <v>13</v>
      </c>
      <c r="I2724" s="4">
        <v>0.288</v>
      </c>
      <c r="J2724" s="4">
        <v>0.031</v>
      </c>
      <c r="K2724" s="6" t="b">
        <f t="shared" ref="K2724:M2724" si="2540">FALSE()</f>
        <v>0</v>
      </c>
      <c r="L2724" s="6" t="b">
        <f t="shared" si="2540"/>
        <v>0</v>
      </c>
      <c r="M2724" s="6" t="b">
        <f t="shared" si="2540"/>
        <v>0</v>
      </c>
      <c r="P2724" s="4">
        <v>0.253090627682162</v>
      </c>
      <c r="T2724" s="4" t="str">
        <f t="shared" si="3"/>
        <v/>
      </c>
      <c r="U2724" s="4">
        <f t="shared" si="4"/>
        <v>1447</v>
      </c>
    </row>
    <row r="2725" ht="15.75" customHeight="1">
      <c r="A2725" s="4" t="s">
        <v>3816</v>
      </c>
      <c r="B2725" s="4" t="s">
        <v>13</v>
      </c>
      <c r="I2725" s="4">
        <v>0.079</v>
      </c>
      <c r="J2725" s="4">
        <v>0.008</v>
      </c>
      <c r="K2725" s="6" t="b">
        <f t="shared" ref="K2725:M2725" si="2541">FALSE()</f>
        <v>0</v>
      </c>
      <c r="L2725" s="6" t="b">
        <f t="shared" si="2541"/>
        <v>0</v>
      </c>
      <c r="M2725" s="6" t="b">
        <f t="shared" si="2541"/>
        <v>0</v>
      </c>
      <c r="P2725" s="4">
        <v>0.0760346862759976</v>
      </c>
      <c r="T2725" s="4" t="str">
        <f t="shared" si="3"/>
        <v/>
      </c>
      <c r="U2725" s="4">
        <f t="shared" si="4"/>
        <v>4424</v>
      </c>
    </row>
    <row r="2726" ht="15.75" customHeight="1">
      <c r="A2726" s="4" t="s">
        <v>3817</v>
      </c>
      <c r="B2726" s="4" t="s">
        <v>13</v>
      </c>
      <c r="I2726" s="4">
        <v>0.167</v>
      </c>
      <c r="J2726" s="4">
        <v>0.02</v>
      </c>
      <c r="K2726" s="6" t="b">
        <f t="shared" ref="K2726:M2726" si="2542">FALSE()</f>
        <v>0</v>
      </c>
      <c r="L2726" s="6" t="b">
        <f t="shared" si="2542"/>
        <v>0</v>
      </c>
      <c r="M2726" s="6" t="b">
        <f t="shared" si="2542"/>
        <v>0</v>
      </c>
      <c r="P2726" s="4">
        <v>0.154436353304419</v>
      </c>
      <c r="T2726" s="4" t="str">
        <f t="shared" si="3"/>
        <v/>
      </c>
      <c r="U2726" s="4">
        <f t="shared" si="4"/>
        <v>3088</v>
      </c>
    </row>
    <row r="2727" ht="15.75" customHeight="1">
      <c r="A2727" s="4" t="s">
        <v>3818</v>
      </c>
      <c r="B2727" s="4" t="s">
        <v>13</v>
      </c>
      <c r="I2727" s="4">
        <v>0.23</v>
      </c>
      <c r="J2727" s="4">
        <v>0.03</v>
      </c>
      <c r="K2727" s="6" t="b">
        <f t="shared" ref="K2727:M2727" si="2543">FALSE()</f>
        <v>0</v>
      </c>
      <c r="L2727" s="6" t="b">
        <f t="shared" si="2543"/>
        <v>0</v>
      </c>
      <c r="M2727" s="6" t="b">
        <f t="shared" si="2543"/>
        <v>0</v>
      </c>
      <c r="P2727" s="4">
        <v>0.207014169384326</v>
      </c>
      <c r="T2727" s="4" t="str">
        <f t="shared" si="3"/>
        <v/>
      </c>
      <c r="U2727" s="4">
        <f t="shared" si="4"/>
        <v>2111</v>
      </c>
    </row>
    <row r="2728" ht="15.75" customHeight="1">
      <c r="A2728" s="4" t="s">
        <v>3819</v>
      </c>
      <c r="B2728" s="4" t="s">
        <v>13</v>
      </c>
      <c r="I2728" s="4">
        <v>0.094</v>
      </c>
      <c r="J2728" s="4">
        <v>0.039</v>
      </c>
      <c r="K2728" s="6" t="b">
        <f t="shared" ref="K2728:M2728" si="2544">FALSE()</f>
        <v>0</v>
      </c>
      <c r="L2728" s="6" t="b">
        <f t="shared" si="2544"/>
        <v>0</v>
      </c>
      <c r="M2728" s="6" t="b">
        <f t="shared" si="2544"/>
        <v>0</v>
      </c>
      <c r="P2728" s="4">
        <v>0.0898407039997894</v>
      </c>
      <c r="T2728" s="4" t="str">
        <f t="shared" si="3"/>
        <v/>
      </c>
      <c r="U2728" s="4">
        <f t="shared" si="4"/>
        <v>4290</v>
      </c>
    </row>
    <row r="2729" ht="15.75" customHeight="1">
      <c r="A2729" s="4" t="s">
        <v>3820</v>
      </c>
      <c r="B2729" s="4" t="s">
        <v>13</v>
      </c>
      <c r="I2729" s="4">
        <v>0.202</v>
      </c>
      <c r="J2729" s="4">
        <v>0.084</v>
      </c>
      <c r="K2729" s="6" t="b">
        <f t="shared" ref="K2729:M2729" si="2545">FALSE()</f>
        <v>0</v>
      </c>
      <c r="L2729" s="6" t="b">
        <f t="shared" si="2545"/>
        <v>0</v>
      </c>
      <c r="M2729" s="6" t="b">
        <f t="shared" si="2545"/>
        <v>0</v>
      </c>
      <c r="P2729" s="4">
        <v>0.183986836113016</v>
      </c>
      <c r="T2729" s="4" t="str">
        <f t="shared" si="3"/>
        <v/>
      </c>
      <c r="U2729" s="4">
        <f t="shared" si="4"/>
        <v>2555</v>
      </c>
    </row>
    <row r="2730" ht="15.75" customHeight="1">
      <c r="A2730" s="4" t="s">
        <v>3821</v>
      </c>
      <c r="B2730" s="4" t="s">
        <v>13</v>
      </c>
      <c r="I2730" s="4">
        <v>0.43</v>
      </c>
      <c r="J2730" s="4">
        <v>0.071</v>
      </c>
      <c r="K2730" s="6" t="b">
        <f t="shared" ref="K2730:M2730" si="2546">FALSE()</f>
        <v>0</v>
      </c>
      <c r="L2730" s="6" t="b">
        <f t="shared" si="2546"/>
        <v>0</v>
      </c>
      <c r="M2730" s="6" t="b">
        <f t="shared" si="2546"/>
        <v>0</v>
      </c>
      <c r="P2730" s="4">
        <v>0.357674444271816</v>
      </c>
      <c r="T2730" s="4" t="str">
        <f t="shared" si="3"/>
        <v/>
      </c>
      <c r="U2730" s="4">
        <f t="shared" si="4"/>
        <v>1077</v>
      </c>
    </row>
    <row r="2731" ht="15.75" customHeight="1">
      <c r="A2731" s="4" t="s">
        <v>3822</v>
      </c>
      <c r="B2731" s="4" t="s">
        <v>13</v>
      </c>
      <c r="I2731" s="4">
        <v>0.277</v>
      </c>
      <c r="J2731" s="4">
        <v>0.052</v>
      </c>
      <c r="K2731" s="6" t="b">
        <f t="shared" ref="K2731:M2731" si="2547">FALSE()</f>
        <v>0</v>
      </c>
      <c r="L2731" s="6" t="b">
        <f t="shared" si="2547"/>
        <v>0</v>
      </c>
      <c r="M2731" s="6" t="b">
        <f t="shared" si="2547"/>
        <v>0</v>
      </c>
      <c r="P2731" s="4">
        <v>0.244513577050402</v>
      </c>
      <c r="T2731" s="4" t="str">
        <f t="shared" si="3"/>
        <v/>
      </c>
      <c r="U2731" s="4">
        <f t="shared" si="4"/>
        <v>1526</v>
      </c>
    </row>
    <row r="2732" ht="15.75" customHeight="1">
      <c r="A2732" s="4" t="s">
        <v>3823</v>
      </c>
      <c r="B2732" s="4" t="s">
        <v>13</v>
      </c>
      <c r="I2732" s="4">
        <v>0.263</v>
      </c>
      <c r="J2732" s="4">
        <v>0.044</v>
      </c>
      <c r="K2732" s="6" t="b">
        <f t="shared" ref="K2732:M2732" si="2548">FALSE()</f>
        <v>0</v>
      </c>
      <c r="L2732" s="6" t="b">
        <f t="shared" si="2548"/>
        <v>0</v>
      </c>
      <c r="M2732" s="6" t="b">
        <f t="shared" si="2548"/>
        <v>0</v>
      </c>
      <c r="P2732" s="4">
        <v>0.233489843368354</v>
      </c>
      <c r="T2732" s="4" t="str">
        <f t="shared" si="3"/>
        <v/>
      </c>
      <c r="U2732" s="4">
        <f t="shared" si="4"/>
        <v>1644</v>
      </c>
    </row>
    <row r="2733" ht="15.75" customHeight="1">
      <c r="A2733" s="4" t="s">
        <v>3824</v>
      </c>
      <c r="B2733" s="4" t="s">
        <v>13</v>
      </c>
      <c r="I2733" s="4">
        <v>0.285</v>
      </c>
      <c r="J2733" s="4">
        <v>0.022</v>
      </c>
      <c r="K2733" s="6" t="b">
        <f t="shared" ref="K2733:M2733" si="2549">FALSE()</f>
        <v>0</v>
      </c>
      <c r="L2733" s="6" t="b">
        <f t="shared" si="2549"/>
        <v>0</v>
      </c>
      <c r="M2733" s="6" t="b">
        <f t="shared" si="2549"/>
        <v>0</v>
      </c>
      <c r="P2733" s="4">
        <v>0.250758718347183</v>
      </c>
      <c r="T2733" s="4" t="str">
        <f t="shared" si="3"/>
        <v/>
      </c>
      <c r="U2733" s="4">
        <f t="shared" si="4"/>
        <v>1466</v>
      </c>
    </row>
    <row r="2734" ht="15.75" customHeight="1">
      <c r="A2734" s="4" t="s">
        <v>3825</v>
      </c>
      <c r="B2734" s="4" t="s">
        <v>13</v>
      </c>
      <c r="I2734" s="4">
        <v>0.237</v>
      </c>
      <c r="J2734" s="4">
        <v>0.019</v>
      </c>
      <c r="K2734" s="6" t="b">
        <f t="shared" ref="K2734:M2734" si="2550">FALSE()</f>
        <v>0</v>
      </c>
      <c r="L2734" s="6" t="b">
        <f t="shared" si="2550"/>
        <v>0</v>
      </c>
      <c r="M2734" s="6" t="b">
        <f t="shared" si="2550"/>
        <v>0</v>
      </c>
      <c r="P2734" s="4">
        <v>0.212689093410351</v>
      </c>
      <c r="T2734" s="4" t="str">
        <f t="shared" si="3"/>
        <v/>
      </c>
      <c r="U2734" s="4">
        <f t="shared" si="4"/>
        <v>1993</v>
      </c>
    </row>
    <row r="2735" ht="15.75" customHeight="1">
      <c r="A2735" s="4" t="s">
        <v>3826</v>
      </c>
      <c r="B2735" s="4" t="s">
        <v>13</v>
      </c>
      <c r="I2735" s="4">
        <v>0.205</v>
      </c>
      <c r="J2735" s="4">
        <v>0.013</v>
      </c>
      <c r="K2735" s="6" t="b">
        <f t="shared" ref="K2735:M2735" si="2551">FALSE()</f>
        <v>0</v>
      </c>
      <c r="L2735" s="6" t="b">
        <f t="shared" si="2551"/>
        <v>0</v>
      </c>
      <c r="M2735" s="6" t="b">
        <f t="shared" si="2551"/>
        <v>0</v>
      </c>
      <c r="P2735" s="4">
        <v>0.186479566942618</v>
      </c>
      <c r="T2735" s="4" t="str">
        <f t="shared" si="3"/>
        <v/>
      </c>
      <c r="U2735" s="4">
        <f t="shared" si="4"/>
        <v>2493</v>
      </c>
    </row>
    <row r="2736" ht="15.75" customHeight="1">
      <c r="A2736" s="4" t="s">
        <v>3827</v>
      </c>
      <c r="B2736" s="4" t="s">
        <v>13</v>
      </c>
      <c r="I2736" s="4">
        <v>0.168</v>
      </c>
      <c r="J2736" s="4">
        <v>0.014</v>
      </c>
      <c r="K2736" s="6" t="b">
        <f t="shared" ref="K2736:M2736" si="2552">FALSE()</f>
        <v>0</v>
      </c>
      <c r="L2736" s="6" t="b">
        <f t="shared" si="2552"/>
        <v>0</v>
      </c>
      <c r="M2736" s="6" t="b">
        <f t="shared" si="2552"/>
        <v>0</v>
      </c>
      <c r="P2736" s="4">
        <v>0.155292884406035</v>
      </c>
      <c r="T2736" s="4" t="str">
        <f t="shared" si="3"/>
        <v/>
      </c>
      <c r="U2736" s="4">
        <f t="shared" si="4"/>
        <v>3077</v>
      </c>
    </row>
    <row r="2737" ht="15.75" customHeight="1">
      <c r="A2737" s="4" t="s">
        <v>3828</v>
      </c>
      <c r="B2737" s="4" t="s">
        <v>13</v>
      </c>
      <c r="I2737" s="4">
        <v>0.159</v>
      </c>
      <c r="J2737" s="4">
        <v>0.018</v>
      </c>
      <c r="K2737" s="6" t="b">
        <f t="shared" ref="K2737:M2737" si="2553">FALSE()</f>
        <v>0</v>
      </c>
      <c r="L2737" s="6" t="b">
        <f t="shared" si="2553"/>
        <v>0</v>
      </c>
      <c r="M2737" s="6" t="b">
        <f t="shared" si="2553"/>
        <v>0</v>
      </c>
      <c r="P2737" s="4">
        <v>0.147557564357615</v>
      </c>
      <c r="T2737" s="4" t="str">
        <f t="shared" si="3"/>
        <v/>
      </c>
      <c r="U2737" s="4">
        <f t="shared" si="4"/>
        <v>3190</v>
      </c>
    </row>
    <row r="2738" ht="15.75" customHeight="1">
      <c r="A2738" s="4" t="s">
        <v>3829</v>
      </c>
      <c r="B2738" s="4" t="s">
        <v>13</v>
      </c>
      <c r="I2738" s="4">
        <v>0.11</v>
      </c>
      <c r="J2738" s="4">
        <v>0.021</v>
      </c>
      <c r="K2738" s="6" t="b">
        <f t="shared" ref="K2738:M2738" si="2554">FALSE()</f>
        <v>0</v>
      </c>
      <c r="L2738" s="6" t="b">
        <f t="shared" si="2554"/>
        <v>0</v>
      </c>
      <c r="M2738" s="6" t="b">
        <f t="shared" si="2554"/>
        <v>0</v>
      </c>
      <c r="P2738" s="4">
        <v>0.104360015324243</v>
      </c>
      <c r="T2738" s="4" t="str">
        <f t="shared" si="3"/>
        <v/>
      </c>
      <c r="U2738" s="4">
        <f t="shared" si="4"/>
        <v>4047</v>
      </c>
    </row>
    <row r="2739" ht="15.75" customHeight="1">
      <c r="A2739" s="4" t="s">
        <v>785</v>
      </c>
      <c r="B2739" s="4" t="s">
        <v>13</v>
      </c>
      <c r="C2739" s="4">
        <v>1.52</v>
      </c>
      <c r="D2739" s="4">
        <v>0.65</v>
      </c>
      <c r="E2739" s="4">
        <v>0.65</v>
      </c>
      <c r="I2739" s="4">
        <v>1.06</v>
      </c>
      <c r="J2739" s="4">
        <v>0.01</v>
      </c>
      <c r="K2739" s="6" t="b">
        <f t="shared" ref="K2739:L2739" si="2555">FALSE()</f>
        <v>0</v>
      </c>
      <c r="L2739" s="6" t="b">
        <f t="shared" si="2555"/>
        <v>0</v>
      </c>
      <c r="M2739" s="6" t="b">
        <f>TRUE()</f>
        <v>1</v>
      </c>
      <c r="N2739" s="4">
        <v>0.924258901523332</v>
      </c>
      <c r="P2739" s="4">
        <v>0.72270598280149</v>
      </c>
      <c r="T2739" s="4">
        <f t="shared" si="3"/>
        <v>507</v>
      </c>
      <c r="U2739" s="4">
        <f t="shared" si="4"/>
        <v>590</v>
      </c>
    </row>
    <row r="2740" ht="15.75" customHeight="1">
      <c r="A2740" s="4" t="s">
        <v>3830</v>
      </c>
      <c r="B2740" s="4" t="s">
        <v>13</v>
      </c>
      <c r="I2740" s="4">
        <v>0.091</v>
      </c>
      <c r="J2740" s="4">
        <v>0.005</v>
      </c>
      <c r="K2740" s="6" t="b">
        <f t="shared" ref="K2740:M2740" si="2556">FALSE()</f>
        <v>0</v>
      </c>
      <c r="L2740" s="6" t="b">
        <f t="shared" si="2556"/>
        <v>0</v>
      </c>
      <c r="M2740" s="6" t="b">
        <f t="shared" si="2556"/>
        <v>0</v>
      </c>
      <c r="P2740" s="4">
        <v>0.0870947068509337</v>
      </c>
      <c r="T2740" s="4" t="str">
        <f t="shared" si="3"/>
        <v/>
      </c>
      <c r="U2740" s="4">
        <f t="shared" si="4"/>
        <v>4321</v>
      </c>
    </row>
    <row r="2741" ht="15.75" customHeight="1">
      <c r="A2741" s="4" t="s">
        <v>3831</v>
      </c>
      <c r="B2741" s="4" t="s">
        <v>13</v>
      </c>
      <c r="I2741" s="4">
        <v>0.095</v>
      </c>
      <c r="J2741" s="4">
        <v>0.009</v>
      </c>
      <c r="K2741" s="6" t="b">
        <f t="shared" ref="K2741:M2741" si="2557">FALSE()</f>
        <v>0</v>
      </c>
      <c r="L2741" s="6" t="b">
        <f t="shared" si="2557"/>
        <v>0</v>
      </c>
      <c r="M2741" s="6" t="b">
        <f t="shared" si="2557"/>
        <v>0</v>
      </c>
      <c r="P2741" s="4">
        <v>0.0907543632684641</v>
      </c>
      <c r="T2741" s="4" t="str">
        <f t="shared" si="3"/>
        <v/>
      </c>
      <c r="U2741" s="4">
        <f t="shared" si="4"/>
        <v>4279</v>
      </c>
    </row>
    <row r="2742" ht="15.75" customHeight="1">
      <c r="A2742" s="4" t="s">
        <v>3832</v>
      </c>
      <c r="B2742" s="4" t="s">
        <v>13</v>
      </c>
      <c r="I2742" s="4">
        <v>0.126</v>
      </c>
      <c r="J2742" s="4">
        <v>0.025</v>
      </c>
      <c r="K2742" s="6" t="b">
        <f t="shared" ref="K2742:M2742" si="2558">FALSE()</f>
        <v>0</v>
      </c>
      <c r="L2742" s="6" t="b">
        <f t="shared" si="2558"/>
        <v>0</v>
      </c>
      <c r="M2742" s="6" t="b">
        <f t="shared" si="2558"/>
        <v>0</v>
      </c>
      <c r="P2742" s="4">
        <v>0.118671529717499</v>
      </c>
      <c r="T2742" s="4" t="str">
        <f t="shared" si="3"/>
        <v/>
      </c>
      <c r="U2742" s="4">
        <f t="shared" si="4"/>
        <v>3767</v>
      </c>
    </row>
    <row r="2743" ht="15.75" customHeight="1">
      <c r="A2743" s="4" t="s">
        <v>3833</v>
      </c>
      <c r="B2743" s="4" t="s">
        <v>13</v>
      </c>
      <c r="I2743" s="4">
        <v>0.244</v>
      </c>
      <c r="J2743" s="4">
        <v>0.046</v>
      </c>
      <c r="K2743" s="6" t="b">
        <f t="shared" ref="K2743:M2743" si="2559">FALSE()</f>
        <v>0</v>
      </c>
      <c r="L2743" s="6" t="b">
        <f t="shared" si="2559"/>
        <v>0</v>
      </c>
      <c r="M2743" s="6" t="b">
        <f t="shared" si="2559"/>
        <v>0</v>
      </c>
      <c r="P2743" s="4">
        <v>0.218331994316988</v>
      </c>
      <c r="T2743" s="4" t="str">
        <f t="shared" si="3"/>
        <v/>
      </c>
      <c r="U2743" s="4">
        <f t="shared" si="4"/>
        <v>1887</v>
      </c>
    </row>
    <row r="2744" ht="15.75" customHeight="1">
      <c r="A2744" s="4" t="s">
        <v>3834</v>
      </c>
      <c r="B2744" s="4" t="s">
        <v>13</v>
      </c>
      <c r="I2744" s="4">
        <v>0.219</v>
      </c>
      <c r="J2744" s="4">
        <v>0.042</v>
      </c>
      <c r="K2744" s="6" t="b">
        <f t="shared" ref="K2744:M2744" si="2560">FALSE()</f>
        <v>0</v>
      </c>
      <c r="L2744" s="6" t="b">
        <f t="shared" si="2560"/>
        <v>0</v>
      </c>
      <c r="M2744" s="6" t="b">
        <f t="shared" si="2560"/>
        <v>0</v>
      </c>
      <c r="P2744" s="4">
        <v>0.198030850499134</v>
      </c>
      <c r="T2744" s="4" t="str">
        <f t="shared" si="3"/>
        <v/>
      </c>
      <c r="U2744" s="4">
        <f t="shared" si="4"/>
        <v>2278</v>
      </c>
    </row>
    <row r="2745" ht="15.75" customHeight="1">
      <c r="A2745" s="4" t="s">
        <v>3835</v>
      </c>
      <c r="B2745" s="4" t="s">
        <v>13</v>
      </c>
      <c r="I2745" s="4">
        <v>0.086</v>
      </c>
      <c r="J2745" s="4">
        <v>0.009</v>
      </c>
      <c r="K2745" s="6" t="b">
        <f t="shared" ref="K2745:M2745" si="2561">FALSE()</f>
        <v>0</v>
      </c>
      <c r="L2745" s="6" t="b">
        <f t="shared" si="2561"/>
        <v>0</v>
      </c>
      <c r="M2745" s="6" t="b">
        <f t="shared" si="2561"/>
        <v>0</v>
      </c>
      <c r="P2745" s="4">
        <v>0.0825012215117436</v>
      </c>
      <c r="T2745" s="4" t="str">
        <f t="shared" si="3"/>
        <v/>
      </c>
      <c r="U2745" s="4">
        <f t="shared" si="4"/>
        <v>4365</v>
      </c>
    </row>
    <row r="2746" ht="15.75" customHeight="1">
      <c r="A2746" s="4" t="s">
        <v>3836</v>
      </c>
      <c r="B2746" s="4" t="s">
        <v>13</v>
      </c>
      <c r="I2746" s="4">
        <v>0.164</v>
      </c>
      <c r="J2746" s="4">
        <v>0.0098</v>
      </c>
      <c r="K2746" s="6" t="b">
        <f t="shared" ref="K2746:M2746" si="2562">FALSE()</f>
        <v>0</v>
      </c>
      <c r="L2746" s="6" t="b">
        <f t="shared" si="2562"/>
        <v>0</v>
      </c>
      <c r="M2746" s="6" t="b">
        <f t="shared" si="2562"/>
        <v>0</v>
      </c>
      <c r="P2746" s="4">
        <v>0.151862349309246</v>
      </c>
      <c r="T2746" s="4" t="str">
        <f t="shared" si="3"/>
        <v/>
      </c>
      <c r="U2746" s="4">
        <f t="shared" si="4"/>
        <v>3123</v>
      </c>
    </row>
    <row r="2747" ht="15.75" customHeight="1">
      <c r="A2747" s="4" t="s">
        <v>3837</v>
      </c>
      <c r="B2747" s="4" t="s">
        <v>13</v>
      </c>
      <c r="I2747" s="4">
        <v>0.143</v>
      </c>
      <c r="J2747" s="4">
        <v>0.016</v>
      </c>
      <c r="K2747" s="6" t="b">
        <f t="shared" ref="K2747:M2747" si="2563">FALSE()</f>
        <v>0</v>
      </c>
      <c r="L2747" s="6" t="b">
        <f t="shared" si="2563"/>
        <v>0</v>
      </c>
      <c r="M2747" s="6" t="b">
        <f t="shared" si="2563"/>
        <v>0</v>
      </c>
      <c r="P2747" s="4">
        <v>0.133656384812674</v>
      </c>
      <c r="T2747" s="4" t="str">
        <f t="shared" si="3"/>
        <v/>
      </c>
      <c r="U2747" s="4">
        <f t="shared" si="4"/>
        <v>3457</v>
      </c>
    </row>
    <row r="2748" ht="15.75" customHeight="1">
      <c r="A2748" s="4" t="s">
        <v>3838</v>
      </c>
      <c r="B2748" s="4" t="s">
        <v>13</v>
      </c>
      <c r="I2748" s="4">
        <v>0.194</v>
      </c>
      <c r="J2748" s="4">
        <v>0.021</v>
      </c>
      <c r="K2748" s="6" t="b">
        <f t="shared" ref="K2748:M2748" si="2564">FALSE()</f>
        <v>0</v>
      </c>
      <c r="L2748" s="6" t="b">
        <f t="shared" si="2564"/>
        <v>0</v>
      </c>
      <c r="M2748" s="6" t="b">
        <f t="shared" si="2564"/>
        <v>0</v>
      </c>
      <c r="P2748" s="4">
        <v>0.17730901497041</v>
      </c>
      <c r="T2748" s="4" t="str">
        <f t="shared" si="3"/>
        <v/>
      </c>
      <c r="U2748" s="4">
        <f t="shared" si="4"/>
        <v>2685</v>
      </c>
    </row>
    <row r="2749" ht="15.75" customHeight="1">
      <c r="A2749" s="4" t="s">
        <v>786</v>
      </c>
      <c r="B2749" s="4" t="s">
        <v>13</v>
      </c>
      <c r="C2749" s="4">
        <v>0.5</v>
      </c>
      <c r="I2749" s="4">
        <v>0.819</v>
      </c>
      <c r="J2749" s="4">
        <v>0.17</v>
      </c>
      <c r="K2749" s="6" t="b">
        <f t="shared" ref="K2749:L2749" si="2565">FALSE()</f>
        <v>0</v>
      </c>
      <c r="L2749" s="6" t="b">
        <f t="shared" si="2565"/>
        <v>0</v>
      </c>
      <c r="M2749" s="6" t="b">
        <f>TRUE()</f>
        <v>1</v>
      </c>
      <c r="N2749" s="4">
        <v>0.405465108108164</v>
      </c>
      <c r="P2749" s="4">
        <v>0.598286899535985</v>
      </c>
      <c r="T2749" s="4">
        <f t="shared" si="3"/>
        <v>957</v>
      </c>
      <c r="U2749" s="4">
        <f t="shared" si="4"/>
        <v>827</v>
      </c>
    </row>
    <row r="2750" ht="15.75" customHeight="1">
      <c r="A2750" s="4" t="s">
        <v>787</v>
      </c>
      <c r="B2750" s="4" t="s">
        <v>13</v>
      </c>
      <c r="C2750" s="4">
        <v>0.01573</v>
      </c>
      <c r="D2750" s="4">
        <v>0.00881</v>
      </c>
      <c r="E2750" s="4">
        <v>0.00975</v>
      </c>
      <c r="I2750" s="4">
        <v>0.197</v>
      </c>
      <c r="J2750" s="4">
        <v>0.007</v>
      </c>
      <c r="K2750" s="6" t="b">
        <f t="shared" ref="K2750:M2750" si="2566">FALSE()</f>
        <v>0</v>
      </c>
      <c r="L2750" s="6" t="b">
        <f t="shared" si="2566"/>
        <v>0</v>
      </c>
      <c r="M2750" s="6" t="b">
        <f t="shared" si="2566"/>
        <v>0</v>
      </c>
      <c r="N2750" s="4">
        <v>0.0156075658075288</v>
      </c>
      <c r="P2750" s="4">
        <v>0.179818426575836</v>
      </c>
      <c r="T2750" s="4">
        <f t="shared" si="3"/>
        <v>1812</v>
      </c>
      <c r="U2750" s="4">
        <f t="shared" si="4"/>
        <v>2634</v>
      </c>
    </row>
    <row r="2751" ht="15.75" customHeight="1">
      <c r="A2751" s="4" t="s">
        <v>788</v>
      </c>
      <c r="B2751" s="4" t="s">
        <v>13</v>
      </c>
      <c r="C2751" s="4">
        <v>0.1504</v>
      </c>
      <c r="D2751" s="4">
        <v>0.0104</v>
      </c>
      <c r="E2751" s="4">
        <v>0.0195</v>
      </c>
      <c r="I2751" s="4">
        <v>0.448</v>
      </c>
      <c r="J2751" s="4">
        <v>0.047</v>
      </c>
      <c r="K2751" s="6" t="b">
        <f t="shared" ref="K2751:M2751" si="2567">FALSE()</f>
        <v>0</v>
      </c>
      <c r="L2751" s="6" t="b">
        <f t="shared" si="2567"/>
        <v>0</v>
      </c>
      <c r="M2751" s="6" t="b">
        <f t="shared" si="2567"/>
        <v>0</v>
      </c>
      <c r="N2751" s="4">
        <v>0.140109707984645</v>
      </c>
      <c r="P2751" s="4">
        <v>0.370183293963525</v>
      </c>
      <c r="T2751" s="4">
        <f t="shared" si="3"/>
        <v>1194</v>
      </c>
      <c r="U2751" s="4">
        <f t="shared" si="4"/>
        <v>1062</v>
      </c>
    </row>
    <row r="2752" ht="15.75" customHeight="1">
      <c r="A2752" s="4" t="s">
        <v>3839</v>
      </c>
      <c r="B2752" s="4" t="s">
        <v>13</v>
      </c>
      <c r="C2752" s="4">
        <v>0.3977</v>
      </c>
      <c r="D2752" s="4">
        <v>0.091</v>
      </c>
      <c r="E2752" s="4">
        <v>0.091</v>
      </c>
      <c r="K2752" s="6" t="b">
        <f t="shared" ref="K2752:M2752" si="2568">FALSE()</f>
        <v>0</v>
      </c>
      <c r="L2752" s="6" t="b">
        <f t="shared" si="2568"/>
        <v>0</v>
      </c>
      <c r="M2752" s="6" t="b">
        <f t="shared" si="2568"/>
        <v>0</v>
      </c>
      <c r="N2752" s="4">
        <v>0.334828028508724</v>
      </c>
      <c r="T2752" s="4">
        <f t="shared" si="3"/>
        <v>1018</v>
      </c>
      <c r="U2752" s="4" t="str">
        <f t="shared" si="4"/>
        <v/>
      </c>
    </row>
    <row r="2753" ht="15.75" customHeight="1">
      <c r="A2753" s="4" t="s">
        <v>789</v>
      </c>
      <c r="B2753" s="4" t="s">
        <v>13</v>
      </c>
      <c r="C2753" s="4">
        <v>1.93</v>
      </c>
      <c r="D2753" s="4">
        <v>0.21</v>
      </c>
      <c r="E2753" s="4">
        <v>0.19</v>
      </c>
      <c r="I2753" s="4">
        <v>0.99</v>
      </c>
      <c r="J2753" s="4">
        <v>0.07</v>
      </c>
      <c r="K2753" s="6" t="b">
        <f t="shared" ref="K2753:L2753" si="2569">FALSE()</f>
        <v>0</v>
      </c>
      <c r="L2753" s="6" t="b">
        <f t="shared" si="2569"/>
        <v>0</v>
      </c>
      <c r="M2753" s="6" t="b">
        <f t="shared" ref="M2753:M2754" si="2570">TRUE()</f>
        <v>1</v>
      </c>
      <c r="N2753" s="4">
        <v>1.07500242302898</v>
      </c>
      <c r="P2753" s="4">
        <v>0.688134638736401</v>
      </c>
      <c r="T2753" s="4">
        <f t="shared" si="3"/>
        <v>449</v>
      </c>
      <c r="U2753" s="4">
        <f t="shared" si="4"/>
        <v>686</v>
      </c>
    </row>
    <row r="2754" ht="15.75" customHeight="1">
      <c r="A2754" s="4" t="s">
        <v>790</v>
      </c>
      <c r="B2754" s="4" t="s">
        <v>13</v>
      </c>
      <c r="C2754" s="4">
        <v>5.88</v>
      </c>
      <c r="I2754" s="4">
        <v>1.07</v>
      </c>
      <c r="J2754" s="4">
        <v>0.05</v>
      </c>
      <c r="K2754" s="6" t="b">
        <f>TRUE()</f>
        <v>1</v>
      </c>
      <c r="L2754" s="6" t="b">
        <f>FALSE()</f>
        <v>0</v>
      </c>
      <c r="M2754" s="6" t="b">
        <f t="shared" si="2570"/>
        <v>1</v>
      </c>
      <c r="N2754" s="4">
        <v>1.92861865194525</v>
      </c>
      <c r="P2754" s="4">
        <v>0.727548607277278</v>
      </c>
      <c r="T2754" s="4">
        <f t="shared" si="3"/>
        <v>178</v>
      </c>
      <c r="U2754" s="4">
        <f t="shared" si="4"/>
        <v>570</v>
      </c>
    </row>
    <row r="2755" ht="15.75" customHeight="1">
      <c r="A2755" s="4" t="s">
        <v>792</v>
      </c>
      <c r="B2755" s="4" t="s">
        <v>13</v>
      </c>
      <c r="C2755" s="4">
        <v>0.02832</v>
      </c>
      <c r="D2755" s="4">
        <v>9.4E-4</v>
      </c>
      <c r="E2755" s="4">
        <v>9.4E-4</v>
      </c>
      <c r="I2755" s="4">
        <v>0.17</v>
      </c>
      <c r="J2755" s="4">
        <v>0.018</v>
      </c>
      <c r="K2755" s="6" t="b">
        <f t="shared" ref="K2755:M2755" si="2571">FALSE()</f>
        <v>0</v>
      </c>
      <c r="L2755" s="6" t="b">
        <f t="shared" si="2571"/>
        <v>0</v>
      </c>
      <c r="M2755" s="6" t="b">
        <f t="shared" si="2571"/>
        <v>0</v>
      </c>
      <c r="N2755" s="4">
        <v>0.027926402640839</v>
      </c>
      <c r="P2755" s="4">
        <v>0.157003748809665</v>
      </c>
      <c r="T2755" s="4">
        <f t="shared" si="3"/>
        <v>1579</v>
      </c>
      <c r="U2755" s="4">
        <f t="shared" si="4"/>
        <v>3045</v>
      </c>
    </row>
    <row r="2756" ht="15.75" customHeight="1">
      <c r="A2756" s="4" t="s">
        <v>793</v>
      </c>
      <c r="B2756" s="4" t="s">
        <v>13</v>
      </c>
      <c r="C2756" s="4">
        <v>0.01447</v>
      </c>
      <c r="D2756" s="4">
        <v>9.4E-4</v>
      </c>
      <c r="E2756" s="4">
        <v>9.4E-4</v>
      </c>
      <c r="I2756" s="4">
        <v>0.17</v>
      </c>
      <c r="J2756" s="4">
        <v>0.027</v>
      </c>
      <c r="K2756" s="6" t="b">
        <f t="shared" ref="K2756:M2756" si="2572">FALSE()</f>
        <v>0</v>
      </c>
      <c r="L2756" s="6" t="b">
        <f t="shared" si="2572"/>
        <v>0</v>
      </c>
      <c r="M2756" s="6" t="b">
        <f t="shared" si="2572"/>
        <v>0</v>
      </c>
      <c r="N2756" s="4">
        <v>0.0143663086291468</v>
      </c>
      <c r="P2756" s="4">
        <v>0.157003748809665</v>
      </c>
      <c r="T2756" s="4">
        <f t="shared" si="3"/>
        <v>1837</v>
      </c>
      <c r="U2756" s="4">
        <f t="shared" si="4"/>
        <v>3046</v>
      </c>
    </row>
    <row r="2757" ht="15.75" customHeight="1">
      <c r="A2757" s="4" t="s">
        <v>3840</v>
      </c>
      <c r="B2757" s="4" t="s">
        <v>13</v>
      </c>
      <c r="I2757" s="4">
        <v>0.207</v>
      </c>
      <c r="J2757" s="4">
        <v>0.126</v>
      </c>
      <c r="K2757" s="6" t="b">
        <f t="shared" ref="K2757:M2757" si="2573">FALSE()</f>
        <v>0</v>
      </c>
      <c r="L2757" s="6" t="b">
        <f t="shared" si="2573"/>
        <v>0</v>
      </c>
      <c r="M2757" s="6" t="b">
        <f t="shared" si="2573"/>
        <v>0</v>
      </c>
      <c r="P2757" s="4">
        <v>0.188137942115394</v>
      </c>
      <c r="T2757" s="4" t="str">
        <f t="shared" si="3"/>
        <v/>
      </c>
      <c r="U2757" s="4">
        <f t="shared" si="4"/>
        <v>2467</v>
      </c>
    </row>
    <row r="2758" ht="15.75" customHeight="1">
      <c r="A2758" s="4" t="s">
        <v>3841</v>
      </c>
      <c r="B2758" s="4" t="s">
        <v>13</v>
      </c>
      <c r="I2758" s="4">
        <v>0.199</v>
      </c>
      <c r="J2758" s="4">
        <v>0.12</v>
      </c>
      <c r="K2758" s="6" t="b">
        <f t="shared" ref="K2758:M2758" si="2574">FALSE()</f>
        <v>0</v>
      </c>
      <c r="L2758" s="6" t="b">
        <f t="shared" si="2574"/>
        <v>0</v>
      </c>
      <c r="M2758" s="6" t="b">
        <f t="shared" si="2574"/>
        <v>0</v>
      </c>
      <c r="P2758" s="4">
        <v>0.181487876045377</v>
      </c>
      <c r="T2758" s="4" t="str">
        <f t="shared" si="3"/>
        <v/>
      </c>
      <c r="U2758" s="4">
        <f t="shared" si="4"/>
        <v>2599</v>
      </c>
    </row>
    <row r="2759" ht="15.75" customHeight="1">
      <c r="A2759" s="4" t="s">
        <v>3842</v>
      </c>
      <c r="B2759" s="4" t="s">
        <v>13</v>
      </c>
      <c r="C2759" s="4">
        <v>4.89</v>
      </c>
      <c r="D2759" s="4">
        <v>0.23</v>
      </c>
      <c r="E2759" s="4">
        <v>0.23</v>
      </c>
      <c r="K2759" s="6" t="b">
        <f>TRUE()</f>
        <v>1</v>
      </c>
      <c r="L2759" s="6" t="b">
        <f t="shared" ref="L2759:M2759" si="2575">FALSE()</f>
        <v>0</v>
      </c>
      <c r="M2759" s="6" t="b">
        <f t="shared" si="2575"/>
        <v>0</v>
      </c>
      <c r="N2759" s="4">
        <v>1.7732559976635</v>
      </c>
      <c r="T2759" s="4">
        <f t="shared" si="3"/>
        <v>216</v>
      </c>
      <c r="U2759" s="4" t="str">
        <f t="shared" si="4"/>
        <v/>
      </c>
    </row>
    <row r="2760" ht="15.75" customHeight="1">
      <c r="A2760" s="4" t="s">
        <v>3843</v>
      </c>
      <c r="B2760" s="4" t="s">
        <v>13</v>
      </c>
      <c r="C2760" s="4">
        <v>0.053</v>
      </c>
      <c r="D2760" s="4">
        <v>0.038</v>
      </c>
      <c r="E2760" s="4">
        <v>0.038</v>
      </c>
      <c r="K2760" s="6" t="b">
        <f t="shared" ref="K2760:M2760" si="2576">FALSE()</f>
        <v>0</v>
      </c>
      <c r="L2760" s="6" t="b">
        <f t="shared" si="2576"/>
        <v>0</v>
      </c>
      <c r="M2760" s="6" t="b">
        <f t="shared" si="2576"/>
        <v>0</v>
      </c>
      <c r="N2760" s="4">
        <v>0.0516432331518384</v>
      </c>
      <c r="T2760" s="4">
        <f t="shared" si="3"/>
        <v>1386</v>
      </c>
      <c r="U2760" s="4" t="str">
        <f t="shared" si="4"/>
        <v/>
      </c>
    </row>
    <row r="2761" ht="15.75" customHeight="1">
      <c r="A2761" s="4" t="s">
        <v>794</v>
      </c>
      <c r="B2761" s="4" t="s">
        <v>13</v>
      </c>
      <c r="C2761" s="4">
        <v>0.2234</v>
      </c>
      <c r="D2761" s="4">
        <v>0.0289</v>
      </c>
      <c r="E2761" s="4">
        <v>0.0352</v>
      </c>
      <c r="I2761" s="4">
        <v>0.7904</v>
      </c>
      <c r="J2761" s="4">
        <v>0.0214</v>
      </c>
      <c r="K2761" s="6" t="b">
        <f t="shared" ref="K2761:L2761" si="2577">FALSE()</f>
        <v>0</v>
      </c>
      <c r="L2761" s="6" t="b">
        <f t="shared" si="2577"/>
        <v>0</v>
      </c>
      <c r="M2761" s="6" t="b">
        <f>TRUE()</f>
        <v>1</v>
      </c>
      <c r="N2761" s="4">
        <v>0.201633867826327</v>
      </c>
      <c r="P2761" s="4">
        <v>0.582439058575524</v>
      </c>
      <c r="T2761" s="4">
        <f t="shared" si="3"/>
        <v>1131</v>
      </c>
      <c r="U2761" s="4">
        <f t="shared" si="4"/>
        <v>847</v>
      </c>
    </row>
    <row r="2762" ht="15.75" customHeight="1">
      <c r="A2762" s="4" t="s">
        <v>795</v>
      </c>
      <c r="B2762" s="4" t="s">
        <v>13</v>
      </c>
      <c r="C2762" s="4">
        <v>0.0472</v>
      </c>
      <c r="D2762" s="4">
        <v>0.0113</v>
      </c>
      <c r="E2762" s="4">
        <v>0.0135</v>
      </c>
      <c r="I2762" s="4">
        <v>0.4853</v>
      </c>
      <c r="J2762" s="4">
        <v>0.027</v>
      </c>
      <c r="K2762" s="6" t="b">
        <f t="shared" ref="K2762:M2762" si="2578">FALSE()</f>
        <v>0</v>
      </c>
      <c r="L2762" s="6" t="b">
        <f t="shared" si="2578"/>
        <v>0</v>
      </c>
      <c r="M2762" s="6" t="b">
        <f t="shared" si="2578"/>
        <v>0</v>
      </c>
      <c r="N2762" s="4">
        <v>0.0461199356135531</v>
      </c>
      <c r="P2762" s="4">
        <v>0.39561677205335</v>
      </c>
      <c r="T2762" s="4">
        <f t="shared" si="3"/>
        <v>1414</v>
      </c>
      <c r="U2762" s="4">
        <f t="shared" si="4"/>
        <v>1025</v>
      </c>
    </row>
    <row r="2763" ht="15.75" customHeight="1">
      <c r="A2763" s="4" t="s">
        <v>3844</v>
      </c>
      <c r="B2763" s="4" t="s">
        <v>13</v>
      </c>
      <c r="I2763" s="4">
        <v>0.295</v>
      </c>
      <c r="K2763" s="6" t="b">
        <f t="shared" ref="K2763:M2763" si="2579">FALSE()</f>
        <v>0</v>
      </c>
      <c r="L2763" s="6" t="b">
        <f t="shared" si="2579"/>
        <v>0</v>
      </c>
      <c r="M2763" s="6" t="b">
        <f t="shared" si="2579"/>
        <v>0</v>
      </c>
      <c r="P2763" s="4">
        <v>0.258510695151501</v>
      </c>
      <c r="T2763" s="4" t="str">
        <f t="shared" si="3"/>
        <v/>
      </c>
      <c r="U2763" s="4">
        <f t="shared" si="4"/>
        <v>1406</v>
      </c>
    </row>
    <row r="2764" ht="15.75" customHeight="1">
      <c r="A2764" s="4" t="s">
        <v>3845</v>
      </c>
      <c r="B2764" s="4" t="s">
        <v>13</v>
      </c>
      <c r="I2764" s="4">
        <v>0.271</v>
      </c>
      <c r="K2764" s="6" t="b">
        <f t="shared" ref="K2764:M2764" si="2580">FALSE()</f>
        <v>0</v>
      </c>
      <c r="L2764" s="6" t="b">
        <f t="shared" si="2580"/>
        <v>0</v>
      </c>
      <c r="M2764" s="6" t="b">
        <f t="shared" si="2580"/>
        <v>0</v>
      </c>
      <c r="P2764" s="4">
        <v>0.239803992207317</v>
      </c>
      <c r="T2764" s="4" t="str">
        <f t="shared" si="3"/>
        <v/>
      </c>
      <c r="U2764" s="4">
        <f t="shared" si="4"/>
        <v>1578</v>
      </c>
    </row>
    <row r="2765" ht="15.75" customHeight="1">
      <c r="A2765" s="4" t="s">
        <v>3846</v>
      </c>
      <c r="B2765" s="4" t="s">
        <v>13</v>
      </c>
      <c r="I2765" s="4">
        <v>0.253</v>
      </c>
      <c r="K2765" s="6" t="b">
        <f t="shared" ref="K2765:M2765" si="2581">FALSE()</f>
        <v>0</v>
      </c>
      <c r="L2765" s="6" t="b">
        <f t="shared" si="2581"/>
        <v>0</v>
      </c>
      <c r="M2765" s="6" t="b">
        <f t="shared" si="2581"/>
        <v>0</v>
      </c>
      <c r="P2765" s="4">
        <v>0.225540675913931</v>
      </c>
      <c r="T2765" s="4" t="str">
        <f t="shared" si="3"/>
        <v/>
      </c>
      <c r="U2765" s="4">
        <f t="shared" si="4"/>
        <v>1768</v>
      </c>
    </row>
    <row r="2766" ht="15.75" customHeight="1">
      <c r="A2766" s="4" t="s">
        <v>3847</v>
      </c>
      <c r="B2766" s="4" t="s">
        <v>13</v>
      </c>
      <c r="I2766" s="4">
        <v>0.257</v>
      </c>
      <c r="K2766" s="6" t="b">
        <f t="shared" ref="K2766:M2766" si="2582">FALSE()</f>
        <v>0</v>
      </c>
      <c r="L2766" s="6" t="b">
        <f t="shared" si="2582"/>
        <v>0</v>
      </c>
      <c r="M2766" s="6" t="b">
        <f t="shared" si="2582"/>
        <v>0</v>
      </c>
      <c r="P2766" s="4">
        <v>0.22872792960811</v>
      </c>
      <c r="T2766" s="4" t="str">
        <f t="shared" si="3"/>
        <v/>
      </c>
      <c r="U2766" s="4">
        <f t="shared" si="4"/>
        <v>1713</v>
      </c>
    </row>
    <row r="2767" ht="15.75" customHeight="1">
      <c r="A2767" s="4" t="s">
        <v>3848</v>
      </c>
      <c r="B2767" s="4" t="s">
        <v>13</v>
      </c>
      <c r="I2767" s="4">
        <v>0.289</v>
      </c>
      <c r="K2767" s="6" t="b">
        <f t="shared" ref="K2767:M2767" si="2583">FALSE()</f>
        <v>0</v>
      </c>
      <c r="L2767" s="6" t="b">
        <f t="shared" si="2583"/>
        <v>0</v>
      </c>
      <c r="M2767" s="6" t="b">
        <f t="shared" si="2583"/>
        <v>0</v>
      </c>
      <c r="P2767" s="4">
        <v>0.25386672395705</v>
      </c>
      <c r="T2767" s="4" t="str">
        <f t="shared" si="3"/>
        <v/>
      </c>
      <c r="U2767" s="4">
        <f t="shared" si="4"/>
        <v>1443</v>
      </c>
    </row>
    <row r="2768" ht="15.75" customHeight="1">
      <c r="A2768" s="4" t="s">
        <v>3849</v>
      </c>
      <c r="B2768" s="4" t="s">
        <v>13</v>
      </c>
      <c r="I2768" s="4">
        <v>0.266</v>
      </c>
      <c r="K2768" s="6" t="b">
        <f t="shared" ref="K2768:M2768" si="2584">FALSE()</f>
        <v>0</v>
      </c>
      <c r="L2768" s="6" t="b">
        <f t="shared" si="2584"/>
        <v>0</v>
      </c>
      <c r="M2768" s="6" t="b">
        <f t="shared" si="2584"/>
        <v>0</v>
      </c>
      <c r="P2768" s="4">
        <v>0.235862323721984</v>
      </c>
      <c r="T2768" s="4" t="str">
        <f t="shared" si="3"/>
        <v/>
      </c>
      <c r="U2768" s="4">
        <f t="shared" si="4"/>
        <v>1626</v>
      </c>
    </row>
    <row r="2769" ht="15.75" customHeight="1">
      <c r="A2769" s="4" t="s">
        <v>3850</v>
      </c>
      <c r="B2769" s="4" t="s">
        <v>13</v>
      </c>
      <c r="I2769" s="4">
        <v>0.388</v>
      </c>
      <c r="K2769" s="6" t="b">
        <f t="shared" ref="K2769:M2769" si="2585">FALSE()</f>
        <v>0</v>
      </c>
      <c r="L2769" s="6" t="b">
        <f t="shared" si="2585"/>
        <v>0</v>
      </c>
      <c r="M2769" s="6" t="b">
        <f t="shared" si="2585"/>
        <v>0</v>
      </c>
      <c r="P2769" s="4">
        <v>0.327863862084613</v>
      </c>
      <c r="T2769" s="4" t="str">
        <f t="shared" si="3"/>
        <v/>
      </c>
      <c r="U2769" s="4">
        <f t="shared" si="4"/>
        <v>1134</v>
      </c>
    </row>
    <row r="2770" ht="15.75" customHeight="1">
      <c r="A2770" s="4" t="s">
        <v>3851</v>
      </c>
      <c r="B2770" s="4" t="s">
        <v>13</v>
      </c>
      <c r="I2770" s="4">
        <v>0.248</v>
      </c>
      <c r="K2770" s="6" t="b">
        <f t="shared" ref="K2770:M2770" si="2586">FALSE()</f>
        <v>0</v>
      </c>
      <c r="L2770" s="6" t="b">
        <f t="shared" si="2586"/>
        <v>0</v>
      </c>
      <c r="M2770" s="6" t="b">
        <f t="shared" si="2586"/>
        <v>0</v>
      </c>
      <c r="P2770" s="4">
        <v>0.221542269947236</v>
      </c>
      <c r="T2770" s="4" t="str">
        <f t="shared" si="3"/>
        <v/>
      </c>
      <c r="U2770" s="4">
        <f t="shared" si="4"/>
        <v>1830</v>
      </c>
    </row>
    <row r="2771" ht="15.75" customHeight="1">
      <c r="A2771" s="4" t="s">
        <v>3852</v>
      </c>
      <c r="B2771" s="4" t="s">
        <v>13</v>
      </c>
      <c r="I2771" s="4">
        <v>0.1696</v>
      </c>
      <c r="K2771" s="6" t="b">
        <f t="shared" ref="K2771:M2771" si="2587">FALSE()</f>
        <v>0</v>
      </c>
      <c r="L2771" s="6" t="b">
        <f t="shared" si="2587"/>
        <v>0</v>
      </c>
      <c r="M2771" s="6" t="b">
        <f t="shared" si="2587"/>
        <v>0</v>
      </c>
      <c r="P2771" s="4">
        <v>0.156661810013377</v>
      </c>
      <c r="T2771" s="4" t="str">
        <f t="shared" si="3"/>
        <v/>
      </c>
      <c r="U2771" s="4">
        <f t="shared" si="4"/>
        <v>3060</v>
      </c>
    </row>
    <row r="2772" ht="15.75" customHeight="1">
      <c r="A2772" s="4" t="s">
        <v>3853</v>
      </c>
      <c r="B2772" s="4" t="s">
        <v>13</v>
      </c>
      <c r="I2772" s="4">
        <v>0.143</v>
      </c>
      <c r="K2772" s="6" t="b">
        <f t="shared" ref="K2772:M2772" si="2588">FALSE()</f>
        <v>0</v>
      </c>
      <c r="L2772" s="6" t="b">
        <f t="shared" si="2588"/>
        <v>0</v>
      </c>
      <c r="M2772" s="6" t="b">
        <f t="shared" si="2588"/>
        <v>0</v>
      </c>
      <c r="P2772" s="4">
        <v>0.133656384812674</v>
      </c>
      <c r="T2772" s="4" t="str">
        <f t="shared" si="3"/>
        <v/>
      </c>
      <c r="U2772" s="4">
        <f t="shared" si="4"/>
        <v>3458</v>
      </c>
    </row>
    <row r="2773" ht="15.75" customHeight="1">
      <c r="A2773" s="4" t="s">
        <v>3854</v>
      </c>
      <c r="B2773" s="4" t="s">
        <v>13</v>
      </c>
      <c r="I2773" s="4">
        <v>0.203</v>
      </c>
      <c r="J2773" s="4">
        <v>0.104</v>
      </c>
      <c r="K2773" s="6" t="b">
        <f t="shared" ref="K2773:M2773" si="2589">FALSE()</f>
        <v>0</v>
      </c>
      <c r="L2773" s="6" t="b">
        <f t="shared" si="2589"/>
        <v>0</v>
      </c>
      <c r="M2773" s="6" t="b">
        <f t="shared" si="2589"/>
        <v>0</v>
      </c>
      <c r="P2773" s="4">
        <v>0.184818436992542</v>
      </c>
      <c r="T2773" s="4" t="str">
        <f t="shared" si="3"/>
        <v/>
      </c>
      <c r="U2773" s="4">
        <f t="shared" si="4"/>
        <v>2526</v>
      </c>
    </row>
    <row r="2774" ht="15.75" customHeight="1">
      <c r="A2774" s="4" t="s">
        <v>3855</v>
      </c>
      <c r="B2774" s="4" t="s">
        <v>13</v>
      </c>
      <c r="I2774" s="4">
        <v>0.212</v>
      </c>
      <c r="J2774" s="4">
        <v>0.11</v>
      </c>
      <c r="K2774" s="6" t="b">
        <f t="shared" ref="K2774:M2774" si="2590">FALSE()</f>
        <v>0</v>
      </c>
      <c r="L2774" s="6" t="b">
        <f t="shared" si="2590"/>
        <v>0</v>
      </c>
      <c r="M2774" s="6" t="b">
        <f t="shared" si="2590"/>
        <v>0</v>
      </c>
      <c r="P2774" s="4">
        <v>0.192271887647123</v>
      </c>
      <c r="T2774" s="4" t="str">
        <f t="shared" si="3"/>
        <v/>
      </c>
      <c r="U2774" s="4">
        <f t="shared" si="4"/>
        <v>2379</v>
      </c>
    </row>
    <row r="2775" ht="15.75" customHeight="1">
      <c r="A2775" s="4" t="s">
        <v>3856</v>
      </c>
      <c r="B2775" s="4" t="s">
        <v>13</v>
      </c>
      <c r="I2775" s="4">
        <v>0.154</v>
      </c>
      <c r="J2775" s="4">
        <v>0.009</v>
      </c>
      <c r="K2775" s="6" t="b">
        <f t="shared" ref="K2775:M2775" si="2591">FALSE()</f>
        <v>0</v>
      </c>
      <c r="L2775" s="6" t="b">
        <f t="shared" si="2591"/>
        <v>0</v>
      </c>
      <c r="M2775" s="6" t="b">
        <f t="shared" si="2591"/>
        <v>0</v>
      </c>
      <c r="P2775" s="4">
        <v>0.143234168085908</v>
      </c>
      <c r="T2775" s="4" t="str">
        <f t="shared" si="3"/>
        <v/>
      </c>
      <c r="U2775" s="4">
        <f t="shared" si="4"/>
        <v>3261</v>
      </c>
    </row>
    <row r="2776" ht="15.75" customHeight="1">
      <c r="A2776" s="4" t="s">
        <v>3857</v>
      </c>
      <c r="B2776" s="4" t="s">
        <v>13</v>
      </c>
      <c r="I2776" s="4">
        <v>0.299</v>
      </c>
      <c r="K2776" s="6" t="b">
        <f t="shared" ref="K2776:M2776" si="2592">FALSE()</f>
        <v>0</v>
      </c>
      <c r="L2776" s="6" t="b">
        <f t="shared" si="2592"/>
        <v>0</v>
      </c>
      <c r="M2776" s="6" t="b">
        <f t="shared" si="2592"/>
        <v>0</v>
      </c>
      <c r="P2776" s="4">
        <v>0.261594737688463</v>
      </c>
      <c r="T2776" s="4" t="str">
        <f t="shared" si="3"/>
        <v/>
      </c>
      <c r="U2776" s="4">
        <f t="shared" si="4"/>
        <v>1389</v>
      </c>
    </row>
    <row r="2777" ht="15.75" customHeight="1">
      <c r="A2777" s="4" t="s">
        <v>3858</v>
      </c>
      <c r="B2777" s="4" t="s">
        <v>13</v>
      </c>
      <c r="I2777" s="4">
        <v>0.118</v>
      </c>
      <c r="K2777" s="6" t="b">
        <f t="shared" ref="K2777:M2777" si="2593">FALSE()</f>
        <v>0</v>
      </c>
      <c r="L2777" s="6" t="b">
        <f t="shared" si="2593"/>
        <v>0</v>
      </c>
      <c r="M2777" s="6" t="b">
        <f t="shared" si="2593"/>
        <v>0</v>
      </c>
      <c r="P2777" s="4">
        <v>0.111541374732907</v>
      </c>
      <c r="T2777" s="4" t="str">
        <f t="shared" si="3"/>
        <v/>
      </c>
      <c r="U2777" s="4">
        <f t="shared" si="4"/>
        <v>3910</v>
      </c>
    </row>
    <row r="2778" ht="15.75" customHeight="1">
      <c r="A2778" s="4" t="s">
        <v>3859</v>
      </c>
      <c r="B2778" s="4" t="s">
        <v>13</v>
      </c>
      <c r="I2778" s="4">
        <v>0.265</v>
      </c>
      <c r="K2778" s="6" t="b">
        <f t="shared" ref="K2778:M2778" si="2594">FALSE()</f>
        <v>0</v>
      </c>
      <c r="L2778" s="6" t="b">
        <f t="shared" si="2594"/>
        <v>0</v>
      </c>
      <c r="M2778" s="6" t="b">
        <f t="shared" si="2594"/>
        <v>0</v>
      </c>
      <c r="P2778" s="4">
        <v>0.235072122179484</v>
      </c>
      <c r="T2778" s="4" t="str">
        <f t="shared" si="3"/>
        <v/>
      </c>
      <c r="U2778" s="4">
        <f t="shared" si="4"/>
        <v>1631</v>
      </c>
    </row>
    <row r="2779" ht="15.75" customHeight="1">
      <c r="A2779" s="4" t="s">
        <v>3860</v>
      </c>
      <c r="B2779" s="4" t="s">
        <v>13</v>
      </c>
      <c r="I2779" s="4">
        <v>0.262</v>
      </c>
      <c r="K2779" s="6" t="b">
        <f t="shared" ref="K2779:M2779" si="2595">FALSE()</f>
        <v>0</v>
      </c>
      <c r="L2779" s="6" t="b">
        <f t="shared" si="2595"/>
        <v>0</v>
      </c>
      <c r="M2779" s="6" t="b">
        <f t="shared" si="2595"/>
        <v>0</v>
      </c>
      <c r="P2779" s="4">
        <v>0.232697764119021</v>
      </c>
      <c r="T2779" s="4" t="str">
        <f t="shared" si="3"/>
        <v/>
      </c>
      <c r="U2779" s="4">
        <f t="shared" si="4"/>
        <v>1660</v>
      </c>
    </row>
    <row r="2780" ht="15.75" customHeight="1">
      <c r="A2780" s="4" t="s">
        <v>3861</v>
      </c>
      <c r="B2780" s="4" t="s">
        <v>13</v>
      </c>
      <c r="I2780" s="4">
        <v>0.286</v>
      </c>
      <c r="K2780" s="6" t="b">
        <f t="shared" ref="K2780:M2780" si="2596">FALSE()</f>
        <v>0</v>
      </c>
      <c r="L2780" s="6" t="b">
        <f t="shared" si="2596"/>
        <v>0</v>
      </c>
      <c r="M2780" s="6" t="b">
        <f t="shared" si="2596"/>
        <v>0</v>
      </c>
      <c r="P2780" s="4">
        <v>0.251536625815428</v>
      </c>
      <c r="T2780" s="4" t="str">
        <f t="shared" si="3"/>
        <v/>
      </c>
      <c r="U2780" s="4">
        <f t="shared" si="4"/>
        <v>1460</v>
      </c>
    </row>
    <row r="2781" ht="15.75" customHeight="1">
      <c r="A2781" s="4" t="s">
        <v>3862</v>
      </c>
      <c r="B2781" s="4" t="s">
        <v>13</v>
      </c>
      <c r="I2781" s="4">
        <v>0.279</v>
      </c>
      <c r="K2781" s="6" t="b">
        <f t="shared" ref="K2781:M2781" si="2597">FALSE()</f>
        <v>0</v>
      </c>
      <c r="L2781" s="6" t="b">
        <f t="shared" si="2597"/>
        <v>0</v>
      </c>
      <c r="M2781" s="6" t="b">
        <f t="shared" si="2597"/>
        <v>0</v>
      </c>
      <c r="P2781" s="4">
        <v>0.246078522596706</v>
      </c>
      <c r="T2781" s="4" t="str">
        <f t="shared" si="3"/>
        <v/>
      </c>
      <c r="U2781" s="4">
        <f t="shared" si="4"/>
        <v>1511</v>
      </c>
    </row>
    <row r="2782" ht="15.75" customHeight="1">
      <c r="A2782" s="4" t="s">
        <v>3863</v>
      </c>
      <c r="B2782" s="4" t="s">
        <v>13</v>
      </c>
      <c r="I2782" s="4">
        <v>0.301</v>
      </c>
      <c r="K2782" s="6" t="b">
        <f t="shared" ref="K2782:M2782" si="2598">FALSE()</f>
        <v>0</v>
      </c>
      <c r="L2782" s="6" t="b">
        <f t="shared" si="2598"/>
        <v>0</v>
      </c>
      <c r="M2782" s="6" t="b">
        <f t="shared" si="2598"/>
        <v>0</v>
      </c>
      <c r="P2782" s="4">
        <v>0.263133199530368</v>
      </c>
      <c r="T2782" s="4" t="str">
        <f t="shared" si="3"/>
        <v/>
      </c>
      <c r="U2782" s="4">
        <f t="shared" si="4"/>
        <v>1377</v>
      </c>
    </row>
    <row r="2783" ht="15.75" customHeight="1">
      <c r="A2783" s="4" t="s">
        <v>3864</v>
      </c>
      <c r="B2783" s="4" t="s">
        <v>13</v>
      </c>
      <c r="I2783" s="4">
        <v>0.241</v>
      </c>
      <c r="K2783" s="6" t="b">
        <f t="shared" ref="K2783:M2783" si="2599">FALSE()</f>
        <v>0</v>
      </c>
      <c r="L2783" s="6" t="b">
        <f t="shared" si="2599"/>
        <v>0</v>
      </c>
      <c r="M2783" s="6" t="b">
        <f t="shared" si="2599"/>
        <v>0</v>
      </c>
      <c r="P2783" s="4">
        <v>0.21591750622247</v>
      </c>
      <c r="T2783" s="4" t="str">
        <f t="shared" si="3"/>
        <v/>
      </c>
      <c r="U2783" s="4">
        <f t="shared" si="4"/>
        <v>1932</v>
      </c>
    </row>
    <row r="2784" ht="15.75" customHeight="1">
      <c r="A2784" s="4" t="s">
        <v>3865</v>
      </c>
      <c r="B2784" s="4" t="s">
        <v>13</v>
      </c>
      <c r="I2784" s="4">
        <v>0.295</v>
      </c>
      <c r="K2784" s="6" t="b">
        <f t="shared" ref="K2784:M2784" si="2600">FALSE()</f>
        <v>0</v>
      </c>
      <c r="L2784" s="6" t="b">
        <f t="shared" si="2600"/>
        <v>0</v>
      </c>
      <c r="M2784" s="6" t="b">
        <f t="shared" si="2600"/>
        <v>0</v>
      </c>
      <c r="P2784" s="4">
        <v>0.258510695151501</v>
      </c>
      <c r="T2784" s="4" t="str">
        <f t="shared" si="3"/>
        <v/>
      </c>
      <c r="U2784" s="4">
        <f t="shared" si="4"/>
        <v>1407</v>
      </c>
    </row>
    <row r="2785" ht="15.75" customHeight="1">
      <c r="A2785" s="4" t="s">
        <v>3866</v>
      </c>
      <c r="B2785" s="4" t="s">
        <v>13</v>
      </c>
      <c r="I2785" s="4">
        <v>0.185</v>
      </c>
      <c r="K2785" s="6" t="b">
        <f t="shared" ref="K2785:M2785" si="2601">FALSE()</f>
        <v>0</v>
      </c>
      <c r="L2785" s="6" t="b">
        <f t="shared" si="2601"/>
        <v>0</v>
      </c>
      <c r="M2785" s="6" t="b">
        <f t="shared" si="2601"/>
        <v>0</v>
      </c>
      <c r="P2785" s="4">
        <v>0.169742774587095</v>
      </c>
      <c r="T2785" s="4" t="str">
        <f t="shared" si="3"/>
        <v/>
      </c>
      <c r="U2785" s="4">
        <f t="shared" si="4"/>
        <v>2826</v>
      </c>
    </row>
    <row r="2786" ht="15.75" customHeight="1">
      <c r="A2786" s="4" t="s">
        <v>3867</v>
      </c>
      <c r="B2786" s="4" t="s">
        <v>13</v>
      </c>
      <c r="I2786" s="4">
        <v>0.15327</v>
      </c>
      <c r="J2786" s="4">
        <v>0.0062</v>
      </c>
      <c r="K2786" s="6" t="b">
        <f t="shared" ref="K2786:M2786" si="2602">FALSE()</f>
        <v>0</v>
      </c>
      <c r="L2786" s="6" t="b">
        <f t="shared" si="2602"/>
        <v>0</v>
      </c>
      <c r="M2786" s="6" t="b">
        <f t="shared" si="2602"/>
        <v>0</v>
      </c>
      <c r="P2786" s="4">
        <v>0.142601385598935</v>
      </c>
      <c r="T2786" s="4" t="str">
        <f t="shared" si="3"/>
        <v/>
      </c>
      <c r="U2786" s="4">
        <f t="shared" si="4"/>
        <v>3266</v>
      </c>
    </row>
    <row r="2787" ht="15.75" customHeight="1">
      <c r="A2787" s="4" t="s">
        <v>3868</v>
      </c>
      <c r="B2787" s="4" t="s">
        <v>13</v>
      </c>
      <c r="I2787" s="4">
        <v>0.14935</v>
      </c>
      <c r="J2787" s="4">
        <v>0.00616</v>
      </c>
      <c r="K2787" s="6" t="b">
        <f t="shared" ref="K2787:M2787" si="2603">FALSE()</f>
        <v>0</v>
      </c>
      <c r="L2787" s="6" t="b">
        <f t="shared" si="2603"/>
        <v>0</v>
      </c>
      <c r="M2787" s="6" t="b">
        <f t="shared" si="2603"/>
        <v>0</v>
      </c>
      <c r="P2787" s="4">
        <v>0.139196565188289</v>
      </c>
      <c r="T2787" s="4" t="str">
        <f t="shared" si="3"/>
        <v/>
      </c>
      <c r="U2787" s="4">
        <f t="shared" si="4"/>
        <v>3339</v>
      </c>
    </row>
    <row r="2788" ht="15.75" customHeight="1">
      <c r="A2788" s="4" t="s">
        <v>3869</v>
      </c>
      <c r="B2788" s="4" t="s">
        <v>13</v>
      </c>
      <c r="I2788" s="4">
        <v>0.11045</v>
      </c>
      <c r="J2788" s="4">
        <v>0.00571</v>
      </c>
      <c r="K2788" s="6" t="b">
        <f t="shared" ref="K2788:M2788" si="2604">FALSE()</f>
        <v>0</v>
      </c>
      <c r="L2788" s="6" t="b">
        <f t="shared" si="2604"/>
        <v>0</v>
      </c>
      <c r="M2788" s="6" t="b">
        <f t="shared" si="2604"/>
        <v>0</v>
      </c>
      <c r="P2788" s="4">
        <v>0.10476533857508</v>
      </c>
      <c r="T2788" s="4" t="str">
        <f t="shared" si="3"/>
        <v/>
      </c>
      <c r="U2788" s="4">
        <f t="shared" si="4"/>
        <v>4039</v>
      </c>
    </row>
    <row r="2789" ht="15.75" customHeight="1">
      <c r="A2789" s="4" t="s">
        <v>796</v>
      </c>
      <c r="B2789" s="4" t="s">
        <v>13</v>
      </c>
      <c r="C2789" s="4">
        <v>4.0</v>
      </c>
      <c r="D2789" s="4">
        <v>3.7</v>
      </c>
      <c r="E2789" s="4">
        <v>46.0</v>
      </c>
      <c r="I2789" s="4">
        <v>0.9064</v>
      </c>
      <c r="J2789" s="4">
        <v>0.0375</v>
      </c>
      <c r="K2789" s="6" t="b">
        <f>TRUE()</f>
        <v>1</v>
      </c>
      <c r="L2789" s="6" t="b">
        <f>FALSE()</f>
        <v>0</v>
      </c>
      <c r="M2789" s="6" t="b">
        <f>TRUE()</f>
        <v>1</v>
      </c>
      <c r="N2789" s="4">
        <v>1.6094379124341</v>
      </c>
      <c r="P2789" s="4">
        <v>0.645216646802395</v>
      </c>
      <c r="T2789" s="4">
        <f t="shared" si="3"/>
        <v>260</v>
      </c>
      <c r="U2789" s="4">
        <f t="shared" si="4"/>
        <v>758</v>
      </c>
    </row>
    <row r="2790" ht="15.75" customHeight="1">
      <c r="A2790" s="4" t="s">
        <v>3870</v>
      </c>
      <c r="B2790" s="4" t="s">
        <v>13</v>
      </c>
      <c r="I2790" s="4">
        <v>0.121</v>
      </c>
      <c r="K2790" s="6" t="b">
        <f t="shared" ref="K2790:M2790" si="2605">FALSE()</f>
        <v>0</v>
      </c>
      <c r="L2790" s="6" t="b">
        <f t="shared" si="2605"/>
        <v>0</v>
      </c>
      <c r="M2790" s="6" t="b">
        <f t="shared" si="2605"/>
        <v>0</v>
      </c>
      <c r="P2790" s="4">
        <v>0.114221144090023</v>
      </c>
      <c r="T2790" s="4" t="str">
        <f t="shared" si="3"/>
        <v/>
      </c>
      <c r="U2790" s="4">
        <f t="shared" si="4"/>
        <v>3845</v>
      </c>
    </row>
    <row r="2791" ht="15.75" customHeight="1">
      <c r="A2791" s="4" t="s">
        <v>3871</v>
      </c>
      <c r="B2791" s="4" t="s">
        <v>13</v>
      </c>
      <c r="I2791" s="4">
        <v>0.228</v>
      </c>
      <c r="K2791" s="6" t="b">
        <f t="shared" ref="K2791:M2791" si="2606">FALSE()</f>
        <v>0</v>
      </c>
      <c r="L2791" s="6" t="b">
        <f t="shared" si="2606"/>
        <v>0</v>
      </c>
      <c r="M2791" s="6" t="b">
        <f t="shared" si="2606"/>
        <v>0</v>
      </c>
      <c r="P2791" s="4">
        <v>0.205386829724951</v>
      </c>
      <c r="T2791" s="4" t="str">
        <f t="shared" si="3"/>
        <v/>
      </c>
      <c r="U2791" s="4">
        <f t="shared" si="4"/>
        <v>2141</v>
      </c>
    </row>
    <row r="2792" ht="15.75" customHeight="1">
      <c r="A2792" s="4" t="s">
        <v>3872</v>
      </c>
      <c r="B2792" s="4" t="s">
        <v>13</v>
      </c>
      <c r="I2792" s="4">
        <v>0.258</v>
      </c>
      <c r="K2792" s="6" t="b">
        <f t="shared" ref="K2792:M2792" si="2607">FALSE()</f>
        <v>0</v>
      </c>
      <c r="L2792" s="6" t="b">
        <f t="shared" si="2607"/>
        <v>0</v>
      </c>
      <c r="M2792" s="6" t="b">
        <f t="shared" si="2607"/>
        <v>0</v>
      </c>
      <c r="P2792" s="4">
        <v>0.229523158278249</v>
      </c>
      <c r="T2792" s="4" t="str">
        <f t="shared" si="3"/>
        <v/>
      </c>
      <c r="U2792" s="4">
        <f t="shared" si="4"/>
        <v>1708</v>
      </c>
    </row>
    <row r="2793" ht="15.75" customHeight="1">
      <c r="A2793" s="4" t="s">
        <v>3873</v>
      </c>
      <c r="B2793" s="4" t="s">
        <v>13</v>
      </c>
      <c r="I2793" s="4">
        <v>0.167</v>
      </c>
      <c r="K2793" s="6" t="b">
        <f t="shared" ref="K2793:M2793" si="2608">FALSE()</f>
        <v>0</v>
      </c>
      <c r="L2793" s="6" t="b">
        <f t="shared" si="2608"/>
        <v>0</v>
      </c>
      <c r="M2793" s="6" t="b">
        <f t="shared" si="2608"/>
        <v>0</v>
      </c>
      <c r="P2793" s="4">
        <v>0.154436353304419</v>
      </c>
      <c r="T2793" s="4" t="str">
        <f t="shared" si="3"/>
        <v/>
      </c>
      <c r="U2793" s="4">
        <f t="shared" si="4"/>
        <v>3089</v>
      </c>
    </row>
    <row r="2794" ht="15.75" customHeight="1">
      <c r="A2794" s="4" t="s">
        <v>3874</v>
      </c>
      <c r="B2794" s="4" t="s">
        <v>13</v>
      </c>
      <c r="I2794" s="4">
        <v>0.256</v>
      </c>
      <c r="K2794" s="6" t="b">
        <f t="shared" ref="K2794:M2794" si="2609">FALSE()</f>
        <v>0</v>
      </c>
      <c r="L2794" s="6" t="b">
        <f t="shared" si="2609"/>
        <v>0</v>
      </c>
      <c r="M2794" s="6" t="b">
        <f t="shared" si="2609"/>
        <v>0</v>
      </c>
      <c r="P2794" s="4">
        <v>0.227932068046007</v>
      </c>
      <c r="T2794" s="4" t="str">
        <f t="shared" si="3"/>
        <v/>
      </c>
      <c r="U2794" s="4">
        <f t="shared" si="4"/>
        <v>1730</v>
      </c>
    </row>
    <row r="2795" ht="15.75" customHeight="1">
      <c r="A2795" s="4" t="s">
        <v>3875</v>
      </c>
      <c r="B2795" s="4" t="s">
        <v>13</v>
      </c>
      <c r="I2795" s="4">
        <v>0.23</v>
      </c>
      <c r="K2795" s="6" t="b">
        <f t="shared" ref="K2795:M2795" si="2610">FALSE()</f>
        <v>0</v>
      </c>
      <c r="L2795" s="6" t="b">
        <f t="shared" si="2610"/>
        <v>0</v>
      </c>
      <c r="M2795" s="6" t="b">
        <f t="shared" si="2610"/>
        <v>0</v>
      </c>
      <c r="P2795" s="4">
        <v>0.207014169384326</v>
      </c>
      <c r="T2795" s="4" t="str">
        <f t="shared" si="3"/>
        <v/>
      </c>
      <c r="U2795" s="4">
        <f t="shared" si="4"/>
        <v>2112</v>
      </c>
    </row>
    <row r="2796" ht="15.75" customHeight="1">
      <c r="A2796" s="4" t="s">
        <v>3876</v>
      </c>
      <c r="B2796" s="4" t="s">
        <v>13</v>
      </c>
      <c r="I2796" s="4">
        <v>0.127</v>
      </c>
      <c r="K2796" s="6" t="b">
        <f t="shared" ref="K2796:M2796" si="2611">FALSE()</f>
        <v>0</v>
      </c>
      <c r="L2796" s="6" t="b">
        <f t="shared" si="2611"/>
        <v>0</v>
      </c>
      <c r="M2796" s="6" t="b">
        <f t="shared" si="2611"/>
        <v>0</v>
      </c>
      <c r="P2796" s="4">
        <v>0.119559235057639</v>
      </c>
      <c r="T2796" s="4" t="str">
        <f t="shared" si="3"/>
        <v/>
      </c>
      <c r="U2796" s="4">
        <f t="shared" si="4"/>
        <v>3748</v>
      </c>
    </row>
    <row r="2797" ht="15.75" customHeight="1">
      <c r="A2797" s="4" t="s">
        <v>3877</v>
      </c>
      <c r="B2797" s="4" t="s">
        <v>13</v>
      </c>
      <c r="I2797" s="4">
        <v>0.148</v>
      </c>
      <c r="K2797" s="6" t="b">
        <f t="shared" ref="K2797:M2797" si="2612">FALSE()</f>
        <v>0</v>
      </c>
      <c r="L2797" s="6" t="b">
        <f t="shared" si="2612"/>
        <v>0</v>
      </c>
      <c r="M2797" s="6" t="b">
        <f t="shared" si="2612"/>
        <v>0</v>
      </c>
      <c r="P2797" s="4">
        <v>0.138021297897375</v>
      </c>
      <c r="T2797" s="4" t="str">
        <f t="shared" si="3"/>
        <v/>
      </c>
      <c r="U2797" s="4">
        <f t="shared" si="4"/>
        <v>3365</v>
      </c>
    </row>
    <row r="2798" ht="15.75" customHeight="1">
      <c r="A2798" s="4" t="s">
        <v>3878</v>
      </c>
      <c r="B2798" s="4" t="s">
        <v>13</v>
      </c>
      <c r="I2798" s="4">
        <v>0.113</v>
      </c>
      <c r="K2798" s="6" t="b">
        <f t="shared" ref="K2798:M2798" si="2613">FALSE()</f>
        <v>0</v>
      </c>
      <c r="L2798" s="6" t="b">
        <f t="shared" si="2613"/>
        <v>0</v>
      </c>
      <c r="M2798" s="6" t="b">
        <f t="shared" si="2613"/>
        <v>0</v>
      </c>
      <c r="P2798" s="4">
        <v>0.107059072293408</v>
      </c>
      <c r="T2798" s="4" t="str">
        <f t="shared" si="3"/>
        <v/>
      </c>
      <c r="U2798" s="4">
        <f t="shared" si="4"/>
        <v>3993</v>
      </c>
    </row>
    <row r="2799" ht="15.75" customHeight="1">
      <c r="A2799" s="4" t="s">
        <v>3879</v>
      </c>
      <c r="B2799" s="4" t="s">
        <v>13</v>
      </c>
      <c r="I2799" s="4">
        <v>0.084</v>
      </c>
      <c r="K2799" s="6" t="b">
        <f t="shared" ref="K2799:M2799" si="2614">FALSE()</f>
        <v>0</v>
      </c>
      <c r="L2799" s="6" t="b">
        <f t="shared" si="2614"/>
        <v>0</v>
      </c>
      <c r="M2799" s="6" t="b">
        <f t="shared" si="2614"/>
        <v>0</v>
      </c>
      <c r="P2799" s="4">
        <v>0.0806579030174544</v>
      </c>
      <c r="T2799" s="4" t="str">
        <f t="shared" si="3"/>
        <v/>
      </c>
      <c r="U2799" s="4">
        <f t="shared" si="4"/>
        <v>4384</v>
      </c>
    </row>
    <row r="2800" ht="15.75" customHeight="1">
      <c r="A2800" s="4" t="s">
        <v>3880</v>
      </c>
      <c r="B2800" s="4" t="s">
        <v>13</v>
      </c>
      <c r="I2800" s="4">
        <v>0.13</v>
      </c>
      <c r="J2800" s="4">
        <v>0.059</v>
      </c>
      <c r="K2800" s="6" t="b">
        <f t="shared" ref="K2800:M2800" si="2615">FALSE()</f>
        <v>0</v>
      </c>
      <c r="L2800" s="6" t="b">
        <f t="shared" si="2615"/>
        <v>0</v>
      </c>
      <c r="M2800" s="6" t="b">
        <f t="shared" si="2615"/>
        <v>0</v>
      </c>
      <c r="P2800" s="4">
        <v>0.122217632724249</v>
      </c>
      <c r="T2800" s="4" t="str">
        <f t="shared" si="3"/>
        <v/>
      </c>
      <c r="U2800" s="4">
        <f t="shared" si="4"/>
        <v>3693</v>
      </c>
    </row>
    <row r="2801" ht="15.75" customHeight="1">
      <c r="A2801" s="4" t="s">
        <v>3881</v>
      </c>
      <c r="B2801" s="4" t="s">
        <v>13</v>
      </c>
      <c r="I2801" s="4">
        <v>0.24</v>
      </c>
      <c r="J2801" s="4">
        <v>0.108</v>
      </c>
      <c r="K2801" s="6" t="b">
        <f t="shared" ref="K2801:M2801" si="2616">FALSE()</f>
        <v>0</v>
      </c>
      <c r="L2801" s="6" t="b">
        <f t="shared" si="2616"/>
        <v>0</v>
      </c>
      <c r="M2801" s="6" t="b">
        <f t="shared" si="2616"/>
        <v>0</v>
      </c>
      <c r="P2801" s="4">
        <v>0.215111379616946</v>
      </c>
      <c r="T2801" s="4" t="str">
        <f t="shared" si="3"/>
        <v/>
      </c>
      <c r="U2801" s="4">
        <f t="shared" si="4"/>
        <v>1948</v>
      </c>
    </row>
    <row r="2802" ht="15.75" customHeight="1">
      <c r="A2802" s="4" t="s">
        <v>3882</v>
      </c>
      <c r="B2802" s="4" t="s">
        <v>13</v>
      </c>
      <c r="I2802" s="4">
        <v>0.251</v>
      </c>
      <c r="K2802" s="6" t="b">
        <f t="shared" ref="K2802:M2802" si="2617">FALSE()</f>
        <v>0</v>
      </c>
      <c r="L2802" s="6" t="b">
        <f t="shared" si="2617"/>
        <v>0</v>
      </c>
      <c r="M2802" s="6" t="b">
        <f t="shared" si="2617"/>
        <v>0</v>
      </c>
      <c r="P2802" s="4">
        <v>0.223943231484774</v>
      </c>
      <c r="T2802" s="4" t="str">
        <f t="shared" si="3"/>
        <v/>
      </c>
      <c r="U2802" s="4">
        <f t="shared" si="4"/>
        <v>1798</v>
      </c>
    </row>
    <row r="2803" ht="15.75" customHeight="1">
      <c r="A2803" s="4" t="s">
        <v>3883</v>
      </c>
      <c r="B2803" s="4" t="s">
        <v>13</v>
      </c>
      <c r="I2803" s="4">
        <v>0.164</v>
      </c>
      <c r="K2803" s="6" t="b">
        <f t="shared" ref="K2803:M2803" si="2618">FALSE()</f>
        <v>0</v>
      </c>
      <c r="L2803" s="6" t="b">
        <f t="shared" si="2618"/>
        <v>0</v>
      </c>
      <c r="M2803" s="6" t="b">
        <f t="shared" si="2618"/>
        <v>0</v>
      </c>
      <c r="P2803" s="4">
        <v>0.151862349309246</v>
      </c>
      <c r="T2803" s="4" t="str">
        <f t="shared" si="3"/>
        <v/>
      </c>
      <c r="U2803" s="4">
        <f t="shared" si="4"/>
        <v>3124</v>
      </c>
    </row>
    <row r="2804" ht="15.75" customHeight="1">
      <c r="A2804" s="4" t="s">
        <v>3884</v>
      </c>
      <c r="B2804" s="4" t="s">
        <v>13</v>
      </c>
      <c r="I2804" s="4">
        <v>0.099</v>
      </c>
      <c r="K2804" s="6" t="b">
        <f t="shared" ref="K2804:M2804" si="2619">FALSE()</f>
        <v>0</v>
      </c>
      <c r="L2804" s="6" t="b">
        <f t="shared" si="2619"/>
        <v>0</v>
      </c>
      <c r="M2804" s="6" t="b">
        <f t="shared" si="2619"/>
        <v>0</v>
      </c>
      <c r="P2804" s="4">
        <v>0.0944006754214843</v>
      </c>
      <c r="T2804" s="4" t="str">
        <f t="shared" si="3"/>
        <v/>
      </c>
      <c r="U2804" s="4">
        <f t="shared" si="4"/>
        <v>4235</v>
      </c>
    </row>
    <row r="2805" ht="15.75" customHeight="1">
      <c r="A2805" s="4" t="s">
        <v>3885</v>
      </c>
      <c r="B2805" s="4" t="s">
        <v>13</v>
      </c>
      <c r="I2805" s="4">
        <v>0.115</v>
      </c>
      <c r="K2805" s="6" t="b">
        <f t="shared" ref="K2805:M2805" si="2620">FALSE()</f>
        <v>0</v>
      </c>
      <c r="L2805" s="6" t="b">
        <f t="shared" si="2620"/>
        <v>0</v>
      </c>
      <c r="M2805" s="6" t="b">
        <f t="shared" si="2620"/>
        <v>0</v>
      </c>
      <c r="P2805" s="4">
        <v>0.108854404912082</v>
      </c>
      <c r="T2805" s="4" t="str">
        <f t="shared" si="3"/>
        <v/>
      </c>
      <c r="U2805" s="4">
        <f t="shared" si="4"/>
        <v>3967</v>
      </c>
    </row>
    <row r="2806" ht="15.75" customHeight="1">
      <c r="A2806" s="4" t="s">
        <v>3886</v>
      </c>
      <c r="B2806" s="4" t="s">
        <v>13</v>
      </c>
      <c r="I2806" s="4">
        <v>0.087154</v>
      </c>
      <c r="K2806" s="6" t="b">
        <f t="shared" ref="K2806:M2806" si="2621">FALSE()</f>
        <v>0</v>
      </c>
      <c r="L2806" s="6" t="b">
        <f t="shared" si="2621"/>
        <v>0</v>
      </c>
      <c r="M2806" s="6" t="b">
        <f t="shared" si="2621"/>
        <v>0</v>
      </c>
      <c r="P2806" s="4">
        <v>0.0835632724372385</v>
      </c>
      <c r="T2806" s="4" t="str">
        <f t="shared" si="3"/>
        <v/>
      </c>
      <c r="U2806" s="4">
        <f t="shared" si="4"/>
        <v>4355</v>
      </c>
    </row>
    <row r="2807" ht="15.75" customHeight="1">
      <c r="A2807" s="4" t="s">
        <v>3887</v>
      </c>
      <c r="B2807" s="4" t="s">
        <v>13</v>
      </c>
      <c r="I2807" s="4">
        <v>0.105</v>
      </c>
      <c r="K2807" s="6" t="b">
        <f t="shared" ref="K2807:M2807" si="2622">FALSE()</f>
        <v>0</v>
      </c>
      <c r="L2807" s="6" t="b">
        <f t="shared" si="2622"/>
        <v>0</v>
      </c>
      <c r="M2807" s="6" t="b">
        <f t="shared" si="2622"/>
        <v>0</v>
      </c>
      <c r="P2807" s="4">
        <v>0.0998453349697161</v>
      </c>
      <c r="T2807" s="4" t="str">
        <f t="shared" si="3"/>
        <v/>
      </c>
      <c r="U2807" s="4">
        <f t="shared" si="4"/>
        <v>4145</v>
      </c>
    </row>
    <row r="2808" ht="15.75" customHeight="1">
      <c r="A2808" s="4" t="s">
        <v>3888</v>
      </c>
      <c r="B2808" s="4" t="s">
        <v>13</v>
      </c>
      <c r="I2808" s="4">
        <v>0.1</v>
      </c>
      <c r="K2808" s="6" t="b">
        <f t="shared" ref="K2808:M2808" si="2623">FALSE()</f>
        <v>0</v>
      </c>
      <c r="L2808" s="6" t="b">
        <f t="shared" si="2623"/>
        <v>0</v>
      </c>
      <c r="M2808" s="6" t="b">
        <f t="shared" si="2623"/>
        <v>0</v>
      </c>
      <c r="P2808" s="4">
        <v>0.0953101798043248</v>
      </c>
      <c r="T2808" s="4" t="str">
        <f t="shared" si="3"/>
        <v/>
      </c>
      <c r="U2808" s="4">
        <f t="shared" si="4"/>
        <v>4215</v>
      </c>
    </row>
    <row r="2809" ht="15.75" customHeight="1">
      <c r="A2809" s="4" t="s">
        <v>3889</v>
      </c>
      <c r="B2809" s="4" t="s">
        <v>13</v>
      </c>
      <c r="I2809" s="4">
        <v>0.251</v>
      </c>
      <c r="K2809" s="6" t="b">
        <f t="shared" ref="K2809:M2809" si="2624">FALSE()</f>
        <v>0</v>
      </c>
      <c r="L2809" s="6" t="b">
        <f t="shared" si="2624"/>
        <v>0</v>
      </c>
      <c r="M2809" s="6" t="b">
        <f t="shared" si="2624"/>
        <v>0</v>
      </c>
      <c r="P2809" s="4">
        <v>0.223943231484774</v>
      </c>
      <c r="T2809" s="4" t="str">
        <f t="shared" si="3"/>
        <v/>
      </c>
      <c r="U2809" s="4">
        <f t="shared" si="4"/>
        <v>1799</v>
      </c>
    </row>
    <row r="2810" ht="15.75" customHeight="1">
      <c r="A2810" s="4" t="s">
        <v>3890</v>
      </c>
      <c r="B2810" s="4" t="s">
        <v>13</v>
      </c>
      <c r="I2810" s="4">
        <v>0.112</v>
      </c>
      <c r="K2810" s="6" t="b">
        <f t="shared" ref="K2810:M2810" si="2625">FALSE()</f>
        <v>0</v>
      </c>
      <c r="L2810" s="6" t="b">
        <f t="shared" si="2625"/>
        <v>0</v>
      </c>
      <c r="M2810" s="6" t="b">
        <f t="shared" si="2625"/>
        <v>0</v>
      </c>
      <c r="P2810" s="4">
        <v>0.106160195828391</v>
      </c>
      <c r="T2810" s="4" t="str">
        <f t="shared" si="3"/>
        <v/>
      </c>
      <c r="U2810" s="4">
        <f t="shared" si="4"/>
        <v>4014</v>
      </c>
    </row>
    <row r="2811" ht="15.75" customHeight="1">
      <c r="A2811" s="4" t="s">
        <v>3891</v>
      </c>
      <c r="B2811" s="4" t="s">
        <v>13</v>
      </c>
      <c r="I2811" s="4">
        <v>0.096</v>
      </c>
      <c r="K2811" s="6" t="b">
        <f t="shared" ref="K2811:M2811" si="2626">FALSE()</f>
        <v>0</v>
      </c>
      <c r="L2811" s="6" t="b">
        <f t="shared" si="2626"/>
        <v>0</v>
      </c>
      <c r="M2811" s="6" t="b">
        <f t="shared" si="2626"/>
        <v>0</v>
      </c>
      <c r="P2811" s="4">
        <v>0.0916671885258238</v>
      </c>
      <c r="T2811" s="4" t="str">
        <f t="shared" si="3"/>
        <v/>
      </c>
      <c r="U2811" s="4">
        <f t="shared" si="4"/>
        <v>4267</v>
      </c>
    </row>
    <row r="2812" ht="15.75" customHeight="1">
      <c r="A2812" s="4" t="s">
        <v>3892</v>
      </c>
      <c r="B2812" s="4" t="s">
        <v>13</v>
      </c>
      <c r="I2812" s="4">
        <v>0.14</v>
      </c>
      <c r="K2812" s="6" t="b">
        <f t="shared" ref="K2812:M2812" si="2627">FALSE()</f>
        <v>0</v>
      </c>
      <c r="L2812" s="6" t="b">
        <f t="shared" si="2627"/>
        <v>0</v>
      </c>
      <c r="M2812" s="6" t="b">
        <f t="shared" si="2627"/>
        <v>0</v>
      </c>
      <c r="P2812" s="4">
        <v>0.131028262406404</v>
      </c>
      <c r="T2812" s="4" t="str">
        <f t="shared" si="3"/>
        <v/>
      </c>
      <c r="U2812" s="4">
        <f t="shared" si="4"/>
        <v>3503</v>
      </c>
    </row>
    <row r="2813" ht="15.75" customHeight="1">
      <c r="A2813" s="4" t="s">
        <v>3893</v>
      </c>
      <c r="B2813" s="4" t="s">
        <v>13</v>
      </c>
      <c r="I2813" s="4">
        <v>0.101</v>
      </c>
      <c r="J2813" s="4">
        <v>0.007</v>
      </c>
      <c r="K2813" s="6" t="b">
        <f t="shared" ref="K2813:M2813" si="2628">FALSE()</f>
        <v>0</v>
      </c>
      <c r="L2813" s="6" t="b">
        <f t="shared" si="2628"/>
        <v>0</v>
      </c>
      <c r="M2813" s="6" t="b">
        <f t="shared" si="2628"/>
        <v>0</v>
      </c>
      <c r="P2813" s="4">
        <v>0.0962188577405429</v>
      </c>
      <c r="T2813" s="4" t="str">
        <f t="shared" si="3"/>
        <v/>
      </c>
      <c r="U2813" s="4">
        <f t="shared" si="4"/>
        <v>4200</v>
      </c>
    </row>
    <row r="2814" ht="15.75" customHeight="1">
      <c r="A2814" s="4" t="s">
        <v>3894</v>
      </c>
      <c r="B2814" s="4" t="s">
        <v>13</v>
      </c>
      <c r="I2814" s="4">
        <v>0.108</v>
      </c>
      <c r="J2814" s="4">
        <v>0.007</v>
      </c>
      <c r="K2814" s="6" t="b">
        <f t="shared" ref="K2814:M2814" si="2629">FALSE()</f>
        <v>0</v>
      </c>
      <c r="L2814" s="6" t="b">
        <f t="shared" si="2629"/>
        <v>0</v>
      </c>
      <c r="M2814" s="6" t="b">
        <f t="shared" si="2629"/>
        <v>0</v>
      </c>
      <c r="P2814" s="4">
        <v>0.102556588325092</v>
      </c>
      <c r="T2814" s="4" t="str">
        <f t="shared" si="3"/>
        <v/>
      </c>
      <c r="U2814" s="4">
        <f t="shared" si="4"/>
        <v>4081</v>
      </c>
    </row>
    <row r="2815" ht="15.75" customHeight="1">
      <c r="A2815" s="4" t="s">
        <v>3895</v>
      </c>
      <c r="B2815" s="4" t="s">
        <v>13</v>
      </c>
      <c r="I2815" s="4">
        <v>0.112</v>
      </c>
      <c r="J2815" s="4">
        <v>0.008</v>
      </c>
      <c r="K2815" s="6" t="b">
        <f t="shared" ref="K2815:M2815" si="2630">FALSE()</f>
        <v>0</v>
      </c>
      <c r="L2815" s="6" t="b">
        <f t="shared" si="2630"/>
        <v>0</v>
      </c>
      <c r="M2815" s="6" t="b">
        <f t="shared" si="2630"/>
        <v>0</v>
      </c>
      <c r="P2815" s="4">
        <v>0.106160195828391</v>
      </c>
      <c r="T2815" s="4" t="str">
        <f t="shared" si="3"/>
        <v/>
      </c>
      <c r="U2815" s="4">
        <f t="shared" si="4"/>
        <v>4015</v>
      </c>
    </row>
    <row r="2816" ht="15.75" customHeight="1">
      <c r="A2816" s="4" t="s">
        <v>3896</v>
      </c>
      <c r="B2816" s="4" t="s">
        <v>13</v>
      </c>
      <c r="I2816" s="4">
        <v>0.196</v>
      </c>
      <c r="J2816" s="4">
        <v>0.026</v>
      </c>
      <c r="K2816" s="6" t="b">
        <f t="shared" ref="K2816:M2816" si="2631">FALSE()</f>
        <v>0</v>
      </c>
      <c r="L2816" s="6" t="b">
        <f t="shared" si="2631"/>
        <v>0</v>
      </c>
      <c r="M2816" s="6" t="b">
        <f t="shared" si="2631"/>
        <v>0</v>
      </c>
      <c r="P2816" s="4">
        <v>0.17898265552844</v>
      </c>
      <c r="T2816" s="4" t="str">
        <f t="shared" si="3"/>
        <v/>
      </c>
      <c r="U2816" s="4">
        <f t="shared" si="4"/>
        <v>2651</v>
      </c>
    </row>
    <row r="2817" ht="15.75" customHeight="1">
      <c r="A2817" s="4" t="s">
        <v>3897</v>
      </c>
      <c r="B2817" s="4" t="s">
        <v>13</v>
      </c>
      <c r="I2817" s="4">
        <v>0.23</v>
      </c>
      <c r="J2817" s="4">
        <v>0.021</v>
      </c>
      <c r="K2817" s="6" t="b">
        <f t="shared" ref="K2817:M2817" si="2632">FALSE()</f>
        <v>0</v>
      </c>
      <c r="L2817" s="6" t="b">
        <f t="shared" si="2632"/>
        <v>0</v>
      </c>
      <c r="M2817" s="6" t="b">
        <f t="shared" si="2632"/>
        <v>0</v>
      </c>
      <c r="P2817" s="4">
        <v>0.207014169384326</v>
      </c>
      <c r="T2817" s="4" t="str">
        <f t="shared" si="3"/>
        <v/>
      </c>
      <c r="U2817" s="4">
        <f t="shared" si="4"/>
        <v>2113</v>
      </c>
    </row>
    <row r="2818" ht="15.75" customHeight="1">
      <c r="A2818" s="4" t="s">
        <v>797</v>
      </c>
      <c r="B2818" s="4" t="s">
        <v>13</v>
      </c>
      <c r="C2818" s="4">
        <v>0.333</v>
      </c>
      <c r="D2818" s="4">
        <v>0.016</v>
      </c>
      <c r="E2818" s="4">
        <v>0.016</v>
      </c>
      <c r="I2818" s="4">
        <v>0.7538</v>
      </c>
      <c r="J2818" s="4">
        <v>0.0023</v>
      </c>
      <c r="K2818" s="6" t="b">
        <f t="shared" ref="K2818:L2818" si="2633">FALSE()</f>
        <v>0</v>
      </c>
      <c r="L2818" s="6" t="b">
        <f t="shared" si="2633"/>
        <v>0</v>
      </c>
      <c r="M2818" s="6" t="b">
        <f>TRUE()</f>
        <v>1</v>
      </c>
      <c r="N2818" s="4">
        <v>0.287432041196572</v>
      </c>
      <c r="P2818" s="4">
        <v>0.561784862363118</v>
      </c>
      <c r="T2818" s="4">
        <f t="shared" si="3"/>
        <v>1053</v>
      </c>
      <c r="U2818" s="4">
        <f t="shared" si="4"/>
        <v>871</v>
      </c>
    </row>
    <row r="2819" ht="15.75" customHeight="1">
      <c r="A2819" s="4" t="s">
        <v>3898</v>
      </c>
      <c r="B2819" s="4" t="s">
        <v>13</v>
      </c>
      <c r="I2819" s="4">
        <v>0.259</v>
      </c>
      <c r="K2819" s="6" t="b">
        <f t="shared" ref="K2819:M2819" si="2634">FALSE()</f>
        <v>0</v>
      </c>
      <c r="L2819" s="6" t="b">
        <f t="shared" si="2634"/>
        <v>0</v>
      </c>
      <c r="M2819" s="6" t="b">
        <f t="shared" si="2634"/>
        <v>0</v>
      </c>
      <c r="P2819" s="4">
        <v>0.23031775506221</v>
      </c>
      <c r="T2819" s="4" t="str">
        <f t="shared" si="3"/>
        <v/>
      </c>
      <c r="U2819" s="4">
        <f t="shared" si="4"/>
        <v>1696</v>
      </c>
    </row>
    <row r="2820" ht="15.75" customHeight="1">
      <c r="A2820" s="4" t="s">
        <v>3899</v>
      </c>
      <c r="B2820" s="4" t="s">
        <v>13</v>
      </c>
      <c r="I2820" s="4">
        <v>0.198</v>
      </c>
      <c r="K2820" s="6" t="b">
        <f t="shared" ref="K2820:M2820" si="2635">FALSE()</f>
        <v>0</v>
      </c>
      <c r="L2820" s="6" t="b">
        <f t="shared" si="2635"/>
        <v>0</v>
      </c>
      <c r="M2820" s="6" t="b">
        <f t="shared" si="2635"/>
        <v>0</v>
      </c>
      <c r="P2820" s="4">
        <v>0.180653499693258</v>
      </c>
      <c r="T2820" s="4" t="str">
        <f t="shared" si="3"/>
        <v/>
      </c>
      <c r="U2820" s="4">
        <f t="shared" si="4"/>
        <v>2620</v>
      </c>
    </row>
    <row r="2821" ht="15.75" customHeight="1">
      <c r="A2821" s="4" t="s">
        <v>3900</v>
      </c>
      <c r="B2821" s="4" t="s">
        <v>13</v>
      </c>
      <c r="I2821" s="4">
        <v>0.143</v>
      </c>
      <c r="K2821" s="6" t="b">
        <f t="shared" ref="K2821:M2821" si="2636">FALSE()</f>
        <v>0</v>
      </c>
      <c r="L2821" s="6" t="b">
        <f t="shared" si="2636"/>
        <v>0</v>
      </c>
      <c r="M2821" s="6" t="b">
        <f t="shared" si="2636"/>
        <v>0</v>
      </c>
      <c r="P2821" s="4">
        <v>0.133656384812674</v>
      </c>
      <c r="T2821" s="4" t="str">
        <f t="shared" si="3"/>
        <v/>
      </c>
      <c r="U2821" s="4">
        <f t="shared" si="4"/>
        <v>3459</v>
      </c>
    </row>
    <row r="2822" ht="15.75" customHeight="1">
      <c r="A2822" s="4" t="s">
        <v>3901</v>
      </c>
      <c r="B2822" s="4" t="s">
        <v>13</v>
      </c>
      <c r="I2822" s="4">
        <v>0.1062</v>
      </c>
      <c r="J2822" s="4">
        <v>0.017</v>
      </c>
      <c r="K2822" s="6" t="b">
        <f t="shared" ref="K2822:M2822" si="2637">FALSE()</f>
        <v>0</v>
      </c>
      <c r="L2822" s="6" t="b">
        <f t="shared" si="2637"/>
        <v>0</v>
      </c>
      <c r="M2822" s="6" t="b">
        <f t="shared" si="2637"/>
        <v>0</v>
      </c>
      <c r="P2822" s="4">
        <v>0.100930718578441</v>
      </c>
      <c r="T2822" s="4" t="str">
        <f t="shared" si="3"/>
        <v/>
      </c>
      <c r="U2822" s="4">
        <f t="shared" si="4"/>
        <v>4114</v>
      </c>
    </row>
    <row r="2823" ht="15.75" customHeight="1">
      <c r="A2823" s="4" t="s">
        <v>3902</v>
      </c>
      <c r="B2823" s="4" t="s">
        <v>13</v>
      </c>
      <c r="I2823" s="4">
        <v>0.1079</v>
      </c>
      <c r="J2823" s="4">
        <v>0.008</v>
      </c>
      <c r="K2823" s="6" t="b">
        <f t="shared" ref="K2823:M2823" si="2638">FALSE()</f>
        <v>0</v>
      </c>
      <c r="L2823" s="6" t="b">
        <f t="shared" si="2638"/>
        <v>0</v>
      </c>
      <c r="M2823" s="6" t="b">
        <f t="shared" si="2638"/>
        <v>0</v>
      </c>
      <c r="P2823" s="4">
        <v>0.10246633154449</v>
      </c>
      <c r="T2823" s="4" t="str">
        <f t="shared" si="3"/>
        <v/>
      </c>
      <c r="U2823" s="4">
        <f t="shared" si="4"/>
        <v>4087</v>
      </c>
    </row>
    <row r="2824" ht="15.75" customHeight="1">
      <c r="A2824" s="4" t="s">
        <v>799</v>
      </c>
      <c r="B2824" s="4" t="s">
        <v>13</v>
      </c>
      <c r="C2824" s="4">
        <v>4.16</v>
      </c>
      <c r="D2824" s="4">
        <v>0.29</v>
      </c>
      <c r="E2824" s="4">
        <v>0.28</v>
      </c>
      <c r="F2824" s="4">
        <v>4.16</v>
      </c>
      <c r="G2824" s="4">
        <v>0.29</v>
      </c>
      <c r="H2824" s="4">
        <v>0.28</v>
      </c>
      <c r="I2824" s="4">
        <v>1.066</v>
      </c>
      <c r="J2824" s="4">
        <v>0.042</v>
      </c>
      <c r="K2824" s="6" t="b">
        <f>TRUE()</f>
        <v>1</v>
      </c>
      <c r="L2824" s="6" t="b">
        <f>FALSE()</f>
        <v>0</v>
      </c>
      <c r="M2824" s="6" t="b">
        <f>TRUE()</f>
        <v>1</v>
      </c>
      <c r="N2824" s="4">
        <v>1.64093657949347</v>
      </c>
      <c r="O2824" s="4">
        <v>1.64093657949347</v>
      </c>
      <c r="P2824" s="4">
        <v>0.725614370697447</v>
      </c>
      <c r="Q2824" s="4">
        <v>1.92710305444223</v>
      </c>
      <c r="R2824" s="4">
        <v>1.98679217204241</v>
      </c>
      <c r="S2824" s="4">
        <v>0.450400426287579</v>
      </c>
      <c r="T2824" s="4">
        <f t="shared" si="3"/>
        <v>249</v>
      </c>
      <c r="U2824" s="4">
        <f t="shared" si="4"/>
        <v>582</v>
      </c>
    </row>
    <row r="2825" ht="15.75" customHeight="1">
      <c r="A2825" s="4" t="s">
        <v>800</v>
      </c>
      <c r="B2825" s="4" t="s">
        <v>13</v>
      </c>
      <c r="C2825" s="4">
        <v>0.01406</v>
      </c>
      <c r="D2825" s="4">
        <v>0.00135</v>
      </c>
      <c r="E2825" s="4">
        <v>0.00151</v>
      </c>
      <c r="I2825" s="4">
        <v>0.1811</v>
      </c>
      <c r="J2825" s="4">
        <v>0.0125</v>
      </c>
      <c r="K2825" s="6" t="b">
        <f t="shared" ref="K2825:M2825" si="2639">FALSE()</f>
        <v>0</v>
      </c>
      <c r="L2825" s="6" t="b">
        <f t="shared" si="2639"/>
        <v>0</v>
      </c>
      <c r="M2825" s="6" t="b">
        <f t="shared" si="2639"/>
        <v>0</v>
      </c>
      <c r="N2825" s="4">
        <v>0.0139620750160546</v>
      </c>
      <c r="P2825" s="4">
        <v>0.166446207635664</v>
      </c>
      <c r="T2825" s="4">
        <f t="shared" si="3"/>
        <v>1846</v>
      </c>
      <c r="U2825" s="4">
        <f t="shared" si="4"/>
        <v>2873</v>
      </c>
    </row>
    <row r="2826" ht="15.75" customHeight="1">
      <c r="A2826" s="4" t="s">
        <v>801</v>
      </c>
      <c r="B2826" s="4" t="s">
        <v>13</v>
      </c>
      <c r="C2826" s="4">
        <v>0.01705</v>
      </c>
      <c r="D2826" s="4">
        <v>0.00179</v>
      </c>
      <c r="E2826" s="4">
        <v>0.00192</v>
      </c>
      <c r="I2826" s="4">
        <v>0.1829</v>
      </c>
      <c r="J2826" s="4">
        <v>0.0134</v>
      </c>
      <c r="K2826" s="6" t="b">
        <f t="shared" ref="K2826:M2826" si="2640">FALSE()</f>
        <v>0</v>
      </c>
      <c r="L2826" s="6" t="b">
        <f t="shared" si="2640"/>
        <v>0</v>
      </c>
      <c r="M2826" s="6" t="b">
        <f t="shared" si="2640"/>
        <v>0</v>
      </c>
      <c r="N2826" s="4">
        <v>0.016906280066359</v>
      </c>
      <c r="P2826" s="4">
        <v>0.167969050569554</v>
      </c>
      <c r="T2826" s="4">
        <f t="shared" si="3"/>
        <v>1786</v>
      </c>
      <c r="U2826" s="4">
        <f t="shared" si="4"/>
        <v>2859</v>
      </c>
    </row>
    <row r="2827" ht="15.75" customHeight="1">
      <c r="A2827" s="4" t="s">
        <v>3903</v>
      </c>
      <c r="B2827" s="4" t="s">
        <v>13</v>
      </c>
      <c r="D2827" s="4">
        <v>0.4</v>
      </c>
      <c r="E2827" s="4">
        <v>0.4</v>
      </c>
      <c r="F2827" s="4">
        <v>2.0</v>
      </c>
      <c r="G2827" s="4">
        <v>0.4</v>
      </c>
      <c r="H2827" s="4">
        <v>0.4</v>
      </c>
      <c r="K2827" s="6" t="b">
        <f t="shared" ref="K2827:M2827" si="2641">FALSE()</f>
        <v>0</v>
      </c>
      <c r="L2827" s="6" t="b">
        <f t="shared" si="2641"/>
        <v>0</v>
      </c>
      <c r="M2827" s="6" t="b">
        <f t="shared" si="2641"/>
        <v>0</v>
      </c>
      <c r="O2827" s="4">
        <v>1.09861228866811</v>
      </c>
      <c r="T2827" s="4" t="str">
        <f t="shared" si="3"/>
        <v/>
      </c>
      <c r="U2827" s="4" t="str">
        <f t="shared" si="4"/>
        <v/>
      </c>
    </row>
    <row r="2828" ht="15.75" customHeight="1">
      <c r="A2828" s="4" t="s">
        <v>3904</v>
      </c>
      <c r="B2828" s="4" t="s">
        <v>13</v>
      </c>
      <c r="D2828" s="4">
        <v>0.1</v>
      </c>
      <c r="E2828" s="4">
        <v>0.4</v>
      </c>
      <c r="F2828" s="4">
        <v>0.5</v>
      </c>
      <c r="G2828" s="4">
        <v>0.1</v>
      </c>
      <c r="H2828" s="4">
        <v>0.4</v>
      </c>
      <c r="K2828" s="6" t="b">
        <f t="shared" ref="K2828:M2828" si="2642">FALSE()</f>
        <v>0</v>
      </c>
      <c r="L2828" s="6" t="b">
        <f t="shared" si="2642"/>
        <v>0</v>
      </c>
      <c r="M2828" s="6" t="b">
        <f t="shared" si="2642"/>
        <v>0</v>
      </c>
      <c r="O2828" s="4">
        <v>0.405465108108164</v>
      </c>
      <c r="T2828" s="4" t="str">
        <f t="shared" si="3"/>
        <v/>
      </c>
      <c r="U2828" s="4" t="str">
        <f t="shared" si="4"/>
        <v/>
      </c>
    </row>
    <row r="2829" ht="15.75" customHeight="1">
      <c r="A2829" s="4" t="s">
        <v>802</v>
      </c>
      <c r="B2829" s="4" t="s">
        <v>13</v>
      </c>
      <c r="C2829" s="4">
        <v>4.6</v>
      </c>
      <c r="D2829" s="4">
        <v>4.6</v>
      </c>
      <c r="E2829" s="4">
        <v>0.0</v>
      </c>
      <c r="I2829" s="4">
        <v>0.8886</v>
      </c>
      <c r="J2829" s="4">
        <v>0.054</v>
      </c>
      <c r="K2829" s="6" t="b">
        <f>TRUE()</f>
        <v>1</v>
      </c>
      <c r="L2829" s="6" t="b">
        <f>FALSE()</f>
        <v>0</v>
      </c>
      <c r="M2829" s="6" t="b">
        <f>TRUE()</f>
        <v>1</v>
      </c>
      <c r="N2829" s="4">
        <v>1.7227665977411</v>
      </c>
      <c r="P2829" s="4">
        <v>0.635835813846832</v>
      </c>
      <c r="T2829" s="4">
        <f t="shared" si="3"/>
        <v>225</v>
      </c>
      <c r="U2829" s="4">
        <f t="shared" si="4"/>
        <v>774</v>
      </c>
    </row>
    <row r="2830" ht="15.75" customHeight="1">
      <c r="A2830" s="4" t="s">
        <v>3905</v>
      </c>
      <c r="B2830" s="4" t="s">
        <v>13</v>
      </c>
      <c r="I2830" s="4">
        <v>0.27871</v>
      </c>
      <c r="K2830" s="6" t="b">
        <f t="shared" ref="K2830:M2830" si="2643">FALSE()</f>
        <v>0</v>
      </c>
      <c r="L2830" s="6" t="b">
        <f t="shared" si="2643"/>
        <v>0</v>
      </c>
      <c r="M2830" s="6" t="b">
        <f t="shared" si="2643"/>
        <v>0</v>
      </c>
      <c r="P2830" s="4">
        <v>0.245851757247043</v>
      </c>
      <c r="T2830" s="4" t="str">
        <f t="shared" si="3"/>
        <v/>
      </c>
      <c r="U2830" s="4">
        <f t="shared" si="4"/>
        <v>1514</v>
      </c>
    </row>
    <row r="2831" ht="15.75" customHeight="1">
      <c r="A2831" s="4" t="s">
        <v>3906</v>
      </c>
      <c r="B2831" s="4" t="s">
        <v>13</v>
      </c>
      <c r="I2831" s="4">
        <v>0.285</v>
      </c>
      <c r="J2831" s="4">
        <v>0.02</v>
      </c>
      <c r="K2831" s="6" t="b">
        <f t="shared" ref="K2831:M2831" si="2644">FALSE()</f>
        <v>0</v>
      </c>
      <c r="L2831" s="6" t="b">
        <f t="shared" si="2644"/>
        <v>0</v>
      </c>
      <c r="M2831" s="6" t="b">
        <f t="shared" si="2644"/>
        <v>0</v>
      </c>
      <c r="P2831" s="4">
        <v>0.250758718347183</v>
      </c>
      <c r="T2831" s="4" t="str">
        <f t="shared" si="3"/>
        <v/>
      </c>
      <c r="U2831" s="4">
        <f t="shared" si="4"/>
        <v>1467</v>
      </c>
    </row>
    <row r="2832" ht="15.75" customHeight="1">
      <c r="A2832" s="4" t="s">
        <v>3907</v>
      </c>
      <c r="B2832" s="4" t="s">
        <v>13</v>
      </c>
      <c r="I2832" s="4">
        <v>0.255</v>
      </c>
      <c r="J2832" s="4">
        <v>0.015</v>
      </c>
      <c r="K2832" s="6" t="b">
        <f t="shared" ref="K2832:M2832" si="2645">FALSE()</f>
        <v>0</v>
      </c>
      <c r="L2832" s="6" t="b">
        <f t="shared" si="2645"/>
        <v>0</v>
      </c>
      <c r="M2832" s="6" t="b">
        <f t="shared" si="2645"/>
        <v>0</v>
      </c>
      <c r="P2832" s="4">
        <v>0.227135572583747</v>
      </c>
      <c r="T2832" s="4" t="str">
        <f t="shared" si="3"/>
        <v/>
      </c>
      <c r="U2832" s="4">
        <f t="shared" si="4"/>
        <v>1750</v>
      </c>
    </row>
    <row r="2833" ht="15.75" customHeight="1">
      <c r="A2833" s="4" t="s">
        <v>803</v>
      </c>
      <c r="B2833" s="4" t="s">
        <v>13</v>
      </c>
      <c r="C2833" s="4">
        <v>0.010997</v>
      </c>
      <c r="D2833" s="4">
        <v>0.018145</v>
      </c>
      <c r="E2833" s="4">
        <v>0.018145</v>
      </c>
      <c r="F2833" s="4">
        <v>0.010997</v>
      </c>
      <c r="G2833" s="4">
        <v>0.018145</v>
      </c>
      <c r="H2833" s="4">
        <v>0.018145</v>
      </c>
      <c r="I2833" s="4">
        <v>0.2308</v>
      </c>
      <c r="J2833" s="4">
        <v>0.0062</v>
      </c>
      <c r="K2833" s="6" t="b">
        <f t="shared" ref="K2833:M2833" si="2646">FALSE()</f>
        <v>0</v>
      </c>
      <c r="L2833" s="6" t="b">
        <f t="shared" si="2646"/>
        <v>0</v>
      </c>
      <c r="M2833" s="6" t="b">
        <f t="shared" si="2646"/>
        <v>0</v>
      </c>
      <c r="N2833" s="4">
        <v>0.0109369726748813</v>
      </c>
      <c r="O2833" s="4">
        <v>0.0109369726748813</v>
      </c>
      <c r="P2833" s="4">
        <v>0.20766436446575</v>
      </c>
      <c r="Q2833" s="4">
        <v>-0.621290171819004</v>
      </c>
      <c r="R2833" s="4">
        <v>-0.645489101684962</v>
      </c>
      <c r="S2833" s="4">
        <v>-1.11227454358542</v>
      </c>
      <c r="T2833" s="4">
        <f t="shared" si="3"/>
        <v>1923</v>
      </c>
      <c r="U2833" s="4">
        <f t="shared" si="4"/>
        <v>2101</v>
      </c>
    </row>
    <row r="2834" ht="15.75" customHeight="1">
      <c r="A2834" s="4" t="s">
        <v>3908</v>
      </c>
      <c r="B2834" s="4" t="s">
        <v>13</v>
      </c>
      <c r="I2834" s="4">
        <v>0.17156</v>
      </c>
      <c r="K2834" s="6" t="b">
        <f t="shared" ref="K2834:M2834" si="2647">FALSE()</f>
        <v>0</v>
      </c>
      <c r="L2834" s="6" t="b">
        <f t="shared" si="2647"/>
        <v>0</v>
      </c>
      <c r="M2834" s="6" t="b">
        <f t="shared" si="2647"/>
        <v>0</v>
      </c>
      <c r="P2834" s="4">
        <v>0.158336194043443</v>
      </c>
      <c r="T2834" s="4" t="str">
        <f t="shared" si="3"/>
        <v/>
      </c>
      <c r="U2834" s="4">
        <f t="shared" si="4"/>
        <v>3024</v>
      </c>
    </row>
    <row r="2835" ht="15.75" customHeight="1">
      <c r="A2835" s="4" t="s">
        <v>3909</v>
      </c>
      <c r="B2835" s="4" t="s">
        <v>13</v>
      </c>
      <c r="I2835" s="4">
        <v>0.20368</v>
      </c>
      <c r="K2835" s="6" t="b">
        <f t="shared" ref="K2835:M2835" si="2648">FALSE()</f>
        <v>0</v>
      </c>
      <c r="L2835" s="6" t="b">
        <f t="shared" si="2648"/>
        <v>0</v>
      </c>
      <c r="M2835" s="6" t="b">
        <f t="shared" si="2648"/>
        <v>0</v>
      </c>
      <c r="P2835" s="4">
        <v>0.185383530829774</v>
      </c>
      <c r="T2835" s="4" t="str">
        <f t="shared" si="3"/>
        <v/>
      </c>
      <c r="U2835" s="4">
        <f t="shared" si="4"/>
        <v>2517</v>
      </c>
    </row>
    <row r="2836" ht="15.75" customHeight="1">
      <c r="A2836" s="4" t="s">
        <v>3910</v>
      </c>
      <c r="B2836" s="4" t="s">
        <v>13</v>
      </c>
      <c r="I2836" s="4">
        <v>0.153155</v>
      </c>
      <c r="K2836" s="6" t="b">
        <f t="shared" ref="K2836:M2836" si="2649">FALSE()</f>
        <v>0</v>
      </c>
      <c r="L2836" s="6" t="b">
        <f t="shared" si="2649"/>
        <v>0</v>
      </c>
      <c r="M2836" s="6" t="b">
        <f t="shared" si="2649"/>
        <v>0</v>
      </c>
      <c r="P2836" s="4">
        <v>0.142501664168501</v>
      </c>
      <c r="T2836" s="4" t="str">
        <f t="shared" si="3"/>
        <v/>
      </c>
      <c r="U2836" s="4">
        <f t="shared" si="4"/>
        <v>3268</v>
      </c>
    </row>
    <row r="2837" ht="15.75" customHeight="1">
      <c r="A2837" s="4" t="s">
        <v>3911</v>
      </c>
      <c r="B2837" s="4" t="s">
        <v>13</v>
      </c>
      <c r="I2837" s="4">
        <v>0.2912</v>
      </c>
      <c r="K2837" s="6" t="b">
        <f t="shared" ref="K2837:M2837" si="2650">FALSE()</f>
        <v>0</v>
      </c>
      <c r="L2837" s="6" t="b">
        <f t="shared" si="2650"/>
        <v>0</v>
      </c>
      <c r="M2837" s="6" t="b">
        <f t="shared" si="2650"/>
        <v>0</v>
      </c>
      <c r="P2837" s="4">
        <v>0.255572018533547</v>
      </c>
      <c r="T2837" s="4" t="str">
        <f t="shared" si="3"/>
        <v/>
      </c>
      <c r="U2837" s="4">
        <f t="shared" si="4"/>
        <v>1428</v>
      </c>
    </row>
    <row r="2838" ht="15.75" customHeight="1">
      <c r="A2838" s="4" t="s">
        <v>3912</v>
      </c>
      <c r="B2838" s="4" t="s">
        <v>13</v>
      </c>
      <c r="I2838" s="4">
        <v>0.3693</v>
      </c>
      <c r="K2838" s="6" t="b">
        <f t="shared" ref="K2838:M2838" si="2651">FALSE()</f>
        <v>0</v>
      </c>
      <c r="L2838" s="6" t="b">
        <f t="shared" si="2651"/>
        <v>0</v>
      </c>
      <c r="M2838" s="6" t="b">
        <f t="shared" si="2651"/>
        <v>0</v>
      </c>
      <c r="P2838" s="4">
        <v>0.314299660356051</v>
      </c>
      <c r="T2838" s="4" t="str">
        <f t="shared" si="3"/>
        <v/>
      </c>
      <c r="U2838" s="4">
        <f t="shared" si="4"/>
        <v>1164</v>
      </c>
    </row>
    <row r="2839" ht="15.75" customHeight="1">
      <c r="A2839" s="4" t="s">
        <v>3913</v>
      </c>
      <c r="B2839" s="4" t="s">
        <v>13</v>
      </c>
      <c r="I2839" s="4">
        <v>0.216319</v>
      </c>
      <c r="K2839" s="6" t="b">
        <f t="shared" ref="K2839:M2839" si="2652">FALSE()</f>
        <v>0</v>
      </c>
      <c r="L2839" s="6" t="b">
        <f t="shared" si="2652"/>
        <v>0</v>
      </c>
      <c r="M2839" s="6" t="b">
        <f t="shared" si="2652"/>
        <v>0</v>
      </c>
      <c r="P2839" s="4">
        <v>0.195829084666344</v>
      </c>
      <c r="T2839" s="4" t="str">
        <f t="shared" si="3"/>
        <v/>
      </c>
      <c r="U2839" s="4">
        <f t="shared" si="4"/>
        <v>2312</v>
      </c>
    </row>
    <row r="2840" ht="15.75" customHeight="1">
      <c r="A2840" s="4" t="s">
        <v>3914</v>
      </c>
      <c r="B2840" s="4" t="s">
        <v>13</v>
      </c>
      <c r="I2840" s="4">
        <v>0.26666</v>
      </c>
      <c r="K2840" s="6" t="b">
        <f t="shared" ref="K2840:M2840" si="2653">FALSE()</f>
        <v>0</v>
      </c>
      <c r="L2840" s="6" t="b">
        <f t="shared" si="2653"/>
        <v>0</v>
      </c>
      <c r="M2840" s="6" t="b">
        <f t="shared" si="2653"/>
        <v>0</v>
      </c>
      <c r="P2840" s="4">
        <v>0.236383514892485</v>
      </c>
      <c r="T2840" s="4" t="str">
        <f t="shared" si="3"/>
        <v/>
      </c>
      <c r="U2840" s="4">
        <f t="shared" si="4"/>
        <v>1622</v>
      </c>
    </row>
    <row r="2841" ht="15.75" customHeight="1">
      <c r="A2841" s="4" t="s">
        <v>3915</v>
      </c>
      <c r="B2841" s="4" t="s">
        <v>13</v>
      </c>
      <c r="I2841" s="4">
        <v>0.2291</v>
      </c>
      <c r="K2841" s="6" t="b">
        <f t="shared" ref="K2841:M2841" si="2654">FALSE()</f>
        <v>0</v>
      </c>
      <c r="L2841" s="6" t="b">
        <f t="shared" si="2654"/>
        <v>0</v>
      </c>
      <c r="M2841" s="6" t="b">
        <f t="shared" si="2654"/>
        <v>0</v>
      </c>
      <c r="P2841" s="4">
        <v>0.206282194238798</v>
      </c>
      <c r="T2841" s="4" t="str">
        <f t="shared" si="3"/>
        <v/>
      </c>
      <c r="U2841" s="4">
        <f t="shared" si="4"/>
        <v>2121</v>
      </c>
    </row>
    <row r="2842" ht="15.75" customHeight="1">
      <c r="A2842" s="4" t="s">
        <v>3916</v>
      </c>
      <c r="B2842" s="4" t="s">
        <v>13</v>
      </c>
      <c r="I2842" s="4">
        <v>0.3524</v>
      </c>
      <c r="K2842" s="6" t="b">
        <f t="shared" ref="K2842:M2842" si="2655">FALSE()</f>
        <v>0</v>
      </c>
      <c r="L2842" s="6" t="b">
        <f t="shared" si="2655"/>
        <v>0</v>
      </c>
      <c r="M2842" s="6" t="b">
        <f t="shared" si="2655"/>
        <v>0</v>
      </c>
      <c r="P2842" s="4">
        <v>0.301880791851594</v>
      </c>
      <c r="T2842" s="4" t="str">
        <f t="shared" si="3"/>
        <v/>
      </c>
      <c r="U2842" s="4">
        <f t="shared" si="4"/>
        <v>1199</v>
      </c>
    </row>
    <row r="2843" ht="15.75" customHeight="1">
      <c r="A2843" s="4" t="s">
        <v>3917</v>
      </c>
      <c r="B2843" s="4" t="s">
        <v>13</v>
      </c>
      <c r="I2843" s="4">
        <v>0.209</v>
      </c>
      <c r="J2843" s="4">
        <v>0.094</v>
      </c>
      <c r="K2843" s="6" t="b">
        <f t="shared" ref="K2843:M2843" si="2656">FALSE()</f>
        <v>0</v>
      </c>
      <c r="L2843" s="6" t="b">
        <f t="shared" si="2656"/>
        <v>0</v>
      </c>
      <c r="M2843" s="6" t="b">
        <f t="shared" si="2656"/>
        <v>0</v>
      </c>
      <c r="P2843" s="4">
        <v>0.189793571632656</v>
      </c>
      <c r="T2843" s="4" t="str">
        <f t="shared" si="3"/>
        <v/>
      </c>
      <c r="U2843" s="4">
        <f t="shared" si="4"/>
        <v>2434</v>
      </c>
    </row>
    <row r="2844" ht="15.75" customHeight="1">
      <c r="A2844" s="4" t="s">
        <v>3918</v>
      </c>
      <c r="B2844" s="4" t="s">
        <v>13</v>
      </c>
      <c r="I2844" s="4">
        <v>0.228</v>
      </c>
      <c r="J2844" s="4">
        <v>0.103</v>
      </c>
      <c r="K2844" s="6" t="b">
        <f t="shared" ref="K2844:M2844" si="2657">FALSE()</f>
        <v>0</v>
      </c>
      <c r="L2844" s="6" t="b">
        <f t="shared" si="2657"/>
        <v>0</v>
      </c>
      <c r="M2844" s="6" t="b">
        <f t="shared" si="2657"/>
        <v>0</v>
      </c>
      <c r="P2844" s="4">
        <v>0.205386829724951</v>
      </c>
      <c r="T2844" s="4" t="str">
        <f t="shared" si="3"/>
        <v/>
      </c>
      <c r="U2844" s="4">
        <f t="shared" si="4"/>
        <v>2142</v>
      </c>
    </row>
    <row r="2845" ht="15.75" customHeight="1">
      <c r="A2845" s="4" t="s">
        <v>3919</v>
      </c>
      <c r="B2845" s="4" t="s">
        <v>13</v>
      </c>
      <c r="I2845" s="4">
        <v>0.169</v>
      </c>
      <c r="J2845" s="4">
        <v>0.08</v>
      </c>
      <c r="K2845" s="6" t="b">
        <f t="shared" ref="K2845:M2845" si="2658">FALSE()</f>
        <v>0</v>
      </c>
      <c r="L2845" s="6" t="b">
        <f t="shared" si="2658"/>
        <v>0</v>
      </c>
      <c r="M2845" s="6" t="b">
        <f t="shared" si="2658"/>
        <v>0</v>
      </c>
      <c r="P2845" s="4">
        <v>0.156148682489931</v>
      </c>
      <c r="T2845" s="4" t="str">
        <f t="shared" si="3"/>
        <v/>
      </c>
      <c r="U2845" s="4">
        <f t="shared" si="4"/>
        <v>3064</v>
      </c>
    </row>
    <row r="2846" ht="15.75" customHeight="1">
      <c r="A2846" s="4" t="s">
        <v>3920</v>
      </c>
      <c r="B2846" s="4" t="s">
        <v>13</v>
      </c>
      <c r="I2846" s="4">
        <v>0.286897</v>
      </c>
      <c r="K2846" s="6" t="b">
        <f t="shared" ref="K2846:M2846" si="2659">FALSE()</f>
        <v>0</v>
      </c>
      <c r="L2846" s="6" t="b">
        <f t="shared" si="2659"/>
        <v>0</v>
      </c>
      <c r="M2846" s="6" t="b">
        <f t="shared" si="2659"/>
        <v>0</v>
      </c>
      <c r="P2846" s="4">
        <v>0.252233894331301</v>
      </c>
      <c r="T2846" s="4" t="str">
        <f t="shared" si="3"/>
        <v/>
      </c>
      <c r="U2846" s="4">
        <f t="shared" si="4"/>
        <v>1456</v>
      </c>
    </row>
    <row r="2847" ht="15.75" customHeight="1">
      <c r="A2847" s="4" t="s">
        <v>3921</v>
      </c>
      <c r="B2847" s="4" t="s">
        <v>13</v>
      </c>
      <c r="I2847" s="4">
        <v>0.27817</v>
      </c>
      <c r="K2847" s="6" t="b">
        <f t="shared" ref="K2847:M2847" si="2660">FALSE()</f>
        <v>0</v>
      </c>
      <c r="L2847" s="6" t="b">
        <f t="shared" si="2660"/>
        <v>0</v>
      </c>
      <c r="M2847" s="6" t="b">
        <f t="shared" si="2660"/>
        <v>0</v>
      </c>
      <c r="P2847" s="4">
        <v>0.245429367453209</v>
      </c>
      <c r="T2847" s="4" t="str">
        <f t="shared" si="3"/>
        <v/>
      </c>
      <c r="U2847" s="4">
        <f t="shared" si="4"/>
        <v>1520</v>
      </c>
    </row>
    <row r="2848" ht="15.75" customHeight="1">
      <c r="A2848" s="4" t="s">
        <v>3922</v>
      </c>
      <c r="B2848" s="4" t="s">
        <v>13</v>
      </c>
      <c r="I2848" s="4">
        <v>0.25578</v>
      </c>
      <c r="K2848" s="6" t="b">
        <f t="shared" ref="K2848:M2848" si="2661">FALSE()</f>
        <v>0</v>
      </c>
      <c r="L2848" s="6" t="b">
        <f t="shared" si="2661"/>
        <v>0</v>
      </c>
      <c r="M2848" s="6" t="b">
        <f t="shared" si="2661"/>
        <v>0</v>
      </c>
      <c r="P2848" s="4">
        <v>0.227756893468168</v>
      </c>
      <c r="T2848" s="4" t="str">
        <f t="shared" si="3"/>
        <v/>
      </c>
      <c r="U2848" s="4">
        <f t="shared" si="4"/>
        <v>1739</v>
      </c>
    </row>
    <row r="2849" ht="15.75" customHeight="1">
      <c r="A2849" s="4" t="s">
        <v>3923</v>
      </c>
      <c r="B2849" s="4" t="s">
        <v>13</v>
      </c>
      <c r="I2849" s="4">
        <v>0.2569</v>
      </c>
      <c r="K2849" s="6" t="b">
        <f t="shared" ref="K2849:M2849" si="2662">FALSE()</f>
        <v>0</v>
      </c>
      <c r="L2849" s="6" t="b">
        <f t="shared" si="2662"/>
        <v>0</v>
      </c>
      <c r="M2849" s="6" t="b">
        <f t="shared" si="2662"/>
        <v>0</v>
      </c>
      <c r="P2849" s="4">
        <v>0.228648371948655</v>
      </c>
      <c r="T2849" s="4" t="str">
        <f t="shared" si="3"/>
        <v/>
      </c>
      <c r="U2849" s="4">
        <f t="shared" si="4"/>
        <v>1719</v>
      </c>
    </row>
    <row r="2850" ht="15.75" customHeight="1">
      <c r="A2850" s="4" t="s">
        <v>3924</v>
      </c>
      <c r="B2850" s="4" t="s">
        <v>13</v>
      </c>
      <c r="I2850" s="4">
        <v>0.253075</v>
      </c>
      <c r="K2850" s="6" t="b">
        <f t="shared" ref="K2850:M2850" si="2663">FALSE()</f>
        <v>0</v>
      </c>
      <c r="L2850" s="6" t="b">
        <f t="shared" si="2663"/>
        <v>0</v>
      </c>
      <c r="M2850" s="6" t="b">
        <f t="shared" si="2663"/>
        <v>0</v>
      </c>
      <c r="P2850" s="4">
        <v>0.225600530467384</v>
      </c>
      <c r="T2850" s="4" t="str">
        <f t="shared" si="3"/>
        <v/>
      </c>
      <c r="U2850" s="4">
        <f t="shared" si="4"/>
        <v>1765</v>
      </c>
    </row>
    <row r="2851" ht="15.75" customHeight="1">
      <c r="A2851" s="4" t="s">
        <v>3925</v>
      </c>
      <c r="B2851" s="4" t="s">
        <v>13</v>
      </c>
      <c r="I2851" s="4">
        <v>0.25087</v>
      </c>
      <c r="K2851" s="6" t="b">
        <f t="shared" ref="K2851:M2851" si="2664">FALSE()</f>
        <v>0</v>
      </c>
      <c r="L2851" s="6" t="b">
        <f t="shared" si="2664"/>
        <v>0</v>
      </c>
      <c r="M2851" s="6" t="b">
        <f t="shared" si="2664"/>
        <v>0</v>
      </c>
      <c r="P2851" s="4">
        <v>0.223839309218536</v>
      </c>
      <c r="T2851" s="4" t="str">
        <f t="shared" si="3"/>
        <v/>
      </c>
      <c r="U2851" s="4">
        <f t="shared" si="4"/>
        <v>1804</v>
      </c>
    </row>
    <row r="2852" ht="15.75" customHeight="1">
      <c r="A2852" s="4" t="s">
        <v>3926</v>
      </c>
      <c r="B2852" s="4" t="s">
        <v>13</v>
      </c>
      <c r="I2852" s="4">
        <v>0.223804</v>
      </c>
      <c r="K2852" s="6" t="b">
        <f t="shared" ref="K2852:M2852" si="2665">FALSE()</f>
        <v>0</v>
      </c>
      <c r="L2852" s="6" t="b">
        <f t="shared" si="2665"/>
        <v>0</v>
      </c>
      <c r="M2852" s="6" t="b">
        <f t="shared" si="2665"/>
        <v>0</v>
      </c>
      <c r="P2852" s="4">
        <v>0.201964040548888</v>
      </c>
      <c r="T2852" s="4" t="str">
        <f t="shared" si="3"/>
        <v/>
      </c>
      <c r="U2852" s="4">
        <f t="shared" si="4"/>
        <v>2203</v>
      </c>
    </row>
    <row r="2853" ht="15.75" customHeight="1">
      <c r="A2853" s="4" t="s">
        <v>3927</v>
      </c>
      <c r="B2853" s="4" t="s">
        <v>13</v>
      </c>
      <c r="I2853" s="4">
        <v>0.28308</v>
      </c>
      <c r="K2853" s="6" t="b">
        <f t="shared" ref="K2853:M2853" si="2666">FALSE()</f>
        <v>0</v>
      </c>
      <c r="L2853" s="6" t="b">
        <f t="shared" si="2666"/>
        <v>0</v>
      </c>
      <c r="M2853" s="6" t="b">
        <f t="shared" si="2666"/>
        <v>0</v>
      </c>
      <c r="P2853" s="4">
        <v>0.249263437547723</v>
      </c>
      <c r="T2853" s="4" t="str">
        <f t="shared" si="3"/>
        <v/>
      </c>
      <c r="U2853" s="4">
        <f t="shared" si="4"/>
        <v>1485</v>
      </c>
    </row>
    <row r="2854" ht="15.75" customHeight="1">
      <c r="A2854" s="4" t="s">
        <v>3928</v>
      </c>
      <c r="B2854" s="4" t="s">
        <v>13</v>
      </c>
      <c r="I2854" s="4">
        <v>0.26363</v>
      </c>
      <c r="K2854" s="6" t="b">
        <f t="shared" ref="K2854:M2854" si="2667">FALSE()</f>
        <v>0</v>
      </c>
      <c r="L2854" s="6" t="b">
        <f t="shared" si="2667"/>
        <v>0</v>
      </c>
      <c r="M2854" s="6" t="b">
        <f t="shared" si="2667"/>
        <v>0</v>
      </c>
      <c r="P2854" s="4">
        <v>0.233988531354372</v>
      </c>
      <c r="T2854" s="4" t="str">
        <f t="shared" si="3"/>
        <v/>
      </c>
      <c r="U2854" s="4">
        <f t="shared" si="4"/>
        <v>1636</v>
      </c>
    </row>
    <row r="2855" ht="15.75" customHeight="1">
      <c r="A2855" s="4" t="s">
        <v>3929</v>
      </c>
      <c r="B2855" s="4" t="s">
        <v>13</v>
      </c>
      <c r="I2855" s="4">
        <v>0.3474</v>
      </c>
      <c r="K2855" s="6" t="b">
        <f t="shared" ref="K2855:M2855" si="2668">FALSE()</f>
        <v>0</v>
      </c>
      <c r="L2855" s="6" t="b">
        <f t="shared" si="2668"/>
        <v>0</v>
      </c>
      <c r="M2855" s="6" t="b">
        <f t="shared" si="2668"/>
        <v>0</v>
      </c>
      <c r="P2855" s="4">
        <v>0.298176809544422</v>
      </c>
      <c r="T2855" s="4" t="str">
        <f t="shared" si="3"/>
        <v/>
      </c>
      <c r="U2855" s="4">
        <f t="shared" si="4"/>
        <v>1218</v>
      </c>
    </row>
    <row r="2856" ht="15.75" customHeight="1">
      <c r="A2856" s="4" t="s">
        <v>3930</v>
      </c>
      <c r="B2856" s="4" t="s">
        <v>13</v>
      </c>
      <c r="I2856" s="4">
        <v>0.21</v>
      </c>
      <c r="J2856" s="4">
        <v>0.037</v>
      </c>
      <c r="K2856" s="6" t="b">
        <f t="shared" ref="K2856:M2856" si="2669">FALSE()</f>
        <v>0</v>
      </c>
      <c r="L2856" s="6" t="b">
        <f t="shared" si="2669"/>
        <v>0</v>
      </c>
      <c r="M2856" s="6" t="b">
        <f t="shared" si="2669"/>
        <v>0</v>
      </c>
      <c r="P2856" s="4">
        <v>0.19062035960865</v>
      </c>
      <c r="T2856" s="4" t="str">
        <f t="shared" si="3"/>
        <v/>
      </c>
      <c r="U2856" s="4">
        <f t="shared" si="4"/>
        <v>2418</v>
      </c>
    </row>
    <row r="2857" ht="15.75" customHeight="1">
      <c r="A2857" s="4" t="s">
        <v>3931</v>
      </c>
      <c r="B2857" s="4" t="s">
        <v>13</v>
      </c>
      <c r="I2857" s="4">
        <v>0.255</v>
      </c>
      <c r="J2857" s="4">
        <v>0.047</v>
      </c>
      <c r="K2857" s="6" t="b">
        <f t="shared" ref="K2857:M2857" si="2670">FALSE()</f>
        <v>0</v>
      </c>
      <c r="L2857" s="6" t="b">
        <f t="shared" si="2670"/>
        <v>0</v>
      </c>
      <c r="M2857" s="6" t="b">
        <f t="shared" si="2670"/>
        <v>0</v>
      </c>
      <c r="P2857" s="4">
        <v>0.227135572583747</v>
      </c>
      <c r="T2857" s="4" t="str">
        <f t="shared" si="3"/>
        <v/>
      </c>
      <c r="U2857" s="4">
        <f t="shared" si="4"/>
        <v>1751</v>
      </c>
    </row>
    <row r="2858" ht="15.75" customHeight="1">
      <c r="A2858" s="4" t="s">
        <v>3932</v>
      </c>
      <c r="B2858" s="4" t="s">
        <v>13</v>
      </c>
      <c r="I2858" s="4">
        <v>0.201</v>
      </c>
      <c r="J2858" s="4">
        <v>0.036</v>
      </c>
      <c r="K2858" s="6" t="b">
        <f t="shared" ref="K2858:M2858" si="2671">FALSE()</f>
        <v>0</v>
      </c>
      <c r="L2858" s="6" t="b">
        <f t="shared" si="2671"/>
        <v>0</v>
      </c>
      <c r="M2858" s="6" t="b">
        <f t="shared" si="2671"/>
        <v>0</v>
      </c>
      <c r="P2858" s="4">
        <v>0.183154543097847</v>
      </c>
      <c r="T2858" s="4" t="str">
        <f t="shared" si="3"/>
        <v/>
      </c>
      <c r="U2858" s="4">
        <f t="shared" si="4"/>
        <v>2568</v>
      </c>
    </row>
    <row r="2859" ht="15.75" customHeight="1">
      <c r="A2859" s="4" t="s">
        <v>3933</v>
      </c>
      <c r="B2859" s="4" t="s">
        <v>13</v>
      </c>
      <c r="I2859" s="4">
        <v>0.246</v>
      </c>
      <c r="J2859" s="4">
        <v>0.05</v>
      </c>
      <c r="K2859" s="6" t="b">
        <f t="shared" ref="K2859:M2859" si="2672">FALSE()</f>
        <v>0</v>
      </c>
      <c r="L2859" s="6" t="b">
        <f t="shared" si="2672"/>
        <v>0</v>
      </c>
      <c r="M2859" s="6" t="b">
        <f t="shared" si="2672"/>
        <v>0</v>
      </c>
      <c r="P2859" s="4">
        <v>0.219938420365261</v>
      </c>
      <c r="T2859" s="4" t="str">
        <f t="shared" si="3"/>
        <v/>
      </c>
      <c r="U2859" s="4">
        <f t="shared" si="4"/>
        <v>1864</v>
      </c>
    </row>
    <row r="2860" ht="15.75" customHeight="1">
      <c r="A2860" s="4" t="s">
        <v>3934</v>
      </c>
      <c r="B2860" s="4" t="s">
        <v>13</v>
      </c>
      <c r="I2860" s="4">
        <v>0.40013</v>
      </c>
      <c r="K2860" s="6" t="b">
        <f t="shared" ref="K2860:M2860" si="2673">FALSE()</f>
        <v>0</v>
      </c>
      <c r="L2860" s="6" t="b">
        <f t="shared" si="2673"/>
        <v>0</v>
      </c>
      <c r="M2860" s="6" t="b">
        <f t="shared" si="2673"/>
        <v>0</v>
      </c>
      <c r="P2860" s="4">
        <v>0.336565089453112</v>
      </c>
      <c r="T2860" s="4" t="str">
        <f t="shared" si="3"/>
        <v/>
      </c>
      <c r="U2860" s="4">
        <f t="shared" si="4"/>
        <v>1117</v>
      </c>
    </row>
    <row r="2861" ht="15.75" customHeight="1">
      <c r="A2861" s="4" t="s">
        <v>3935</v>
      </c>
      <c r="B2861" s="4" t="s">
        <v>13</v>
      </c>
      <c r="I2861" s="4">
        <v>0.261658</v>
      </c>
      <c r="K2861" s="6" t="b">
        <f t="shared" ref="K2861:M2861" si="2674">FALSE()</f>
        <v>0</v>
      </c>
      <c r="L2861" s="6" t="b">
        <f t="shared" si="2674"/>
        <v>0</v>
      </c>
      <c r="M2861" s="6" t="b">
        <f t="shared" si="2674"/>
        <v>0</v>
      </c>
      <c r="P2861" s="4">
        <v>0.232426728977102</v>
      </c>
      <c r="T2861" s="4" t="str">
        <f t="shared" si="3"/>
        <v/>
      </c>
      <c r="U2861" s="4">
        <f t="shared" si="4"/>
        <v>1664</v>
      </c>
    </row>
    <row r="2862" ht="15.75" customHeight="1">
      <c r="A2862" s="4" t="s">
        <v>3936</v>
      </c>
      <c r="B2862" s="4" t="s">
        <v>13</v>
      </c>
      <c r="I2862" s="4">
        <v>0.36569</v>
      </c>
      <c r="K2862" s="6" t="b">
        <f t="shared" ref="K2862:M2862" si="2675">FALSE()</f>
        <v>0</v>
      </c>
      <c r="L2862" s="6" t="b">
        <f t="shared" si="2675"/>
        <v>0</v>
      </c>
      <c r="M2862" s="6" t="b">
        <f t="shared" si="2675"/>
        <v>0</v>
      </c>
      <c r="P2862" s="4">
        <v>0.311659795423109</v>
      </c>
      <c r="T2862" s="4" t="str">
        <f t="shared" si="3"/>
        <v/>
      </c>
      <c r="U2862" s="4">
        <f t="shared" si="4"/>
        <v>1170</v>
      </c>
    </row>
    <row r="2863" ht="15.75" customHeight="1">
      <c r="A2863" s="4" t="s">
        <v>3937</v>
      </c>
      <c r="B2863" s="4" t="s">
        <v>13</v>
      </c>
      <c r="I2863" s="4">
        <v>0.324367</v>
      </c>
      <c r="K2863" s="6" t="b">
        <f t="shared" ref="K2863:M2863" si="2676">FALSE()</f>
        <v>0</v>
      </c>
      <c r="L2863" s="6" t="b">
        <f t="shared" si="2676"/>
        <v>0</v>
      </c>
      <c r="M2863" s="6" t="b">
        <f t="shared" si="2676"/>
        <v>0</v>
      </c>
      <c r="P2863" s="4">
        <v>0.280934609437</v>
      </c>
      <c r="T2863" s="4" t="str">
        <f t="shared" si="3"/>
        <v/>
      </c>
      <c r="U2863" s="4">
        <f t="shared" si="4"/>
        <v>1285</v>
      </c>
    </row>
    <row r="2864" ht="15.75" customHeight="1">
      <c r="A2864" s="4" t="s">
        <v>3938</v>
      </c>
      <c r="B2864" s="4" t="s">
        <v>13</v>
      </c>
      <c r="I2864" s="4">
        <v>0.2755</v>
      </c>
      <c r="K2864" s="6" t="b">
        <f t="shared" ref="K2864:M2864" si="2677">FALSE()</f>
        <v>0</v>
      </c>
      <c r="L2864" s="6" t="b">
        <f t="shared" si="2677"/>
        <v>0</v>
      </c>
      <c r="M2864" s="6" t="b">
        <f t="shared" si="2677"/>
        <v>0</v>
      </c>
      <c r="P2864" s="4">
        <v>0.243338258599729</v>
      </c>
      <c r="T2864" s="4" t="str">
        <f t="shared" si="3"/>
        <v/>
      </c>
      <c r="U2864" s="4">
        <f t="shared" si="4"/>
        <v>1540</v>
      </c>
    </row>
    <row r="2865" ht="15.75" customHeight="1">
      <c r="A2865" s="4" t="s">
        <v>3939</v>
      </c>
      <c r="B2865" s="4" t="s">
        <v>13</v>
      </c>
      <c r="I2865" s="4">
        <v>0.10652</v>
      </c>
      <c r="K2865" s="6" t="b">
        <f t="shared" ref="K2865:M2865" si="2678">FALSE()</f>
        <v>0</v>
      </c>
      <c r="L2865" s="6" t="b">
        <f t="shared" si="2678"/>
        <v>0</v>
      </c>
      <c r="M2865" s="6" t="b">
        <f t="shared" si="2678"/>
        <v>0</v>
      </c>
      <c r="P2865" s="4">
        <v>0.101219955356913</v>
      </c>
      <c r="T2865" s="4" t="str">
        <f t="shared" si="3"/>
        <v/>
      </c>
      <c r="U2865" s="4">
        <f t="shared" si="4"/>
        <v>4111</v>
      </c>
    </row>
    <row r="2866" ht="15.75" customHeight="1">
      <c r="A2866" s="4" t="s">
        <v>3940</v>
      </c>
      <c r="B2866" s="4" t="s">
        <v>13</v>
      </c>
      <c r="I2866" s="4">
        <v>0.34585</v>
      </c>
      <c r="K2866" s="6" t="b">
        <f t="shared" ref="K2866:M2866" si="2679">FALSE()</f>
        <v>0</v>
      </c>
      <c r="L2866" s="6" t="b">
        <f t="shared" si="2679"/>
        <v>0</v>
      </c>
      <c r="M2866" s="6" t="b">
        <f t="shared" si="2679"/>
        <v>0</v>
      </c>
      <c r="P2866" s="4">
        <v>0.297025783704914</v>
      </c>
      <c r="T2866" s="4" t="str">
        <f t="shared" si="3"/>
        <v/>
      </c>
      <c r="U2866" s="4">
        <f t="shared" si="4"/>
        <v>1223</v>
      </c>
    </row>
    <row r="2867" ht="15.75" customHeight="1">
      <c r="A2867" s="4" t="s">
        <v>3941</v>
      </c>
      <c r="B2867" s="4" t="s">
        <v>13</v>
      </c>
      <c r="I2867" s="4">
        <v>0.48131</v>
      </c>
      <c r="K2867" s="6" t="b">
        <f t="shared" ref="K2867:M2867" si="2680">FALSE()</f>
        <v>0</v>
      </c>
      <c r="L2867" s="6" t="b">
        <f t="shared" si="2680"/>
        <v>0</v>
      </c>
      <c r="M2867" s="6" t="b">
        <f t="shared" si="2680"/>
        <v>0</v>
      </c>
      <c r="P2867" s="4">
        <v>0.392926831410059</v>
      </c>
      <c r="T2867" s="4" t="str">
        <f t="shared" si="3"/>
        <v/>
      </c>
      <c r="U2867" s="4">
        <f t="shared" si="4"/>
        <v>1028</v>
      </c>
    </row>
    <row r="2868" ht="15.75" customHeight="1">
      <c r="A2868" s="4" t="s">
        <v>3942</v>
      </c>
      <c r="B2868" s="4" t="s">
        <v>13</v>
      </c>
      <c r="I2868" s="4">
        <v>0.25194</v>
      </c>
      <c r="K2868" s="6" t="b">
        <f t="shared" ref="K2868:M2868" si="2681">FALSE()</f>
        <v>0</v>
      </c>
      <c r="L2868" s="6" t="b">
        <f t="shared" si="2681"/>
        <v>0</v>
      </c>
      <c r="M2868" s="6" t="b">
        <f t="shared" si="2681"/>
        <v>0</v>
      </c>
      <c r="P2868" s="4">
        <v>0.224694348206864</v>
      </c>
      <c r="T2868" s="4" t="str">
        <f t="shared" si="3"/>
        <v/>
      </c>
      <c r="U2868" s="4">
        <f t="shared" si="4"/>
        <v>1791</v>
      </c>
    </row>
    <row r="2869" ht="15.75" customHeight="1">
      <c r="A2869" s="4" t="s">
        <v>3943</v>
      </c>
      <c r="B2869" s="4" t="s">
        <v>13</v>
      </c>
      <c r="I2869" s="4">
        <v>0.2168</v>
      </c>
      <c r="K2869" s="6" t="b">
        <f t="shared" ref="K2869:M2869" si="2682">FALSE()</f>
        <v>0</v>
      </c>
      <c r="L2869" s="6" t="b">
        <f t="shared" si="2682"/>
        <v>0</v>
      </c>
      <c r="M2869" s="6" t="b">
        <f t="shared" si="2682"/>
        <v>0</v>
      </c>
      <c r="P2869" s="4">
        <v>0.196224461962946</v>
      </c>
      <c r="T2869" s="4" t="str">
        <f t="shared" si="3"/>
        <v/>
      </c>
      <c r="U2869" s="4">
        <f t="shared" si="4"/>
        <v>2309</v>
      </c>
    </row>
    <row r="2870" ht="15.75" customHeight="1">
      <c r="A2870" s="4" t="s">
        <v>3944</v>
      </c>
      <c r="B2870" s="4" t="s">
        <v>13</v>
      </c>
      <c r="I2870" s="4">
        <v>0.115</v>
      </c>
      <c r="J2870" s="4">
        <v>0.057</v>
      </c>
      <c r="K2870" s="6" t="b">
        <f t="shared" ref="K2870:M2870" si="2683">FALSE()</f>
        <v>0</v>
      </c>
      <c r="L2870" s="6" t="b">
        <f t="shared" si="2683"/>
        <v>0</v>
      </c>
      <c r="M2870" s="6" t="b">
        <f t="shared" si="2683"/>
        <v>0</v>
      </c>
      <c r="P2870" s="4">
        <v>0.108854404912082</v>
      </c>
      <c r="T2870" s="4" t="str">
        <f t="shared" si="3"/>
        <v/>
      </c>
      <c r="U2870" s="4">
        <f t="shared" si="4"/>
        <v>3968</v>
      </c>
    </row>
    <row r="2871" ht="15.75" customHeight="1">
      <c r="A2871" s="4" t="s">
        <v>3945</v>
      </c>
      <c r="B2871" s="4" t="s">
        <v>13</v>
      </c>
      <c r="I2871" s="4">
        <v>0.217</v>
      </c>
      <c r="J2871" s="4">
        <v>0.108</v>
      </c>
      <c r="K2871" s="6" t="b">
        <f t="shared" ref="K2871:M2871" si="2684">FALSE()</f>
        <v>0</v>
      </c>
      <c r="L2871" s="6" t="b">
        <f t="shared" si="2684"/>
        <v>0</v>
      </c>
      <c r="M2871" s="6" t="b">
        <f t="shared" si="2684"/>
        <v>0</v>
      </c>
      <c r="P2871" s="4">
        <v>0.19638881400539</v>
      </c>
      <c r="T2871" s="4" t="str">
        <f t="shared" si="3"/>
        <v/>
      </c>
      <c r="U2871" s="4">
        <f t="shared" si="4"/>
        <v>2303</v>
      </c>
    </row>
    <row r="2872" ht="15.75" customHeight="1">
      <c r="A2872" s="4" t="s">
        <v>3946</v>
      </c>
      <c r="B2872" s="4" t="s">
        <v>13</v>
      </c>
      <c r="I2872" s="4">
        <v>0.29646</v>
      </c>
      <c r="K2872" s="6" t="b">
        <f t="shared" ref="K2872:M2872" si="2685">FALSE()</f>
        <v>0</v>
      </c>
      <c r="L2872" s="6" t="b">
        <f t="shared" si="2685"/>
        <v>0</v>
      </c>
      <c r="M2872" s="6" t="b">
        <f t="shared" si="2685"/>
        <v>0</v>
      </c>
      <c r="P2872" s="4">
        <v>0.259637473226001</v>
      </c>
      <c r="T2872" s="4" t="str">
        <f t="shared" si="3"/>
        <v/>
      </c>
      <c r="U2872" s="4">
        <f t="shared" si="4"/>
        <v>1400</v>
      </c>
    </row>
    <row r="2873" ht="15.75" customHeight="1">
      <c r="A2873" s="4" t="s">
        <v>3947</v>
      </c>
      <c r="B2873" s="4" t="s">
        <v>13</v>
      </c>
      <c r="I2873" s="4">
        <v>0.11357</v>
      </c>
      <c r="K2873" s="6" t="b">
        <f t="shared" ref="K2873:M2873" si="2686">FALSE()</f>
        <v>0</v>
      </c>
      <c r="L2873" s="6" t="b">
        <f t="shared" si="2686"/>
        <v>0</v>
      </c>
      <c r="M2873" s="6" t="b">
        <f t="shared" si="2686"/>
        <v>0</v>
      </c>
      <c r="P2873" s="4">
        <v>0.107571070579967</v>
      </c>
      <c r="T2873" s="4" t="str">
        <f t="shared" si="3"/>
        <v/>
      </c>
      <c r="U2873" s="4">
        <f t="shared" si="4"/>
        <v>3988</v>
      </c>
    </row>
    <row r="2874" ht="15.75" customHeight="1">
      <c r="A2874" s="4" t="s">
        <v>3948</v>
      </c>
      <c r="B2874" s="4" t="s">
        <v>13</v>
      </c>
      <c r="I2874" s="4">
        <v>0.19431</v>
      </c>
      <c r="K2874" s="6" t="b">
        <f t="shared" ref="K2874:M2874" si="2687">FALSE()</f>
        <v>0</v>
      </c>
      <c r="L2874" s="6" t="b">
        <f t="shared" si="2687"/>
        <v>0</v>
      </c>
      <c r="M2874" s="6" t="b">
        <f t="shared" si="2687"/>
        <v>0</v>
      </c>
      <c r="P2874" s="4">
        <v>0.177568612762775</v>
      </c>
      <c r="T2874" s="4" t="str">
        <f t="shared" si="3"/>
        <v/>
      </c>
      <c r="U2874" s="4">
        <f t="shared" si="4"/>
        <v>2675</v>
      </c>
    </row>
    <row r="2875" ht="15.75" customHeight="1">
      <c r="A2875" s="4" t="s">
        <v>3949</v>
      </c>
      <c r="B2875" s="4" t="s">
        <v>13</v>
      </c>
      <c r="I2875" s="4">
        <v>0.142637</v>
      </c>
      <c r="K2875" s="6" t="b">
        <f t="shared" ref="K2875:M2875" si="2688">FALSE()</f>
        <v>0</v>
      </c>
      <c r="L2875" s="6" t="b">
        <f t="shared" si="2688"/>
        <v>0</v>
      </c>
      <c r="M2875" s="6" t="b">
        <f t="shared" si="2688"/>
        <v>0</v>
      </c>
      <c r="P2875" s="4">
        <v>0.133338749069945</v>
      </c>
      <c r="T2875" s="4" t="str">
        <f t="shared" si="3"/>
        <v/>
      </c>
      <c r="U2875" s="4">
        <f t="shared" si="4"/>
        <v>3467</v>
      </c>
    </row>
    <row r="2876" ht="15.75" customHeight="1">
      <c r="A2876" s="4" t="s">
        <v>3950</v>
      </c>
      <c r="B2876" s="4" t="s">
        <v>13</v>
      </c>
      <c r="I2876" s="4">
        <v>0.33607</v>
      </c>
      <c r="K2876" s="6" t="b">
        <f t="shared" ref="K2876:M2876" si="2689">FALSE()</f>
        <v>0</v>
      </c>
      <c r="L2876" s="6" t="b">
        <f t="shared" si="2689"/>
        <v>0</v>
      </c>
      <c r="M2876" s="6" t="b">
        <f t="shared" si="2689"/>
        <v>0</v>
      </c>
      <c r="P2876" s="4">
        <v>0.289732468951454</v>
      </c>
      <c r="T2876" s="4" t="str">
        <f t="shared" si="3"/>
        <v/>
      </c>
      <c r="U2876" s="4">
        <f t="shared" si="4"/>
        <v>1242</v>
      </c>
    </row>
    <row r="2877" ht="15.75" customHeight="1">
      <c r="A2877" s="4" t="s">
        <v>3951</v>
      </c>
      <c r="B2877" s="4" t="s">
        <v>13</v>
      </c>
      <c r="I2877" s="4">
        <v>0.17201</v>
      </c>
      <c r="K2877" s="6" t="b">
        <f t="shared" ref="K2877:M2877" si="2690">FALSE()</f>
        <v>0</v>
      </c>
      <c r="L2877" s="6" t="b">
        <f t="shared" si="2690"/>
        <v>0</v>
      </c>
      <c r="M2877" s="6" t="b">
        <f t="shared" si="2690"/>
        <v>0</v>
      </c>
      <c r="P2877" s="4">
        <v>0.158720223541628</v>
      </c>
      <c r="T2877" s="4" t="str">
        <f t="shared" si="3"/>
        <v/>
      </c>
      <c r="U2877" s="4">
        <f t="shared" si="4"/>
        <v>3011</v>
      </c>
    </row>
    <row r="2878" ht="15.75" customHeight="1">
      <c r="A2878" s="4" t="s">
        <v>3952</v>
      </c>
      <c r="B2878" s="4" t="s">
        <v>13</v>
      </c>
      <c r="I2878" s="4">
        <v>0.797</v>
      </c>
      <c r="K2878" s="6" t="b">
        <f t="shared" ref="K2878:L2878" si="2691">FALSE()</f>
        <v>0</v>
      </c>
      <c r="L2878" s="6" t="b">
        <f t="shared" si="2691"/>
        <v>0</v>
      </c>
      <c r="M2878" s="6" t="b">
        <f>TRUE()</f>
        <v>1</v>
      </c>
      <c r="P2878" s="4">
        <v>0.586118607801422</v>
      </c>
      <c r="T2878" s="4" t="str">
        <f t="shared" si="3"/>
        <v/>
      </c>
      <c r="U2878" s="4">
        <f t="shared" si="4"/>
        <v>843</v>
      </c>
    </row>
    <row r="2879" ht="15.75" customHeight="1">
      <c r="A2879" s="4" t="s">
        <v>3953</v>
      </c>
      <c r="B2879" s="4" t="s">
        <v>13</v>
      </c>
      <c r="I2879" s="4">
        <v>0.3805</v>
      </c>
      <c r="K2879" s="6" t="b">
        <f t="shared" ref="K2879:M2879" si="2692">FALSE()</f>
        <v>0</v>
      </c>
      <c r="L2879" s="6" t="b">
        <f t="shared" si="2692"/>
        <v>0</v>
      </c>
      <c r="M2879" s="6" t="b">
        <f t="shared" si="2692"/>
        <v>0</v>
      </c>
      <c r="P2879" s="4">
        <v>0.322445752388072</v>
      </c>
      <c r="T2879" s="4" t="str">
        <f t="shared" si="3"/>
        <v/>
      </c>
      <c r="U2879" s="4">
        <f t="shared" si="4"/>
        <v>1147</v>
      </c>
    </row>
    <row r="2880" ht="15.75" customHeight="1">
      <c r="A2880" s="4" t="s">
        <v>3954</v>
      </c>
      <c r="B2880" s="4" t="s">
        <v>13</v>
      </c>
      <c r="I2880" s="4">
        <v>0.242013</v>
      </c>
      <c r="K2880" s="6" t="b">
        <f t="shared" ref="K2880:M2880" si="2693">FALSE()</f>
        <v>0</v>
      </c>
      <c r="L2880" s="6" t="b">
        <f t="shared" si="2693"/>
        <v>0</v>
      </c>
      <c r="M2880" s="6" t="b">
        <f t="shared" si="2693"/>
        <v>0</v>
      </c>
      <c r="P2880" s="4">
        <v>0.216733450445236</v>
      </c>
      <c r="T2880" s="4" t="str">
        <f t="shared" si="3"/>
        <v/>
      </c>
      <c r="U2880" s="4">
        <f t="shared" si="4"/>
        <v>1911</v>
      </c>
    </row>
    <row r="2881" ht="15.75" customHeight="1">
      <c r="A2881" s="4" t="s">
        <v>3955</v>
      </c>
      <c r="B2881" s="4" t="s">
        <v>13</v>
      </c>
      <c r="I2881" s="4">
        <v>0.1439</v>
      </c>
      <c r="K2881" s="6" t="b">
        <f t="shared" ref="K2881:M2881" si="2694">FALSE()</f>
        <v>0</v>
      </c>
      <c r="L2881" s="6" t="b">
        <f t="shared" si="2694"/>
        <v>0</v>
      </c>
      <c r="M2881" s="6" t="b">
        <f t="shared" si="2694"/>
        <v>0</v>
      </c>
      <c r="P2881" s="4">
        <v>0.134443476549491</v>
      </c>
      <c r="T2881" s="4" t="str">
        <f t="shared" si="3"/>
        <v/>
      </c>
      <c r="U2881" s="4">
        <f t="shared" si="4"/>
        <v>3448</v>
      </c>
    </row>
    <row r="2882" ht="15.75" customHeight="1">
      <c r="A2882" s="4" t="s">
        <v>3956</v>
      </c>
      <c r="B2882" s="4" t="s">
        <v>13</v>
      </c>
      <c r="I2882" s="4">
        <v>0.175</v>
      </c>
      <c r="J2882" s="4">
        <v>0.01</v>
      </c>
      <c r="K2882" s="6" t="b">
        <f t="shared" ref="K2882:M2882" si="2695">FALSE()</f>
        <v>0</v>
      </c>
      <c r="L2882" s="6" t="b">
        <f t="shared" si="2695"/>
        <v>0</v>
      </c>
      <c r="M2882" s="6" t="b">
        <f t="shared" si="2695"/>
        <v>0</v>
      </c>
      <c r="P2882" s="4">
        <v>0.161268147596122</v>
      </c>
      <c r="T2882" s="4" t="str">
        <f t="shared" si="3"/>
        <v/>
      </c>
      <c r="U2882" s="4">
        <f t="shared" si="4"/>
        <v>2976</v>
      </c>
    </row>
    <row r="2883" ht="15.75" customHeight="1">
      <c r="A2883" s="4" t="s">
        <v>3957</v>
      </c>
      <c r="B2883" s="4" t="s">
        <v>13</v>
      </c>
      <c r="I2883" s="4">
        <v>0.133</v>
      </c>
      <c r="J2883" s="4">
        <v>0.008</v>
      </c>
      <c r="K2883" s="6" t="b">
        <f t="shared" ref="K2883:M2883" si="2696">FALSE()</f>
        <v>0</v>
      </c>
      <c r="L2883" s="6" t="b">
        <f t="shared" si="2696"/>
        <v>0</v>
      </c>
      <c r="M2883" s="6" t="b">
        <f t="shared" si="2696"/>
        <v>0</v>
      </c>
      <c r="P2883" s="4">
        <v>0.124868982045869</v>
      </c>
      <c r="T2883" s="4" t="str">
        <f t="shared" si="3"/>
        <v/>
      </c>
      <c r="U2883" s="4">
        <f t="shared" si="4"/>
        <v>3647</v>
      </c>
    </row>
    <row r="2884" ht="15.75" customHeight="1">
      <c r="A2884" s="4" t="s">
        <v>3958</v>
      </c>
      <c r="B2884" s="4" t="s">
        <v>13</v>
      </c>
      <c r="I2884" s="4">
        <v>0.195</v>
      </c>
      <c r="J2884" s="4">
        <v>0.012</v>
      </c>
      <c r="K2884" s="6" t="b">
        <f t="shared" ref="K2884:M2884" si="2697">FALSE()</f>
        <v>0</v>
      </c>
      <c r="L2884" s="6" t="b">
        <f t="shared" si="2697"/>
        <v>0</v>
      </c>
      <c r="M2884" s="6" t="b">
        <f t="shared" si="2697"/>
        <v>0</v>
      </c>
      <c r="P2884" s="4">
        <v>0.178146185383474</v>
      </c>
      <c r="T2884" s="4" t="str">
        <f t="shared" si="3"/>
        <v/>
      </c>
      <c r="U2884" s="4">
        <f t="shared" si="4"/>
        <v>2669</v>
      </c>
    </row>
    <row r="2885" ht="15.75" customHeight="1">
      <c r="A2885" s="4" t="s">
        <v>3959</v>
      </c>
      <c r="B2885" s="4" t="s">
        <v>13</v>
      </c>
      <c r="I2885" s="4">
        <v>0.53565</v>
      </c>
      <c r="K2885" s="6" t="b">
        <f t="shared" ref="K2885:M2885" si="2698">FALSE()</f>
        <v>0</v>
      </c>
      <c r="L2885" s="6" t="b">
        <f t="shared" si="2698"/>
        <v>0</v>
      </c>
      <c r="M2885" s="6" t="b">
        <f t="shared" si="2698"/>
        <v>0</v>
      </c>
      <c r="P2885" s="4">
        <v>0.428953744177069</v>
      </c>
      <c r="T2885" s="4" t="str">
        <f t="shared" si="3"/>
        <v/>
      </c>
      <c r="U2885" s="4">
        <f t="shared" si="4"/>
        <v>989</v>
      </c>
    </row>
    <row r="2886" ht="15.75" customHeight="1">
      <c r="A2886" s="4" t="s">
        <v>3960</v>
      </c>
      <c r="B2886" s="4" t="s">
        <v>13</v>
      </c>
      <c r="I2886" s="4">
        <v>0.16273</v>
      </c>
      <c r="K2886" s="6" t="b">
        <f t="shared" ref="K2886:M2886" si="2699">FALSE()</f>
        <v>0</v>
      </c>
      <c r="L2886" s="6" t="b">
        <f t="shared" si="2699"/>
        <v>0</v>
      </c>
      <c r="M2886" s="6" t="b">
        <f t="shared" si="2699"/>
        <v>0</v>
      </c>
      <c r="P2886" s="4">
        <v>0.150770688372116</v>
      </c>
      <c r="T2886" s="4" t="str">
        <f t="shared" si="3"/>
        <v/>
      </c>
      <c r="U2886" s="4">
        <f t="shared" si="4"/>
        <v>3143</v>
      </c>
    </row>
    <row r="2887" ht="15.75" customHeight="1">
      <c r="A2887" s="4" t="s">
        <v>3961</v>
      </c>
      <c r="B2887" s="4" t="s">
        <v>13</v>
      </c>
      <c r="I2887" s="4">
        <v>0.405</v>
      </c>
      <c r="J2887" s="4">
        <v>0.00393</v>
      </c>
      <c r="K2887" s="6" t="b">
        <f t="shared" ref="K2887:M2887" si="2700">FALSE()</f>
        <v>0</v>
      </c>
      <c r="L2887" s="6" t="b">
        <f t="shared" si="2700"/>
        <v>0</v>
      </c>
      <c r="M2887" s="6" t="b">
        <f t="shared" si="2700"/>
        <v>0</v>
      </c>
      <c r="P2887" s="4">
        <v>0.340037302785709</v>
      </c>
      <c r="T2887" s="4" t="str">
        <f t="shared" si="3"/>
        <v/>
      </c>
      <c r="U2887" s="4">
        <f t="shared" si="4"/>
        <v>1115</v>
      </c>
    </row>
    <row r="2888" ht="15.75" customHeight="1">
      <c r="A2888" s="4" t="s">
        <v>3962</v>
      </c>
      <c r="B2888" s="4" t="s">
        <v>13</v>
      </c>
      <c r="I2888" s="4">
        <v>0.20225</v>
      </c>
      <c r="K2888" s="6" t="b">
        <f t="shared" ref="K2888:M2888" si="2701">FALSE()</f>
        <v>0</v>
      </c>
      <c r="L2888" s="6" t="b">
        <f t="shared" si="2701"/>
        <v>0</v>
      </c>
      <c r="M2888" s="6" t="b">
        <f t="shared" si="2701"/>
        <v>0</v>
      </c>
      <c r="P2888" s="4">
        <v>0.184194801175635</v>
      </c>
      <c r="T2888" s="4" t="str">
        <f t="shared" si="3"/>
        <v/>
      </c>
      <c r="U2888" s="4">
        <f t="shared" si="4"/>
        <v>2546</v>
      </c>
    </row>
    <row r="2889" ht="15.75" customHeight="1">
      <c r="A2889" s="4" t="s">
        <v>3963</v>
      </c>
      <c r="B2889" s="4" t="s">
        <v>13</v>
      </c>
      <c r="I2889" s="4">
        <v>0.2177</v>
      </c>
      <c r="K2889" s="6" t="b">
        <f t="shared" ref="K2889:M2889" si="2702">FALSE()</f>
        <v>0</v>
      </c>
      <c r="L2889" s="6" t="b">
        <f t="shared" si="2702"/>
        <v>0</v>
      </c>
      <c r="M2889" s="6" t="b">
        <f t="shared" si="2702"/>
        <v>0</v>
      </c>
      <c r="P2889" s="4">
        <v>0.196963833530825</v>
      </c>
      <c r="T2889" s="4" t="str">
        <f t="shared" si="3"/>
        <v/>
      </c>
      <c r="U2889" s="4">
        <f t="shared" si="4"/>
        <v>2297</v>
      </c>
    </row>
    <row r="2890" ht="15.75" customHeight="1">
      <c r="A2890" s="4" t="s">
        <v>3964</v>
      </c>
      <c r="B2890" s="4" t="s">
        <v>13</v>
      </c>
      <c r="I2890" s="4">
        <v>0.5278729</v>
      </c>
      <c r="K2890" s="6" t="b">
        <f t="shared" ref="K2890:M2890" si="2703">FALSE()</f>
        <v>0</v>
      </c>
      <c r="L2890" s="6" t="b">
        <f t="shared" si="2703"/>
        <v>0</v>
      </c>
      <c r="M2890" s="6" t="b">
        <f t="shared" si="2703"/>
        <v>0</v>
      </c>
      <c r="P2890" s="4">
        <v>0.423876506656356</v>
      </c>
      <c r="T2890" s="4" t="str">
        <f t="shared" si="3"/>
        <v/>
      </c>
      <c r="U2890" s="4">
        <f t="shared" si="4"/>
        <v>997</v>
      </c>
    </row>
    <row r="2891" ht="15.75" customHeight="1">
      <c r="A2891" s="4" t="s">
        <v>3965</v>
      </c>
      <c r="B2891" s="4" t="s">
        <v>13</v>
      </c>
      <c r="I2891" s="4">
        <v>0.13132</v>
      </c>
      <c r="K2891" s="6" t="b">
        <f t="shared" ref="K2891:M2891" si="2704">FALSE()</f>
        <v>0</v>
      </c>
      <c r="L2891" s="6" t="b">
        <f t="shared" si="2704"/>
        <v>0</v>
      </c>
      <c r="M2891" s="6" t="b">
        <f t="shared" si="2704"/>
        <v>0</v>
      </c>
      <c r="P2891" s="4">
        <v>0.123385092570645</v>
      </c>
      <c r="T2891" s="4" t="str">
        <f t="shared" si="3"/>
        <v/>
      </c>
      <c r="U2891" s="4">
        <f t="shared" si="4"/>
        <v>3668</v>
      </c>
    </row>
    <row r="2892" ht="15.75" customHeight="1">
      <c r="A2892" s="4" t="s">
        <v>3966</v>
      </c>
      <c r="B2892" s="4" t="s">
        <v>13</v>
      </c>
      <c r="I2892" s="4">
        <v>0.26288</v>
      </c>
      <c r="K2892" s="6" t="b">
        <f t="shared" ref="K2892:M2892" si="2705">FALSE()</f>
        <v>0</v>
      </c>
      <c r="L2892" s="6" t="b">
        <f t="shared" si="2705"/>
        <v>0</v>
      </c>
      <c r="M2892" s="6" t="b">
        <f t="shared" si="2705"/>
        <v>0</v>
      </c>
      <c r="P2892" s="4">
        <v>0.233394826977955</v>
      </c>
      <c r="T2892" s="4" t="str">
        <f t="shared" si="3"/>
        <v/>
      </c>
      <c r="U2892" s="4">
        <f t="shared" si="4"/>
        <v>1649</v>
      </c>
    </row>
    <row r="2893" ht="15.75" customHeight="1">
      <c r="A2893" s="4" t="s">
        <v>3967</v>
      </c>
      <c r="B2893" s="4" t="s">
        <v>13</v>
      </c>
      <c r="I2893" s="4">
        <v>0.2293</v>
      </c>
      <c r="K2893" s="6" t="b">
        <f t="shared" ref="K2893:M2893" si="2706">FALSE()</f>
        <v>0</v>
      </c>
      <c r="L2893" s="6" t="b">
        <f t="shared" si="2706"/>
        <v>0</v>
      </c>
      <c r="M2893" s="6" t="b">
        <f t="shared" si="2706"/>
        <v>0</v>
      </c>
      <c r="P2893" s="4">
        <v>0.206444901691158</v>
      </c>
      <c r="T2893" s="4" t="str">
        <f t="shared" si="3"/>
        <v/>
      </c>
      <c r="U2893" s="4">
        <f t="shared" si="4"/>
        <v>2120</v>
      </c>
    </row>
    <row r="2894" ht="15.75" customHeight="1">
      <c r="A2894" s="4" t="s">
        <v>3968</v>
      </c>
      <c r="B2894" s="4" t="s">
        <v>13</v>
      </c>
      <c r="I2894" s="4">
        <v>0.080623</v>
      </c>
      <c r="K2894" s="6" t="b">
        <f t="shared" ref="K2894:M2894" si="2707">FALSE()</f>
        <v>0</v>
      </c>
      <c r="L2894" s="6" t="b">
        <f t="shared" si="2707"/>
        <v>0</v>
      </c>
      <c r="M2894" s="6" t="b">
        <f t="shared" si="2707"/>
        <v>0</v>
      </c>
      <c r="P2894" s="4">
        <v>0.077537726672907</v>
      </c>
      <c r="T2894" s="4" t="str">
        <f t="shared" si="3"/>
        <v/>
      </c>
      <c r="U2894" s="4">
        <f t="shared" si="4"/>
        <v>4408</v>
      </c>
    </row>
    <row r="2895" ht="15.75" customHeight="1">
      <c r="A2895" s="4" t="s">
        <v>3969</v>
      </c>
      <c r="B2895" s="4" t="s">
        <v>13</v>
      </c>
      <c r="I2895" s="4">
        <v>0.228</v>
      </c>
      <c r="J2895" s="4">
        <v>0.114</v>
      </c>
      <c r="K2895" s="6" t="b">
        <f t="shared" ref="K2895:M2895" si="2708">FALSE()</f>
        <v>0</v>
      </c>
      <c r="L2895" s="6" t="b">
        <f t="shared" si="2708"/>
        <v>0</v>
      </c>
      <c r="M2895" s="6" t="b">
        <f t="shared" si="2708"/>
        <v>0</v>
      </c>
      <c r="P2895" s="4">
        <v>0.205386829724951</v>
      </c>
      <c r="T2895" s="4" t="str">
        <f t="shared" si="3"/>
        <v/>
      </c>
      <c r="U2895" s="4">
        <f t="shared" si="4"/>
        <v>2143</v>
      </c>
    </row>
    <row r="2896" ht="15.75" customHeight="1">
      <c r="A2896" s="4" t="s">
        <v>3970</v>
      </c>
      <c r="B2896" s="4" t="s">
        <v>13</v>
      </c>
      <c r="I2896" s="4">
        <v>0.277</v>
      </c>
      <c r="J2896" s="4">
        <v>0.139</v>
      </c>
      <c r="K2896" s="6" t="b">
        <f t="shared" ref="K2896:M2896" si="2709">FALSE()</f>
        <v>0</v>
      </c>
      <c r="L2896" s="6" t="b">
        <f t="shared" si="2709"/>
        <v>0</v>
      </c>
      <c r="M2896" s="6" t="b">
        <f t="shared" si="2709"/>
        <v>0</v>
      </c>
      <c r="P2896" s="4">
        <v>0.244513577050402</v>
      </c>
      <c r="T2896" s="4" t="str">
        <f t="shared" si="3"/>
        <v/>
      </c>
      <c r="U2896" s="4">
        <f t="shared" si="4"/>
        <v>1527</v>
      </c>
    </row>
    <row r="2897" ht="15.75" customHeight="1">
      <c r="A2897" s="4" t="s">
        <v>3971</v>
      </c>
      <c r="B2897" s="4" t="s">
        <v>13</v>
      </c>
      <c r="I2897" s="4">
        <v>0.204293</v>
      </c>
      <c r="K2897" s="6" t="b">
        <f t="shared" ref="K2897:M2897" si="2710">FALSE()</f>
        <v>0</v>
      </c>
      <c r="L2897" s="6" t="b">
        <f t="shared" si="2710"/>
        <v>0</v>
      </c>
      <c r="M2897" s="6" t="b">
        <f t="shared" si="2710"/>
        <v>0</v>
      </c>
      <c r="P2897" s="4">
        <v>0.185892672762215</v>
      </c>
      <c r="T2897" s="4" t="str">
        <f t="shared" si="3"/>
        <v/>
      </c>
      <c r="U2897" s="4">
        <f t="shared" si="4"/>
        <v>2504</v>
      </c>
    </row>
    <row r="2898" ht="15.75" customHeight="1">
      <c r="A2898" s="4" t="s">
        <v>3972</v>
      </c>
      <c r="B2898" s="4" t="s">
        <v>13</v>
      </c>
      <c r="I2898" s="4">
        <v>0.1241</v>
      </c>
      <c r="K2898" s="6" t="b">
        <f t="shared" ref="K2898:M2898" si="2711">FALSE()</f>
        <v>0</v>
      </c>
      <c r="L2898" s="6" t="b">
        <f t="shared" si="2711"/>
        <v>0</v>
      </c>
      <c r="M2898" s="6" t="b">
        <f t="shared" si="2711"/>
        <v>0</v>
      </c>
      <c r="P2898" s="4">
        <v>0.116982715485614</v>
      </c>
      <c r="T2898" s="4" t="str">
        <f t="shared" si="3"/>
        <v/>
      </c>
      <c r="U2898" s="4">
        <f t="shared" si="4"/>
        <v>3797</v>
      </c>
    </row>
    <row r="2899" ht="15.75" customHeight="1">
      <c r="A2899" s="4" t="s">
        <v>3973</v>
      </c>
      <c r="B2899" s="4" t="s">
        <v>13</v>
      </c>
      <c r="I2899" s="4">
        <v>0.2462</v>
      </c>
      <c r="K2899" s="6" t="b">
        <f t="shared" ref="K2899:M2899" si="2712">FALSE()</f>
        <v>0</v>
      </c>
      <c r="L2899" s="6" t="b">
        <f t="shared" si="2712"/>
        <v>0</v>
      </c>
      <c r="M2899" s="6" t="b">
        <f t="shared" si="2712"/>
        <v>0</v>
      </c>
      <c r="P2899" s="4">
        <v>0.220098921127985</v>
      </c>
      <c r="T2899" s="4" t="str">
        <f t="shared" si="3"/>
        <v/>
      </c>
      <c r="U2899" s="4">
        <f t="shared" si="4"/>
        <v>1856</v>
      </c>
    </row>
    <row r="2900" ht="15.75" customHeight="1">
      <c r="A2900" s="4" t="s">
        <v>3974</v>
      </c>
      <c r="B2900" s="4" t="s">
        <v>13</v>
      </c>
      <c r="I2900" s="4">
        <v>0.102285</v>
      </c>
      <c r="K2900" s="6" t="b">
        <f t="shared" ref="K2900:M2900" si="2713">FALSE()</f>
        <v>0</v>
      </c>
      <c r="L2900" s="6" t="b">
        <f t="shared" si="2713"/>
        <v>0</v>
      </c>
      <c r="M2900" s="6" t="b">
        <f t="shared" si="2713"/>
        <v>0</v>
      </c>
      <c r="P2900" s="4">
        <v>0.0973852979838121</v>
      </c>
      <c r="T2900" s="4" t="str">
        <f t="shared" si="3"/>
        <v/>
      </c>
      <c r="U2900" s="4">
        <f t="shared" si="4"/>
        <v>4185</v>
      </c>
    </row>
    <row r="2901" ht="15.75" customHeight="1">
      <c r="A2901" s="4" t="s">
        <v>3975</v>
      </c>
      <c r="B2901" s="4" t="s">
        <v>13</v>
      </c>
      <c r="I2901" s="4">
        <v>0.40637</v>
      </c>
      <c r="K2901" s="6" t="b">
        <f t="shared" ref="K2901:M2901" si="2714">FALSE()</f>
        <v>0</v>
      </c>
      <c r="L2901" s="6" t="b">
        <f t="shared" si="2714"/>
        <v>0</v>
      </c>
      <c r="M2901" s="6" t="b">
        <f t="shared" si="2714"/>
        <v>0</v>
      </c>
      <c r="P2901" s="4">
        <v>0.341011916663245</v>
      </c>
      <c r="T2901" s="4" t="str">
        <f t="shared" si="3"/>
        <v/>
      </c>
      <c r="U2901" s="4">
        <f t="shared" si="4"/>
        <v>1113</v>
      </c>
    </row>
    <row r="2902" ht="15.75" customHeight="1">
      <c r="A2902" s="4" t="s">
        <v>3976</v>
      </c>
      <c r="B2902" s="4" t="s">
        <v>13</v>
      </c>
      <c r="I2902" s="4">
        <v>0.22259</v>
      </c>
      <c r="K2902" s="6" t="b">
        <f t="shared" ref="K2902:M2902" si="2715">FALSE()</f>
        <v>0</v>
      </c>
      <c r="L2902" s="6" t="b">
        <f t="shared" si="2715"/>
        <v>0</v>
      </c>
      <c r="M2902" s="6" t="b">
        <f t="shared" si="2715"/>
        <v>0</v>
      </c>
      <c r="P2902" s="4">
        <v>0.200971559289</v>
      </c>
      <c r="T2902" s="4" t="str">
        <f t="shared" si="3"/>
        <v/>
      </c>
      <c r="U2902" s="4">
        <f t="shared" si="4"/>
        <v>2225</v>
      </c>
    </row>
    <row r="2903" ht="15.75" customHeight="1">
      <c r="A2903" s="4" t="s">
        <v>3977</v>
      </c>
      <c r="B2903" s="4" t="s">
        <v>13</v>
      </c>
      <c r="I2903" s="4">
        <v>0.20332</v>
      </c>
      <c r="K2903" s="6" t="b">
        <f t="shared" ref="K2903:M2903" si="2716">FALSE()</f>
        <v>0</v>
      </c>
      <c r="L2903" s="6" t="b">
        <f t="shared" si="2716"/>
        <v>0</v>
      </c>
      <c r="M2903" s="6" t="b">
        <f t="shared" si="2716"/>
        <v>0</v>
      </c>
      <c r="P2903" s="4">
        <v>0.185084403282883</v>
      </c>
      <c r="T2903" s="4" t="str">
        <f t="shared" si="3"/>
        <v/>
      </c>
      <c r="U2903" s="4">
        <f t="shared" si="4"/>
        <v>2520</v>
      </c>
    </row>
    <row r="2904" ht="15.75" customHeight="1">
      <c r="A2904" s="4" t="s">
        <v>3978</v>
      </c>
      <c r="B2904" s="4" t="s">
        <v>13</v>
      </c>
      <c r="I2904" s="4">
        <v>0.268795</v>
      </c>
      <c r="K2904" s="6" t="b">
        <f t="shared" ref="K2904:M2904" si="2717">FALSE()</f>
        <v>0</v>
      </c>
      <c r="L2904" s="6" t="b">
        <f t="shared" si="2717"/>
        <v>0</v>
      </c>
      <c r="M2904" s="6" t="b">
        <f t="shared" si="2717"/>
        <v>0</v>
      </c>
      <c r="P2904" s="4">
        <v>0.238067631159282</v>
      </c>
      <c r="T2904" s="4" t="str">
        <f t="shared" si="3"/>
        <v/>
      </c>
      <c r="U2904" s="4">
        <f t="shared" si="4"/>
        <v>1610</v>
      </c>
    </row>
    <row r="2905" ht="15.75" customHeight="1">
      <c r="A2905" s="4" t="s">
        <v>3979</v>
      </c>
      <c r="B2905" s="4" t="s">
        <v>13</v>
      </c>
      <c r="I2905" s="4">
        <v>0.19922</v>
      </c>
      <c r="K2905" s="6" t="b">
        <f t="shared" ref="K2905:M2905" si="2718">FALSE()</f>
        <v>0</v>
      </c>
      <c r="L2905" s="6" t="b">
        <f t="shared" si="2718"/>
        <v>0</v>
      </c>
      <c r="M2905" s="6" t="b">
        <f t="shared" si="2718"/>
        <v>0</v>
      </c>
      <c r="P2905" s="4">
        <v>0.181671345452368</v>
      </c>
      <c r="T2905" s="4" t="str">
        <f t="shared" si="3"/>
        <v/>
      </c>
      <c r="U2905" s="4">
        <f t="shared" si="4"/>
        <v>2594</v>
      </c>
    </row>
    <row r="2906" ht="15.75" customHeight="1">
      <c r="A2906" s="4" t="s">
        <v>3980</v>
      </c>
      <c r="B2906" s="4" t="s">
        <v>13</v>
      </c>
      <c r="I2906" s="4">
        <v>0.39834</v>
      </c>
      <c r="K2906" s="6" t="b">
        <f t="shared" ref="K2906:M2906" si="2719">FALSE()</f>
        <v>0</v>
      </c>
      <c r="L2906" s="6" t="b">
        <f t="shared" si="2719"/>
        <v>0</v>
      </c>
      <c r="M2906" s="6" t="b">
        <f t="shared" si="2719"/>
        <v>0</v>
      </c>
      <c r="P2906" s="4">
        <v>0.335285818820148</v>
      </c>
      <c r="T2906" s="4" t="str">
        <f t="shared" si="3"/>
        <v/>
      </c>
      <c r="U2906" s="4">
        <f t="shared" si="4"/>
        <v>1121</v>
      </c>
    </row>
    <row r="2907" ht="15.75" customHeight="1">
      <c r="A2907" s="4" t="s">
        <v>3981</v>
      </c>
      <c r="B2907" s="4" t="s">
        <v>13</v>
      </c>
      <c r="I2907" s="4">
        <v>0.128</v>
      </c>
      <c r="J2907" s="4">
        <v>0.065</v>
      </c>
      <c r="K2907" s="6" t="b">
        <f t="shared" ref="K2907:M2907" si="2720">FALSE()</f>
        <v>0</v>
      </c>
      <c r="L2907" s="6" t="b">
        <f t="shared" si="2720"/>
        <v>0</v>
      </c>
      <c r="M2907" s="6" t="b">
        <f t="shared" si="2720"/>
        <v>0</v>
      </c>
      <c r="P2907" s="4">
        <v>0.120446153075867</v>
      </c>
      <c r="T2907" s="4" t="str">
        <f t="shared" si="3"/>
        <v/>
      </c>
      <c r="U2907" s="4">
        <f t="shared" si="4"/>
        <v>3728</v>
      </c>
    </row>
    <row r="2908" ht="15.75" customHeight="1">
      <c r="A2908" s="4" t="s">
        <v>3982</v>
      </c>
      <c r="B2908" s="4" t="s">
        <v>13</v>
      </c>
      <c r="I2908" s="4">
        <v>0.232</v>
      </c>
      <c r="J2908" s="4">
        <v>0.119</v>
      </c>
      <c r="K2908" s="6" t="b">
        <f t="shared" ref="K2908:M2908" si="2721">FALSE()</f>
        <v>0</v>
      </c>
      <c r="L2908" s="6" t="b">
        <f t="shared" si="2721"/>
        <v>0</v>
      </c>
      <c r="M2908" s="6" t="b">
        <f t="shared" si="2721"/>
        <v>0</v>
      </c>
      <c r="P2908" s="4">
        <v>0.208638865111328</v>
      </c>
      <c r="T2908" s="4" t="str">
        <f t="shared" si="3"/>
        <v/>
      </c>
      <c r="U2908" s="4">
        <f t="shared" si="4"/>
        <v>2080</v>
      </c>
    </row>
    <row r="2909" ht="15.75" customHeight="1">
      <c r="A2909" s="4" t="s">
        <v>3983</v>
      </c>
      <c r="B2909" s="4" t="s">
        <v>13</v>
      </c>
      <c r="I2909" s="4">
        <v>0.224</v>
      </c>
      <c r="J2909" s="4">
        <v>0.118</v>
      </c>
      <c r="K2909" s="6" t="b">
        <f t="shared" ref="K2909:M2909" si="2722">FALSE()</f>
        <v>0</v>
      </c>
      <c r="L2909" s="6" t="b">
        <f t="shared" si="2722"/>
        <v>0</v>
      </c>
      <c r="M2909" s="6" t="b">
        <f t="shared" si="2722"/>
        <v>0</v>
      </c>
      <c r="P2909" s="4">
        <v>0.202124184090134</v>
      </c>
      <c r="T2909" s="4" t="str">
        <f t="shared" si="3"/>
        <v/>
      </c>
      <c r="U2909" s="4">
        <f t="shared" si="4"/>
        <v>2197</v>
      </c>
    </row>
    <row r="2910" ht="15.75" customHeight="1">
      <c r="A2910" s="4" t="s">
        <v>3984</v>
      </c>
      <c r="B2910" s="4" t="s">
        <v>13</v>
      </c>
      <c r="I2910" s="4">
        <v>0.129</v>
      </c>
      <c r="J2910" s="4">
        <v>0.013</v>
      </c>
      <c r="K2910" s="6" t="b">
        <f t="shared" ref="K2910:M2910" si="2723">FALSE()</f>
        <v>0</v>
      </c>
      <c r="L2910" s="6" t="b">
        <f t="shared" si="2723"/>
        <v>0</v>
      </c>
      <c r="M2910" s="6" t="b">
        <f t="shared" si="2723"/>
        <v>0</v>
      </c>
      <c r="P2910" s="4">
        <v>0.121332285167525</v>
      </c>
      <c r="T2910" s="4" t="str">
        <f t="shared" si="3"/>
        <v/>
      </c>
      <c r="U2910" s="4">
        <f t="shared" si="4"/>
        <v>3705</v>
      </c>
    </row>
    <row r="2911" ht="15.75" customHeight="1">
      <c r="A2911" s="4" t="s">
        <v>3985</v>
      </c>
      <c r="B2911" s="4" t="s">
        <v>13</v>
      </c>
      <c r="I2911" s="4">
        <v>0.25346</v>
      </c>
      <c r="K2911" s="6" t="b">
        <f t="shared" ref="K2911:M2911" si="2724">FALSE()</f>
        <v>0</v>
      </c>
      <c r="L2911" s="6" t="b">
        <f t="shared" si="2724"/>
        <v>0</v>
      </c>
      <c r="M2911" s="6" t="b">
        <f t="shared" si="2724"/>
        <v>0</v>
      </c>
      <c r="P2911" s="4">
        <v>0.225907727456876</v>
      </c>
      <c r="T2911" s="4" t="str">
        <f t="shared" si="3"/>
        <v/>
      </c>
      <c r="U2911" s="4">
        <f t="shared" si="4"/>
        <v>1763</v>
      </c>
    </row>
    <row r="2912" ht="15.75" customHeight="1">
      <c r="A2912" s="4" t="s">
        <v>3986</v>
      </c>
      <c r="B2912" s="4" t="s">
        <v>13</v>
      </c>
      <c r="I2912" s="4">
        <v>0.36177</v>
      </c>
      <c r="K2912" s="6" t="b">
        <f t="shared" ref="K2912:M2912" si="2725">FALSE()</f>
        <v>0</v>
      </c>
      <c r="L2912" s="6" t="b">
        <f t="shared" si="2725"/>
        <v>0</v>
      </c>
      <c r="M2912" s="6" t="b">
        <f t="shared" si="2725"/>
        <v>0</v>
      </c>
      <c r="P2912" s="4">
        <v>0.308785324157455</v>
      </c>
      <c r="T2912" s="4" t="str">
        <f t="shared" si="3"/>
        <v/>
      </c>
      <c r="U2912" s="4">
        <f t="shared" si="4"/>
        <v>1183</v>
      </c>
    </row>
    <row r="2913" ht="15.75" customHeight="1">
      <c r="A2913" s="4" t="s">
        <v>3987</v>
      </c>
      <c r="B2913" s="4" t="s">
        <v>13</v>
      </c>
      <c r="I2913" s="4">
        <v>0.23963</v>
      </c>
      <c r="K2913" s="6" t="b">
        <f t="shared" ref="K2913:M2913" si="2726">FALSE()</f>
        <v>0</v>
      </c>
      <c r="L2913" s="6" t="b">
        <f t="shared" si="2726"/>
        <v>0</v>
      </c>
      <c r="M2913" s="6" t="b">
        <f t="shared" si="2726"/>
        <v>0</v>
      </c>
      <c r="P2913" s="4">
        <v>0.214812947993884</v>
      </c>
      <c r="T2913" s="4" t="str">
        <f t="shared" si="3"/>
        <v/>
      </c>
      <c r="U2913" s="4">
        <f t="shared" si="4"/>
        <v>1957</v>
      </c>
    </row>
    <row r="2914" ht="15.75" customHeight="1">
      <c r="A2914" s="4" t="s">
        <v>3988</v>
      </c>
      <c r="B2914" s="4" t="s">
        <v>13</v>
      </c>
      <c r="I2914" s="4">
        <v>0.31267</v>
      </c>
      <c r="K2914" s="6" t="b">
        <f t="shared" ref="K2914:M2914" si="2727">FALSE()</f>
        <v>0</v>
      </c>
      <c r="L2914" s="6" t="b">
        <f t="shared" si="2727"/>
        <v>0</v>
      </c>
      <c r="M2914" s="6" t="b">
        <f t="shared" si="2727"/>
        <v>0</v>
      </c>
      <c r="P2914" s="4">
        <v>0.272063230905681</v>
      </c>
      <c r="T2914" s="4" t="str">
        <f t="shared" si="3"/>
        <v/>
      </c>
      <c r="U2914" s="4">
        <f t="shared" si="4"/>
        <v>1333</v>
      </c>
    </row>
    <row r="2915" ht="15.75" customHeight="1">
      <c r="A2915" s="4" t="s">
        <v>3989</v>
      </c>
      <c r="B2915" s="4" t="s">
        <v>13</v>
      </c>
      <c r="I2915" s="4">
        <v>0.28379</v>
      </c>
      <c r="K2915" s="6" t="b">
        <f t="shared" ref="K2915:M2915" si="2728">FALSE()</f>
        <v>0</v>
      </c>
      <c r="L2915" s="6" t="b">
        <f t="shared" si="2728"/>
        <v>0</v>
      </c>
      <c r="M2915" s="6" t="b">
        <f t="shared" si="2728"/>
        <v>0</v>
      </c>
      <c r="P2915" s="4">
        <v>0.249816640489911</v>
      </c>
      <c r="T2915" s="4" t="str">
        <f t="shared" si="3"/>
        <v/>
      </c>
      <c r="U2915" s="4">
        <f t="shared" si="4"/>
        <v>1482</v>
      </c>
    </row>
    <row r="2916" ht="15.75" customHeight="1">
      <c r="A2916" s="4" t="s">
        <v>3990</v>
      </c>
      <c r="B2916" s="4" t="s">
        <v>13</v>
      </c>
      <c r="I2916" s="4">
        <v>0.32537</v>
      </c>
      <c r="K2916" s="6" t="b">
        <f t="shared" ref="K2916:M2916" si="2729">FALSE()</f>
        <v>0</v>
      </c>
      <c r="L2916" s="6" t="b">
        <f t="shared" si="2729"/>
        <v>0</v>
      </c>
      <c r="M2916" s="6" t="b">
        <f t="shared" si="2729"/>
        <v>0</v>
      </c>
      <c r="P2916" s="4">
        <v>0.281691665739497</v>
      </c>
      <c r="T2916" s="4" t="str">
        <f t="shared" si="3"/>
        <v/>
      </c>
      <c r="U2916" s="4">
        <f t="shared" si="4"/>
        <v>1277</v>
      </c>
    </row>
    <row r="2917" ht="15.75" customHeight="1">
      <c r="A2917" s="4" t="s">
        <v>3991</v>
      </c>
      <c r="B2917" s="4" t="s">
        <v>13</v>
      </c>
      <c r="I2917" s="4">
        <v>0.232984</v>
      </c>
      <c r="K2917" s="6" t="b">
        <f t="shared" ref="K2917:M2917" si="2730">FALSE()</f>
        <v>0</v>
      </c>
      <c r="L2917" s="6" t="b">
        <f t="shared" si="2730"/>
        <v>0</v>
      </c>
      <c r="M2917" s="6" t="b">
        <f t="shared" si="2730"/>
        <v>0</v>
      </c>
      <c r="P2917" s="4">
        <v>0.209437247617882</v>
      </c>
      <c r="T2917" s="4" t="str">
        <f t="shared" si="3"/>
        <v/>
      </c>
      <c r="U2917" s="4">
        <f t="shared" si="4"/>
        <v>2061</v>
      </c>
    </row>
    <row r="2918" ht="15.75" customHeight="1">
      <c r="A2918" s="4" t="s">
        <v>3992</v>
      </c>
      <c r="B2918" s="4" t="s">
        <v>13</v>
      </c>
      <c r="I2918" s="4">
        <v>0.19012</v>
      </c>
      <c r="K2918" s="6" t="b">
        <f t="shared" ref="K2918:M2918" si="2731">FALSE()</f>
        <v>0</v>
      </c>
      <c r="L2918" s="6" t="b">
        <f t="shared" si="2731"/>
        <v>0</v>
      </c>
      <c r="M2918" s="6" t="b">
        <f t="shared" si="2731"/>
        <v>0</v>
      </c>
      <c r="P2918" s="4">
        <v>0.174054142375528</v>
      </c>
      <c r="T2918" s="4" t="str">
        <f t="shared" si="3"/>
        <v/>
      </c>
      <c r="U2918" s="4">
        <f t="shared" si="4"/>
        <v>2731</v>
      </c>
    </row>
    <row r="2919" ht="15.75" customHeight="1">
      <c r="A2919" s="4" t="s">
        <v>3993</v>
      </c>
      <c r="B2919" s="4" t="s">
        <v>13</v>
      </c>
      <c r="I2919" s="4">
        <v>0.269125</v>
      </c>
      <c r="K2919" s="6" t="b">
        <f t="shared" ref="K2919:M2919" si="2732">FALSE()</f>
        <v>0</v>
      </c>
      <c r="L2919" s="6" t="b">
        <f t="shared" si="2732"/>
        <v>0</v>
      </c>
      <c r="M2919" s="6" t="b">
        <f t="shared" si="2732"/>
        <v>0</v>
      </c>
      <c r="P2919" s="4">
        <v>0.23832768663925</v>
      </c>
      <c r="T2919" s="4" t="str">
        <f t="shared" si="3"/>
        <v/>
      </c>
      <c r="U2919" s="4">
        <f t="shared" si="4"/>
        <v>1597</v>
      </c>
    </row>
    <row r="2920" ht="15.75" customHeight="1">
      <c r="A2920" s="4" t="s">
        <v>3994</v>
      </c>
      <c r="B2920" s="4" t="s">
        <v>13</v>
      </c>
      <c r="I2920" s="4">
        <v>0.270579</v>
      </c>
      <c r="K2920" s="6" t="b">
        <f t="shared" ref="K2920:M2920" si="2733">FALSE()</f>
        <v>0</v>
      </c>
      <c r="L2920" s="6" t="b">
        <f t="shared" si="2733"/>
        <v>0</v>
      </c>
      <c r="M2920" s="6" t="b">
        <f t="shared" si="2733"/>
        <v>0</v>
      </c>
      <c r="P2920" s="4">
        <v>0.239472702088969</v>
      </c>
      <c r="T2920" s="4" t="str">
        <f t="shared" si="3"/>
        <v/>
      </c>
      <c r="U2920" s="4">
        <f t="shared" si="4"/>
        <v>1582</v>
      </c>
    </row>
    <row r="2921" ht="15.75" customHeight="1">
      <c r="A2921" s="4" t="s">
        <v>805</v>
      </c>
      <c r="B2921" s="4" t="s">
        <v>13</v>
      </c>
      <c r="C2921" s="4">
        <v>0.01837</v>
      </c>
      <c r="D2921" s="4">
        <v>0.00258</v>
      </c>
      <c r="E2921" s="4">
        <v>0.00271</v>
      </c>
      <c r="I2921" s="4">
        <v>0.312</v>
      </c>
      <c r="J2921" s="4">
        <v>0.013</v>
      </c>
      <c r="K2921" s="6" t="b">
        <f t="shared" ref="K2921:M2921" si="2734">FALSE()</f>
        <v>0</v>
      </c>
      <c r="L2921" s="6" t="b">
        <f t="shared" si="2734"/>
        <v>0</v>
      </c>
      <c r="M2921" s="6" t="b">
        <f t="shared" si="2734"/>
        <v>0</v>
      </c>
      <c r="N2921" s="4">
        <v>0.0182033098538736</v>
      </c>
      <c r="P2921" s="4">
        <v>0.271552690521897</v>
      </c>
      <c r="T2921" s="4">
        <f t="shared" si="3"/>
        <v>1764</v>
      </c>
      <c r="U2921" s="4">
        <f t="shared" si="4"/>
        <v>1334</v>
      </c>
    </row>
    <row r="2922" ht="15.75" customHeight="1">
      <c r="A2922" s="4" t="s">
        <v>806</v>
      </c>
      <c r="B2922" s="4" t="s">
        <v>13</v>
      </c>
      <c r="C2922" s="4">
        <v>0.04625</v>
      </c>
      <c r="D2922" s="4">
        <v>0.00787</v>
      </c>
      <c r="E2922" s="4">
        <v>0.0085</v>
      </c>
      <c r="I2922" s="4">
        <v>0.779</v>
      </c>
      <c r="J2922" s="4">
        <v>0.03</v>
      </c>
      <c r="K2922" s="6" t="b">
        <f t="shared" ref="K2922:L2922" si="2735">FALSE()</f>
        <v>0</v>
      </c>
      <c r="L2922" s="6" t="b">
        <f t="shared" si="2735"/>
        <v>0</v>
      </c>
      <c r="M2922" s="6" t="b">
        <f>TRUE()</f>
        <v>1</v>
      </c>
      <c r="N2922" s="4">
        <v>0.045212342821548</v>
      </c>
      <c r="P2922" s="4">
        <v>0.576051408683698</v>
      </c>
      <c r="T2922" s="4">
        <f t="shared" si="3"/>
        <v>1423</v>
      </c>
      <c r="U2922" s="4">
        <f t="shared" si="4"/>
        <v>851</v>
      </c>
    </row>
    <row r="2923" ht="15.75" customHeight="1">
      <c r="A2923" s="4" t="s">
        <v>3995</v>
      </c>
      <c r="B2923" s="4" t="s">
        <v>13</v>
      </c>
      <c r="I2923" s="4">
        <v>0.32171</v>
      </c>
      <c r="J2923" s="4">
        <v>0.00187</v>
      </c>
      <c r="K2923" s="6" t="b">
        <f t="shared" ref="K2923:M2923" si="2736">FALSE()</f>
        <v>0</v>
      </c>
      <c r="L2923" s="6" t="b">
        <f t="shared" si="2736"/>
        <v>0</v>
      </c>
      <c r="M2923" s="6" t="b">
        <f t="shared" si="2736"/>
        <v>0</v>
      </c>
      <c r="P2923" s="4">
        <v>0.278926352766469</v>
      </c>
      <c r="T2923" s="4" t="str">
        <f t="shared" si="3"/>
        <v/>
      </c>
      <c r="U2923" s="4">
        <f t="shared" si="4"/>
        <v>1293</v>
      </c>
    </row>
    <row r="2924" ht="15.75" customHeight="1">
      <c r="A2924" s="4" t="s">
        <v>3996</v>
      </c>
      <c r="B2924" s="4" t="s">
        <v>13</v>
      </c>
      <c r="I2924" s="4">
        <v>0.2123</v>
      </c>
      <c r="K2924" s="6" t="b">
        <f t="shared" ref="K2924:M2924" si="2737">FALSE()</f>
        <v>0</v>
      </c>
      <c r="L2924" s="6" t="b">
        <f t="shared" si="2737"/>
        <v>0</v>
      </c>
      <c r="M2924" s="6" t="b">
        <f t="shared" si="2737"/>
        <v>0</v>
      </c>
      <c r="P2924" s="4">
        <v>0.192519381770401</v>
      </c>
      <c r="T2924" s="4" t="str">
        <f t="shared" si="3"/>
        <v/>
      </c>
      <c r="U2924" s="4">
        <f t="shared" si="4"/>
        <v>2372</v>
      </c>
    </row>
    <row r="2925" ht="15.75" customHeight="1">
      <c r="A2925" s="4" t="s">
        <v>3997</v>
      </c>
      <c r="B2925" s="4" t="s">
        <v>13</v>
      </c>
      <c r="I2925" s="4">
        <v>0.19886</v>
      </c>
      <c r="K2925" s="6" t="b">
        <f t="shared" ref="K2925:M2925" si="2738">FALSE()</f>
        <v>0</v>
      </c>
      <c r="L2925" s="6" t="b">
        <f t="shared" si="2738"/>
        <v>0</v>
      </c>
      <c r="M2925" s="6" t="b">
        <f t="shared" si="2738"/>
        <v>0</v>
      </c>
      <c r="P2925" s="4">
        <v>0.181371105257959</v>
      </c>
      <c r="T2925" s="4" t="str">
        <f t="shared" si="3"/>
        <v/>
      </c>
      <c r="U2925" s="4">
        <f t="shared" si="4"/>
        <v>2607</v>
      </c>
    </row>
    <row r="2926" ht="15.75" customHeight="1">
      <c r="A2926" s="4" t="s">
        <v>3998</v>
      </c>
      <c r="B2926" s="4" t="s">
        <v>13</v>
      </c>
      <c r="I2926" s="4">
        <v>0.11771</v>
      </c>
      <c r="K2926" s="6" t="b">
        <f t="shared" ref="K2926:M2926" si="2739">FALSE()</f>
        <v>0</v>
      </c>
      <c r="L2926" s="6" t="b">
        <f t="shared" si="2739"/>
        <v>0</v>
      </c>
      <c r="M2926" s="6" t="b">
        <f t="shared" si="2739"/>
        <v>0</v>
      </c>
      <c r="P2926" s="4">
        <v>0.111281949314024</v>
      </c>
      <c r="T2926" s="4" t="str">
        <f t="shared" si="3"/>
        <v/>
      </c>
      <c r="U2926" s="4">
        <f t="shared" si="4"/>
        <v>3924</v>
      </c>
    </row>
    <row r="2927" ht="15.75" customHeight="1">
      <c r="A2927" s="4" t="s">
        <v>3999</v>
      </c>
      <c r="B2927" s="4" t="s">
        <v>13</v>
      </c>
      <c r="I2927" s="4">
        <v>0.249739</v>
      </c>
      <c r="K2927" s="6" t="b">
        <f t="shared" ref="K2927:M2927" si="2740">FALSE()</f>
        <v>0</v>
      </c>
      <c r="L2927" s="6" t="b">
        <f t="shared" si="2740"/>
        <v>0</v>
      </c>
      <c r="M2927" s="6" t="b">
        <f t="shared" si="2740"/>
        <v>0</v>
      </c>
      <c r="P2927" s="4">
        <v>0.222934729512455</v>
      </c>
      <c r="T2927" s="4" t="str">
        <f t="shared" si="3"/>
        <v/>
      </c>
      <c r="U2927" s="4">
        <f t="shared" si="4"/>
        <v>1815</v>
      </c>
    </row>
    <row r="2928" ht="15.75" customHeight="1">
      <c r="A2928" s="4" t="s">
        <v>4000</v>
      </c>
      <c r="B2928" s="4" t="s">
        <v>13</v>
      </c>
      <c r="I2928" s="4">
        <v>0.24124</v>
      </c>
      <c r="K2928" s="6" t="b">
        <f t="shared" ref="K2928:M2928" si="2741">FALSE()</f>
        <v>0</v>
      </c>
      <c r="L2928" s="6" t="b">
        <f t="shared" si="2741"/>
        <v>0</v>
      </c>
      <c r="M2928" s="6" t="b">
        <f t="shared" si="2741"/>
        <v>0</v>
      </c>
      <c r="P2928" s="4">
        <v>0.216110879950029</v>
      </c>
      <c r="T2928" s="4" t="str">
        <f t="shared" si="3"/>
        <v/>
      </c>
      <c r="U2928" s="4">
        <f t="shared" si="4"/>
        <v>1925</v>
      </c>
    </row>
    <row r="2929" ht="15.75" customHeight="1">
      <c r="A2929" s="4" t="s">
        <v>4001</v>
      </c>
      <c r="B2929" s="4" t="s">
        <v>13</v>
      </c>
      <c r="I2929" s="4">
        <v>0.28219</v>
      </c>
      <c r="K2929" s="6" t="b">
        <f t="shared" ref="K2929:M2929" si="2742">FALSE()</f>
        <v>0</v>
      </c>
      <c r="L2929" s="6" t="b">
        <f t="shared" si="2742"/>
        <v>0</v>
      </c>
      <c r="M2929" s="6" t="b">
        <f t="shared" si="2742"/>
        <v>0</v>
      </c>
      <c r="P2929" s="4">
        <v>0.248569553445302</v>
      </c>
      <c r="T2929" s="4" t="str">
        <f t="shared" si="3"/>
        <v/>
      </c>
      <c r="U2929" s="4">
        <f t="shared" si="4"/>
        <v>1493</v>
      </c>
    </row>
    <row r="2930" ht="15.75" customHeight="1">
      <c r="A2930" s="4" t="s">
        <v>4002</v>
      </c>
      <c r="B2930" s="4" t="s">
        <v>13</v>
      </c>
      <c r="I2930" s="4">
        <v>0.20688</v>
      </c>
      <c r="K2930" s="6" t="b">
        <f t="shared" ref="K2930:M2930" si="2743">FALSE()</f>
        <v>0</v>
      </c>
      <c r="L2930" s="6" t="b">
        <f t="shared" si="2743"/>
        <v>0</v>
      </c>
      <c r="M2930" s="6" t="b">
        <f t="shared" si="2743"/>
        <v>0</v>
      </c>
      <c r="P2930" s="4">
        <v>0.188038517123184</v>
      </c>
      <c r="T2930" s="4" t="str">
        <f t="shared" si="3"/>
        <v/>
      </c>
      <c r="U2930" s="4">
        <f t="shared" si="4"/>
        <v>2473</v>
      </c>
    </row>
    <row r="2931" ht="15.75" customHeight="1">
      <c r="A2931" s="4" t="s">
        <v>4003</v>
      </c>
      <c r="B2931" s="4" t="s">
        <v>13</v>
      </c>
      <c r="I2931" s="4">
        <v>0.212197</v>
      </c>
      <c r="K2931" s="6" t="b">
        <f t="shared" ref="K2931:M2931" si="2744">FALSE()</f>
        <v>0</v>
      </c>
      <c r="L2931" s="6" t="b">
        <f t="shared" si="2744"/>
        <v>0</v>
      </c>
      <c r="M2931" s="6" t="b">
        <f t="shared" si="2744"/>
        <v>0</v>
      </c>
      <c r="P2931" s="4">
        <v>0.19243441569285</v>
      </c>
      <c r="T2931" s="4" t="str">
        <f t="shared" si="3"/>
        <v/>
      </c>
      <c r="U2931" s="4">
        <f t="shared" si="4"/>
        <v>2373</v>
      </c>
    </row>
    <row r="2932" ht="15.75" customHeight="1">
      <c r="A2932" s="4" t="s">
        <v>4004</v>
      </c>
      <c r="B2932" s="4" t="s">
        <v>13</v>
      </c>
      <c r="I2932" s="4">
        <v>0.252594</v>
      </c>
      <c r="K2932" s="6" t="b">
        <f t="shared" ref="K2932:M2932" si="2745">FALSE()</f>
        <v>0</v>
      </c>
      <c r="L2932" s="6" t="b">
        <f t="shared" si="2745"/>
        <v>0</v>
      </c>
      <c r="M2932" s="6" t="b">
        <f t="shared" si="2745"/>
        <v>0</v>
      </c>
      <c r="P2932" s="4">
        <v>0.22521660106098</v>
      </c>
      <c r="T2932" s="4" t="str">
        <f t="shared" si="3"/>
        <v/>
      </c>
      <c r="U2932" s="4">
        <f t="shared" si="4"/>
        <v>1774</v>
      </c>
    </row>
    <row r="2933" ht="15.75" customHeight="1">
      <c r="A2933" s="4" t="s">
        <v>4005</v>
      </c>
      <c r="B2933" s="4" t="s">
        <v>13</v>
      </c>
      <c r="I2933" s="4">
        <v>0.259</v>
      </c>
      <c r="J2933" s="4">
        <v>0.112</v>
      </c>
      <c r="K2933" s="6" t="b">
        <f t="shared" ref="K2933:M2933" si="2746">FALSE()</f>
        <v>0</v>
      </c>
      <c r="L2933" s="6" t="b">
        <f t="shared" si="2746"/>
        <v>0</v>
      </c>
      <c r="M2933" s="6" t="b">
        <f t="shared" si="2746"/>
        <v>0</v>
      </c>
      <c r="P2933" s="4">
        <v>0.23031775506221</v>
      </c>
      <c r="T2933" s="4" t="str">
        <f t="shared" si="3"/>
        <v/>
      </c>
      <c r="U2933" s="4">
        <f t="shared" si="4"/>
        <v>1697</v>
      </c>
    </row>
    <row r="2934" ht="15.75" customHeight="1">
      <c r="A2934" s="4" t="s">
        <v>4006</v>
      </c>
      <c r="B2934" s="4" t="s">
        <v>13</v>
      </c>
      <c r="I2934" s="4">
        <v>0.257</v>
      </c>
      <c r="J2934" s="4">
        <v>0.11</v>
      </c>
      <c r="K2934" s="6" t="b">
        <f t="shared" ref="K2934:M2934" si="2747">FALSE()</f>
        <v>0</v>
      </c>
      <c r="L2934" s="6" t="b">
        <f t="shared" si="2747"/>
        <v>0</v>
      </c>
      <c r="M2934" s="6" t="b">
        <f t="shared" si="2747"/>
        <v>0</v>
      </c>
      <c r="P2934" s="4">
        <v>0.22872792960811</v>
      </c>
      <c r="T2934" s="4" t="str">
        <f t="shared" si="3"/>
        <v/>
      </c>
      <c r="U2934" s="4">
        <f t="shared" si="4"/>
        <v>1714</v>
      </c>
    </row>
    <row r="2935" ht="15.75" customHeight="1">
      <c r="A2935" s="4" t="s">
        <v>4007</v>
      </c>
      <c r="B2935" s="4" t="s">
        <v>13</v>
      </c>
      <c r="I2935" s="4">
        <v>0.352</v>
      </c>
      <c r="J2935" s="4">
        <v>0.152</v>
      </c>
      <c r="K2935" s="6" t="b">
        <f t="shared" ref="K2935:M2935" si="2748">FALSE()</f>
        <v>0</v>
      </c>
      <c r="L2935" s="6" t="b">
        <f t="shared" si="2748"/>
        <v>0</v>
      </c>
      <c r="M2935" s="6" t="b">
        <f t="shared" si="2748"/>
        <v>0</v>
      </c>
      <c r="P2935" s="4">
        <v>0.301584977620772</v>
      </c>
      <c r="T2935" s="4" t="str">
        <f t="shared" si="3"/>
        <v/>
      </c>
      <c r="U2935" s="4">
        <f t="shared" si="4"/>
        <v>1201</v>
      </c>
    </row>
    <row r="2936" ht="15.75" customHeight="1">
      <c r="A2936" s="4" t="s">
        <v>4008</v>
      </c>
      <c r="B2936" s="4" t="s">
        <v>13</v>
      </c>
      <c r="I2936" s="4">
        <v>0.2801</v>
      </c>
      <c r="K2936" s="6" t="b">
        <f t="shared" ref="K2936:M2936" si="2749">FALSE()</f>
        <v>0</v>
      </c>
      <c r="L2936" s="6" t="b">
        <f t="shared" si="2749"/>
        <v>0</v>
      </c>
      <c r="M2936" s="6" t="b">
        <f t="shared" si="2749"/>
        <v>0</v>
      </c>
      <c r="P2936" s="4">
        <v>0.246938199879927</v>
      </c>
      <c r="T2936" s="4" t="str">
        <f t="shared" si="3"/>
        <v/>
      </c>
      <c r="U2936" s="4">
        <f t="shared" si="4"/>
        <v>1504</v>
      </c>
    </row>
    <row r="2937" ht="15.75" customHeight="1">
      <c r="A2937" s="4" t="s">
        <v>4009</v>
      </c>
      <c r="B2937" s="4" t="s">
        <v>13</v>
      </c>
      <c r="I2937" s="4">
        <v>0.27844</v>
      </c>
      <c r="K2937" s="6" t="b">
        <f t="shared" ref="K2937:M2937" si="2750">FALSE()</f>
        <v>0</v>
      </c>
      <c r="L2937" s="6" t="b">
        <f t="shared" si="2750"/>
        <v>0</v>
      </c>
      <c r="M2937" s="6" t="b">
        <f t="shared" si="2750"/>
        <v>0</v>
      </c>
      <c r="P2937" s="4">
        <v>0.245640584651768</v>
      </c>
      <c r="T2937" s="4" t="str">
        <f t="shared" si="3"/>
        <v/>
      </c>
      <c r="U2937" s="4">
        <f t="shared" si="4"/>
        <v>1515</v>
      </c>
    </row>
    <row r="2938" ht="15.75" customHeight="1">
      <c r="A2938" s="4" t="s">
        <v>4010</v>
      </c>
      <c r="B2938" s="4" t="s">
        <v>13</v>
      </c>
      <c r="I2938" s="4">
        <v>0.2248</v>
      </c>
      <c r="K2938" s="6" t="b">
        <f t="shared" ref="K2938:M2938" si="2751">FALSE()</f>
        <v>0</v>
      </c>
      <c r="L2938" s="6" t="b">
        <f t="shared" si="2751"/>
        <v>0</v>
      </c>
      <c r="M2938" s="6" t="b">
        <f t="shared" si="2751"/>
        <v>0</v>
      </c>
      <c r="P2938" s="4">
        <v>0.202777565361337</v>
      </c>
      <c r="T2938" s="4" t="str">
        <f t="shared" si="3"/>
        <v/>
      </c>
      <c r="U2938" s="4">
        <f t="shared" si="4"/>
        <v>2191</v>
      </c>
    </row>
    <row r="2939" ht="15.75" customHeight="1">
      <c r="A2939" s="4" t="s">
        <v>4011</v>
      </c>
      <c r="B2939" s="4" t="s">
        <v>13</v>
      </c>
      <c r="I2939" s="4">
        <v>0.3381</v>
      </c>
      <c r="K2939" s="6" t="b">
        <f t="shared" ref="K2939:M2939" si="2752">FALSE()</f>
        <v>0</v>
      </c>
      <c r="L2939" s="6" t="b">
        <f t="shared" si="2752"/>
        <v>0</v>
      </c>
      <c r="M2939" s="6" t="b">
        <f t="shared" si="2752"/>
        <v>0</v>
      </c>
      <c r="P2939" s="4">
        <v>0.291250697328806</v>
      </c>
      <c r="T2939" s="4" t="str">
        <f t="shared" si="3"/>
        <v/>
      </c>
      <c r="U2939" s="4">
        <f t="shared" si="4"/>
        <v>1239</v>
      </c>
    </row>
    <row r="2940" ht="15.75" customHeight="1">
      <c r="A2940" s="4" t="s">
        <v>4012</v>
      </c>
      <c r="B2940" s="4" t="s">
        <v>13</v>
      </c>
      <c r="I2940" s="4">
        <v>0.160069</v>
      </c>
      <c r="K2940" s="6" t="b">
        <f t="shared" ref="K2940:M2940" si="2753">FALSE()</f>
        <v>0</v>
      </c>
      <c r="L2940" s="6" t="b">
        <f t="shared" si="2753"/>
        <v>0</v>
      </c>
      <c r="M2940" s="6" t="b">
        <f t="shared" si="2753"/>
        <v>0</v>
      </c>
      <c r="P2940" s="4">
        <v>0.148479486107865</v>
      </c>
      <c r="T2940" s="4" t="str">
        <f t="shared" si="3"/>
        <v/>
      </c>
      <c r="U2940" s="4">
        <f t="shared" si="4"/>
        <v>3174</v>
      </c>
    </row>
    <row r="2941" ht="15.75" customHeight="1">
      <c r="A2941" s="4" t="s">
        <v>4013</v>
      </c>
      <c r="B2941" s="4" t="s">
        <v>13</v>
      </c>
      <c r="I2941" s="4">
        <v>0.14836</v>
      </c>
      <c r="K2941" s="6" t="b">
        <f t="shared" ref="K2941:M2941" si="2754">FALSE()</f>
        <v>0</v>
      </c>
      <c r="L2941" s="6" t="b">
        <f t="shared" si="2754"/>
        <v>0</v>
      </c>
      <c r="M2941" s="6" t="b">
        <f t="shared" si="2754"/>
        <v>0</v>
      </c>
      <c r="P2941" s="4">
        <v>0.138334837588842</v>
      </c>
      <c r="T2941" s="4" t="str">
        <f t="shared" si="3"/>
        <v/>
      </c>
      <c r="U2941" s="4">
        <f t="shared" si="4"/>
        <v>3353</v>
      </c>
    </row>
    <row r="2942" ht="15.75" customHeight="1">
      <c r="A2942" s="4" t="s">
        <v>4014</v>
      </c>
      <c r="B2942" s="4" t="s">
        <v>13</v>
      </c>
      <c r="I2942" s="4">
        <v>0.2453</v>
      </c>
      <c r="K2942" s="6" t="b">
        <f t="shared" ref="K2942:M2942" si="2755">FALSE()</f>
        <v>0</v>
      </c>
      <c r="L2942" s="6" t="b">
        <f t="shared" si="2755"/>
        <v>0</v>
      </c>
      <c r="M2942" s="6" t="b">
        <f t="shared" si="2755"/>
        <v>0</v>
      </c>
      <c r="P2942" s="4">
        <v>0.219376464744966</v>
      </c>
      <c r="T2942" s="4" t="str">
        <f t="shared" si="3"/>
        <v/>
      </c>
      <c r="U2942" s="4">
        <f t="shared" si="4"/>
        <v>1867</v>
      </c>
    </row>
    <row r="2943" ht="15.75" customHeight="1">
      <c r="A2943" s="4" t="s">
        <v>4015</v>
      </c>
      <c r="B2943" s="4" t="s">
        <v>13</v>
      </c>
      <c r="I2943" s="4">
        <v>0.272792</v>
      </c>
      <c r="K2943" s="6" t="b">
        <f t="shared" ref="K2943:M2943" si="2756">FALSE()</f>
        <v>0</v>
      </c>
      <c r="L2943" s="6" t="b">
        <f t="shared" si="2756"/>
        <v>0</v>
      </c>
      <c r="M2943" s="6" t="b">
        <f t="shared" si="2756"/>
        <v>0</v>
      </c>
      <c r="P2943" s="4">
        <v>0.241212912666565</v>
      </c>
      <c r="T2943" s="4" t="str">
        <f t="shared" si="3"/>
        <v/>
      </c>
      <c r="U2943" s="4">
        <f t="shared" si="4"/>
        <v>1566</v>
      </c>
    </row>
    <row r="2944" ht="15.75" customHeight="1">
      <c r="A2944" s="4" t="s">
        <v>4016</v>
      </c>
      <c r="B2944" s="4" t="s">
        <v>13</v>
      </c>
      <c r="I2944" s="4">
        <v>0.206006</v>
      </c>
      <c r="J2944" s="4">
        <v>0.00143</v>
      </c>
      <c r="K2944" s="6" t="b">
        <f t="shared" ref="K2944:M2944" si="2757">FALSE()</f>
        <v>0</v>
      </c>
      <c r="L2944" s="6" t="b">
        <f t="shared" si="2757"/>
        <v>0</v>
      </c>
      <c r="M2944" s="6" t="b">
        <f t="shared" si="2757"/>
        <v>0</v>
      </c>
      <c r="P2944" s="4">
        <v>0.187314073416996</v>
      </c>
      <c r="T2944" s="4" t="str">
        <f t="shared" si="3"/>
        <v/>
      </c>
      <c r="U2944" s="4">
        <f t="shared" si="4"/>
        <v>2477</v>
      </c>
    </row>
    <row r="2945" ht="15.75" customHeight="1">
      <c r="A2945" s="4" t="s">
        <v>4017</v>
      </c>
      <c r="B2945" s="4" t="s">
        <v>13</v>
      </c>
      <c r="I2945" s="4">
        <v>0.36828</v>
      </c>
      <c r="K2945" s="6" t="b">
        <f t="shared" ref="K2945:M2945" si="2758">FALSE()</f>
        <v>0</v>
      </c>
      <c r="L2945" s="6" t="b">
        <f t="shared" si="2758"/>
        <v>0</v>
      </c>
      <c r="M2945" s="6" t="b">
        <f t="shared" si="2758"/>
        <v>0</v>
      </c>
      <c r="P2945" s="4">
        <v>0.313554476619174</v>
      </c>
      <c r="T2945" s="4" t="str">
        <f t="shared" si="3"/>
        <v/>
      </c>
      <c r="U2945" s="4">
        <f t="shared" si="4"/>
        <v>1166</v>
      </c>
    </row>
    <row r="2946" ht="15.75" customHeight="1">
      <c r="A2946" s="4" t="s">
        <v>4018</v>
      </c>
      <c r="B2946" s="4" t="s">
        <v>13</v>
      </c>
      <c r="I2946" s="4">
        <v>0.146</v>
      </c>
      <c r="J2946" s="4">
        <v>0.061</v>
      </c>
      <c r="K2946" s="6" t="b">
        <f t="shared" ref="K2946:M2946" si="2759">FALSE()</f>
        <v>0</v>
      </c>
      <c r="L2946" s="6" t="b">
        <f t="shared" si="2759"/>
        <v>0</v>
      </c>
      <c r="M2946" s="6" t="b">
        <f t="shared" si="2759"/>
        <v>0</v>
      </c>
      <c r="P2946" s="4">
        <v>0.136277618292548</v>
      </c>
      <c r="T2946" s="4" t="str">
        <f t="shared" si="3"/>
        <v/>
      </c>
      <c r="U2946" s="4">
        <f t="shared" si="4"/>
        <v>3394</v>
      </c>
    </row>
    <row r="2947" ht="15.75" customHeight="1">
      <c r="A2947" s="4" t="s">
        <v>4019</v>
      </c>
      <c r="B2947" s="4" t="s">
        <v>13</v>
      </c>
      <c r="I2947" s="4">
        <v>0.178</v>
      </c>
      <c r="J2947" s="4">
        <v>0.072</v>
      </c>
      <c r="K2947" s="6" t="b">
        <f t="shared" ref="K2947:M2947" si="2760">FALSE()</f>
        <v>0</v>
      </c>
      <c r="L2947" s="6" t="b">
        <f t="shared" si="2760"/>
        <v>0</v>
      </c>
      <c r="M2947" s="6" t="b">
        <f t="shared" si="2760"/>
        <v>0</v>
      </c>
      <c r="P2947" s="4">
        <v>0.163818085229395</v>
      </c>
      <c r="T2947" s="4" t="str">
        <f t="shared" si="3"/>
        <v/>
      </c>
      <c r="U2947" s="4">
        <f t="shared" si="4"/>
        <v>2920</v>
      </c>
    </row>
    <row r="2948" ht="15.75" customHeight="1">
      <c r="A2948" s="4" t="s">
        <v>807</v>
      </c>
      <c r="B2948" s="4" t="s">
        <v>13</v>
      </c>
      <c r="C2948" s="4">
        <v>2.45</v>
      </c>
      <c r="D2948" s="4">
        <v>0.014</v>
      </c>
      <c r="E2948" s="4">
        <v>0.014</v>
      </c>
      <c r="I2948" s="4">
        <v>1.31</v>
      </c>
      <c r="J2948" s="4">
        <v>0.02</v>
      </c>
      <c r="K2948" s="6" t="b">
        <f t="shared" ref="K2948:L2948" si="2761">FALSE()</f>
        <v>0</v>
      </c>
      <c r="L2948" s="6" t="b">
        <f t="shared" si="2761"/>
        <v>0</v>
      </c>
      <c r="M2948" s="6" t="b">
        <f>TRUE()</f>
        <v>1</v>
      </c>
      <c r="N2948" s="4">
        <v>1.23837423104327</v>
      </c>
      <c r="P2948" s="4">
        <v>0.837247524533702</v>
      </c>
      <c r="T2948" s="4">
        <f t="shared" si="3"/>
        <v>374</v>
      </c>
      <c r="U2948" s="4">
        <f t="shared" si="4"/>
        <v>241</v>
      </c>
    </row>
    <row r="2949" ht="15.75" customHeight="1">
      <c r="A2949" s="4" t="s">
        <v>4020</v>
      </c>
      <c r="B2949" s="4" t="s">
        <v>13</v>
      </c>
      <c r="I2949" s="4">
        <v>0.0889284</v>
      </c>
      <c r="K2949" s="6" t="b">
        <f t="shared" ref="K2949:M2949" si="2762">FALSE()</f>
        <v>0</v>
      </c>
      <c r="L2949" s="6" t="b">
        <f t="shared" si="2762"/>
        <v>0</v>
      </c>
      <c r="M2949" s="6" t="b">
        <f t="shared" si="2762"/>
        <v>0</v>
      </c>
      <c r="P2949" s="4">
        <v>0.0851940933962819</v>
      </c>
      <c r="T2949" s="4" t="str">
        <f t="shared" si="3"/>
        <v/>
      </c>
      <c r="U2949" s="4">
        <f t="shared" si="4"/>
        <v>4343</v>
      </c>
    </row>
    <row r="2950" ht="15.75" customHeight="1">
      <c r="A2950" s="4" t="s">
        <v>4021</v>
      </c>
      <c r="B2950" s="4" t="s">
        <v>13</v>
      </c>
      <c r="I2950" s="4">
        <v>0.241701</v>
      </c>
      <c r="K2950" s="6" t="b">
        <f t="shared" ref="K2950:M2950" si="2763">FALSE()</f>
        <v>0</v>
      </c>
      <c r="L2950" s="6" t="b">
        <f t="shared" si="2763"/>
        <v>0</v>
      </c>
      <c r="M2950" s="6" t="b">
        <f t="shared" si="2763"/>
        <v>0</v>
      </c>
      <c r="P2950" s="4">
        <v>0.216482213787843</v>
      </c>
      <c r="T2950" s="4" t="str">
        <f t="shared" si="3"/>
        <v/>
      </c>
      <c r="U2950" s="4">
        <f t="shared" si="4"/>
        <v>1922</v>
      </c>
    </row>
    <row r="2951" ht="15.75" customHeight="1">
      <c r="A2951" s="4" t="s">
        <v>4022</v>
      </c>
      <c r="B2951" s="4" t="s">
        <v>13</v>
      </c>
      <c r="I2951" s="4">
        <v>0.36212</v>
      </c>
      <c r="K2951" s="6" t="b">
        <f t="shared" ref="K2951:M2951" si="2764">FALSE()</f>
        <v>0</v>
      </c>
      <c r="L2951" s="6" t="b">
        <f t="shared" si="2764"/>
        <v>0</v>
      </c>
      <c r="M2951" s="6" t="b">
        <f t="shared" si="2764"/>
        <v>0</v>
      </c>
      <c r="P2951" s="4">
        <v>0.309042309573111</v>
      </c>
      <c r="T2951" s="4" t="str">
        <f t="shared" si="3"/>
        <v/>
      </c>
      <c r="U2951" s="4">
        <f t="shared" si="4"/>
        <v>1180</v>
      </c>
    </row>
    <row r="2952" ht="15.75" customHeight="1">
      <c r="A2952" s="4" t="s">
        <v>4023</v>
      </c>
      <c r="B2952" s="4" t="s">
        <v>13</v>
      </c>
      <c r="I2952" s="4">
        <v>0.111</v>
      </c>
      <c r="J2952" s="4">
        <v>0.0098</v>
      </c>
      <c r="K2952" s="6" t="b">
        <f t="shared" ref="K2952:M2952" si="2765">FALSE()</f>
        <v>0</v>
      </c>
      <c r="L2952" s="6" t="b">
        <f t="shared" si="2765"/>
        <v>0</v>
      </c>
      <c r="M2952" s="6" t="b">
        <f t="shared" si="2765"/>
        <v>0</v>
      </c>
      <c r="P2952" s="4">
        <v>0.105260510657493</v>
      </c>
      <c r="T2952" s="4" t="str">
        <f t="shared" si="3"/>
        <v/>
      </c>
      <c r="U2952" s="4">
        <f t="shared" si="4"/>
        <v>4027</v>
      </c>
    </row>
    <row r="2953" ht="15.75" customHeight="1">
      <c r="A2953" s="4" t="s">
        <v>4024</v>
      </c>
      <c r="B2953" s="4" t="s">
        <v>13</v>
      </c>
      <c r="I2953" s="4">
        <v>0.168</v>
      </c>
      <c r="J2953" s="4">
        <v>0.015</v>
      </c>
      <c r="K2953" s="6" t="b">
        <f t="shared" ref="K2953:M2953" si="2766">FALSE()</f>
        <v>0</v>
      </c>
      <c r="L2953" s="6" t="b">
        <f t="shared" si="2766"/>
        <v>0</v>
      </c>
      <c r="M2953" s="6" t="b">
        <f t="shared" si="2766"/>
        <v>0</v>
      </c>
      <c r="P2953" s="4">
        <v>0.155292884406035</v>
      </c>
      <c r="T2953" s="4" t="str">
        <f t="shared" si="3"/>
        <v/>
      </c>
      <c r="U2953" s="4">
        <f t="shared" si="4"/>
        <v>3078</v>
      </c>
    </row>
    <row r="2954" ht="15.75" customHeight="1">
      <c r="A2954" s="4" t="s">
        <v>4025</v>
      </c>
      <c r="B2954" s="4" t="s">
        <v>13</v>
      </c>
      <c r="I2954" s="4">
        <v>0.14239</v>
      </c>
      <c r="K2954" s="6" t="b">
        <f t="shared" ref="K2954:M2954" si="2767">FALSE()</f>
        <v>0</v>
      </c>
      <c r="L2954" s="6" t="b">
        <f t="shared" si="2767"/>
        <v>0</v>
      </c>
      <c r="M2954" s="6" t="b">
        <f t="shared" si="2767"/>
        <v>0</v>
      </c>
      <c r="P2954" s="4">
        <v>0.13312255906347</v>
      </c>
      <c r="T2954" s="4" t="str">
        <f t="shared" si="3"/>
        <v/>
      </c>
      <c r="U2954" s="4">
        <f t="shared" si="4"/>
        <v>3468</v>
      </c>
    </row>
    <row r="2955" ht="15.75" customHeight="1">
      <c r="A2955" s="4" t="s">
        <v>4026</v>
      </c>
      <c r="B2955" s="4" t="s">
        <v>13</v>
      </c>
      <c r="I2955" s="4">
        <v>0.13784</v>
      </c>
      <c r="K2955" s="6" t="b">
        <f t="shared" ref="K2955:M2955" si="2768">FALSE()</f>
        <v>0</v>
      </c>
      <c r="L2955" s="6" t="b">
        <f t="shared" si="2768"/>
        <v>0</v>
      </c>
      <c r="M2955" s="6" t="b">
        <f t="shared" si="2768"/>
        <v>0</v>
      </c>
      <c r="P2955" s="4">
        <v>0.129131728279836</v>
      </c>
      <c r="T2955" s="4" t="str">
        <f t="shared" si="3"/>
        <v/>
      </c>
      <c r="U2955" s="4">
        <f t="shared" si="4"/>
        <v>3550</v>
      </c>
    </row>
    <row r="2956" ht="15.75" customHeight="1">
      <c r="A2956" s="4" t="s">
        <v>4027</v>
      </c>
      <c r="B2956" s="4" t="s">
        <v>13</v>
      </c>
      <c r="I2956" s="4">
        <v>0.2101</v>
      </c>
      <c r="K2956" s="6" t="b">
        <f t="shared" ref="K2956:M2956" si="2769">FALSE()</f>
        <v>0</v>
      </c>
      <c r="L2956" s="6" t="b">
        <f t="shared" si="2769"/>
        <v>0</v>
      </c>
      <c r="M2956" s="6" t="b">
        <f t="shared" si="2769"/>
        <v>0</v>
      </c>
      <c r="P2956" s="4">
        <v>0.19070300082187</v>
      </c>
      <c r="T2956" s="4" t="str">
        <f t="shared" si="3"/>
        <v/>
      </c>
      <c r="U2956" s="4">
        <f t="shared" si="4"/>
        <v>2415</v>
      </c>
    </row>
    <row r="2957" ht="15.75" customHeight="1">
      <c r="A2957" s="4" t="s">
        <v>4028</v>
      </c>
      <c r="B2957" s="4" t="s">
        <v>13</v>
      </c>
      <c r="I2957" s="4">
        <v>0.241228</v>
      </c>
      <c r="K2957" s="6" t="b">
        <f t="shared" ref="K2957:M2957" si="2770">FALSE()</f>
        <v>0</v>
      </c>
      <c r="L2957" s="6" t="b">
        <f t="shared" si="2770"/>
        <v>0</v>
      </c>
      <c r="M2957" s="6" t="b">
        <f t="shared" si="2770"/>
        <v>0</v>
      </c>
      <c r="P2957" s="4">
        <v>0.216101212151693</v>
      </c>
      <c r="T2957" s="4" t="str">
        <f t="shared" si="3"/>
        <v/>
      </c>
      <c r="U2957" s="4">
        <f t="shared" si="4"/>
        <v>1927</v>
      </c>
    </row>
    <row r="2958" ht="15.75" customHeight="1">
      <c r="A2958" s="4" t="s">
        <v>4029</v>
      </c>
      <c r="B2958" s="4" t="s">
        <v>13</v>
      </c>
      <c r="I2958" s="4">
        <v>0.26987</v>
      </c>
      <c r="K2958" s="6" t="b">
        <f t="shared" ref="K2958:M2958" si="2771">FALSE()</f>
        <v>0</v>
      </c>
      <c r="L2958" s="6" t="b">
        <f t="shared" si="2771"/>
        <v>0</v>
      </c>
      <c r="M2958" s="6" t="b">
        <f t="shared" si="2771"/>
        <v>0</v>
      </c>
      <c r="P2958" s="4">
        <v>0.238914533026407</v>
      </c>
      <c r="T2958" s="4" t="str">
        <f t="shared" si="3"/>
        <v/>
      </c>
      <c r="U2958" s="4">
        <f t="shared" si="4"/>
        <v>1593</v>
      </c>
    </row>
    <row r="2959" ht="15.75" customHeight="1">
      <c r="A2959" s="4" t="s">
        <v>4030</v>
      </c>
      <c r="B2959" s="4" t="s">
        <v>13</v>
      </c>
      <c r="I2959" s="4">
        <v>0.13498</v>
      </c>
      <c r="K2959" s="6" t="b">
        <f t="shared" ref="K2959:M2959" si="2772">FALSE()</f>
        <v>0</v>
      </c>
      <c r="L2959" s="6" t="b">
        <f t="shared" si="2772"/>
        <v>0</v>
      </c>
      <c r="M2959" s="6" t="b">
        <f t="shared" si="2772"/>
        <v>0</v>
      </c>
      <c r="P2959" s="4">
        <v>0.126615029632737</v>
      </c>
      <c r="T2959" s="4" t="str">
        <f t="shared" si="3"/>
        <v/>
      </c>
      <c r="U2959" s="4">
        <f t="shared" si="4"/>
        <v>3619</v>
      </c>
    </row>
    <row r="2960" ht="15.75" customHeight="1">
      <c r="A2960" s="4" t="s">
        <v>4031</v>
      </c>
      <c r="B2960" s="4" t="s">
        <v>13</v>
      </c>
      <c r="I2960" s="4">
        <v>0.134</v>
      </c>
      <c r="J2960" s="4">
        <v>0.06</v>
      </c>
      <c r="K2960" s="6" t="b">
        <f t="shared" ref="K2960:M2960" si="2773">FALSE()</f>
        <v>0</v>
      </c>
      <c r="L2960" s="6" t="b">
        <f t="shared" si="2773"/>
        <v>0</v>
      </c>
      <c r="M2960" s="6" t="b">
        <f t="shared" si="2773"/>
        <v>0</v>
      </c>
      <c r="P2960" s="4">
        <v>0.12575120530556</v>
      </c>
      <c r="T2960" s="4" t="str">
        <f t="shared" si="3"/>
        <v/>
      </c>
      <c r="U2960" s="4">
        <f t="shared" si="4"/>
        <v>3627</v>
      </c>
    </row>
    <row r="2961" ht="15.75" customHeight="1">
      <c r="A2961" s="4" t="s">
        <v>4032</v>
      </c>
      <c r="B2961" s="4" t="s">
        <v>13</v>
      </c>
      <c r="I2961" s="4">
        <v>0.269</v>
      </c>
      <c r="J2961" s="4">
        <v>0.12</v>
      </c>
      <c r="K2961" s="6" t="b">
        <f t="shared" ref="K2961:M2961" si="2774">FALSE()</f>
        <v>0</v>
      </c>
      <c r="L2961" s="6" t="b">
        <f t="shared" si="2774"/>
        <v>0</v>
      </c>
      <c r="M2961" s="6" t="b">
        <f t="shared" si="2774"/>
        <v>0</v>
      </c>
      <c r="P2961" s="4">
        <v>0.238229188732251</v>
      </c>
      <c r="T2961" s="4" t="str">
        <f t="shared" si="3"/>
        <v/>
      </c>
      <c r="U2961" s="4">
        <f t="shared" si="4"/>
        <v>1603</v>
      </c>
    </row>
    <row r="2962" ht="15.75" customHeight="1">
      <c r="A2962" s="4" t="s">
        <v>4033</v>
      </c>
      <c r="B2962" s="4" t="s">
        <v>13</v>
      </c>
      <c r="I2962" s="4">
        <v>0.34954</v>
      </c>
      <c r="K2962" s="6" t="b">
        <f t="shared" ref="K2962:M2962" si="2775">FALSE()</f>
        <v>0</v>
      </c>
      <c r="L2962" s="6" t="b">
        <f t="shared" si="2775"/>
        <v>0</v>
      </c>
      <c r="M2962" s="6" t="b">
        <f t="shared" si="2775"/>
        <v>0</v>
      </c>
      <c r="P2962" s="4">
        <v>0.299763793644281</v>
      </c>
      <c r="T2962" s="4" t="str">
        <f t="shared" si="3"/>
        <v/>
      </c>
      <c r="U2962" s="4">
        <f t="shared" si="4"/>
        <v>1208</v>
      </c>
    </row>
    <row r="2963" ht="15.75" customHeight="1">
      <c r="A2963" s="4" t="s">
        <v>4034</v>
      </c>
      <c r="B2963" s="4" t="s">
        <v>13</v>
      </c>
      <c r="I2963" s="4">
        <v>0.3433</v>
      </c>
      <c r="K2963" s="6" t="b">
        <f t="shared" ref="K2963:M2963" si="2776">FALSE()</f>
        <v>0</v>
      </c>
      <c r="L2963" s="6" t="b">
        <f t="shared" si="2776"/>
        <v>0</v>
      </c>
      <c r="M2963" s="6" t="b">
        <f t="shared" si="2776"/>
        <v>0</v>
      </c>
      <c r="P2963" s="4">
        <v>0.29512927308683</v>
      </c>
      <c r="T2963" s="4" t="str">
        <f t="shared" si="3"/>
        <v/>
      </c>
      <c r="U2963" s="4">
        <f t="shared" si="4"/>
        <v>1227</v>
      </c>
    </row>
    <row r="2964" ht="15.75" customHeight="1">
      <c r="A2964" s="4" t="s">
        <v>4035</v>
      </c>
      <c r="B2964" s="4" t="s">
        <v>13</v>
      </c>
      <c r="I2964" s="4">
        <v>0.207415</v>
      </c>
      <c r="K2964" s="6" t="b">
        <f t="shared" ref="K2964:M2964" si="2777">FALSE()</f>
        <v>0</v>
      </c>
      <c r="L2964" s="6" t="b">
        <f t="shared" si="2777"/>
        <v>0</v>
      </c>
      <c r="M2964" s="6" t="b">
        <f t="shared" si="2777"/>
        <v>0</v>
      </c>
      <c r="P2964" s="4">
        <v>0.18848171069212</v>
      </c>
      <c r="T2964" s="4" t="str">
        <f t="shared" si="3"/>
        <v/>
      </c>
      <c r="U2964" s="4">
        <f t="shared" si="4"/>
        <v>2456</v>
      </c>
    </row>
    <row r="2965" ht="15.75" customHeight="1">
      <c r="A2965" s="4" t="s">
        <v>4036</v>
      </c>
      <c r="B2965" s="4" t="s">
        <v>13</v>
      </c>
      <c r="I2965" s="4">
        <v>0.12606</v>
      </c>
      <c r="K2965" s="6" t="b">
        <f t="shared" ref="K2965:M2965" si="2778">FALSE()</f>
        <v>0</v>
      </c>
      <c r="L2965" s="6" t="b">
        <f t="shared" si="2778"/>
        <v>0</v>
      </c>
      <c r="M2965" s="6" t="b">
        <f t="shared" si="2778"/>
        <v>0</v>
      </c>
      <c r="P2965" s="4">
        <v>0.11872481426588</v>
      </c>
      <c r="T2965" s="4" t="str">
        <f t="shared" si="3"/>
        <v/>
      </c>
      <c r="U2965" s="4">
        <f t="shared" si="4"/>
        <v>3759</v>
      </c>
    </row>
    <row r="2966" ht="15.75" customHeight="1">
      <c r="A2966" s="4" t="s">
        <v>4037</v>
      </c>
      <c r="B2966" s="4" t="s">
        <v>13</v>
      </c>
      <c r="I2966" s="4">
        <v>0.21135</v>
      </c>
      <c r="K2966" s="6" t="b">
        <f t="shared" ref="K2966:M2966" si="2779">FALSE()</f>
        <v>0</v>
      </c>
      <c r="L2966" s="6" t="b">
        <f t="shared" si="2779"/>
        <v>0</v>
      </c>
      <c r="M2966" s="6" t="b">
        <f t="shared" si="2779"/>
        <v>0</v>
      </c>
      <c r="P2966" s="4">
        <v>0.19173544015453</v>
      </c>
      <c r="T2966" s="4" t="str">
        <f t="shared" si="3"/>
        <v/>
      </c>
      <c r="U2966" s="4">
        <f t="shared" si="4"/>
        <v>2384</v>
      </c>
    </row>
    <row r="2967" ht="15.75" customHeight="1">
      <c r="A2967" s="4" t="s">
        <v>4038</v>
      </c>
      <c r="B2967" s="4" t="s">
        <v>13</v>
      </c>
      <c r="I2967" s="4">
        <v>0.14765</v>
      </c>
      <c r="K2967" s="6" t="b">
        <f t="shared" ref="K2967:M2967" si="2780">FALSE()</f>
        <v>0</v>
      </c>
      <c r="L2967" s="6" t="b">
        <f t="shared" si="2780"/>
        <v>0</v>
      </c>
      <c r="M2967" s="6" t="b">
        <f t="shared" si="2780"/>
        <v>0</v>
      </c>
      <c r="P2967" s="4">
        <v>0.137716373363834</v>
      </c>
      <c r="T2967" s="4" t="str">
        <f t="shared" si="3"/>
        <v/>
      </c>
      <c r="U2967" s="4">
        <f t="shared" si="4"/>
        <v>3369</v>
      </c>
    </row>
    <row r="2968" ht="15.75" customHeight="1">
      <c r="A2968" s="4" t="s">
        <v>4039</v>
      </c>
      <c r="B2968" s="4" t="s">
        <v>13</v>
      </c>
      <c r="I2968" s="4">
        <v>0.245242</v>
      </c>
      <c r="K2968" s="6" t="b">
        <f t="shared" ref="K2968:M2968" si="2781">FALSE()</f>
        <v>0</v>
      </c>
      <c r="L2968" s="6" t="b">
        <f t="shared" si="2781"/>
        <v>0</v>
      </c>
      <c r="M2968" s="6" t="b">
        <f t="shared" si="2781"/>
        <v>0</v>
      </c>
      <c r="P2968" s="4">
        <v>0.219329888537851</v>
      </c>
      <c r="T2968" s="4" t="str">
        <f t="shared" si="3"/>
        <v/>
      </c>
      <c r="U2968" s="4">
        <f t="shared" si="4"/>
        <v>1871</v>
      </c>
    </row>
    <row r="2969" ht="15.75" customHeight="1">
      <c r="A2969" s="4" t="s">
        <v>4040</v>
      </c>
      <c r="B2969" s="4" t="s">
        <v>13</v>
      </c>
      <c r="I2969" s="4">
        <v>0.17557</v>
      </c>
      <c r="K2969" s="6" t="b">
        <f t="shared" ref="K2969:M2969" si="2782">FALSE()</f>
        <v>0</v>
      </c>
      <c r="L2969" s="6" t="b">
        <f t="shared" si="2782"/>
        <v>0</v>
      </c>
      <c r="M2969" s="6" t="b">
        <f t="shared" si="2782"/>
        <v>0</v>
      </c>
      <c r="P2969" s="4">
        <v>0.161753136353039</v>
      </c>
      <c r="T2969" s="4" t="str">
        <f t="shared" si="3"/>
        <v/>
      </c>
      <c r="U2969" s="4">
        <f t="shared" si="4"/>
        <v>2966</v>
      </c>
    </row>
    <row r="2970" ht="15.75" customHeight="1">
      <c r="A2970" s="4" t="s">
        <v>4041</v>
      </c>
      <c r="B2970" s="4" t="s">
        <v>13</v>
      </c>
      <c r="I2970" s="4">
        <v>0.20279</v>
      </c>
      <c r="K2970" s="6" t="b">
        <f t="shared" ref="K2970:M2970" si="2783">FALSE()</f>
        <v>0</v>
      </c>
      <c r="L2970" s="6" t="b">
        <f t="shared" si="2783"/>
        <v>0</v>
      </c>
      <c r="M2970" s="6" t="b">
        <f t="shared" si="2783"/>
        <v>0</v>
      </c>
      <c r="P2970" s="4">
        <v>0.184643858163522</v>
      </c>
      <c r="T2970" s="4" t="str">
        <f t="shared" si="3"/>
        <v/>
      </c>
      <c r="U2970" s="4">
        <f t="shared" si="4"/>
        <v>2540</v>
      </c>
    </row>
    <row r="2971" ht="15.75" customHeight="1">
      <c r="A2971" s="4" t="s">
        <v>4042</v>
      </c>
      <c r="B2971" s="4" t="s">
        <v>13</v>
      </c>
      <c r="I2971" s="4">
        <v>0.152878</v>
      </c>
      <c r="J2971" s="4">
        <v>0.0017</v>
      </c>
      <c r="K2971" s="6" t="b">
        <f t="shared" ref="K2971:M2971" si="2784">FALSE()</f>
        <v>0</v>
      </c>
      <c r="L2971" s="6" t="b">
        <f t="shared" si="2784"/>
        <v>0</v>
      </c>
      <c r="M2971" s="6" t="b">
        <f t="shared" si="2784"/>
        <v>0</v>
      </c>
      <c r="P2971" s="4">
        <v>0.142261424760537</v>
      </c>
      <c r="T2971" s="4" t="str">
        <f t="shared" si="3"/>
        <v/>
      </c>
      <c r="U2971" s="4">
        <f t="shared" si="4"/>
        <v>3286</v>
      </c>
    </row>
    <row r="2972" ht="15.75" customHeight="1">
      <c r="A2972" s="4" t="s">
        <v>4043</v>
      </c>
      <c r="B2972" s="4" t="s">
        <v>13</v>
      </c>
      <c r="I2972" s="4">
        <v>0.34825</v>
      </c>
      <c r="K2972" s="6" t="b">
        <f t="shared" ref="K2972:M2972" si="2785">FALSE()</f>
        <v>0</v>
      </c>
      <c r="L2972" s="6" t="b">
        <f t="shared" si="2785"/>
        <v>0</v>
      </c>
      <c r="M2972" s="6" t="b">
        <f t="shared" si="2785"/>
        <v>0</v>
      </c>
      <c r="P2972" s="4">
        <v>0.298807455235199</v>
      </c>
      <c r="T2972" s="4" t="str">
        <f t="shared" si="3"/>
        <v/>
      </c>
      <c r="U2972" s="4">
        <f t="shared" si="4"/>
        <v>1211</v>
      </c>
    </row>
    <row r="2973" ht="15.75" customHeight="1">
      <c r="A2973" s="4" t="s">
        <v>4044</v>
      </c>
      <c r="B2973" s="4" t="s">
        <v>13</v>
      </c>
      <c r="I2973" s="4">
        <v>0.134</v>
      </c>
      <c r="J2973" s="4">
        <v>0.0098</v>
      </c>
      <c r="K2973" s="6" t="b">
        <f t="shared" ref="K2973:M2973" si="2786">FALSE()</f>
        <v>0</v>
      </c>
      <c r="L2973" s="6" t="b">
        <f t="shared" si="2786"/>
        <v>0</v>
      </c>
      <c r="M2973" s="6" t="b">
        <f t="shared" si="2786"/>
        <v>0</v>
      </c>
      <c r="P2973" s="4">
        <v>0.12575120530556</v>
      </c>
      <c r="T2973" s="4" t="str">
        <f t="shared" si="3"/>
        <v/>
      </c>
      <c r="U2973" s="4">
        <f t="shared" si="4"/>
        <v>3628</v>
      </c>
    </row>
    <row r="2974" ht="15.75" customHeight="1">
      <c r="A2974" s="4" t="s">
        <v>4045</v>
      </c>
      <c r="B2974" s="4" t="s">
        <v>13</v>
      </c>
      <c r="I2974" s="4">
        <v>0.2195</v>
      </c>
      <c r="J2974" s="4">
        <v>0.017</v>
      </c>
      <c r="K2974" s="6" t="b">
        <f t="shared" ref="K2974:M2974" si="2787">FALSE()</f>
        <v>0</v>
      </c>
      <c r="L2974" s="6" t="b">
        <f t="shared" si="2787"/>
        <v>0</v>
      </c>
      <c r="M2974" s="6" t="b">
        <f t="shared" si="2787"/>
        <v>0</v>
      </c>
      <c r="P2974" s="4">
        <v>0.198440938673838</v>
      </c>
      <c r="T2974" s="4" t="str">
        <f t="shared" si="3"/>
        <v/>
      </c>
      <c r="U2974" s="4">
        <f t="shared" si="4"/>
        <v>2270</v>
      </c>
    </row>
    <row r="2975" ht="15.75" customHeight="1">
      <c r="A2975" s="4" t="s">
        <v>4046</v>
      </c>
      <c r="B2975" s="4" t="s">
        <v>13</v>
      </c>
      <c r="I2975" s="4">
        <v>0.278243</v>
      </c>
      <c r="K2975" s="6" t="b">
        <f t="shared" ref="K2975:M2975" si="2788">FALSE()</f>
        <v>0</v>
      </c>
      <c r="L2975" s="6" t="b">
        <f t="shared" si="2788"/>
        <v>0</v>
      </c>
      <c r="M2975" s="6" t="b">
        <f t="shared" si="2788"/>
        <v>0</v>
      </c>
      <c r="P2975" s="4">
        <v>0.245486478725934</v>
      </c>
      <c r="T2975" s="4" t="str">
        <f t="shared" si="3"/>
        <v/>
      </c>
      <c r="U2975" s="4">
        <f t="shared" si="4"/>
        <v>1519</v>
      </c>
    </row>
    <row r="2976" ht="15.75" customHeight="1">
      <c r="A2976" s="4" t="s">
        <v>4047</v>
      </c>
      <c r="B2976" s="4" t="s">
        <v>13</v>
      </c>
      <c r="I2976" s="4">
        <v>0.23124</v>
      </c>
      <c r="K2976" s="6" t="b">
        <f t="shared" ref="K2976:M2976" si="2789">FALSE()</f>
        <v>0</v>
      </c>
      <c r="L2976" s="6" t="b">
        <f t="shared" si="2789"/>
        <v>0</v>
      </c>
      <c r="M2976" s="6" t="b">
        <f t="shared" si="2789"/>
        <v>0</v>
      </c>
      <c r="P2976" s="4">
        <v>0.208021791643768</v>
      </c>
      <c r="T2976" s="4" t="str">
        <f t="shared" si="3"/>
        <v/>
      </c>
      <c r="U2976" s="4">
        <f t="shared" si="4"/>
        <v>2092</v>
      </c>
    </row>
    <row r="2977" ht="15.75" customHeight="1">
      <c r="A2977" s="4" t="s">
        <v>4048</v>
      </c>
      <c r="B2977" s="4" t="s">
        <v>13</v>
      </c>
      <c r="I2977" s="4">
        <v>0.23615</v>
      </c>
      <c r="K2977" s="6" t="b">
        <f t="shared" ref="K2977:M2977" si="2790">FALSE()</f>
        <v>0</v>
      </c>
      <c r="L2977" s="6" t="b">
        <f t="shared" si="2790"/>
        <v>0</v>
      </c>
      <c r="M2977" s="6" t="b">
        <f t="shared" si="2790"/>
        <v>0</v>
      </c>
      <c r="P2977" s="4">
        <v>0.212001710895365</v>
      </c>
      <c r="T2977" s="4" t="str">
        <f t="shared" si="3"/>
        <v/>
      </c>
      <c r="U2977" s="4">
        <f t="shared" si="4"/>
        <v>2008</v>
      </c>
    </row>
    <row r="2978" ht="15.75" customHeight="1">
      <c r="A2978" s="4" t="s">
        <v>4049</v>
      </c>
      <c r="B2978" s="4" t="s">
        <v>13</v>
      </c>
      <c r="I2978" s="4">
        <v>0.1861</v>
      </c>
      <c r="K2978" s="6" t="b">
        <f t="shared" ref="K2978:M2978" si="2791">FALSE()</f>
        <v>0</v>
      </c>
      <c r="L2978" s="6" t="b">
        <f t="shared" si="2791"/>
        <v>0</v>
      </c>
      <c r="M2978" s="6" t="b">
        <f t="shared" si="2791"/>
        <v>0</v>
      </c>
      <c r="P2978" s="4">
        <v>0.170670614053093</v>
      </c>
      <c r="T2978" s="4" t="str">
        <f t="shared" si="3"/>
        <v/>
      </c>
      <c r="U2978" s="4">
        <f t="shared" si="4"/>
        <v>2798</v>
      </c>
    </row>
    <row r="2979" ht="15.75" customHeight="1">
      <c r="A2979" s="4" t="s">
        <v>4050</v>
      </c>
      <c r="B2979" s="4" t="s">
        <v>13</v>
      </c>
      <c r="I2979" s="4">
        <v>0.212438</v>
      </c>
      <c r="K2979" s="6" t="b">
        <f t="shared" ref="K2979:M2979" si="2792">FALSE()</f>
        <v>0</v>
      </c>
      <c r="L2979" s="6" t="b">
        <f t="shared" si="2792"/>
        <v>0</v>
      </c>
      <c r="M2979" s="6" t="b">
        <f t="shared" si="2792"/>
        <v>0</v>
      </c>
      <c r="P2979" s="4">
        <v>0.192633208501494</v>
      </c>
      <c r="T2979" s="4" t="str">
        <f t="shared" si="3"/>
        <v/>
      </c>
      <c r="U2979" s="4">
        <f t="shared" si="4"/>
        <v>2370</v>
      </c>
    </row>
    <row r="2980" ht="15.75" customHeight="1">
      <c r="A2980" s="4" t="s">
        <v>4051</v>
      </c>
      <c r="B2980" s="4" t="s">
        <v>13</v>
      </c>
      <c r="I2980" s="4">
        <v>0.12686</v>
      </c>
      <c r="K2980" s="6" t="b">
        <f t="shared" ref="K2980:M2980" si="2793">FALSE()</f>
        <v>0</v>
      </c>
      <c r="L2980" s="6" t="b">
        <f t="shared" si="2793"/>
        <v>0</v>
      </c>
      <c r="M2980" s="6" t="b">
        <f t="shared" si="2793"/>
        <v>0</v>
      </c>
      <c r="P2980" s="4">
        <v>0.119435003738764</v>
      </c>
      <c r="T2980" s="4" t="str">
        <f t="shared" si="3"/>
        <v/>
      </c>
      <c r="U2980" s="4">
        <f t="shared" si="4"/>
        <v>3753</v>
      </c>
    </row>
    <row r="2981" ht="15.75" customHeight="1">
      <c r="A2981" s="4" t="s">
        <v>4052</v>
      </c>
      <c r="B2981" s="4" t="s">
        <v>13</v>
      </c>
      <c r="I2981" s="4">
        <v>0.13159</v>
      </c>
      <c r="K2981" s="6" t="b">
        <f t="shared" ref="K2981:M2981" si="2794">FALSE()</f>
        <v>0</v>
      </c>
      <c r="L2981" s="6" t="b">
        <f t="shared" si="2794"/>
        <v>0</v>
      </c>
      <c r="M2981" s="6" t="b">
        <f t="shared" si="2794"/>
        <v>0</v>
      </c>
      <c r="P2981" s="4">
        <v>0.123623723361336</v>
      </c>
      <c r="T2981" s="4" t="str">
        <f t="shared" si="3"/>
        <v/>
      </c>
      <c r="U2981" s="4">
        <f t="shared" si="4"/>
        <v>3666</v>
      </c>
    </row>
    <row r="2982" ht="15.75" customHeight="1">
      <c r="A2982" s="4" t="s">
        <v>4053</v>
      </c>
      <c r="B2982" s="4" t="s">
        <v>13</v>
      </c>
      <c r="I2982" s="4">
        <v>0.16558</v>
      </c>
      <c r="K2982" s="6" t="b">
        <f t="shared" ref="K2982:M2982" si="2795">FALSE()</f>
        <v>0</v>
      </c>
      <c r="L2982" s="6" t="b">
        <f t="shared" si="2795"/>
        <v>0</v>
      </c>
      <c r="M2982" s="6" t="b">
        <f t="shared" si="2795"/>
        <v>0</v>
      </c>
      <c r="P2982" s="4">
        <v>0.153218817206693</v>
      </c>
      <c r="T2982" s="4" t="str">
        <f t="shared" si="3"/>
        <v/>
      </c>
      <c r="U2982" s="4">
        <f t="shared" si="4"/>
        <v>3101</v>
      </c>
    </row>
    <row r="2983" ht="15.75" customHeight="1">
      <c r="A2983" s="4" t="s">
        <v>4054</v>
      </c>
      <c r="B2983" s="4" t="s">
        <v>13</v>
      </c>
      <c r="I2983" s="4">
        <v>0.188769</v>
      </c>
      <c r="K2983" s="6" t="b">
        <f t="shared" ref="K2983:M2983" si="2796">FALSE()</f>
        <v>0</v>
      </c>
      <c r="L2983" s="6" t="b">
        <f t="shared" si="2796"/>
        <v>0</v>
      </c>
      <c r="M2983" s="6" t="b">
        <f t="shared" si="2796"/>
        <v>0</v>
      </c>
      <c r="P2983" s="4">
        <v>0.172918317925338</v>
      </c>
      <c r="T2983" s="4" t="str">
        <f t="shared" si="3"/>
        <v/>
      </c>
      <c r="U2983" s="4">
        <f t="shared" si="4"/>
        <v>2770</v>
      </c>
    </row>
    <row r="2984" ht="15.75" customHeight="1">
      <c r="A2984" s="4" t="s">
        <v>4055</v>
      </c>
      <c r="B2984" s="4" t="s">
        <v>13</v>
      </c>
      <c r="I2984" s="4">
        <v>0.221145</v>
      </c>
      <c r="K2984" s="6" t="b">
        <f t="shared" ref="K2984:M2984" si="2797">FALSE()</f>
        <v>0</v>
      </c>
      <c r="L2984" s="6" t="b">
        <f t="shared" si="2797"/>
        <v>0</v>
      </c>
      <c r="M2984" s="6" t="b">
        <f t="shared" si="2797"/>
        <v>0</v>
      </c>
      <c r="P2984" s="4">
        <v>0.199788943196492</v>
      </c>
      <c r="T2984" s="4" t="str">
        <f t="shared" si="3"/>
        <v/>
      </c>
      <c r="U2984" s="4">
        <f t="shared" si="4"/>
        <v>2242</v>
      </c>
    </row>
    <row r="2985" ht="15.75" customHeight="1">
      <c r="A2985" s="4" t="s">
        <v>4056</v>
      </c>
      <c r="B2985" s="4" t="s">
        <v>13</v>
      </c>
      <c r="I2985" s="4">
        <v>0.23</v>
      </c>
      <c r="J2985" s="4">
        <v>0.105</v>
      </c>
      <c r="K2985" s="6" t="b">
        <f t="shared" ref="K2985:M2985" si="2798">FALSE()</f>
        <v>0</v>
      </c>
      <c r="L2985" s="6" t="b">
        <f t="shared" si="2798"/>
        <v>0</v>
      </c>
      <c r="M2985" s="6" t="b">
        <f t="shared" si="2798"/>
        <v>0</v>
      </c>
      <c r="P2985" s="4">
        <v>0.207014169384326</v>
      </c>
      <c r="T2985" s="4" t="str">
        <f t="shared" si="3"/>
        <v/>
      </c>
      <c r="U2985" s="4">
        <f t="shared" si="4"/>
        <v>2114</v>
      </c>
    </row>
    <row r="2986" ht="15.75" customHeight="1">
      <c r="A2986" s="4" t="s">
        <v>4057</v>
      </c>
      <c r="B2986" s="4" t="s">
        <v>13</v>
      </c>
      <c r="I2986" s="4">
        <v>0.306</v>
      </c>
      <c r="J2986" s="4">
        <v>0.136</v>
      </c>
      <c r="K2986" s="6" t="b">
        <f t="shared" ref="K2986:M2986" si="2799">FALSE()</f>
        <v>0</v>
      </c>
      <c r="L2986" s="6" t="b">
        <f t="shared" si="2799"/>
        <v>0</v>
      </c>
      <c r="M2986" s="6" t="b">
        <f t="shared" si="2799"/>
        <v>0</v>
      </c>
      <c r="P2986" s="4">
        <v>0.266969030854239</v>
      </c>
      <c r="T2986" s="4" t="str">
        <f t="shared" si="3"/>
        <v/>
      </c>
      <c r="U2986" s="4">
        <f t="shared" si="4"/>
        <v>1347</v>
      </c>
    </row>
    <row r="2987" ht="15.75" customHeight="1">
      <c r="A2987" s="4" t="s">
        <v>4058</v>
      </c>
      <c r="B2987" s="4" t="s">
        <v>13</v>
      </c>
      <c r="I2987" s="4">
        <v>0.297076</v>
      </c>
      <c r="K2987" s="6" t="b">
        <f t="shared" ref="K2987:M2987" si="2800">FALSE()</f>
        <v>0</v>
      </c>
      <c r="L2987" s="6" t="b">
        <f t="shared" si="2800"/>
        <v>0</v>
      </c>
      <c r="M2987" s="6" t="b">
        <f t="shared" si="2800"/>
        <v>0</v>
      </c>
      <c r="P2987" s="4">
        <v>0.260112500379342</v>
      </c>
      <c r="T2987" s="4" t="str">
        <f t="shared" si="3"/>
        <v/>
      </c>
      <c r="U2987" s="4">
        <f t="shared" si="4"/>
        <v>1396</v>
      </c>
    </row>
    <row r="2988" ht="15.75" customHeight="1">
      <c r="A2988" s="4" t="s">
        <v>4059</v>
      </c>
      <c r="B2988" s="4" t="s">
        <v>13</v>
      </c>
      <c r="I2988" s="4">
        <v>0.1758</v>
      </c>
      <c r="K2988" s="6" t="b">
        <f t="shared" ref="K2988:M2988" si="2801">FALSE()</f>
        <v>0</v>
      </c>
      <c r="L2988" s="6" t="b">
        <f t="shared" si="2801"/>
        <v>0</v>
      </c>
      <c r="M2988" s="6" t="b">
        <f t="shared" si="2801"/>
        <v>0</v>
      </c>
      <c r="P2988" s="4">
        <v>0.161948766986018</v>
      </c>
      <c r="T2988" s="4" t="str">
        <f t="shared" si="3"/>
        <v/>
      </c>
      <c r="U2988" s="4">
        <f t="shared" si="4"/>
        <v>2965</v>
      </c>
    </row>
    <row r="2989" ht="15.75" customHeight="1">
      <c r="A2989" s="4" t="s">
        <v>4060</v>
      </c>
      <c r="B2989" s="4" t="s">
        <v>13</v>
      </c>
      <c r="I2989" s="4">
        <v>0.10947</v>
      </c>
      <c r="K2989" s="6" t="b">
        <f t="shared" ref="K2989:M2989" si="2802">FALSE()</f>
        <v>0</v>
      </c>
      <c r="L2989" s="6" t="b">
        <f t="shared" si="2802"/>
        <v>0</v>
      </c>
      <c r="M2989" s="6" t="b">
        <f t="shared" si="2802"/>
        <v>0</v>
      </c>
      <c r="P2989" s="4">
        <v>0.103882423818096</v>
      </c>
      <c r="T2989" s="4" t="str">
        <f t="shared" si="3"/>
        <v/>
      </c>
      <c r="U2989" s="4">
        <f t="shared" si="4"/>
        <v>4057</v>
      </c>
    </row>
    <row r="2990" ht="15.75" customHeight="1">
      <c r="A2990" s="4" t="s">
        <v>4061</v>
      </c>
      <c r="B2990" s="4" t="s">
        <v>13</v>
      </c>
      <c r="I2990" s="4">
        <v>0.116</v>
      </c>
      <c r="K2990" s="6" t="b">
        <f t="shared" ref="K2990:M2990" si="2803">FALSE()</f>
        <v>0</v>
      </c>
      <c r="L2990" s="6" t="b">
        <f t="shared" si="2803"/>
        <v>0</v>
      </c>
      <c r="M2990" s="6" t="b">
        <f t="shared" si="2803"/>
        <v>0</v>
      </c>
      <c r="P2990" s="4">
        <v>0.109750863959119</v>
      </c>
      <c r="T2990" s="4" t="str">
        <f t="shared" si="3"/>
        <v/>
      </c>
      <c r="U2990" s="4">
        <f t="shared" si="4"/>
        <v>3955</v>
      </c>
    </row>
    <row r="2991" ht="15.75" customHeight="1">
      <c r="A2991" s="4" t="s">
        <v>4062</v>
      </c>
      <c r="B2991" s="4" t="s">
        <v>13</v>
      </c>
      <c r="I2991" s="4">
        <v>0.13016</v>
      </c>
      <c r="K2991" s="6" t="b">
        <f t="shared" ref="K2991:M2991" si="2804">FALSE()</f>
        <v>0</v>
      </c>
      <c r="L2991" s="6" t="b">
        <f t="shared" si="2804"/>
        <v>0</v>
      </c>
      <c r="M2991" s="6" t="b">
        <f t="shared" si="2804"/>
        <v>0</v>
      </c>
      <c r="P2991" s="4">
        <v>0.122359215621272</v>
      </c>
      <c r="T2991" s="4" t="str">
        <f t="shared" si="3"/>
        <v/>
      </c>
      <c r="U2991" s="4">
        <f t="shared" si="4"/>
        <v>3685</v>
      </c>
    </row>
    <row r="2992" ht="15.75" customHeight="1">
      <c r="A2992" s="4" t="s">
        <v>4063</v>
      </c>
      <c r="B2992" s="4" t="s">
        <v>13</v>
      </c>
      <c r="I2992" s="4">
        <v>0.1299</v>
      </c>
      <c r="K2992" s="6" t="b">
        <f t="shared" ref="K2992:M2992" si="2805">FALSE()</f>
        <v>0</v>
      </c>
      <c r="L2992" s="6" t="b">
        <f t="shared" si="2805"/>
        <v>0</v>
      </c>
      <c r="M2992" s="6" t="b">
        <f t="shared" si="2805"/>
        <v>0</v>
      </c>
      <c r="P2992" s="4">
        <v>0.122129133233064</v>
      </c>
      <c r="T2992" s="4" t="str">
        <f t="shared" si="3"/>
        <v/>
      </c>
      <c r="U2992" s="4">
        <f t="shared" si="4"/>
        <v>3700</v>
      </c>
    </row>
    <row r="2993" ht="15.75" customHeight="1">
      <c r="A2993" s="4" t="s">
        <v>4064</v>
      </c>
      <c r="B2993" s="4" t="s">
        <v>13</v>
      </c>
      <c r="I2993" s="4">
        <v>0.315267</v>
      </c>
      <c r="K2993" s="6" t="b">
        <f t="shared" ref="K2993:M2993" si="2806">FALSE()</f>
        <v>0</v>
      </c>
      <c r="L2993" s="6" t="b">
        <f t="shared" si="2806"/>
        <v>0</v>
      </c>
      <c r="M2993" s="6" t="b">
        <f t="shared" si="2806"/>
        <v>0</v>
      </c>
      <c r="P2993" s="4">
        <v>0.274039686844621</v>
      </c>
      <c r="T2993" s="4" t="str">
        <f t="shared" si="3"/>
        <v/>
      </c>
      <c r="U2993" s="4">
        <f t="shared" si="4"/>
        <v>1318</v>
      </c>
    </row>
    <row r="2994" ht="15.75" customHeight="1">
      <c r="A2994" s="4" t="s">
        <v>4065</v>
      </c>
      <c r="B2994" s="4" t="s">
        <v>13</v>
      </c>
      <c r="I2994" s="4">
        <v>0.22777</v>
      </c>
      <c r="K2994" s="6" t="b">
        <f t="shared" ref="K2994:M2994" si="2807">FALSE()</f>
        <v>0</v>
      </c>
      <c r="L2994" s="6" t="b">
        <f t="shared" si="2807"/>
        <v>0</v>
      </c>
      <c r="M2994" s="6" t="b">
        <f t="shared" si="2807"/>
        <v>0</v>
      </c>
      <c r="P2994" s="4">
        <v>0.205199515765848</v>
      </c>
      <c r="T2994" s="4" t="str">
        <f t="shared" si="3"/>
        <v/>
      </c>
      <c r="U2994" s="4">
        <f t="shared" si="4"/>
        <v>2147</v>
      </c>
    </row>
    <row r="2995" ht="15.75" customHeight="1">
      <c r="A2995" s="4" t="s">
        <v>4066</v>
      </c>
      <c r="B2995" s="4" t="s">
        <v>13</v>
      </c>
      <c r="I2995" s="4">
        <v>0.18438</v>
      </c>
      <c r="K2995" s="6" t="b">
        <f t="shared" ref="K2995:M2995" si="2808">FALSE()</f>
        <v>0</v>
      </c>
      <c r="L2995" s="6" t="b">
        <f t="shared" si="2808"/>
        <v>0</v>
      </c>
      <c r="M2995" s="6" t="b">
        <f t="shared" si="2808"/>
        <v>0</v>
      </c>
      <c r="P2995" s="4">
        <v>0.169219430915627</v>
      </c>
      <c r="T2995" s="4" t="str">
        <f t="shared" si="3"/>
        <v/>
      </c>
      <c r="U2995" s="4">
        <f t="shared" si="4"/>
        <v>2832</v>
      </c>
    </row>
    <row r="2996" ht="15.75" customHeight="1">
      <c r="A2996" s="4" t="s">
        <v>4067</v>
      </c>
      <c r="B2996" s="4" t="s">
        <v>13</v>
      </c>
      <c r="I2996" s="4">
        <v>0.1481</v>
      </c>
      <c r="K2996" s="6" t="b">
        <f t="shared" ref="K2996:M2996" si="2809">FALSE()</f>
        <v>0</v>
      </c>
      <c r="L2996" s="6" t="b">
        <f t="shared" si="2809"/>
        <v>0</v>
      </c>
      <c r="M2996" s="6" t="b">
        <f t="shared" si="2809"/>
        <v>0</v>
      </c>
      <c r="P2996" s="4">
        <v>0.138108402117629</v>
      </c>
      <c r="T2996" s="4" t="str">
        <f t="shared" si="3"/>
        <v/>
      </c>
      <c r="U2996" s="4">
        <f t="shared" si="4"/>
        <v>3354</v>
      </c>
    </row>
    <row r="2997" ht="15.75" customHeight="1">
      <c r="A2997" s="4" t="s">
        <v>4068</v>
      </c>
      <c r="B2997" s="4" t="s">
        <v>13</v>
      </c>
      <c r="I2997" s="4">
        <v>0.17388</v>
      </c>
      <c r="K2997" s="6" t="b">
        <f t="shared" ref="K2997:M2997" si="2810">FALSE()</f>
        <v>0</v>
      </c>
      <c r="L2997" s="6" t="b">
        <f t="shared" si="2810"/>
        <v>0</v>
      </c>
      <c r="M2997" s="6" t="b">
        <f t="shared" si="2810"/>
        <v>0</v>
      </c>
      <c r="P2997" s="4">
        <v>0.160314501530865</v>
      </c>
      <c r="T2997" s="4" t="str">
        <f t="shared" si="3"/>
        <v/>
      </c>
      <c r="U2997" s="4">
        <f t="shared" si="4"/>
        <v>2998</v>
      </c>
    </row>
    <row r="2998" ht="15.75" customHeight="1">
      <c r="A2998" s="4" t="s">
        <v>4069</v>
      </c>
      <c r="B2998" s="4" t="s">
        <v>13</v>
      </c>
      <c r="I2998" s="4">
        <v>0.184</v>
      </c>
      <c r="J2998" s="4">
        <v>0.079</v>
      </c>
      <c r="K2998" s="6" t="b">
        <f t="shared" ref="K2998:M2998" si="2811">FALSE()</f>
        <v>0</v>
      </c>
      <c r="L2998" s="6" t="b">
        <f t="shared" si="2811"/>
        <v>0</v>
      </c>
      <c r="M2998" s="6" t="b">
        <f t="shared" si="2811"/>
        <v>0</v>
      </c>
      <c r="P2998" s="4">
        <v>0.168898536461814</v>
      </c>
      <c r="T2998" s="4" t="str">
        <f t="shared" si="3"/>
        <v/>
      </c>
      <c r="U2998" s="4">
        <f t="shared" si="4"/>
        <v>2837</v>
      </c>
    </row>
    <row r="2999" ht="15.75" customHeight="1">
      <c r="A2999" s="4" t="s">
        <v>4070</v>
      </c>
      <c r="B2999" s="4" t="s">
        <v>13</v>
      </c>
      <c r="I2999" s="4">
        <v>0.203</v>
      </c>
      <c r="J2999" s="4">
        <v>0.087</v>
      </c>
      <c r="K2999" s="6" t="b">
        <f t="shared" ref="K2999:M2999" si="2812">FALSE()</f>
        <v>0</v>
      </c>
      <c r="L2999" s="6" t="b">
        <f t="shared" si="2812"/>
        <v>0</v>
      </c>
      <c r="M2999" s="6" t="b">
        <f t="shared" si="2812"/>
        <v>0</v>
      </c>
      <c r="P2999" s="4">
        <v>0.184818436992542</v>
      </c>
      <c r="T2999" s="4" t="str">
        <f t="shared" si="3"/>
        <v/>
      </c>
      <c r="U2999" s="4">
        <f t="shared" si="4"/>
        <v>2527</v>
      </c>
    </row>
    <row r="3000" ht="15.75" customHeight="1">
      <c r="A3000" s="4" t="s">
        <v>4071</v>
      </c>
      <c r="B3000" s="4" t="s">
        <v>13</v>
      </c>
      <c r="I3000" s="4">
        <v>0.24775</v>
      </c>
      <c r="K3000" s="6" t="b">
        <f t="shared" ref="K3000:M3000" si="2813">FALSE()</f>
        <v>0</v>
      </c>
      <c r="L3000" s="6" t="b">
        <f t="shared" si="2813"/>
        <v>0</v>
      </c>
      <c r="M3000" s="6" t="b">
        <f t="shared" si="2813"/>
        <v>0</v>
      </c>
      <c r="P3000" s="4">
        <v>0.221341929367582</v>
      </c>
      <c r="T3000" s="4" t="str">
        <f t="shared" si="3"/>
        <v/>
      </c>
      <c r="U3000" s="4">
        <f t="shared" si="4"/>
        <v>1841</v>
      </c>
    </row>
    <row r="3001" ht="15.75" customHeight="1">
      <c r="A3001" s="4" t="s">
        <v>4072</v>
      </c>
      <c r="B3001" s="4" t="s">
        <v>13</v>
      </c>
      <c r="I3001" s="4">
        <v>0.13284</v>
      </c>
      <c r="K3001" s="6" t="b">
        <f t="shared" ref="K3001:M3001" si="2814">FALSE()</f>
        <v>0</v>
      </c>
      <c r="L3001" s="6" t="b">
        <f t="shared" si="2814"/>
        <v>0</v>
      </c>
      <c r="M3001" s="6" t="b">
        <f t="shared" si="2814"/>
        <v>0</v>
      </c>
      <c r="P3001" s="4">
        <v>0.124727754068372</v>
      </c>
      <c r="T3001" s="4" t="str">
        <f t="shared" si="3"/>
        <v/>
      </c>
      <c r="U3001" s="4">
        <f t="shared" si="4"/>
        <v>3651</v>
      </c>
    </row>
    <row r="3002" ht="15.75" customHeight="1">
      <c r="A3002" s="4" t="s">
        <v>4073</v>
      </c>
      <c r="B3002" s="4" t="s">
        <v>13</v>
      </c>
      <c r="I3002" s="4">
        <v>0.209974</v>
      </c>
      <c r="K3002" s="6" t="b">
        <f t="shared" ref="K3002:M3002" si="2815">FALSE()</f>
        <v>0</v>
      </c>
      <c r="L3002" s="6" t="b">
        <f t="shared" si="2815"/>
        <v>0</v>
      </c>
      <c r="M3002" s="6" t="b">
        <f t="shared" si="2815"/>
        <v>0</v>
      </c>
      <c r="P3002" s="4">
        <v>0.190598871774482</v>
      </c>
      <c r="T3002" s="4" t="str">
        <f t="shared" si="3"/>
        <v/>
      </c>
      <c r="U3002" s="4">
        <f t="shared" si="4"/>
        <v>2427</v>
      </c>
    </row>
    <row r="3003" ht="15.75" customHeight="1">
      <c r="A3003" s="4" t="s">
        <v>4074</v>
      </c>
      <c r="B3003" s="4" t="s">
        <v>13</v>
      </c>
      <c r="I3003" s="4">
        <v>0.24168</v>
      </c>
      <c r="K3003" s="6" t="b">
        <f t="shared" ref="K3003:M3003" si="2816">FALSE()</f>
        <v>0</v>
      </c>
      <c r="L3003" s="6" t="b">
        <f t="shared" si="2816"/>
        <v>0</v>
      </c>
      <c r="M3003" s="6" t="b">
        <f t="shared" si="2816"/>
        <v>0</v>
      </c>
      <c r="P3003" s="4">
        <v>0.216465301360792</v>
      </c>
      <c r="T3003" s="4" t="str">
        <f t="shared" si="3"/>
        <v/>
      </c>
      <c r="U3003" s="4">
        <f t="shared" si="4"/>
        <v>1923</v>
      </c>
    </row>
    <row r="3004" ht="15.75" customHeight="1">
      <c r="A3004" s="4" t="s">
        <v>4075</v>
      </c>
      <c r="B3004" s="4" t="s">
        <v>13</v>
      </c>
      <c r="I3004" s="4">
        <v>0.273425</v>
      </c>
      <c r="K3004" s="6" t="b">
        <f t="shared" ref="K3004:M3004" si="2817">FALSE()</f>
        <v>0</v>
      </c>
      <c r="L3004" s="6" t="b">
        <f t="shared" si="2817"/>
        <v>0</v>
      </c>
      <c r="M3004" s="6" t="b">
        <f t="shared" si="2817"/>
        <v>0</v>
      </c>
      <c r="P3004" s="4">
        <v>0.241710120888048</v>
      </c>
      <c r="T3004" s="4" t="str">
        <f t="shared" si="3"/>
        <v/>
      </c>
      <c r="U3004" s="4">
        <f t="shared" si="4"/>
        <v>1559</v>
      </c>
    </row>
    <row r="3005" ht="15.75" customHeight="1">
      <c r="A3005" s="4" t="s">
        <v>4076</v>
      </c>
      <c r="B3005" s="4" t="s">
        <v>13</v>
      </c>
      <c r="I3005" s="4">
        <v>0.21751</v>
      </c>
      <c r="K3005" s="6" t="b">
        <f t="shared" ref="K3005:M3005" si="2818">FALSE()</f>
        <v>0</v>
      </c>
      <c r="L3005" s="6" t="b">
        <f t="shared" si="2818"/>
        <v>0</v>
      </c>
      <c r="M3005" s="6" t="b">
        <f t="shared" si="2818"/>
        <v>0</v>
      </c>
      <c r="P3005" s="4">
        <v>0.196807789493238</v>
      </c>
      <c r="T3005" s="4" t="str">
        <f t="shared" si="3"/>
        <v/>
      </c>
      <c r="U3005" s="4">
        <f t="shared" si="4"/>
        <v>2298</v>
      </c>
    </row>
    <row r="3006" ht="15.75" customHeight="1">
      <c r="A3006" s="4" t="s">
        <v>4077</v>
      </c>
      <c r="B3006" s="4" t="s">
        <v>13</v>
      </c>
      <c r="I3006" s="4">
        <v>0.157348</v>
      </c>
      <c r="K3006" s="6" t="b">
        <f t="shared" ref="K3006:M3006" si="2819">FALSE()</f>
        <v>0</v>
      </c>
      <c r="L3006" s="6" t="b">
        <f t="shared" si="2819"/>
        <v>0</v>
      </c>
      <c r="M3006" s="6" t="b">
        <f t="shared" si="2819"/>
        <v>0</v>
      </c>
      <c r="P3006" s="4">
        <v>0.146131180860755</v>
      </c>
      <c r="T3006" s="4" t="str">
        <f t="shared" si="3"/>
        <v/>
      </c>
      <c r="U3006" s="4">
        <f t="shared" si="4"/>
        <v>3213</v>
      </c>
    </row>
    <row r="3007" ht="15.75" customHeight="1">
      <c r="A3007" s="4" t="s">
        <v>4078</v>
      </c>
      <c r="B3007" s="4" t="s">
        <v>13</v>
      </c>
      <c r="I3007" s="4">
        <v>0.244903</v>
      </c>
      <c r="K3007" s="6" t="b">
        <f t="shared" ref="K3007:M3007" si="2820">FALSE()</f>
        <v>0</v>
      </c>
      <c r="L3007" s="6" t="b">
        <f t="shared" si="2820"/>
        <v>0</v>
      </c>
      <c r="M3007" s="6" t="b">
        <f t="shared" si="2820"/>
        <v>0</v>
      </c>
      <c r="P3007" s="4">
        <v>0.219057615234815</v>
      </c>
      <c r="T3007" s="4" t="str">
        <f t="shared" si="3"/>
        <v/>
      </c>
      <c r="U3007" s="4">
        <f t="shared" si="4"/>
        <v>1876</v>
      </c>
    </row>
    <row r="3008" ht="15.75" customHeight="1">
      <c r="A3008" s="4" t="s">
        <v>4079</v>
      </c>
      <c r="B3008" s="4" t="s">
        <v>13</v>
      </c>
      <c r="I3008" s="4">
        <v>0.125686</v>
      </c>
      <c r="K3008" s="6" t="b">
        <f t="shared" ref="K3008:M3008" si="2821">FALSE()</f>
        <v>0</v>
      </c>
      <c r="L3008" s="6" t="b">
        <f t="shared" si="2821"/>
        <v>0</v>
      </c>
      <c r="M3008" s="6" t="b">
        <f t="shared" si="2821"/>
        <v>0</v>
      </c>
      <c r="P3008" s="4">
        <v>0.118392627595235</v>
      </c>
      <c r="T3008" s="4" t="str">
        <f t="shared" si="3"/>
        <v/>
      </c>
      <c r="U3008" s="4">
        <f t="shared" si="4"/>
        <v>3779</v>
      </c>
    </row>
    <row r="3009" ht="15.75" customHeight="1">
      <c r="A3009" s="4" t="s">
        <v>4080</v>
      </c>
      <c r="B3009" s="4" t="s">
        <v>13</v>
      </c>
      <c r="I3009" s="4">
        <v>0.212938</v>
      </c>
      <c r="K3009" s="6" t="b">
        <f t="shared" ref="K3009:M3009" si="2822">FALSE()</f>
        <v>0</v>
      </c>
      <c r="L3009" s="6" t="b">
        <f t="shared" si="2822"/>
        <v>0</v>
      </c>
      <c r="M3009" s="6" t="b">
        <f t="shared" si="2822"/>
        <v>0</v>
      </c>
      <c r="P3009" s="4">
        <v>0.193045515712486</v>
      </c>
      <c r="T3009" s="4" t="str">
        <f t="shared" si="3"/>
        <v/>
      </c>
      <c r="U3009" s="4">
        <f t="shared" si="4"/>
        <v>2368</v>
      </c>
    </row>
    <row r="3010" ht="15.75" customHeight="1">
      <c r="A3010" s="4" t="s">
        <v>4081</v>
      </c>
      <c r="B3010" s="4" t="s">
        <v>13</v>
      </c>
      <c r="I3010" s="4">
        <v>0.211</v>
      </c>
      <c r="J3010" s="4">
        <v>0.119</v>
      </c>
      <c r="K3010" s="6" t="b">
        <f t="shared" ref="K3010:M3010" si="2823">FALSE()</f>
        <v>0</v>
      </c>
      <c r="L3010" s="6" t="b">
        <f t="shared" si="2823"/>
        <v>0</v>
      </c>
      <c r="M3010" s="6" t="b">
        <f t="shared" si="2823"/>
        <v>0</v>
      </c>
      <c r="P3010" s="4">
        <v>0.191446464570955</v>
      </c>
      <c r="T3010" s="4" t="str">
        <f t="shared" si="3"/>
        <v/>
      </c>
      <c r="U3010" s="4">
        <f t="shared" si="4"/>
        <v>2399</v>
      </c>
    </row>
    <row r="3011" ht="15.75" customHeight="1">
      <c r="A3011" s="4" t="s">
        <v>4082</v>
      </c>
      <c r="B3011" s="4" t="s">
        <v>13</v>
      </c>
      <c r="I3011" s="4">
        <v>0.176</v>
      </c>
      <c r="J3011" s="4">
        <v>0.099</v>
      </c>
      <c r="K3011" s="6" t="b">
        <f t="shared" ref="K3011:M3011" si="2824">FALSE()</f>
        <v>0</v>
      </c>
      <c r="L3011" s="6" t="b">
        <f t="shared" si="2824"/>
        <v>0</v>
      </c>
      <c r="M3011" s="6" t="b">
        <f t="shared" si="2824"/>
        <v>0</v>
      </c>
      <c r="P3011" s="4">
        <v>0.162118849476435</v>
      </c>
      <c r="T3011" s="4" t="str">
        <f t="shared" si="3"/>
        <v/>
      </c>
      <c r="U3011" s="4">
        <f t="shared" si="4"/>
        <v>2958</v>
      </c>
    </row>
    <row r="3012" ht="15.75" customHeight="1">
      <c r="A3012" s="4" t="s">
        <v>4083</v>
      </c>
      <c r="B3012" s="4" t="s">
        <v>13</v>
      </c>
      <c r="I3012" s="4">
        <v>0.222</v>
      </c>
      <c r="J3012" s="4">
        <v>0.126</v>
      </c>
      <c r="K3012" s="6" t="b">
        <f t="shared" ref="K3012:M3012" si="2825">FALSE()</f>
        <v>0</v>
      </c>
      <c r="L3012" s="6" t="b">
        <f t="shared" si="2825"/>
        <v>0</v>
      </c>
      <c r="M3012" s="6" t="b">
        <f t="shared" si="2825"/>
        <v>0</v>
      </c>
      <c r="P3012" s="4">
        <v>0.200488860749404</v>
      </c>
      <c r="T3012" s="4" t="str">
        <f t="shared" si="3"/>
        <v/>
      </c>
      <c r="U3012" s="4">
        <f t="shared" si="4"/>
        <v>2232</v>
      </c>
    </row>
    <row r="3013" ht="15.75" customHeight="1">
      <c r="A3013" s="4" t="s">
        <v>4084</v>
      </c>
      <c r="B3013" s="4" t="s">
        <v>13</v>
      </c>
      <c r="I3013" s="4">
        <v>0.06504</v>
      </c>
      <c r="K3013" s="6" t="b">
        <f t="shared" ref="K3013:M3013" si="2826">FALSE()</f>
        <v>0</v>
      </c>
      <c r="L3013" s="6" t="b">
        <f t="shared" si="2826"/>
        <v>0</v>
      </c>
      <c r="M3013" s="6" t="b">
        <f t="shared" si="2826"/>
        <v>0</v>
      </c>
      <c r="P3013" s="4">
        <v>0.0630123571415246</v>
      </c>
      <c r="T3013" s="4" t="str">
        <f t="shared" si="3"/>
        <v/>
      </c>
      <c r="U3013" s="4">
        <f t="shared" si="4"/>
        <v>4518</v>
      </c>
    </row>
    <row r="3014" ht="15.75" customHeight="1">
      <c r="A3014" s="4" t="s">
        <v>4085</v>
      </c>
      <c r="B3014" s="4" t="s">
        <v>13</v>
      </c>
      <c r="I3014" s="4">
        <v>0.348</v>
      </c>
      <c r="K3014" s="6" t="b">
        <f t="shared" ref="K3014:M3014" si="2827">FALSE()</f>
        <v>0</v>
      </c>
      <c r="L3014" s="6" t="b">
        <f t="shared" si="2827"/>
        <v>0</v>
      </c>
      <c r="M3014" s="6" t="b">
        <f t="shared" si="2827"/>
        <v>0</v>
      </c>
      <c r="P3014" s="4">
        <v>0.298622012490115</v>
      </c>
      <c r="T3014" s="4" t="str">
        <f t="shared" si="3"/>
        <v/>
      </c>
      <c r="U3014" s="4">
        <f t="shared" si="4"/>
        <v>1213</v>
      </c>
    </row>
    <row r="3015" ht="15.75" customHeight="1">
      <c r="A3015" s="4" t="s">
        <v>4086</v>
      </c>
      <c r="B3015" s="4" t="s">
        <v>13</v>
      </c>
      <c r="I3015" s="4">
        <v>0.16826</v>
      </c>
      <c r="K3015" s="6" t="b">
        <f t="shared" ref="K3015:M3015" si="2828">FALSE()</f>
        <v>0</v>
      </c>
      <c r="L3015" s="6" t="b">
        <f t="shared" si="2828"/>
        <v>0</v>
      </c>
      <c r="M3015" s="6" t="b">
        <f t="shared" si="2828"/>
        <v>0</v>
      </c>
      <c r="P3015" s="4">
        <v>0.155515462373448</v>
      </c>
      <c r="T3015" s="4" t="str">
        <f t="shared" si="3"/>
        <v/>
      </c>
      <c r="U3015" s="4">
        <f t="shared" si="4"/>
        <v>3071</v>
      </c>
    </row>
    <row r="3016" ht="15.75" customHeight="1">
      <c r="A3016" s="4" t="s">
        <v>4087</v>
      </c>
      <c r="B3016" s="4" t="s">
        <v>13</v>
      </c>
      <c r="I3016" s="4">
        <v>0.135482</v>
      </c>
      <c r="K3016" s="6" t="b">
        <f t="shared" ref="K3016:M3016" si="2829">FALSE()</f>
        <v>0</v>
      </c>
      <c r="L3016" s="6" t="b">
        <f t="shared" si="2829"/>
        <v>0</v>
      </c>
      <c r="M3016" s="6" t="b">
        <f t="shared" si="2829"/>
        <v>0</v>
      </c>
      <c r="P3016" s="4">
        <v>0.127057230390275</v>
      </c>
      <c r="T3016" s="4" t="str">
        <f t="shared" si="3"/>
        <v/>
      </c>
      <c r="U3016" s="4">
        <f t="shared" si="4"/>
        <v>3603</v>
      </c>
    </row>
    <row r="3017" ht="15.75" customHeight="1">
      <c r="A3017" s="4" t="s">
        <v>4088</v>
      </c>
      <c r="B3017" s="4" t="s">
        <v>13</v>
      </c>
      <c r="I3017" s="4">
        <v>0.25489</v>
      </c>
      <c r="K3017" s="6" t="b">
        <f t="shared" ref="K3017:M3017" si="2830">FALSE()</f>
        <v>0</v>
      </c>
      <c r="L3017" s="6" t="b">
        <f t="shared" si="2830"/>
        <v>0</v>
      </c>
      <c r="M3017" s="6" t="b">
        <f t="shared" si="2830"/>
        <v>0</v>
      </c>
      <c r="P3017" s="4">
        <v>0.227047919339923</v>
      </c>
      <c r="T3017" s="4" t="str">
        <f t="shared" si="3"/>
        <v/>
      </c>
      <c r="U3017" s="4">
        <f t="shared" si="4"/>
        <v>1754</v>
      </c>
    </row>
    <row r="3018" ht="15.75" customHeight="1">
      <c r="A3018" s="4" t="s">
        <v>4089</v>
      </c>
      <c r="B3018" s="4" t="s">
        <v>13</v>
      </c>
      <c r="I3018" s="4">
        <v>0.10849</v>
      </c>
      <c r="K3018" s="6" t="b">
        <f t="shared" ref="K3018:M3018" si="2831">FALSE()</f>
        <v>0</v>
      </c>
      <c r="L3018" s="6" t="b">
        <f t="shared" si="2831"/>
        <v>0</v>
      </c>
      <c r="M3018" s="6" t="b">
        <f t="shared" si="2831"/>
        <v>0</v>
      </c>
      <c r="P3018" s="4">
        <v>0.102998728833718</v>
      </c>
      <c r="T3018" s="4" t="str">
        <f t="shared" si="3"/>
        <v/>
      </c>
      <c r="U3018" s="4">
        <f t="shared" si="4"/>
        <v>4073</v>
      </c>
    </row>
    <row r="3019" ht="15.75" customHeight="1">
      <c r="A3019" s="4" t="s">
        <v>4090</v>
      </c>
      <c r="B3019" s="4" t="s">
        <v>13</v>
      </c>
      <c r="I3019" s="4">
        <v>0.154734</v>
      </c>
      <c r="K3019" s="6" t="b">
        <f t="shared" ref="K3019:M3019" si="2832">FALSE()</f>
        <v>0</v>
      </c>
      <c r="L3019" s="6" t="b">
        <f t="shared" si="2832"/>
        <v>0</v>
      </c>
      <c r="M3019" s="6" t="b">
        <f t="shared" si="2832"/>
        <v>0</v>
      </c>
      <c r="P3019" s="4">
        <v>0.143870014419639</v>
      </c>
      <c r="T3019" s="4" t="str">
        <f t="shared" si="3"/>
        <v/>
      </c>
      <c r="U3019" s="4">
        <f t="shared" si="4"/>
        <v>3247</v>
      </c>
    </row>
    <row r="3020" ht="15.75" customHeight="1">
      <c r="A3020" s="4" t="s">
        <v>4091</v>
      </c>
      <c r="B3020" s="4" t="s">
        <v>13</v>
      </c>
      <c r="I3020" s="4">
        <v>0.1749</v>
      </c>
      <c r="K3020" s="6" t="b">
        <f t="shared" ref="K3020:M3020" si="2833">FALSE()</f>
        <v>0</v>
      </c>
      <c r="L3020" s="6" t="b">
        <f t="shared" si="2833"/>
        <v>0</v>
      </c>
      <c r="M3020" s="6" t="b">
        <f t="shared" si="2833"/>
        <v>0</v>
      </c>
      <c r="P3020" s="4">
        <v>0.16118303759139</v>
      </c>
      <c r="T3020" s="4" t="str">
        <f t="shared" si="3"/>
        <v/>
      </c>
      <c r="U3020" s="4">
        <f t="shared" si="4"/>
        <v>2985</v>
      </c>
    </row>
    <row r="3021" ht="15.75" customHeight="1">
      <c r="A3021" s="4" t="s">
        <v>4092</v>
      </c>
      <c r="B3021" s="4" t="s">
        <v>13</v>
      </c>
      <c r="I3021" s="4">
        <v>0.21599</v>
      </c>
      <c r="K3021" s="6" t="b">
        <f t="shared" ref="K3021:M3021" si="2834">FALSE()</f>
        <v>0</v>
      </c>
      <c r="L3021" s="6" t="b">
        <f t="shared" si="2834"/>
        <v>0</v>
      </c>
      <c r="M3021" s="6" t="b">
        <f t="shared" si="2834"/>
        <v>0</v>
      </c>
      <c r="P3021" s="4">
        <v>0.19555855982595</v>
      </c>
      <c r="T3021" s="4" t="str">
        <f t="shared" si="3"/>
        <v/>
      </c>
      <c r="U3021" s="4">
        <f t="shared" si="4"/>
        <v>2320</v>
      </c>
    </row>
    <row r="3022" ht="15.75" customHeight="1">
      <c r="A3022" s="4" t="s">
        <v>4093</v>
      </c>
      <c r="B3022" s="4" t="s">
        <v>13</v>
      </c>
      <c r="I3022" s="4">
        <v>0.141236</v>
      </c>
      <c r="K3022" s="6" t="b">
        <f t="shared" ref="K3022:M3022" si="2835">FALSE()</f>
        <v>0</v>
      </c>
      <c r="L3022" s="6" t="b">
        <f t="shared" si="2835"/>
        <v>0</v>
      </c>
      <c r="M3022" s="6" t="b">
        <f t="shared" si="2835"/>
        <v>0</v>
      </c>
      <c r="P3022" s="4">
        <v>0.132111885600976</v>
      </c>
      <c r="T3022" s="4" t="str">
        <f t="shared" si="3"/>
        <v/>
      </c>
      <c r="U3022" s="4">
        <f t="shared" si="4"/>
        <v>3482</v>
      </c>
    </row>
    <row r="3023" ht="15.75" customHeight="1">
      <c r="A3023" s="4" t="s">
        <v>4094</v>
      </c>
      <c r="B3023" s="4" t="s">
        <v>13</v>
      </c>
      <c r="I3023" s="4">
        <v>0.15318</v>
      </c>
      <c r="K3023" s="6" t="b">
        <f t="shared" ref="K3023:M3023" si="2836">FALSE()</f>
        <v>0</v>
      </c>
      <c r="L3023" s="6" t="b">
        <f t="shared" si="2836"/>
        <v>0</v>
      </c>
      <c r="M3023" s="6" t="b">
        <f t="shared" si="2836"/>
        <v>0</v>
      </c>
      <c r="P3023" s="4">
        <v>0.142523343586279</v>
      </c>
      <c r="T3023" s="4" t="str">
        <f t="shared" si="3"/>
        <v/>
      </c>
      <c r="U3023" s="4">
        <f t="shared" si="4"/>
        <v>3267</v>
      </c>
    </row>
    <row r="3024" ht="15.75" customHeight="1">
      <c r="A3024" s="4" t="s">
        <v>4095</v>
      </c>
      <c r="B3024" s="4" t="s">
        <v>13</v>
      </c>
      <c r="I3024" s="4">
        <v>0.1008</v>
      </c>
      <c r="J3024" s="4">
        <v>0.0054</v>
      </c>
      <c r="K3024" s="6" t="b">
        <f t="shared" ref="K3024:M3024" si="2837">FALSE()</f>
        <v>0</v>
      </c>
      <c r="L3024" s="6" t="b">
        <f t="shared" si="2837"/>
        <v>0</v>
      </c>
      <c r="M3024" s="6" t="b">
        <f t="shared" si="2837"/>
        <v>0</v>
      </c>
      <c r="P3024" s="4">
        <v>0.0960371881969421</v>
      </c>
      <c r="T3024" s="4" t="str">
        <f t="shared" si="3"/>
        <v/>
      </c>
      <c r="U3024" s="4">
        <f t="shared" si="4"/>
        <v>4206</v>
      </c>
    </row>
    <row r="3025" ht="15.75" customHeight="1">
      <c r="A3025" s="4" t="s">
        <v>4096</v>
      </c>
      <c r="B3025" s="4" t="s">
        <v>13</v>
      </c>
      <c r="I3025" s="4">
        <v>0.1731</v>
      </c>
      <c r="J3025" s="4">
        <v>0.008</v>
      </c>
      <c r="K3025" s="6" t="b">
        <f t="shared" ref="K3025:M3025" si="2838">FALSE()</f>
        <v>0</v>
      </c>
      <c r="L3025" s="6" t="b">
        <f t="shared" si="2838"/>
        <v>0</v>
      </c>
      <c r="M3025" s="6" t="b">
        <f t="shared" si="2838"/>
        <v>0</v>
      </c>
      <c r="P3025" s="4">
        <v>0.159649817529538</v>
      </c>
      <c r="T3025" s="4" t="str">
        <f t="shared" si="3"/>
        <v/>
      </c>
      <c r="U3025" s="4">
        <f t="shared" si="4"/>
        <v>3003</v>
      </c>
    </row>
    <row r="3026" ht="15.75" customHeight="1">
      <c r="A3026" s="4" t="s">
        <v>4097</v>
      </c>
      <c r="B3026" s="4" t="s">
        <v>13</v>
      </c>
      <c r="I3026" s="4">
        <v>0.10158</v>
      </c>
      <c r="K3026" s="6" t="b">
        <f t="shared" ref="K3026:M3026" si="2839">FALSE()</f>
        <v>0</v>
      </c>
      <c r="L3026" s="6" t="b">
        <f t="shared" si="2839"/>
        <v>0</v>
      </c>
      <c r="M3026" s="6" t="b">
        <f t="shared" si="2839"/>
        <v>0</v>
      </c>
      <c r="P3026" s="4">
        <v>0.0967455128571843</v>
      </c>
      <c r="T3026" s="4" t="str">
        <f t="shared" si="3"/>
        <v/>
      </c>
      <c r="U3026" s="4">
        <f t="shared" si="4"/>
        <v>4197</v>
      </c>
    </row>
    <row r="3027" ht="15.75" customHeight="1">
      <c r="A3027" s="4" t="s">
        <v>4098</v>
      </c>
      <c r="B3027" s="4" t="s">
        <v>13</v>
      </c>
      <c r="I3027" s="4">
        <v>0.19687</v>
      </c>
      <c r="K3027" s="6" t="b">
        <f t="shared" ref="K3027:M3027" si="2840">FALSE()</f>
        <v>0</v>
      </c>
      <c r="L3027" s="6" t="b">
        <f t="shared" si="2840"/>
        <v>0</v>
      </c>
      <c r="M3027" s="6" t="b">
        <f t="shared" si="2840"/>
        <v>0</v>
      </c>
      <c r="P3027" s="4">
        <v>0.179709815832456</v>
      </c>
      <c r="T3027" s="4" t="str">
        <f t="shared" si="3"/>
        <v/>
      </c>
      <c r="U3027" s="4">
        <f t="shared" si="4"/>
        <v>2639</v>
      </c>
    </row>
    <row r="3028" ht="15.75" customHeight="1">
      <c r="A3028" s="4" t="s">
        <v>4099</v>
      </c>
      <c r="B3028" s="4" t="s">
        <v>13</v>
      </c>
      <c r="I3028" s="4">
        <v>0.19654</v>
      </c>
      <c r="K3028" s="6" t="b">
        <f t="shared" ref="K3028:M3028" si="2841">FALSE()</f>
        <v>0</v>
      </c>
      <c r="L3028" s="6" t="b">
        <f t="shared" si="2841"/>
        <v>0</v>
      </c>
      <c r="M3028" s="6" t="b">
        <f t="shared" si="2841"/>
        <v>0</v>
      </c>
      <c r="P3028" s="4">
        <v>0.179434058647443</v>
      </c>
      <c r="T3028" s="4" t="str">
        <f t="shared" si="3"/>
        <v/>
      </c>
      <c r="U3028" s="4">
        <f t="shared" si="4"/>
        <v>2640</v>
      </c>
    </row>
    <row r="3029" ht="15.75" customHeight="1">
      <c r="A3029" s="4" t="s">
        <v>4100</v>
      </c>
      <c r="B3029" s="4" t="s">
        <v>13</v>
      </c>
      <c r="I3029" s="4">
        <v>0.20189</v>
      </c>
      <c r="K3029" s="6" t="b">
        <f t="shared" ref="K3029:M3029" si="2842">FALSE()</f>
        <v>0</v>
      </c>
      <c r="L3029" s="6" t="b">
        <f t="shared" si="2842"/>
        <v>0</v>
      </c>
      <c r="M3029" s="6" t="b">
        <f t="shared" si="2842"/>
        <v>0</v>
      </c>
      <c r="P3029" s="4">
        <v>0.183895317782246</v>
      </c>
      <c r="T3029" s="4" t="str">
        <f t="shared" si="3"/>
        <v/>
      </c>
      <c r="U3029" s="4">
        <f t="shared" si="4"/>
        <v>2560</v>
      </c>
    </row>
    <row r="3030" ht="15.75" customHeight="1">
      <c r="A3030" s="4" t="s">
        <v>4101</v>
      </c>
      <c r="B3030" s="4" t="s">
        <v>13</v>
      </c>
      <c r="I3030" s="4">
        <v>0.06727</v>
      </c>
      <c r="K3030" s="6" t="b">
        <f t="shared" ref="K3030:M3030" si="2843">FALSE()</f>
        <v>0</v>
      </c>
      <c r="L3030" s="6" t="b">
        <f t="shared" si="2843"/>
        <v>0</v>
      </c>
      <c r="M3030" s="6" t="b">
        <f t="shared" si="2843"/>
        <v>0</v>
      </c>
      <c r="P3030" s="4">
        <v>0.0651039862320457</v>
      </c>
      <c r="T3030" s="4" t="str">
        <f t="shared" si="3"/>
        <v/>
      </c>
      <c r="U3030" s="4">
        <f t="shared" si="4"/>
        <v>4505</v>
      </c>
    </row>
    <row r="3031" ht="15.75" customHeight="1">
      <c r="A3031" s="4" t="s">
        <v>4102</v>
      </c>
      <c r="B3031" s="4" t="s">
        <v>13</v>
      </c>
      <c r="I3031" s="4">
        <v>0.140674</v>
      </c>
      <c r="K3031" s="6" t="b">
        <f t="shared" ref="K3031:M3031" si="2844">FALSE()</f>
        <v>0</v>
      </c>
      <c r="L3031" s="6" t="b">
        <f t="shared" si="2844"/>
        <v>0</v>
      </c>
      <c r="M3031" s="6" t="b">
        <f t="shared" si="2844"/>
        <v>0</v>
      </c>
      <c r="P3031" s="4">
        <v>0.131619315770122</v>
      </c>
      <c r="T3031" s="4" t="str">
        <f t="shared" si="3"/>
        <v/>
      </c>
      <c r="U3031" s="4">
        <f t="shared" si="4"/>
        <v>3496</v>
      </c>
    </row>
    <row r="3032" ht="15.75" customHeight="1">
      <c r="A3032" s="4" t="s">
        <v>4103</v>
      </c>
      <c r="B3032" s="4" t="s">
        <v>13</v>
      </c>
      <c r="I3032" s="4">
        <v>0.18575</v>
      </c>
      <c r="K3032" s="6" t="b">
        <f t="shared" ref="K3032:M3032" si="2845">FALSE()</f>
        <v>0</v>
      </c>
      <c r="L3032" s="6" t="b">
        <f t="shared" si="2845"/>
        <v>0</v>
      </c>
      <c r="M3032" s="6" t="b">
        <f t="shared" si="2845"/>
        <v>0</v>
      </c>
      <c r="P3032" s="4">
        <v>0.170375485775554</v>
      </c>
      <c r="T3032" s="4" t="str">
        <f t="shared" si="3"/>
        <v/>
      </c>
      <c r="U3032" s="4">
        <f t="shared" si="4"/>
        <v>2815</v>
      </c>
    </row>
    <row r="3033" ht="15.75" customHeight="1">
      <c r="A3033" s="4" t="s">
        <v>4104</v>
      </c>
      <c r="B3033" s="4" t="s">
        <v>13</v>
      </c>
      <c r="I3033" s="4">
        <v>0.103471</v>
      </c>
      <c r="K3033" s="6" t="b">
        <f t="shared" ref="K3033:M3033" si="2846">FALSE()</f>
        <v>0</v>
      </c>
      <c r="L3033" s="6" t="b">
        <f t="shared" si="2846"/>
        <v>0</v>
      </c>
      <c r="M3033" s="6" t="b">
        <f t="shared" si="2846"/>
        <v>0</v>
      </c>
      <c r="P3033" s="4">
        <v>0.0984606663512041</v>
      </c>
      <c r="T3033" s="4" t="str">
        <f t="shared" si="3"/>
        <v/>
      </c>
      <c r="U3033" s="4">
        <f t="shared" si="4"/>
        <v>4166</v>
      </c>
    </row>
    <row r="3034" ht="15.75" customHeight="1">
      <c r="A3034" s="4" t="s">
        <v>4105</v>
      </c>
      <c r="B3034" s="4" t="s">
        <v>13</v>
      </c>
      <c r="I3034" s="4">
        <v>0.280982</v>
      </c>
      <c r="K3034" s="6" t="b">
        <f t="shared" ref="K3034:M3034" si="2847">FALSE()</f>
        <v>0</v>
      </c>
      <c r="L3034" s="6" t="b">
        <f t="shared" si="2847"/>
        <v>0</v>
      </c>
      <c r="M3034" s="6" t="b">
        <f t="shared" si="2847"/>
        <v>0</v>
      </c>
      <c r="P3034" s="4">
        <v>0.247626971293625</v>
      </c>
      <c r="T3034" s="4" t="str">
        <f t="shared" si="3"/>
        <v/>
      </c>
      <c r="U3034" s="4">
        <f t="shared" si="4"/>
        <v>1502</v>
      </c>
    </row>
    <row r="3035" ht="15.75" customHeight="1">
      <c r="A3035" s="4" t="s">
        <v>4106</v>
      </c>
      <c r="B3035" s="4" t="s">
        <v>13</v>
      </c>
      <c r="I3035" s="4">
        <v>0.099876</v>
      </c>
      <c r="K3035" s="6" t="b">
        <f t="shared" ref="K3035:M3035" si="2848">FALSE()</f>
        <v>0</v>
      </c>
      <c r="L3035" s="6" t="b">
        <f t="shared" si="2848"/>
        <v>0</v>
      </c>
      <c r="M3035" s="6" t="b">
        <f t="shared" si="2848"/>
        <v>0</v>
      </c>
      <c r="P3035" s="4">
        <v>0.095197446177401</v>
      </c>
      <c r="T3035" s="4" t="str">
        <f t="shared" si="3"/>
        <v/>
      </c>
      <c r="U3035" s="4">
        <f t="shared" si="4"/>
        <v>4227</v>
      </c>
    </row>
    <row r="3036" ht="15.75" customHeight="1">
      <c r="A3036" s="4" t="s">
        <v>4107</v>
      </c>
      <c r="B3036" s="4" t="s">
        <v>13</v>
      </c>
      <c r="I3036" s="4">
        <v>0.074039</v>
      </c>
      <c r="K3036" s="6" t="b">
        <f t="shared" ref="K3036:M3036" si="2849">FALSE()</f>
        <v>0</v>
      </c>
      <c r="L3036" s="6" t="b">
        <f t="shared" si="2849"/>
        <v>0</v>
      </c>
      <c r="M3036" s="6" t="b">
        <f t="shared" si="2849"/>
        <v>0</v>
      </c>
      <c r="P3036" s="4">
        <v>0.0714263082765394</v>
      </c>
      <c r="T3036" s="4" t="str">
        <f t="shared" si="3"/>
        <v/>
      </c>
      <c r="U3036" s="4">
        <f t="shared" si="4"/>
        <v>4458</v>
      </c>
    </row>
    <row r="3037" ht="15.75" customHeight="1">
      <c r="A3037" s="4" t="s">
        <v>4108</v>
      </c>
      <c r="B3037" s="4" t="s">
        <v>13</v>
      </c>
      <c r="I3037" s="4">
        <v>0.095</v>
      </c>
      <c r="J3037" s="4">
        <v>0.011</v>
      </c>
      <c r="K3037" s="6" t="b">
        <f t="shared" ref="K3037:M3037" si="2850">FALSE()</f>
        <v>0</v>
      </c>
      <c r="L3037" s="6" t="b">
        <f t="shared" si="2850"/>
        <v>0</v>
      </c>
      <c r="M3037" s="6" t="b">
        <f t="shared" si="2850"/>
        <v>0</v>
      </c>
      <c r="P3037" s="4">
        <v>0.0907543632684641</v>
      </c>
      <c r="T3037" s="4" t="str">
        <f t="shared" si="3"/>
        <v/>
      </c>
      <c r="U3037" s="4">
        <f t="shared" si="4"/>
        <v>4280</v>
      </c>
    </row>
    <row r="3038" ht="15.75" customHeight="1">
      <c r="A3038" s="4" t="s">
        <v>4109</v>
      </c>
      <c r="B3038" s="4" t="s">
        <v>13</v>
      </c>
      <c r="I3038" s="4">
        <v>0.112</v>
      </c>
      <c r="J3038" s="4">
        <v>0.012</v>
      </c>
      <c r="K3038" s="6" t="b">
        <f t="shared" ref="K3038:M3038" si="2851">FALSE()</f>
        <v>0</v>
      </c>
      <c r="L3038" s="6" t="b">
        <f t="shared" si="2851"/>
        <v>0</v>
      </c>
      <c r="M3038" s="6" t="b">
        <f t="shared" si="2851"/>
        <v>0</v>
      </c>
      <c r="P3038" s="4">
        <v>0.106160195828391</v>
      </c>
      <c r="T3038" s="4" t="str">
        <f t="shared" si="3"/>
        <v/>
      </c>
      <c r="U3038" s="4">
        <f t="shared" si="4"/>
        <v>4016</v>
      </c>
    </row>
    <row r="3039" ht="15.75" customHeight="1">
      <c r="A3039" s="4" t="s">
        <v>4110</v>
      </c>
      <c r="B3039" s="4" t="s">
        <v>13</v>
      </c>
      <c r="I3039" s="4">
        <v>0.125</v>
      </c>
      <c r="J3039" s="4">
        <v>0.014</v>
      </c>
      <c r="K3039" s="6" t="b">
        <f t="shared" ref="K3039:M3039" si="2852">FALSE()</f>
        <v>0</v>
      </c>
      <c r="L3039" s="6" t="b">
        <f t="shared" si="2852"/>
        <v>0</v>
      </c>
      <c r="M3039" s="6" t="b">
        <f t="shared" si="2852"/>
        <v>0</v>
      </c>
      <c r="P3039" s="4">
        <v>0.117783035656383</v>
      </c>
      <c r="T3039" s="4" t="str">
        <f t="shared" si="3"/>
        <v/>
      </c>
      <c r="U3039" s="4">
        <f t="shared" si="4"/>
        <v>3787</v>
      </c>
    </row>
    <row r="3040" ht="15.75" customHeight="1">
      <c r="A3040" s="4" t="s">
        <v>4111</v>
      </c>
      <c r="B3040" s="4" t="s">
        <v>13</v>
      </c>
      <c r="I3040" s="4">
        <v>0.113</v>
      </c>
      <c r="J3040" s="4">
        <v>0.012</v>
      </c>
      <c r="K3040" s="6" t="b">
        <f t="shared" ref="K3040:M3040" si="2853">FALSE()</f>
        <v>0</v>
      </c>
      <c r="L3040" s="6" t="b">
        <f t="shared" si="2853"/>
        <v>0</v>
      </c>
      <c r="M3040" s="6" t="b">
        <f t="shared" si="2853"/>
        <v>0</v>
      </c>
      <c r="P3040" s="4">
        <v>0.107059072293408</v>
      </c>
      <c r="T3040" s="4" t="str">
        <f t="shared" si="3"/>
        <v/>
      </c>
      <c r="U3040" s="4">
        <f t="shared" si="4"/>
        <v>3994</v>
      </c>
    </row>
    <row r="3041" ht="15.75" customHeight="1">
      <c r="A3041" s="4" t="s">
        <v>4112</v>
      </c>
      <c r="B3041" s="4" t="s">
        <v>13</v>
      </c>
      <c r="I3041" s="4">
        <v>0.104</v>
      </c>
      <c r="J3041" s="4">
        <v>0.007</v>
      </c>
      <c r="K3041" s="6" t="b">
        <f t="shared" ref="K3041:M3041" si="2854">FALSE()</f>
        <v>0</v>
      </c>
      <c r="L3041" s="6" t="b">
        <f t="shared" si="2854"/>
        <v>0</v>
      </c>
      <c r="M3041" s="6" t="b">
        <f t="shared" si="2854"/>
        <v>0</v>
      </c>
      <c r="P3041" s="4">
        <v>0.0989399478549035</v>
      </c>
      <c r="T3041" s="4" t="str">
        <f t="shared" si="3"/>
        <v/>
      </c>
      <c r="U3041" s="4">
        <f t="shared" si="4"/>
        <v>4154</v>
      </c>
    </row>
    <row r="3042" ht="15.75" customHeight="1">
      <c r="A3042" s="4" t="s">
        <v>4113</v>
      </c>
      <c r="B3042" s="4" t="s">
        <v>13</v>
      </c>
      <c r="I3042" s="4">
        <v>0.187476</v>
      </c>
      <c r="K3042" s="6" t="b">
        <f t="shared" ref="K3042:M3042" si="2855">FALSE()</f>
        <v>0</v>
      </c>
      <c r="L3042" s="6" t="b">
        <f t="shared" si="2855"/>
        <v>0</v>
      </c>
      <c r="M3042" s="6" t="b">
        <f t="shared" si="2855"/>
        <v>0</v>
      </c>
      <c r="P3042" s="4">
        <v>0.171830046196108</v>
      </c>
      <c r="T3042" s="4" t="str">
        <f t="shared" si="3"/>
        <v/>
      </c>
      <c r="U3042" s="4">
        <f t="shared" si="4"/>
        <v>2780</v>
      </c>
    </row>
    <row r="3043" ht="15.75" customHeight="1">
      <c r="A3043" s="4" t="s">
        <v>4114</v>
      </c>
      <c r="B3043" s="4" t="s">
        <v>13</v>
      </c>
      <c r="I3043" s="4">
        <v>0.21599</v>
      </c>
      <c r="K3043" s="6" t="b">
        <f t="shared" ref="K3043:M3043" si="2856">FALSE()</f>
        <v>0</v>
      </c>
      <c r="L3043" s="6" t="b">
        <f t="shared" si="2856"/>
        <v>0</v>
      </c>
      <c r="M3043" s="6" t="b">
        <f t="shared" si="2856"/>
        <v>0</v>
      </c>
      <c r="P3043" s="4">
        <v>0.19555855982595</v>
      </c>
      <c r="T3043" s="4" t="str">
        <f t="shared" si="3"/>
        <v/>
      </c>
      <c r="U3043" s="4">
        <f t="shared" si="4"/>
        <v>2321</v>
      </c>
    </row>
    <row r="3044" ht="15.75" customHeight="1">
      <c r="A3044" s="4" t="s">
        <v>4115</v>
      </c>
      <c r="B3044" s="4" t="s">
        <v>13</v>
      </c>
      <c r="I3044" s="4">
        <v>0.21269</v>
      </c>
      <c r="K3044" s="6" t="b">
        <f t="shared" ref="K3044:M3044" si="2857">FALSE()</f>
        <v>0</v>
      </c>
      <c r="L3044" s="6" t="b">
        <f t="shared" si="2857"/>
        <v>0</v>
      </c>
      <c r="M3044" s="6" t="b">
        <f t="shared" si="2857"/>
        <v>0</v>
      </c>
      <c r="P3044" s="4">
        <v>0.192841032584105</v>
      </c>
      <c r="T3044" s="4" t="str">
        <f t="shared" si="3"/>
        <v/>
      </c>
      <c r="U3044" s="4">
        <f t="shared" si="4"/>
        <v>2369</v>
      </c>
    </row>
    <row r="3045" ht="15.75" customHeight="1">
      <c r="A3045" s="4" t="s">
        <v>4116</v>
      </c>
      <c r="B3045" s="4" t="s">
        <v>13</v>
      </c>
      <c r="I3045" s="4">
        <v>0.145036</v>
      </c>
      <c r="K3045" s="6" t="b">
        <f t="shared" ref="K3045:M3045" si="2858">FALSE()</f>
        <v>0</v>
      </c>
      <c r="L3045" s="6" t="b">
        <f t="shared" si="2858"/>
        <v>0</v>
      </c>
      <c r="M3045" s="6" t="b">
        <f t="shared" si="2858"/>
        <v>0</v>
      </c>
      <c r="P3045" s="4">
        <v>0.135436077559979</v>
      </c>
      <c r="T3045" s="4" t="str">
        <f t="shared" si="3"/>
        <v/>
      </c>
      <c r="U3045" s="4">
        <f t="shared" si="4"/>
        <v>3406</v>
      </c>
    </row>
    <row r="3046" ht="15.75" customHeight="1">
      <c r="A3046" s="4" t="s">
        <v>4117</v>
      </c>
      <c r="B3046" s="4" t="s">
        <v>13</v>
      </c>
      <c r="I3046" s="4">
        <v>0.19725</v>
      </c>
      <c r="K3046" s="6" t="b">
        <f t="shared" ref="K3046:M3046" si="2859">FALSE()</f>
        <v>0</v>
      </c>
      <c r="L3046" s="6" t="b">
        <f t="shared" si="2859"/>
        <v>0</v>
      </c>
      <c r="M3046" s="6" t="b">
        <f t="shared" si="2859"/>
        <v>0</v>
      </c>
      <c r="P3046" s="4">
        <v>0.180027260240582</v>
      </c>
      <c r="T3046" s="4" t="str">
        <f t="shared" si="3"/>
        <v/>
      </c>
      <c r="U3046" s="4">
        <f t="shared" si="4"/>
        <v>2628</v>
      </c>
    </row>
    <row r="3047" ht="15.75" customHeight="1">
      <c r="A3047" s="4" t="s">
        <v>4118</v>
      </c>
      <c r="B3047" s="4" t="s">
        <v>13</v>
      </c>
      <c r="I3047" s="4">
        <v>0.287878</v>
      </c>
      <c r="K3047" s="6" t="b">
        <f t="shared" ref="K3047:M3047" si="2860">FALSE()</f>
        <v>0</v>
      </c>
      <c r="L3047" s="6" t="b">
        <f t="shared" si="2860"/>
        <v>0</v>
      </c>
      <c r="M3047" s="6" t="b">
        <f t="shared" si="2860"/>
        <v>0</v>
      </c>
      <c r="P3047" s="4">
        <v>0.252995902698998</v>
      </c>
      <c r="T3047" s="4" t="str">
        <f t="shared" si="3"/>
        <v/>
      </c>
      <c r="U3047" s="4">
        <f t="shared" si="4"/>
        <v>1449</v>
      </c>
    </row>
    <row r="3048" ht="15.75" customHeight="1">
      <c r="A3048" s="4" t="s">
        <v>809</v>
      </c>
      <c r="B3048" s="4" t="s">
        <v>13</v>
      </c>
      <c r="C3048" s="4">
        <v>0.0076</v>
      </c>
      <c r="D3048" s="4">
        <v>0.0076</v>
      </c>
      <c r="E3048" s="4">
        <v>0.0</v>
      </c>
      <c r="I3048" s="4">
        <v>0.0761</v>
      </c>
      <c r="J3048" s="4">
        <v>0.00232</v>
      </c>
      <c r="K3048" s="6" t="b">
        <f t="shared" ref="K3048:M3048" si="2861">FALSE()</f>
        <v>0</v>
      </c>
      <c r="L3048" s="6" t="b">
        <f t="shared" si="2861"/>
        <v>0</v>
      </c>
      <c r="M3048" s="6" t="b">
        <f t="shared" si="2861"/>
        <v>0</v>
      </c>
      <c r="N3048" s="4">
        <v>0.007571265496318</v>
      </c>
      <c r="P3048" s="4">
        <v>0.0733433942242095</v>
      </c>
      <c r="T3048" s="4">
        <f t="shared" si="3"/>
        <v>1980</v>
      </c>
      <c r="U3048" s="4">
        <f t="shared" si="4"/>
        <v>4447</v>
      </c>
    </row>
    <row r="3049" ht="15.75" customHeight="1">
      <c r="A3049" s="4" t="s">
        <v>4119</v>
      </c>
      <c r="B3049" s="4" t="s">
        <v>13</v>
      </c>
      <c r="I3049" s="4">
        <v>0.05567</v>
      </c>
      <c r="K3049" s="6" t="b">
        <f t="shared" ref="K3049:M3049" si="2862">FALSE()</f>
        <v>0</v>
      </c>
      <c r="L3049" s="6" t="b">
        <f t="shared" si="2862"/>
        <v>0</v>
      </c>
      <c r="M3049" s="6" t="b">
        <f t="shared" si="2862"/>
        <v>0</v>
      </c>
      <c r="P3049" s="4">
        <v>0.0541756364457698</v>
      </c>
      <c r="T3049" s="4" t="str">
        <f t="shared" si="3"/>
        <v/>
      </c>
      <c r="U3049" s="4">
        <f t="shared" si="4"/>
        <v>4546</v>
      </c>
    </row>
    <row r="3050" ht="15.75" customHeight="1">
      <c r="A3050" s="4" t="s">
        <v>4120</v>
      </c>
      <c r="B3050" s="4" t="s">
        <v>13</v>
      </c>
      <c r="I3050" s="4">
        <v>0.2605</v>
      </c>
      <c r="K3050" s="6" t="b">
        <f t="shared" ref="K3050:M3050" si="2863">FALSE()</f>
        <v>0</v>
      </c>
      <c r="L3050" s="6" t="b">
        <f t="shared" si="2863"/>
        <v>0</v>
      </c>
      <c r="M3050" s="6" t="b">
        <f t="shared" si="2863"/>
        <v>0</v>
      </c>
      <c r="P3050" s="4">
        <v>0.231508467645837</v>
      </c>
      <c r="T3050" s="4" t="str">
        <f t="shared" si="3"/>
        <v/>
      </c>
      <c r="U3050" s="4">
        <f t="shared" si="4"/>
        <v>1681</v>
      </c>
    </row>
    <row r="3051" ht="15.75" customHeight="1">
      <c r="A3051" s="4" t="s">
        <v>4121</v>
      </c>
      <c r="B3051" s="4" t="s">
        <v>13</v>
      </c>
      <c r="I3051" s="4">
        <v>0.184237</v>
      </c>
      <c r="K3051" s="6" t="b">
        <f t="shared" ref="K3051:M3051" si="2864">FALSE()</f>
        <v>0</v>
      </c>
      <c r="L3051" s="6" t="b">
        <f t="shared" si="2864"/>
        <v>0</v>
      </c>
      <c r="M3051" s="6" t="b">
        <f t="shared" si="2864"/>
        <v>0</v>
      </c>
      <c r="P3051" s="4">
        <v>0.169098685349608</v>
      </c>
      <c r="T3051" s="4" t="str">
        <f t="shared" si="3"/>
        <v/>
      </c>
      <c r="U3051" s="4">
        <f t="shared" si="4"/>
        <v>2833</v>
      </c>
    </row>
    <row r="3052" ht="15.75" customHeight="1">
      <c r="A3052" s="4" t="s">
        <v>4122</v>
      </c>
      <c r="B3052" s="4" t="s">
        <v>13</v>
      </c>
      <c r="I3052" s="4">
        <v>0.126</v>
      </c>
      <c r="J3052" s="4">
        <v>0.025</v>
      </c>
      <c r="K3052" s="6" t="b">
        <f t="shared" ref="K3052:M3052" si="2865">FALSE()</f>
        <v>0</v>
      </c>
      <c r="L3052" s="6" t="b">
        <f t="shared" si="2865"/>
        <v>0</v>
      </c>
      <c r="M3052" s="6" t="b">
        <f t="shared" si="2865"/>
        <v>0</v>
      </c>
      <c r="P3052" s="4">
        <v>0.118671529717499</v>
      </c>
      <c r="T3052" s="4" t="str">
        <f t="shared" si="3"/>
        <v/>
      </c>
      <c r="U3052" s="4">
        <f t="shared" si="4"/>
        <v>3768</v>
      </c>
    </row>
    <row r="3053" ht="15.75" customHeight="1">
      <c r="A3053" s="4" t="s">
        <v>4123</v>
      </c>
      <c r="B3053" s="4" t="s">
        <v>13</v>
      </c>
      <c r="I3053" s="4">
        <v>0.238</v>
      </c>
      <c r="J3053" s="4">
        <v>0.046</v>
      </c>
      <c r="K3053" s="6" t="b">
        <f t="shared" ref="K3053:M3053" si="2866">FALSE()</f>
        <v>0</v>
      </c>
      <c r="L3053" s="6" t="b">
        <f t="shared" si="2866"/>
        <v>0</v>
      </c>
      <c r="M3053" s="6" t="b">
        <f t="shared" si="2866"/>
        <v>0</v>
      </c>
      <c r="P3053" s="4">
        <v>0.213497174262404</v>
      </c>
      <c r="T3053" s="4" t="str">
        <f t="shared" si="3"/>
        <v/>
      </c>
      <c r="U3053" s="4">
        <f t="shared" si="4"/>
        <v>1976</v>
      </c>
    </row>
    <row r="3054" ht="15.75" customHeight="1">
      <c r="A3054" s="4" t="s">
        <v>4124</v>
      </c>
      <c r="B3054" s="4" t="s">
        <v>13</v>
      </c>
      <c r="I3054" s="4">
        <v>0.18885</v>
      </c>
      <c r="K3054" s="6" t="b">
        <f t="shared" ref="K3054:M3054" si="2867">FALSE()</f>
        <v>0</v>
      </c>
      <c r="L3054" s="6" t="b">
        <f t="shared" si="2867"/>
        <v>0</v>
      </c>
      <c r="M3054" s="6" t="b">
        <f t="shared" si="2867"/>
        <v>0</v>
      </c>
      <c r="P3054" s="4">
        <v>0.172986453316274</v>
      </c>
      <c r="T3054" s="4" t="str">
        <f t="shared" si="3"/>
        <v/>
      </c>
      <c r="U3054" s="4">
        <f t="shared" si="4"/>
        <v>2768</v>
      </c>
    </row>
    <row r="3055" ht="15.75" customHeight="1">
      <c r="A3055" s="4" t="s">
        <v>4125</v>
      </c>
      <c r="B3055" s="4" t="s">
        <v>13</v>
      </c>
      <c r="I3055" s="4">
        <v>0.26595</v>
      </c>
      <c r="K3055" s="6" t="b">
        <f t="shared" ref="K3055:M3055" si="2868">FALSE()</f>
        <v>0</v>
      </c>
      <c r="L3055" s="6" t="b">
        <f t="shared" si="2868"/>
        <v>0</v>
      </c>
      <c r="M3055" s="6" t="b">
        <f t="shared" si="2868"/>
        <v>0</v>
      </c>
      <c r="P3055" s="4">
        <v>0.235822828471283</v>
      </c>
      <c r="T3055" s="4" t="str">
        <f t="shared" si="3"/>
        <v/>
      </c>
      <c r="U3055" s="4">
        <f t="shared" si="4"/>
        <v>1628</v>
      </c>
    </row>
    <row r="3056" ht="15.75" customHeight="1">
      <c r="A3056" s="4" t="s">
        <v>4126</v>
      </c>
      <c r="B3056" s="4" t="s">
        <v>13</v>
      </c>
      <c r="I3056" s="4">
        <v>0.132636</v>
      </c>
      <c r="K3056" s="6" t="b">
        <f t="shared" ref="K3056:M3056" si="2869">FALSE()</f>
        <v>0</v>
      </c>
      <c r="L3056" s="6" t="b">
        <f t="shared" si="2869"/>
        <v>0</v>
      </c>
      <c r="M3056" s="6" t="b">
        <f t="shared" si="2869"/>
        <v>0</v>
      </c>
      <c r="P3056" s="4">
        <v>0.12454765946525</v>
      </c>
      <c r="T3056" s="4" t="str">
        <f t="shared" si="3"/>
        <v/>
      </c>
      <c r="U3056" s="4">
        <f t="shared" si="4"/>
        <v>3654</v>
      </c>
    </row>
    <row r="3057" ht="15.75" customHeight="1">
      <c r="A3057" s="4" t="s">
        <v>4127</v>
      </c>
      <c r="B3057" s="4" t="s">
        <v>13</v>
      </c>
      <c r="I3057" s="4">
        <v>0.29004</v>
      </c>
      <c r="K3057" s="6" t="b">
        <f t="shared" ref="K3057:M3057" si="2870">FALSE()</f>
        <v>0</v>
      </c>
      <c r="L3057" s="6" t="b">
        <f t="shared" si="2870"/>
        <v>0</v>
      </c>
      <c r="M3057" s="6" t="b">
        <f t="shared" si="2870"/>
        <v>0</v>
      </c>
      <c r="P3057" s="4">
        <v>0.254673225644788</v>
      </c>
      <c r="T3057" s="4" t="str">
        <f t="shared" si="3"/>
        <v/>
      </c>
      <c r="U3057" s="4">
        <f t="shared" si="4"/>
        <v>1435</v>
      </c>
    </row>
    <row r="3058" ht="15.75" customHeight="1">
      <c r="A3058" s="4" t="s">
        <v>4128</v>
      </c>
      <c r="B3058" s="4" t="s">
        <v>13</v>
      </c>
      <c r="I3058" s="4">
        <v>0.16184</v>
      </c>
      <c r="K3058" s="6" t="b">
        <f t="shared" ref="K3058:M3058" si="2871">FALSE()</f>
        <v>0</v>
      </c>
      <c r="L3058" s="6" t="b">
        <f t="shared" si="2871"/>
        <v>0</v>
      </c>
      <c r="M3058" s="6" t="b">
        <f t="shared" si="2871"/>
        <v>0</v>
      </c>
      <c r="P3058" s="4">
        <v>0.150004955317412</v>
      </c>
      <c r="T3058" s="4" t="str">
        <f t="shared" si="3"/>
        <v/>
      </c>
      <c r="U3058" s="4">
        <f t="shared" si="4"/>
        <v>3157</v>
      </c>
    </row>
    <row r="3059" ht="15.75" customHeight="1">
      <c r="A3059" s="4" t="s">
        <v>4129</v>
      </c>
      <c r="B3059" s="4" t="s">
        <v>13</v>
      </c>
      <c r="I3059" s="4">
        <v>0.134812</v>
      </c>
      <c r="K3059" s="6" t="b">
        <f t="shared" ref="K3059:M3059" si="2872">FALSE()</f>
        <v>0</v>
      </c>
      <c r="L3059" s="6" t="b">
        <f t="shared" si="2872"/>
        <v>0</v>
      </c>
      <c r="M3059" s="6" t="b">
        <f t="shared" si="2872"/>
        <v>0</v>
      </c>
      <c r="P3059" s="4">
        <v>0.126466998447231</v>
      </c>
      <c r="T3059" s="4" t="str">
        <f t="shared" si="3"/>
        <v/>
      </c>
      <c r="U3059" s="4">
        <f t="shared" si="4"/>
        <v>3620</v>
      </c>
    </row>
    <row r="3060" ht="15.75" customHeight="1">
      <c r="A3060" s="4" t="s">
        <v>4130</v>
      </c>
      <c r="B3060" s="4" t="s">
        <v>13</v>
      </c>
      <c r="I3060" s="4">
        <v>0.230308</v>
      </c>
      <c r="K3060" s="6" t="b">
        <f t="shared" ref="K3060:M3060" si="2873">FALSE()</f>
        <v>0</v>
      </c>
      <c r="L3060" s="6" t="b">
        <f t="shared" si="2873"/>
        <v>0</v>
      </c>
      <c r="M3060" s="6" t="b">
        <f t="shared" si="2873"/>
        <v>0</v>
      </c>
      <c r="P3060" s="4">
        <v>0.207264544541915</v>
      </c>
      <c r="T3060" s="4" t="str">
        <f t="shared" si="3"/>
        <v/>
      </c>
      <c r="U3060" s="4">
        <f t="shared" si="4"/>
        <v>2104</v>
      </c>
    </row>
    <row r="3061" ht="15.75" customHeight="1">
      <c r="A3061" s="4" t="s">
        <v>4131</v>
      </c>
      <c r="B3061" s="4" t="s">
        <v>13</v>
      </c>
      <c r="I3061" s="4">
        <v>0.260908</v>
      </c>
      <c r="K3061" s="6" t="b">
        <f t="shared" ref="K3061:M3061" si="2874">FALSE()</f>
        <v>0</v>
      </c>
      <c r="L3061" s="6" t="b">
        <f t="shared" si="2874"/>
        <v>0</v>
      </c>
      <c r="M3061" s="6" t="b">
        <f t="shared" si="2874"/>
        <v>0</v>
      </c>
      <c r="P3061" s="4">
        <v>0.231832096351355</v>
      </c>
      <c r="T3061" s="4" t="str">
        <f t="shared" si="3"/>
        <v/>
      </c>
      <c r="U3061" s="4">
        <f t="shared" si="4"/>
        <v>1680</v>
      </c>
    </row>
    <row r="3062" ht="15.75" customHeight="1">
      <c r="A3062" s="4" t="s">
        <v>4132</v>
      </c>
      <c r="B3062" s="4" t="s">
        <v>13</v>
      </c>
      <c r="I3062" s="4">
        <v>0.1182791</v>
      </c>
      <c r="K3062" s="6" t="b">
        <f t="shared" ref="K3062:M3062" si="2875">FALSE()</f>
        <v>0</v>
      </c>
      <c r="L3062" s="6" t="b">
        <f t="shared" si="2875"/>
        <v>0</v>
      </c>
      <c r="M3062" s="6" t="b">
        <f t="shared" si="2875"/>
        <v>0</v>
      </c>
      <c r="P3062" s="4">
        <v>0.111790985795721</v>
      </c>
      <c r="T3062" s="4" t="str">
        <f t="shared" si="3"/>
        <v/>
      </c>
      <c r="U3062" s="4">
        <f t="shared" si="4"/>
        <v>3900</v>
      </c>
    </row>
    <row r="3063" ht="15.75" customHeight="1">
      <c r="A3063" s="4" t="s">
        <v>4133</v>
      </c>
      <c r="B3063" s="4" t="s">
        <v>13</v>
      </c>
      <c r="I3063" s="4">
        <v>0.262613</v>
      </c>
      <c r="K3063" s="6" t="b">
        <f t="shared" ref="K3063:M3063" si="2876">FALSE()</f>
        <v>0</v>
      </c>
      <c r="L3063" s="6" t="b">
        <f t="shared" si="2876"/>
        <v>0</v>
      </c>
      <c r="M3063" s="6" t="b">
        <f t="shared" si="2876"/>
        <v>0</v>
      </c>
      <c r="P3063" s="4">
        <v>0.233183383112544</v>
      </c>
      <c r="T3063" s="4" t="str">
        <f t="shared" si="3"/>
        <v/>
      </c>
      <c r="U3063" s="4">
        <f t="shared" si="4"/>
        <v>1651</v>
      </c>
    </row>
    <row r="3064" ht="15.75" customHeight="1">
      <c r="A3064" s="4" t="s">
        <v>4134</v>
      </c>
      <c r="B3064" s="4" t="s">
        <v>13</v>
      </c>
      <c r="I3064" s="4">
        <v>0.15</v>
      </c>
      <c r="J3064" s="4">
        <v>0.068</v>
      </c>
      <c r="K3064" s="6" t="b">
        <f t="shared" ref="K3064:M3064" si="2877">FALSE()</f>
        <v>0</v>
      </c>
      <c r="L3064" s="6" t="b">
        <f t="shared" si="2877"/>
        <v>0</v>
      </c>
      <c r="M3064" s="6" t="b">
        <f t="shared" si="2877"/>
        <v>0</v>
      </c>
      <c r="P3064" s="4">
        <v>0.139761942375159</v>
      </c>
      <c r="T3064" s="4" t="str">
        <f t="shared" si="3"/>
        <v/>
      </c>
      <c r="U3064" s="4">
        <f t="shared" si="4"/>
        <v>3327</v>
      </c>
    </row>
    <row r="3065" ht="15.75" customHeight="1">
      <c r="A3065" s="4" t="s">
        <v>4135</v>
      </c>
      <c r="B3065" s="4" t="s">
        <v>13</v>
      </c>
      <c r="I3065" s="4">
        <v>0.285</v>
      </c>
      <c r="J3065" s="4">
        <v>0.129</v>
      </c>
      <c r="K3065" s="6" t="b">
        <f t="shared" ref="K3065:M3065" si="2878">FALSE()</f>
        <v>0</v>
      </c>
      <c r="L3065" s="6" t="b">
        <f t="shared" si="2878"/>
        <v>0</v>
      </c>
      <c r="M3065" s="6" t="b">
        <f t="shared" si="2878"/>
        <v>0</v>
      </c>
      <c r="P3065" s="4">
        <v>0.250758718347183</v>
      </c>
      <c r="T3065" s="4" t="str">
        <f t="shared" si="3"/>
        <v/>
      </c>
      <c r="U3065" s="4">
        <f t="shared" si="4"/>
        <v>1468</v>
      </c>
    </row>
    <row r="3066" ht="15.75" customHeight="1">
      <c r="A3066" s="4" t="s">
        <v>4136</v>
      </c>
      <c r="B3066" s="4" t="s">
        <v>13</v>
      </c>
      <c r="I3066" s="4">
        <v>0.077492</v>
      </c>
      <c r="K3066" s="6" t="b">
        <f t="shared" ref="K3066:M3066" si="2879">FALSE()</f>
        <v>0</v>
      </c>
      <c r="L3066" s="6" t="b">
        <f t="shared" si="2879"/>
        <v>0</v>
      </c>
      <c r="M3066" s="6" t="b">
        <f t="shared" si="2879"/>
        <v>0</v>
      </c>
      <c r="P3066" s="4">
        <v>0.0746361183742358</v>
      </c>
      <c r="T3066" s="4" t="str">
        <f t="shared" si="3"/>
        <v/>
      </c>
      <c r="U3066" s="4">
        <f t="shared" si="4"/>
        <v>4436</v>
      </c>
    </row>
    <row r="3067" ht="15.75" customHeight="1">
      <c r="A3067" s="4" t="s">
        <v>4137</v>
      </c>
      <c r="B3067" s="4" t="s">
        <v>13</v>
      </c>
      <c r="I3067" s="4">
        <v>0.1357</v>
      </c>
      <c r="K3067" s="6" t="b">
        <f t="shared" ref="K3067:M3067" si="2880">FALSE()</f>
        <v>0</v>
      </c>
      <c r="L3067" s="6" t="b">
        <f t="shared" si="2880"/>
        <v>0</v>
      </c>
      <c r="M3067" s="6" t="b">
        <f t="shared" si="2880"/>
        <v>0</v>
      </c>
      <c r="P3067" s="4">
        <v>0.127249200915464</v>
      </c>
      <c r="T3067" s="4" t="str">
        <f t="shared" si="3"/>
        <v/>
      </c>
      <c r="U3067" s="4">
        <f t="shared" si="4"/>
        <v>3600</v>
      </c>
    </row>
    <row r="3068" ht="15.75" customHeight="1">
      <c r="A3068" s="4" t="s">
        <v>4138</v>
      </c>
      <c r="B3068" s="4" t="s">
        <v>13</v>
      </c>
      <c r="I3068" s="4">
        <v>0.16389</v>
      </c>
      <c r="K3068" s="6" t="b">
        <f t="shared" ref="K3068:M3068" si="2881">FALSE()</f>
        <v>0</v>
      </c>
      <c r="L3068" s="6" t="b">
        <f t="shared" si="2881"/>
        <v>0</v>
      </c>
      <c r="M3068" s="6" t="b">
        <f t="shared" si="2881"/>
        <v>0</v>
      </c>
      <c r="P3068" s="4">
        <v>0.151767843125464</v>
      </c>
      <c r="T3068" s="4" t="str">
        <f t="shared" si="3"/>
        <v/>
      </c>
      <c r="U3068" s="4">
        <f t="shared" si="4"/>
        <v>3134</v>
      </c>
    </row>
    <row r="3069" ht="15.75" customHeight="1">
      <c r="A3069" s="4" t="s">
        <v>4139</v>
      </c>
      <c r="B3069" s="4" t="s">
        <v>13</v>
      </c>
      <c r="I3069" s="4">
        <v>0.15211</v>
      </c>
      <c r="K3069" s="6" t="b">
        <f t="shared" ref="K3069:M3069" si="2882">FALSE()</f>
        <v>0</v>
      </c>
      <c r="L3069" s="6" t="b">
        <f t="shared" si="2882"/>
        <v>0</v>
      </c>
      <c r="M3069" s="6" t="b">
        <f t="shared" si="2882"/>
        <v>0</v>
      </c>
      <c r="P3069" s="4">
        <v>0.141595043826302</v>
      </c>
      <c r="T3069" s="4" t="str">
        <f t="shared" si="3"/>
        <v/>
      </c>
      <c r="U3069" s="4">
        <f t="shared" si="4"/>
        <v>3288</v>
      </c>
    </row>
    <row r="3070" ht="15.75" customHeight="1">
      <c r="A3070" s="4" t="s">
        <v>4140</v>
      </c>
      <c r="B3070" s="4" t="s">
        <v>13</v>
      </c>
      <c r="I3070" s="4">
        <v>0.107</v>
      </c>
      <c r="K3070" s="6" t="b">
        <f t="shared" ref="K3070:M3070" si="2883">FALSE()</f>
        <v>0</v>
      </c>
      <c r="L3070" s="6" t="b">
        <f t="shared" si="2883"/>
        <v>0</v>
      </c>
      <c r="M3070" s="6" t="b">
        <f t="shared" si="2883"/>
        <v>0</v>
      </c>
      <c r="P3070" s="4">
        <v>0.1016536537265</v>
      </c>
      <c r="T3070" s="4" t="str">
        <f t="shared" si="3"/>
        <v/>
      </c>
      <c r="U3070" s="4">
        <f t="shared" si="4"/>
        <v>4098</v>
      </c>
    </row>
    <row r="3071" ht="15.75" customHeight="1">
      <c r="A3071" s="4" t="s">
        <v>4141</v>
      </c>
      <c r="B3071" s="4" t="s">
        <v>13</v>
      </c>
      <c r="I3071" s="4">
        <v>0.141753</v>
      </c>
      <c r="K3071" s="6" t="b">
        <f t="shared" ref="K3071:M3071" si="2884">FALSE()</f>
        <v>0</v>
      </c>
      <c r="L3071" s="6" t="b">
        <f t="shared" si="2884"/>
        <v>0</v>
      </c>
      <c r="M3071" s="6" t="b">
        <f t="shared" si="2884"/>
        <v>0</v>
      </c>
      <c r="P3071" s="4">
        <v>0.132564800624954</v>
      </c>
      <c r="T3071" s="4" t="str">
        <f t="shared" si="3"/>
        <v/>
      </c>
      <c r="U3071" s="4">
        <f t="shared" si="4"/>
        <v>3480</v>
      </c>
    </row>
    <row r="3072" ht="15.75" customHeight="1">
      <c r="A3072" s="4" t="s">
        <v>4142</v>
      </c>
      <c r="B3072" s="4" t="s">
        <v>13</v>
      </c>
      <c r="I3072" s="4">
        <v>0.18905</v>
      </c>
      <c r="K3072" s="6" t="b">
        <f t="shared" ref="K3072:M3072" si="2885">FALSE()</f>
        <v>0</v>
      </c>
      <c r="L3072" s="6" t="b">
        <f t="shared" si="2885"/>
        <v>0</v>
      </c>
      <c r="M3072" s="6" t="b">
        <f t="shared" si="2885"/>
        <v>0</v>
      </c>
      <c r="P3072" s="4">
        <v>0.173154668969138</v>
      </c>
      <c r="T3072" s="4" t="str">
        <f t="shared" si="3"/>
        <v/>
      </c>
      <c r="U3072" s="4">
        <f t="shared" si="4"/>
        <v>2750</v>
      </c>
    </row>
    <row r="3073" ht="15.75" customHeight="1">
      <c r="A3073" s="4" t="s">
        <v>4143</v>
      </c>
      <c r="B3073" s="4" t="s">
        <v>13</v>
      </c>
      <c r="I3073" s="4">
        <v>0.277</v>
      </c>
      <c r="K3073" s="6" t="b">
        <f t="shared" ref="K3073:M3073" si="2886">FALSE()</f>
        <v>0</v>
      </c>
      <c r="L3073" s="6" t="b">
        <f t="shared" si="2886"/>
        <v>0</v>
      </c>
      <c r="M3073" s="6" t="b">
        <f t="shared" si="2886"/>
        <v>0</v>
      </c>
      <c r="P3073" s="4">
        <v>0.244513577050402</v>
      </c>
      <c r="T3073" s="4" t="str">
        <f t="shared" si="3"/>
        <v/>
      </c>
      <c r="U3073" s="4">
        <f t="shared" si="4"/>
        <v>1528</v>
      </c>
    </row>
    <row r="3074" ht="15.75" customHeight="1">
      <c r="A3074" s="4" t="s">
        <v>4144</v>
      </c>
      <c r="B3074" s="4" t="s">
        <v>13</v>
      </c>
      <c r="I3074" s="4">
        <v>0.25105</v>
      </c>
      <c r="K3074" s="6" t="b">
        <f t="shared" ref="K3074:M3074" si="2887">FALSE()</f>
        <v>0</v>
      </c>
      <c r="L3074" s="6" t="b">
        <f t="shared" si="2887"/>
        <v>0</v>
      </c>
      <c r="M3074" s="6" t="b">
        <f t="shared" si="2887"/>
        <v>0</v>
      </c>
      <c r="P3074" s="4">
        <v>0.223983198711653</v>
      </c>
      <c r="T3074" s="4" t="str">
        <f t="shared" si="3"/>
        <v/>
      </c>
      <c r="U3074" s="4">
        <f t="shared" si="4"/>
        <v>1793</v>
      </c>
    </row>
    <row r="3075" ht="15.75" customHeight="1">
      <c r="A3075" s="4" t="s">
        <v>4145</v>
      </c>
      <c r="B3075" s="4" t="s">
        <v>13</v>
      </c>
      <c r="I3075" s="4">
        <v>0.083264</v>
      </c>
      <c r="K3075" s="6" t="b">
        <f t="shared" ref="K3075:M3075" si="2888">FALSE()</f>
        <v>0</v>
      </c>
      <c r="L3075" s="6" t="b">
        <f t="shared" si="2888"/>
        <v>0</v>
      </c>
      <c r="M3075" s="6" t="b">
        <f t="shared" si="2888"/>
        <v>0</v>
      </c>
      <c r="P3075" s="4">
        <v>0.079978705625449</v>
      </c>
      <c r="T3075" s="4" t="str">
        <f t="shared" si="3"/>
        <v/>
      </c>
      <c r="U3075" s="4">
        <f t="shared" si="4"/>
        <v>4389</v>
      </c>
    </row>
    <row r="3076" ht="15.75" customHeight="1">
      <c r="A3076" s="4" t="s">
        <v>4146</v>
      </c>
      <c r="B3076" s="4" t="s">
        <v>13</v>
      </c>
      <c r="I3076" s="4">
        <v>0.1383</v>
      </c>
      <c r="K3076" s="6" t="b">
        <f t="shared" ref="K3076:M3076" si="2889">FALSE()</f>
        <v>0</v>
      </c>
      <c r="L3076" s="6" t="b">
        <f t="shared" si="2889"/>
        <v>0</v>
      </c>
      <c r="M3076" s="6" t="b">
        <f t="shared" si="2889"/>
        <v>0</v>
      </c>
      <c r="P3076" s="4">
        <v>0.129535921349034</v>
      </c>
      <c r="T3076" s="4" t="str">
        <f t="shared" si="3"/>
        <v/>
      </c>
      <c r="U3076" s="4">
        <f t="shared" si="4"/>
        <v>3532</v>
      </c>
    </row>
    <row r="3077" ht="15.75" customHeight="1">
      <c r="A3077" s="4" t="s">
        <v>4147</v>
      </c>
      <c r="B3077" s="4" t="s">
        <v>13</v>
      </c>
      <c r="I3077" s="4">
        <v>0.108</v>
      </c>
      <c r="J3077" s="4">
        <v>0.054</v>
      </c>
      <c r="K3077" s="6" t="b">
        <f t="shared" ref="K3077:M3077" si="2890">FALSE()</f>
        <v>0</v>
      </c>
      <c r="L3077" s="6" t="b">
        <f t="shared" si="2890"/>
        <v>0</v>
      </c>
      <c r="M3077" s="6" t="b">
        <f t="shared" si="2890"/>
        <v>0</v>
      </c>
      <c r="P3077" s="4">
        <v>0.102556588325092</v>
      </c>
      <c r="T3077" s="4" t="str">
        <f t="shared" si="3"/>
        <v/>
      </c>
      <c r="U3077" s="4">
        <f t="shared" si="4"/>
        <v>4082</v>
      </c>
    </row>
    <row r="3078" ht="15.75" customHeight="1">
      <c r="A3078" s="4" t="s">
        <v>4148</v>
      </c>
      <c r="B3078" s="4" t="s">
        <v>13</v>
      </c>
      <c r="I3078" s="4">
        <v>0.212</v>
      </c>
      <c r="J3078" s="4">
        <v>0.106</v>
      </c>
      <c r="K3078" s="6" t="b">
        <f t="shared" ref="K3078:M3078" si="2891">FALSE()</f>
        <v>0</v>
      </c>
      <c r="L3078" s="6" t="b">
        <f t="shared" si="2891"/>
        <v>0</v>
      </c>
      <c r="M3078" s="6" t="b">
        <f t="shared" si="2891"/>
        <v>0</v>
      </c>
      <c r="P3078" s="4">
        <v>0.192271887647123</v>
      </c>
      <c r="T3078" s="4" t="str">
        <f t="shared" si="3"/>
        <v/>
      </c>
      <c r="U3078" s="4">
        <f t="shared" si="4"/>
        <v>2380</v>
      </c>
    </row>
    <row r="3079" ht="15.75" customHeight="1">
      <c r="A3079" s="4" t="s">
        <v>810</v>
      </c>
      <c r="B3079" s="4" t="s">
        <v>13</v>
      </c>
      <c r="C3079" s="4">
        <v>0.022</v>
      </c>
      <c r="D3079" s="4">
        <v>0.011</v>
      </c>
      <c r="E3079" s="4">
        <v>0.011</v>
      </c>
      <c r="I3079" s="4">
        <v>0.178</v>
      </c>
      <c r="J3079" s="4">
        <v>0.009</v>
      </c>
      <c r="K3079" s="6" t="b">
        <f t="shared" ref="K3079:M3079" si="2892">FALSE()</f>
        <v>0</v>
      </c>
      <c r="L3079" s="6" t="b">
        <f t="shared" si="2892"/>
        <v>0</v>
      </c>
      <c r="M3079" s="6" t="b">
        <f t="shared" si="2892"/>
        <v>0</v>
      </c>
      <c r="N3079" s="4">
        <v>0.0217614917815126</v>
      </c>
      <c r="P3079" s="4">
        <v>0.163818085229395</v>
      </c>
      <c r="T3079" s="4">
        <f t="shared" si="3"/>
        <v>1683</v>
      </c>
      <c r="U3079" s="4">
        <f t="shared" si="4"/>
        <v>2921</v>
      </c>
    </row>
    <row r="3080" ht="15.75" customHeight="1">
      <c r="A3080" s="4" t="s">
        <v>811</v>
      </c>
      <c r="B3080" s="4" t="s">
        <v>13</v>
      </c>
      <c r="C3080" s="4">
        <v>0.054</v>
      </c>
      <c r="D3080" s="4">
        <v>0.006</v>
      </c>
      <c r="E3080" s="4">
        <v>0.006</v>
      </c>
      <c r="I3080" s="4">
        <v>0.49</v>
      </c>
      <c r="J3080" s="4">
        <v>0.023</v>
      </c>
      <c r="K3080" s="6" t="b">
        <f t="shared" ref="K3080:M3080" si="2893">FALSE()</f>
        <v>0</v>
      </c>
      <c r="L3080" s="6" t="b">
        <f t="shared" si="2893"/>
        <v>0</v>
      </c>
      <c r="M3080" s="6" t="b">
        <f t="shared" si="2893"/>
        <v>0</v>
      </c>
      <c r="N3080" s="4">
        <v>0.0525924501191705</v>
      </c>
      <c r="P3080" s="4">
        <v>0.398776119957368</v>
      </c>
      <c r="T3080" s="4">
        <f t="shared" si="3"/>
        <v>1382</v>
      </c>
      <c r="U3080" s="4">
        <f t="shared" si="4"/>
        <v>1022</v>
      </c>
    </row>
    <row r="3081" ht="15.75" customHeight="1">
      <c r="A3081" s="4" t="s">
        <v>812</v>
      </c>
      <c r="B3081" s="4" t="s">
        <v>13</v>
      </c>
      <c r="C3081" s="4">
        <v>0.052</v>
      </c>
      <c r="D3081" s="4">
        <v>0.004</v>
      </c>
      <c r="E3081" s="4">
        <v>0.004</v>
      </c>
      <c r="I3081" s="4">
        <v>0.623</v>
      </c>
      <c r="J3081" s="4">
        <v>0.029</v>
      </c>
      <c r="K3081" s="6" t="b">
        <f t="shared" ref="K3081:M3081" si="2894">FALSE()</f>
        <v>0</v>
      </c>
      <c r="L3081" s="6" t="b">
        <f t="shared" si="2894"/>
        <v>0</v>
      </c>
      <c r="M3081" s="6" t="b">
        <f t="shared" si="2894"/>
        <v>0</v>
      </c>
      <c r="N3081" s="4">
        <v>0.0506931143155181</v>
      </c>
      <c r="P3081" s="4">
        <v>0.484276288532454</v>
      </c>
      <c r="T3081" s="4">
        <f t="shared" si="3"/>
        <v>1392</v>
      </c>
      <c r="U3081" s="4">
        <f t="shared" si="4"/>
        <v>932</v>
      </c>
    </row>
    <row r="3082" ht="15.75" customHeight="1">
      <c r="A3082" s="4" t="s">
        <v>4149</v>
      </c>
      <c r="B3082" s="4" t="s">
        <v>13</v>
      </c>
      <c r="I3082" s="4">
        <v>0.1448</v>
      </c>
      <c r="K3082" s="6" t="b">
        <f t="shared" ref="K3082:M3082" si="2895">FALSE()</f>
        <v>0</v>
      </c>
      <c r="L3082" s="6" t="b">
        <f t="shared" si="2895"/>
        <v>0</v>
      </c>
      <c r="M3082" s="6" t="b">
        <f t="shared" si="2895"/>
        <v>0</v>
      </c>
      <c r="P3082" s="4">
        <v>0.135229949260104</v>
      </c>
      <c r="T3082" s="4" t="str">
        <f t="shared" si="3"/>
        <v/>
      </c>
      <c r="U3082" s="4">
        <f t="shared" si="4"/>
        <v>3429</v>
      </c>
    </row>
    <row r="3083" ht="15.75" customHeight="1">
      <c r="A3083" s="4" t="s">
        <v>4150</v>
      </c>
      <c r="B3083" s="4" t="s">
        <v>13</v>
      </c>
      <c r="I3083" s="4">
        <v>0.1315</v>
      </c>
      <c r="K3083" s="6" t="b">
        <f t="shared" ref="K3083:M3083" si="2896">FALSE()</f>
        <v>0</v>
      </c>
      <c r="L3083" s="6" t="b">
        <f t="shared" si="2896"/>
        <v>0</v>
      </c>
      <c r="M3083" s="6" t="b">
        <f t="shared" si="2896"/>
        <v>0</v>
      </c>
      <c r="P3083" s="4">
        <v>0.123544186091455</v>
      </c>
      <c r="T3083" s="4" t="str">
        <f t="shared" si="3"/>
        <v/>
      </c>
      <c r="U3083" s="4">
        <f t="shared" si="4"/>
        <v>3667</v>
      </c>
    </row>
    <row r="3084" ht="15.75" customHeight="1">
      <c r="A3084" s="4" t="s">
        <v>4151</v>
      </c>
      <c r="B3084" s="4" t="s">
        <v>13</v>
      </c>
      <c r="I3084" s="4">
        <v>0.10483</v>
      </c>
      <c r="K3084" s="6" t="b">
        <f t="shared" ref="K3084:M3084" si="2897">FALSE()</f>
        <v>0</v>
      </c>
      <c r="L3084" s="6" t="b">
        <f t="shared" si="2897"/>
        <v>0</v>
      </c>
      <c r="M3084" s="6" t="b">
        <f t="shared" si="2897"/>
        <v>0</v>
      </c>
      <c r="P3084" s="4">
        <v>0.0996914769803365</v>
      </c>
      <c r="T3084" s="4" t="str">
        <f t="shared" si="3"/>
        <v/>
      </c>
      <c r="U3084" s="4">
        <f t="shared" si="4"/>
        <v>4148</v>
      </c>
    </row>
    <row r="3085" ht="15.75" customHeight="1">
      <c r="A3085" s="4" t="s">
        <v>4152</v>
      </c>
      <c r="B3085" s="4" t="s">
        <v>13</v>
      </c>
      <c r="I3085" s="4">
        <v>0.20394</v>
      </c>
      <c r="K3085" s="6" t="b">
        <f t="shared" ref="K3085:M3085" si="2898">FALSE()</f>
        <v>0</v>
      </c>
      <c r="L3085" s="6" t="b">
        <f t="shared" si="2898"/>
        <v>0</v>
      </c>
      <c r="M3085" s="6" t="b">
        <f t="shared" si="2898"/>
        <v>0</v>
      </c>
      <c r="P3085" s="4">
        <v>0.185599511757837</v>
      </c>
      <c r="T3085" s="4" t="str">
        <f t="shared" si="3"/>
        <v/>
      </c>
      <c r="U3085" s="4">
        <f t="shared" si="4"/>
        <v>2516</v>
      </c>
    </row>
    <row r="3086" ht="15.75" customHeight="1">
      <c r="A3086" s="4" t="s">
        <v>4153</v>
      </c>
      <c r="B3086" s="4" t="s">
        <v>13</v>
      </c>
      <c r="I3086" s="4">
        <v>0.124</v>
      </c>
      <c r="K3086" s="6" t="b">
        <f t="shared" ref="K3086:M3086" si="2899">FALSE()</f>
        <v>0</v>
      </c>
      <c r="L3086" s="6" t="b">
        <f t="shared" si="2899"/>
        <v>0</v>
      </c>
      <c r="M3086" s="6" t="b">
        <f t="shared" si="2899"/>
        <v>0</v>
      </c>
      <c r="P3086" s="4">
        <v>0.116893751471499</v>
      </c>
      <c r="T3086" s="4" t="str">
        <f t="shared" si="3"/>
        <v/>
      </c>
      <c r="U3086" s="4">
        <f t="shared" si="4"/>
        <v>3800</v>
      </c>
    </row>
    <row r="3087" ht="15.75" customHeight="1">
      <c r="A3087" s="4" t="s">
        <v>4154</v>
      </c>
      <c r="B3087" s="4" t="s">
        <v>13</v>
      </c>
      <c r="I3087" s="4">
        <v>0.129</v>
      </c>
      <c r="K3087" s="6" t="b">
        <f t="shared" ref="K3087:M3087" si="2900">FALSE()</f>
        <v>0</v>
      </c>
      <c r="L3087" s="6" t="b">
        <f t="shared" si="2900"/>
        <v>0</v>
      </c>
      <c r="M3087" s="6" t="b">
        <f t="shared" si="2900"/>
        <v>0</v>
      </c>
      <c r="P3087" s="4">
        <v>0.121332285167525</v>
      </c>
      <c r="T3087" s="4" t="str">
        <f t="shared" si="3"/>
        <v/>
      </c>
      <c r="U3087" s="4">
        <f t="shared" si="4"/>
        <v>3706</v>
      </c>
    </row>
    <row r="3088" ht="15.75" customHeight="1">
      <c r="A3088" s="4" t="s">
        <v>4155</v>
      </c>
      <c r="B3088" s="4" t="s">
        <v>13</v>
      </c>
      <c r="I3088" s="4">
        <v>0.24766</v>
      </c>
      <c r="J3088" s="4">
        <v>0.00107</v>
      </c>
      <c r="K3088" s="6" t="b">
        <f t="shared" ref="K3088:M3088" si="2901">FALSE()</f>
        <v>0</v>
      </c>
      <c r="L3088" s="6" t="b">
        <f t="shared" si="2901"/>
        <v>0</v>
      </c>
      <c r="M3088" s="6" t="b">
        <f t="shared" si="2901"/>
        <v>0</v>
      </c>
      <c r="P3088" s="4">
        <v>0.221269796932399</v>
      </c>
      <c r="T3088" s="4" t="str">
        <f t="shared" si="3"/>
        <v/>
      </c>
      <c r="U3088" s="4">
        <f t="shared" si="4"/>
        <v>1842</v>
      </c>
    </row>
    <row r="3089" ht="15.75" customHeight="1">
      <c r="A3089" s="4" t="s">
        <v>4156</v>
      </c>
      <c r="B3089" s="4" t="s">
        <v>13</v>
      </c>
      <c r="I3089" s="4">
        <v>0.07759</v>
      </c>
      <c r="K3089" s="6" t="b">
        <f t="shared" ref="K3089:M3089" si="2902">FALSE()</f>
        <v>0</v>
      </c>
      <c r="L3089" s="6" t="b">
        <f t="shared" si="2902"/>
        <v>0</v>
      </c>
      <c r="M3089" s="6" t="b">
        <f t="shared" si="2902"/>
        <v>0</v>
      </c>
      <c r="P3089" s="4">
        <v>0.0747270661897413</v>
      </c>
      <c r="T3089" s="4" t="str">
        <f t="shared" si="3"/>
        <v/>
      </c>
      <c r="U3089" s="4">
        <f t="shared" si="4"/>
        <v>4435</v>
      </c>
    </row>
    <row r="3090" ht="15.75" customHeight="1">
      <c r="A3090" s="4" t="s">
        <v>4157</v>
      </c>
      <c r="B3090" s="4" t="s">
        <v>13</v>
      </c>
      <c r="I3090" s="4">
        <v>0.10304</v>
      </c>
      <c r="K3090" s="6" t="b">
        <f t="shared" ref="K3090:M3090" si="2903">FALSE()</f>
        <v>0</v>
      </c>
      <c r="L3090" s="6" t="b">
        <f t="shared" si="2903"/>
        <v>0</v>
      </c>
      <c r="M3090" s="6" t="b">
        <f t="shared" si="2903"/>
        <v>0</v>
      </c>
      <c r="P3090" s="4">
        <v>0.0980700043463635</v>
      </c>
      <c r="T3090" s="4" t="str">
        <f t="shared" si="3"/>
        <v/>
      </c>
      <c r="U3090" s="4">
        <f t="shared" si="4"/>
        <v>4167</v>
      </c>
    </row>
    <row r="3091" ht="15.75" customHeight="1">
      <c r="A3091" s="4" t="s">
        <v>4158</v>
      </c>
      <c r="B3091" s="4" t="s">
        <v>13</v>
      </c>
      <c r="I3091" s="4">
        <v>0.09742</v>
      </c>
      <c r="K3091" s="6" t="b">
        <f t="shared" ref="K3091:M3091" si="2904">FALSE()</f>
        <v>0</v>
      </c>
      <c r="L3091" s="6" t="b">
        <f t="shared" si="2904"/>
        <v>0</v>
      </c>
      <c r="M3091" s="6" t="b">
        <f t="shared" si="2904"/>
        <v>0</v>
      </c>
      <c r="P3091" s="4">
        <v>0.0929619703718734</v>
      </c>
      <c r="T3091" s="4" t="str">
        <f t="shared" si="3"/>
        <v/>
      </c>
      <c r="U3091" s="4">
        <f t="shared" si="4"/>
        <v>4251</v>
      </c>
    </row>
    <row r="3092" ht="15.75" customHeight="1">
      <c r="A3092" s="4" t="s">
        <v>4159</v>
      </c>
      <c r="B3092" s="4" t="s">
        <v>13</v>
      </c>
      <c r="I3092" s="4">
        <v>0.139</v>
      </c>
      <c r="J3092" s="4">
        <v>0.01</v>
      </c>
      <c r="K3092" s="6" t="b">
        <f t="shared" ref="K3092:M3092" si="2905">FALSE()</f>
        <v>0</v>
      </c>
      <c r="L3092" s="6" t="b">
        <f t="shared" si="2905"/>
        <v>0</v>
      </c>
      <c r="M3092" s="6" t="b">
        <f t="shared" si="2905"/>
        <v>0</v>
      </c>
      <c r="P3092" s="4">
        <v>0.130150684465045</v>
      </c>
      <c r="T3092" s="4" t="str">
        <f t="shared" si="3"/>
        <v/>
      </c>
      <c r="U3092" s="4">
        <f t="shared" si="4"/>
        <v>3526</v>
      </c>
    </row>
    <row r="3093" ht="15.75" customHeight="1">
      <c r="A3093" s="4" t="s">
        <v>4160</v>
      </c>
      <c r="B3093" s="4" t="s">
        <v>13</v>
      </c>
      <c r="I3093" s="4">
        <v>0.13</v>
      </c>
      <c r="J3093" s="4">
        <v>0.009</v>
      </c>
      <c r="K3093" s="6" t="b">
        <f t="shared" ref="K3093:M3093" si="2906">FALSE()</f>
        <v>0</v>
      </c>
      <c r="L3093" s="6" t="b">
        <f t="shared" si="2906"/>
        <v>0</v>
      </c>
      <c r="M3093" s="6" t="b">
        <f t="shared" si="2906"/>
        <v>0</v>
      </c>
      <c r="P3093" s="4">
        <v>0.122217632724249</v>
      </c>
      <c r="T3093" s="4" t="str">
        <f t="shared" si="3"/>
        <v/>
      </c>
      <c r="U3093" s="4">
        <f t="shared" si="4"/>
        <v>3694</v>
      </c>
    </row>
    <row r="3094" ht="15.75" customHeight="1">
      <c r="A3094" s="4" t="s">
        <v>4161</v>
      </c>
      <c r="B3094" s="4" t="s">
        <v>13</v>
      </c>
      <c r="I3094" s="4">
        <v>0.10563</v>
      </c>
      <c r="K3094" s="6" t="b">
        <f t="shared" ref="K3094:M3094" si="2907">FALSE()</f>
        <v>0</v>
      </c>
      <c r="L3094" s="6" t="b">
        <f t="shared" si="2907"/>
        <v>0</v>
      </c>
      <c r="M3094" s="6" t="b">
        <f t="shared" si="2907"/>
        <v>0</v>
      </c>
      <c r="P3094" s="4">
        <v>0.100415308250686</v>
      </c>
      <c r="T3094" s="4" t="str">
        <f t="shared" si="3"/>
        <v/>
      </c>
      <c r="U3094" s="4">
        <f t="shared" si="4"/>
        <v>4132</v>
      </c>
    </row>
    <row r="3095" ht="15.75" customHeight="1">
      <c r="A3095" s="4" t="s">
        <v>4162</v>
      </c>
      <c r="B3095" s="4" t="s">
        <v>13</v>
      </c>
      <c r="I3095" s="4">
        <v>0.0902</v>
      </c>
      <c r="K3095" s="6" t="b">
        <f t="shared" ref="K3095:M3095" si="2908">FALSE()</f>
        <v>0</v>
      </c>
      <c r="L3095" s="6" t="b">
        <f t="shared" si="2908"/>
        <v>0</v>
      </c>
      <c r="M3095" s="6" t="b">
        <f t="shared" si="2908"/>
        <v>0</v>
      </c>
      <c r="P3095" s="4">
        <v>0.0863611656480434</v>
      </c>
      <c r="T3095" s="4" t="str">
        <f t="shared" si="3"/>
        <v/>
      </c>
      <c r="U3095" s="4">
        <f t="shared" si="4"/>
        <v>4325</v>
      </c>
    </row>
    <row r="3096" ht="15.75" customHeight="1">
      <c r="A3096" s="4" t="s">
        <v>4163</v>
      </c>
      <c r="B3096" s="4" t="s">
        <v>13</v>
      </c>
      <c r="I3096" s="4">
        <v>0.121038</v>
      </c>
      <c r="K3096" s="6" t="b">
        <f t="shared" ref="K3096:M3096" si="2909">FALSE()</f>
        <v>0</v>
      </c>
      <c r="L3096" s="6" t="b">
        <f t="shared" si="2909"/>
        <v>0</v>
      </c>
      <c r="M3096" s="6" t="b">
        <f t="shared" si="2909"/>
        <v>0</v>
      </c>
      <c r="P3096" s="4">
        <v>0.114255041820573</v>
      </c>
      <c r="T3096" s="4" t="str">
        <f t="shared" si="3"/>
        <v/>
      </c>
      <c r="U3096" s="4">
        <f t="shared" si="4"/>
        <v>3841</v>
      </c>
    </row>
    <row r="3097" ht="15.75" customHeight="1">
      <c r="A3097" s="4" t="s">
        <v>4164</v>
      </c>
      <c r="B3097" s="4" t="s">
        <v>13</v>
      </c>
      <c r="I3097" s="4">
        <v>0.13543</v>
      </c>
      <c r="K3097" s="6" t="b">
        <f t="shared" ref="K3097:M3097" si="2910">FALSE()</f>
        <v>0</v>
      </c>
      <c r="L3097" s="6" t="b">
        <f t="shared" si="2910"/>
        <v>0</v>
      </c>
      <c r="M3097" s="6" t="b">
        <f t="shared" si="2910"/>
        <v>0</v>
      </c>
      <c r="P3097" s="4">
        <v>0.127011433811624</v>
      </c>
      <c r="T3097" s="4" t="str">
        <f t="shared" si="3"/>
        <v/>
      </c>
      <c r="U3097" s="4">
        <f t="shared" si="4"/>
        <v>3604</v>
      </c>
    </row>
    <row r="3098" ht="15.75" customHeight="1">
      <c r="A3098" s="4" t="s">
        <v>4165</v>
      </c>
      <c r="B3098" s="4" t="s">
        <v>13</v>
      </c>
      <c r="I3098" s="4">
        <v>0.26247</v>
      </c>
      <c r="K3098" s="6" t="b">
        <f t="shared" ref="K3098:M3098" si="2911">FALSE()</f>
        <v>0</v>
      </c>
      <c r="L3098" s="6" t="b">
        <f t="shared" si="2911"/>
        <v>0</v>
      </c>
      <c r="M3098" s="6" t="b">
        <f t="shared" si="2911"/>
        <v>0</v>
      </c>
      <c r="P3098" s="4">
        <v>0.23307011950881</v>
      </c>
      <c r="T3098" s="4" t="str">
        <f t="shared" si="3"/>
        <v/>
      </c>
      <c r="U3098" s="4">
        <f t="shared" si="4"/>
        <v>1652</v>
      </c>
    </row>
    <row r="3099" ht="15.75" customHeight="1">
      <c r="A3099" s="4" t="s">
        <v>4166</v>
      </c>
      <c r="B3099" s="4" t="s">
        <v>13</v>
      </c>
      <c r="I3099" s="4">
        <v>0.28709</v>
      </c>
      <c r="K3099" s="6" t="b">
        <f t="shared" ref="K3099:M3099" si="2912">FALSE()</f>
        <v>0</v>
      </c>
      <c r="L3099" s="6" t="b">
        <f t="shared" si="2912"/>
        <v>0</v>
      </c>
      <c r="M3099" s="6" t="b">
        <f t="shared" si="2912"/>
        <v>0</v>
      </c>
      <c r="P3099" s="4">
        <v>0.252383856238926</v>
      </c>
      <c r="T3099" s="4" t="str">
        <f t="shared" si="3"/>
        <v/>
      </c>
      <c r="U3099" s="4">
        <f t="shared" si="4"/>
        <v>1452</v>
      </c>
    </row>
    <row r="3100" ht="15.75" customHeight="1">
      <c r="A3100" s="4" t="s">
        <v>4167</v>
      </c>
      <c r="B3100" s="4" t="s">
        <v>13</v>
      </c>
      <c r="I3100" s="4">
        <v>0.23347</v>
      </c>
      <c r="J3100" s="4">
        <v>0.00232</v>
      </c>
      <c r="K3100" s="6" t="b">
        <f t="shared" ref="K3100:M3100" si="2913">FALSE()</f>
        <v>0</v>
      </c>
      <c r="L3100" s="6" t="b">
        <f t="shared" si="2913"/>
        <v>0</v>
      </c>
      <c r="M3100" s="6" t="b">
        <f t="shared" si="2913"/>
        <v>0</v>
      </c>
      <c r="P3100" s="4">
        <v>0.209831335653816</v>
      </c>
      <c r="T3100" s="4" t="str">
        <f t="shared" si="3"/>
        <v/>
      </c>
      <c r="U3100" s="4">
        <f t="shared" si="4"/>
        <v>2051</v>
      </c>
    </row>
    <row r="3101" ht="15.75" customHeight="1">
      <c r="A3101" s="4" t="s">
        <v>4168</v>
      </c>
      <c r="B3101" s="4" t="s">
        <v>13</v>
      </c>
      <c r="I3101" s="4">
        <v>0.16853</v>
      </c>
      <c r="K3101" s="6" t="b">
        <f t="shared" ref="K3101:M3101" si="2914">FALSE()</f>
        <v>0</v>
      </c>
      <c r="L3101" s="6" t="b">
        <f t="shared" si="2914"/>
        <v>0</v>
      </c>
      <c r="M3101" s="6" t="b">
        <f t="shared" si="2914"/>
        <v>0</v>
      </c>
      <c r="P3101" s="4">
        <v>0.155746548608156</v>
      </c>
      <c r="T3101" s="4" t="str">
        <f t="shared" si="3"/>
        <v/>
      </c>
      <c r="U3101" s="4">
        <f t="shared" si="4"/>
        <v>3070</v>
      </c>
    </row>
    <row r="3102" ht="15.75" customHeight="1">
      <c r="A3102" s="4" t="s">
        <v>4169</v>
      </c>
      <c r="B3102" s="4" t="s">
        <v>13</v>
      </c>
      <c r="I3102" s="4">
        <v>0.20493</v>
      </c>
      <c r="K3102" s="6" t="b">
        <f t="shared" ref="K3102:M3102" si="2915">FALSE()</f>
        <v>0</v>
      </c>
      <c r="L3102" s="6" t="b">
        <f t="shared" si="2915"/>
        <v>0</v>
      </c>
      <c r="M3102" s="6" t="b">
        <f t="shared" si="2915"/>
        <v>0</v>
      </c>
      <c r="P3102" s="4">
        <v>0.186421473968947</v>
      </c>
      <c r="T3102" s="4" t="str">
        <f t="shared" si="3"/>
        <v/>
      </c>
      <c r="U3102" s="4">
        <f t="shared" si="4"/>
        <v>2498</v>
      </c>
    </row>
    <row r="3103" ht="15.75" customHeight="1">
      <c r="A3103" s="4" t="s">
        <v>4170</v>
      </c>
      <c r="B3103" s="4" t="s">
        <v>13</v>
      </c>
      <c r="I3103" s="4">
        <v>0.2341</v>
      </c>
      <c r="K3103" s="6" t="b">
        <f t="shared" ref="K3103:M3103" si="2916">FALSE()</f>
        <v>0</v>
      </c>
      <c r="L3103" s="6" t="b">
        <f t="shared" si="2916"/>
        <v>0</v>
      </c>
      <c r="M3103" s="6" t="b">
        <f t="shared" si="2916"/>
        <v>0</v>
      </c>
      <c r="P3103" s="4">
        <v>0.210341959477001</v>
      </c>
      <c r="T3103" s="4" t="str">
        <f t="shared" si="3"/>
        <v/>
      </c>
      <c r="U3103" s="4">
        <f t="shared" si="4"/>
        <v>2044</v>
      </c>
    </row>
    <row r="3104" ht="15.75" customHeight="1">
      <c r="A3104" s="4" t="s">
        <v>4171</v>
      </c>
      <c r="B3104" s="4" t="s">
        <v>13</v>
      </c>
      <c r="I3104" s="4">
        <v>0.12</v>
      </c>
      <c r="J3104" s="4">
        <v>0.059</v>
      </c>
      <c r="K3104" s="6" t="b">
        <f t="shared" ref="K3104:M3104" si="2917">FALSE()</f>
        <v>0</v>
      </c>
      <c r="L3104" s="6" t="b">
        <f t="shared" si="2917"/>
        <v>0</v>
      </c>
      <c r="M3104" s="6" t="b">
        <f t="shared" si="2917"/>
        <v>0</v>
      </c>
      <c r="P3104" s="4">
        <v>0.113328685307003</v>
      </c>
      <c r="T3104" s="4" t="str">
        <f t="shared" si="3"/>
        <v/>
      </c>
      <c r="U3104" s="4">
        <f t="shared" si="4"/>
        <v>3866</v>
      </c>
    </row>
    <row r="3105" ht="15.75" customHeight="1">
      <c r="A3105" s="4" t="s">
        <v>4172</v>
      </c>
      <c r="B3105" s="4" t="s">
        <v>13</v>
      </c>
      <c r="I3105" s="4">
        <v>0.166</v>
      </c>
      <c r="J3105" s="4">
        <v>0.082</v>
      </c>
      <c r="K3105" s="6" t="b">
        <f t="shared" ref="K3105:M3105" si="2918">FALSE()</f>
        <v>0</v>
      </c>
      <c r="L3105" s="6" t="b">
        <f t="shared" si="2918"/>
        <v>0</v>
      </c>
      <c r="M3105" s="6" t="b">
        <f t="shared" si="2918"/>
        <v>0</v>
      </c>
      <c r="P3105" s="4">
        <v>0.153579087928301</v>
      </c>
      <c r="T3105" s="4" t="str">
        <f t="shared" si="3"/>
        <v/>
      </c>
      <c r="U3105" s="4">
        <f t="shared" si="4"/>
        <v>3097</v>
      </c>
    </row>
    <row r="3106" ht="15.75" customHeight="1">
      <c r="A3106" s="4" t="s">
        <v>4173</v>
      </c>
      <c r="B3106" s="4" t="s">
        <v>13</v>
      </c>
      <c r="I3106" s="4">
        <v>0.203</v>
      </c>
      <c r="J3106" s="4">
        <v>0.012</v>
      </c>
      <c r="K3106" s="6" t="b">
        <f t="shared" ref="K3106:M3106" si="2919">FALSE()</f>
        <v>0</v>
      </c>
      <c r="L3106" s="6" t="b">
        <f t="shared" si="2919"/>
        <v>0</v>
      </c>
      <c r="M3106" s="6" t="b">
        <f t="shared" si="2919"/>
        <v>0</v>
      </c>
      <c r="P3106" s="4">
        <v>0.184818436992542</v>
      </c>
      <c r="T3106" s="4" t="str">
        <f t="shared" si="3"/>
        <v/>
      </c>
      <c r="U3106" s="4">
        <f t="shared" si="4"/>
        <v>2528</v>
      </c>
    </row>
    <row r="3107" ht="15.75" customHeight="1">
      <c r="A3107" s="4" t="s">
        <v>4174</v>
      </c>
      <c r="B3107" s="4" t="s">
        <v>13</v>
      </c>
      <c r="I3107" s="4">
        <v>0.26354</v>
      </c>
      <c r="K3107" s="6" t="b">
        <f t="shared" ref="K3107:M3107" si="2920">FALSE()</f>
        <v>0</v>
      </c>
      <c r="L3107" s="6" t="b">
        <f t="shared" si="2920"/>
        <v>0</v>
      </c>
      <c r="M3107" s="6" t="b">
        <f t="shared" si="2920"/>
        <v>0</v>
      </c>
      <c r="P3107" s="4">
        <v>0.233917305437605</v>
      </c>
      <c r="T3107" s="4" t="str">
        <f t="shared" si="3"/>
        <v/>
      </c>
      <c r="U3107" s="4">
        <f t="shared" si="4"/>
        <v>1637</v>
      </c>
    </row>
    <row r="3108" ht="15.75" customHeight="1">
      <c r="A3108" s="4" t="s">
        <v>4175</v>
      </c>
      <c r="B3108" s="4" t="s">
        <v>13</v>
      </c>
      <c r="I3108" s="4">
        <v>0.25819</v>
      </c>
      <c r="K3108" s="6" t="b">
        <f t="shared" ref="K3108:M3108" si="2921">FALSE()</f>
        <v>0</v>
      </c>
      <c r="L3108" s="6" t="b">
        <f t="shared" si="2921"/>
        <v>0</v>
      </c>
      <c r="M3108" s="6" t="b">
        <f t="shared" si="2921"/>
        <v>0</v>
      </c>
      <c r="P3108" s="4">
        <v>0.229674180260183</v>
      </c>
      <c r="T3108" s="4" t="str">
        <f t="shared" si="3"/>
        <v/>
      </c>
      <c r="U3108" s="4">
        <f t="shared" si="4"/>
        <v>1706</v>
      </c>
    </row>
    <row r="3109" ht="15.75" customHeight="1">
      <c r="A3109" s="4" t="s">
        <v>4176</v>
      </c>
      <c r="B3109" s="4" t="s">
        <v>13</v>
      </c>
      <c r="I3109" s="4">
        <v>0.15051</v>
      </c>
      <c r="K3109" s="6" t="b">
        <f t="shared" ref="K3109:M3109" si="2922">FALSE()</f>
        <v>0</v>
      </c>
      <c r="L3109" s="6" t="b">
        <f t="shared" si="2922"/>
        <v>0</v>
      </c>
      <c r="M3109" s="6" t="b">
        <f t="shared" si="2922"/>
        <v>0</v>
      </c>
      <c r="P3109" s="4">
        <v>0.140205322328608</v>
      </c>
      <c r="T3109" s="4" t="str">
        <f t="shared" si="3"/>
        <v/>
      </c>
      <c r="U3109" s="4">
        <f t="shared" si="4"/>
        <v>3317</v>
      </c>
    </row>
    <row r="3110" ht="15.75" customHeight="1">
      <c r="A3110" s="4" t="s">
        <v>4177</v>
      </c>
      <c r="B3110" s="4" t="s">
        <v>13</v>
      </c>
      <c r="I3110" s="4">
        <v>0.2043</v>
      </c>
      <c r="K3110" s="6" t="b">
        <f t="shared" ref="K3110:M3110" si="2923">FALSE()</f>
        <v>0</v>
      </c>
      <c r="L3110" s="6" t="b">
        <f t="shared" si="2923"/>
        <v>0</v>
      </c>
      <c r="M3110" s="6" t="b">
        <f t="shared" si="2923"/>
        <v>0</v>
      </c>
      <c r="P3110" s="4">
        <v>0.185898485284297</v>
      </c>
      <c r="T3110" s="4" t="str">
        <f t="shared" si="3"/>
        <v/>
      </c>
      <c r="U3110" s="4">
        <f t="shared" si="4"/>
        <v>2502</v>
      </c>
    </row>
    <row r="3111" ht="15.75" customHeight="1">
      <c r="A3111" s="4" t="s">
        <v>4178</v>
      </c>
      <c r="B3111" s="4" t="s">
        <v>13</v>
      </c>
      <c r="I3111" s="4">
        <v>0.17477</v>
      </c>
      <c r="K3111" s="6" t="b">
        <f t="shared" ref="K3111:M3111" si="2924">FALSE()</f>
        <v>0</v>
      </c>
      <c r="L3111" s="6" t="b">
        <f t="shared" si="2924"/>
        <v>0</v>
      </c>
      <c r="M3111" s="6" t="b">
        <f t="shared" si="2924"/>
        <v>0</v>
      </c>
      <c r="P3111" s="4">
        <v>0.161072383754781</v>
      </c>
      <c r="T3111" s="4" t="str">
        <f t="shared" si="3"/>
        <v/>
      </c>
      <c r="U3111" s="4">
        <f t="shared" si="4"/>
        <v>2986</v>
      </c>
    </row>
    <row r="3112" ht="15.75" customHeight="1">
      <c r="A3112" s="4" t="s">
        <v>4179</v>
      </c>
      <c r="B3112" s="4" t="s">
        <v>13</v>
      </c>
      <c r="I3112" s="4">
        <v>0.23678</v>
      </c>
      <c r="K3112" s="6" t="b">
        <f t="shared" ref="K3112:M3112" si="2925">FALSE()</f>
        <v>0</v>
      </c>
      <c r="L3112" s="6" t="b">
        <f t="shared" si="2925"/>
        <v>0</v>
      </c>
      <c r="M3112" s="6" t="b">
        <f t="shared" si="2925"/>
        <v>0</v>
      </c>
      <c r="P3112" s="4">
        <v>0.212511227957012</v>
      </c>
      <c r="T3112" s="4" t="str">
        <f t="shared" si="3"/>
        <v/>
      </c>
      <c r="U3112" s="4">
        <f t="shared" si="4"/>
        <v>2000</v>
      </c>
    </row>
    <row r="3113" ht="15.75" customHeight="1">
      <c r="A3113" s="4" t="s">
        <v>4180</v>
      </c>
      <c r="B3113" s="4" t="s">
        <v>13</v>
      </c>
      <c r="I3113" s="4">
        <v>0.27</v>
      </c>
      <c r="K3113" s="6" t="b">
        <f t="shared" ref="K3113:M3113" si="2926">FALSE()</f>
        <v>0</v>
      </c>
      <c r="L3113" s="6" t="b">
        <f t="shared" si="2926"/>
        <v>0</v>
      </c>
      <c r="M3113" s="6" t="b">
        <f t="shared" si="2926"/>
        <v>0</v>
      </c>
      <c r="P3113" s="4">
        <v>0.2390169004705</v>
      </c>
      <c r="T3113" s="4" t="str">
        <f t="shared" si="3"/>
        <v/>
      </c>
      <c r="U3113" s="4">
        <f t="shared" si="4"/>
        <v>1584</v>
      </c>
    </row>
    <row r="3114" ht="15.75" customHeight="1">
      <c r="A3114" s="4" t="s">
        <v>4181</v>
      </c>
      <c r="B3114" s="4" t="s">
        <v>13</v>
      </c>
      <c r="I3114" s="4">
        <v>0.20653</v>
      </c>
      <c r="K3114" s="6" t="b">
        <f t="shared" ref="K3114:M3114" si="2927">FALSE()</f>
        <v>0</v>
      </c>
      <c r="L3114" s="6" t="b">
        <f t="shared" si="2927"/>
        <v>0</v>
      </c>
      <c r="M3114" s="6" t="b">
        <f t="shared" si="2927"/>
        <v>0</v>
      </c>
      <c r="P3114" s="4">
        <v>0.187748471086701</v>
      </c>
      <c r="T3114" s="4" t="str">
        <f t="shared" si="3"/>
        <v/>
      </c>
      <c r="U3114" s="4">
        <f t="shared" si="4"/>
        <v>2474</v>
      </c>
    </row>
    <row r="3115" ht="15.75" customHeight="1">
      <c r="A3115" s="4" t="s">
        <v>4182</v>
      </c>
      <c r="B3115" s="4" t="s">
        <v>13</v>
      </c>
      <c r="I3115" s="4">
        <v>0.30387</v>
      </c>
      <c r="J3115" s="4">
        <v>0.00116</v>
      </c>
      <c r="K3115" s="6" t="b">
        <f t="shared" ref="K3115:M3115" si="2928">FALSE()</f>
        <v>0</v>
      </c>
      <c r="L3115" s="6" t="b">
        <f t="shared" si="2928"/>
        <v>0</v>
      </c>
      <c r="M3115" s="6" t="b">
        <f t="shared" si="2928"/>
        <v>0</v>
      </c>
      <c r="P3115" s="4">
        <v>0.265336765283225</v>
      </c>
      <c r="T3115" s="4" t="str">
        <f t="shared" si="3"/>
        <v/>
      </c>
      <c r="U3115" s="4">
        <f t="shared" si="4"/>
        <v>1356</v>
      </c>
    </row>
    <row r="3116" ht="15.75" customHeight="1">
      <c r="A3116" s="4" t="s">
        <v>4183</v>
      </c>
      <c r="B3116" s="4" t="s">
        <v>13</v>
      </c>
      <c r="I3116" s="4">
        <v>0.17772</v>
      </c>
      <c r="J3116" s="4">
        <v>0.00696</v>
      </c>
      <c r="K3116" s="6" t="b">
        <f t="shared" ref="K3116:M3116" si="2929">FALSE()</f>
        <v>0</v>
      </c>
      <c r="L3116" s="6" t="b">
        <f t="shared" si="2929"/>
        <v>0</v>
      </c>
      <c r="M3116" s="6" t="b">
        <f t="shared" si="2929"/>
        <v>0</v>
      </c>
      <c r="P3116" s="4">
        <v>0.163580365974714</v>
      </c>
      <c r="T3116" s="4" t="str">
        <f t="shared" si="3"/>
        <v/>
      </c>
      <c r="U3116" s="4">
        <f t="shared" si="4"/>
        <v>2942</v>
      </c>
    </row>
    <row r="3117" ht="15.75" customHeight="1">
      <c r="A3117" s="4" t="s">
        <v>4184</v>
      </c>
      <c r="B3117" s="4" t="s">
        <v>13</v>
      </c>
      <c r="I3117" s="4">
        <v>0.27407</v>
      </c>
      <c r="K3117" s="6" t="b">
        <f t="shared" ref="K3117:M3117" si="2930">FALSE()</f>
        <v>0</v>
      </c>
      <c r="L3117" s="6" t="b">
        <f t="shared" si="2930"/>
        <v>0</v>
      </c>
      <c r="M3117" s="6" t="b">
        <f t="shared" si="2930"/>
        <v>0</v>
      </c>
      <c r="P3117" s="4">
        <v>0.242216500695492</v>
      </c>
      <c r="T3117" s="4" t="str">
        <f t="shared" si="3"/>
        <v/>
      </c>
      <c r="U3117" s="4">
        <f t="shared" si="4"/>
        <v>1550</v>
      </c>
    </row>
    <row r="3118" ht="15.75" customHeight="1">
      <c r="A3118" s="4" t="s">
        <v>4185</v>
      </c>
      <c r="B3118" s="4" t="s">
        <v>13</v>
      </c>
      <c r="I3118" s="4">
        <v>0.244</v>
      </c>
      <c r="J3118" s="4">
        <v>0.04</v>
      </c>
      <c r="K3118" s="6" t="b">
        <f t="shared" ref="K3118:M3118" si="2931">FALSE()</f>
        <v>0</v>
      </c>
      <c r="L3118" s="6" t="b">
        <f t="shared" si="2931"/>
        <v>0</v>
      </c>
      <c r="M3118" s="6" t="b">
        <f t="shared" si="2931"/>
        <v>0</v>
      </c>
      <c r="P3118" s="4">
        <v>0.218331994316988</v>
      </c>
      <c r="T3118" s="4" t="str">
        <f t="shared" si="3"/>
        <v/>
      </c>
      <c r="U3118" s="4">
        <f t="shared" si="4"/>
        <v>1888</v>
      </c>
    </row>
    <row r="3119" ht="15.75" customHeight="1">
      <c r="A3119" s="4" t="s">
        <v>4186</v>
      </c>
      <c r="B3119" s="4" t="s">
        <v>13</v>
      </c>
      <c r="I3119" s="4">
        <v>0.249</v>
      </c>
      <c r="J3119" s="4">
        <v>0.046</v>
      </c>
      <c r="K3119" s="6" t="b">
        <f t="shared" ref="K3119:M3119" si="2932">FALSE()</f>
        <v>0</v>
      </c>
      <c r="L3119" s="6" t="b">
        <f t="shared" si="2932"/>
        <v>0</v>
      </c>
      <c r="M3119" s="6" t="b">
        <f t="shared" si="2932"/>
        <v>0</v>
      </c>
      <c r="P3119" s="4">
        <v>0.222343231143441</v>
      </c>
      <c r="T3119" s="4" t="str">
        <f t="shared" si="3"/>
        <v/>
      </c>
      <c r="U3119" s="4">
        <f t="shared" si="4"/>
        <v>1822</v>
      </c>
    </row>
    <row r="3120" ht="15.75" customHeight="1">
      <c r="A3120" s="4" t="s">
        <v>4187</v>
      </c>
      <c r="B3120" s="4" t="s">
        <v>13</v>
      </c>
      <c r="I3120" s="4">
        <v>0.091</v>
      </c>
      <c r="J3120" s="4">
        <v>0.006</v>
      </c>
      <c r="K3120" s="6" t="b">
        <f t="shared" ref="K3120:M3120" si="2933">FALSE()</f>
        <v>0</v>
      </c>
      <c r="L3120" s="6" t="b">
        <f t="shared" si="2933"/>
        <v>0</v>
      </c>
      <c r="M3120" s="6" t="b">
        <f t="shared" si="2933"/>
        <v>0</v>
      </c>
      <c r="P3120" s="4">
        <v>0.0870947068509337</v>
      </c>
      <c r="T3120" s="4" t="str">
        <f t="shared" si="3"/>
        <v/>
      </c>
      <c r="U3120" s="4">
        <f t="shared" si="4"/>
        <v>4322</v>
      </c>
    </row>
    <row r="3121" ht="15.75" customHeight="1">
      <c r="A3121" s="4" t="s">
        <v>4188</v>
      </c>
      <c r="B3121" s="4" t="s">
        <v>13</v>
      </c>
      <c r="I3121" s="4">
        <v>0.13641</v>
      </c>
      <c r="K3121" s="6" t="b">
        <f t="shared" ref="K3121:M3121" si="2934">FALSE()</f>
        <v>0</v>
      </c>
      <c r="L3121" s="6" t="b">
        <f t="shared" si="2934"/>
        <v>0</v>
      </c>
      <c r="M3121" s="6" t="b">
        <f t="shared" si="2934"/>
        <v>0</v>
      </c>
      <c r="P3121" s="4">
        <v>0.127874170677588</v>
      </c>
      <c r="T3121" s="4" t="str">
        <f t="shared" si="3"/>
        <v/>
      </c>
      <c r="U3121" s="4">
        <f t="shared" si="4"/>
        <v>3567</v>
      </c>
    </row>
    <row r="3122" ht="15.75" customHeight="1">
      <c r="A3122" s="4" t="s">
        <v>4189</v>
      </c>
      <c r="B3122" s="4" t="s">
        <v>13</v>
      </c>
      <c r="I3122" s="4">
        <v>0.23669</v>
      </c>
      <c r="K3122" s="6" t="b">
        <f t="shared" ref="K3122:M3122" si="2935">FALSE()</f>
        <v>0</v>
      </c>
      <c r="L3122" s="6" t="b">
        <f t="shared" si="2935"/>
        <v>0</v>
      </c>
      <c r="M3122" s="6" t="b">
        <f t="shared" si="2935"/>
        <v>0</v>
      </c>
      <c r="P3122" s="4">
        <v>0.212438455697765</v>
      </c>
      <c r="T3122" s="4" t="str">
        <f t="shared" si="3"/>
        <v/>
      </c>
      <c r="U3122" s="4">
        <f t="shared" si="4"/>
        <v>2001</v>
      </c>
    </row>
    <row r="3123" ht="15.75" customHeight="1">
      <c r="A3123" s="4" t="s">
        <v>4190</v>
      </c>
      <c r="B3123" s="4" t="s">
        <v>13</v>
      </c>
      <c r="I3123" s="4">
        <v>0.135142</v>
      </c>
      <c r="K3123" s="6" t="b">
        <f t="shared" ref="K3123:M3123" si="2936">FALSE()</f>
        <v>0</v>
      </c>
      <c r="L3123" s="6" t="b">
        <f t="shared" si="2936"/>
        <v>0</v>
      </c>
      <c r="M3123" s="6" t="b">
        <f t="shared" si="2936"/>
        <v>0</v>
      </c>
      <c r="P3123" s="4">
        <v>0.126757753239905</v>
      </c>
      <c r="T3123" s="4" t="str">
        <f t="shared" si="3"/>
        <v/>
      </c>
      <c r="U3123" s="4">
        <f t="shared" si="4"/>
        <v>3605</v>
      </c>
    </row>
    <row r="3124" ht="15.75" customHeight="1">
      <c r="A3124" s="4" t="s">
        <v>4191</v>
      </c>
      <c r="B3124" s="4" t="s">
        <v>13</v>
      </c>
      <c r="I3124" s="4">
        <v>0.105256</v>
      </c>
      <c r="K3124" s="6" t="b">
        <f t="shared" ref="K3124:M3124" si="2937">FALSE()</f>
        <v>0</v>
      </c>
      <c r="L3124" s="6" t="b">
        <f t="shared" si="2937"/>
        <v>0</v>
      </c>
      <c r="M3124" s="6" t="b">
        <f t="shared" si="2937"/>
        <v>0</v>
      </c>
      <c r="P3124" s="4">
        <v>0.100076982345536</v>
      </c>
      <c r="T3124" s="4" t="str">
        <f t="shared" si="3"/>
        <v/>
      </c>
      <c r="U3124" s="4">
        <f t="shared" si="4"/>
        <v>4136</v>
      </c>
    </row>
    <row r="3125" ht="15.75" customHeight="1">
      <c r="A3125" s="4" t="s">
        <v>4192</v>
      </c>
      <c r="B3125" s="4" t="s">
        <v>13</v>
      </c>
      <c r="I3125" s="4">
        <v>0.08145</v>
      </c>
      <c r="K3125" s="6" t="b">
        <f t="shared" ref="K3125:M3125" si="2938">FALSE()</f>
        <v>0</v>
      </c>
      <c r="L3125" s="6" t="b">
        <f t="shared" si="2938"/>
        <v>0</v>
      </c>
      <c r="M3125" s="6" t="b">
        <f t="shared" si="2938"/>
        <v>0</v>
      </c>
      <c r="P3125" s="4">
        <v>0.0783027332571735</v>
      </c>
      <c r="T3125" s="4" t="str">
        <f t="shared" si="3"/>
        <v/>
      </c>
      <c r="U3125" s="4">
        <f t="shared" si="4"/>
        <v>4404</v>
      </c>
    </row>
    <row r="3126" ht="15.75" customHeight="1">
      <c r="A3126" s="4" t="s">
        <v>4193</v>
      </c>
      <c r="B3126" s="4" t="s">
        <v>13</v>
      </c>
      <c r="I3126" s="4">
        <v>0.223</v>
      </c>
      <c r="K3126" s="6" t="b">
        <f t="shared" ref="K3126:M3126" si="2939">FALSE()</f>
        <v>0</v>
      </c>
      <c r="L3126" s="6" t="b">
        <f t="shared" si="2939"/>
        <v>0</v>
      </c>
      <c r="M3126" s="6" t="b">
        <f t="shared" si="2939"/>
        <v>0</v>
      </c>
      <c r="P3126" s="4">
        <v>0.201306856705035</v>
      </c>
      <c r="T3126" s="4" t="str">
        <f t="shared" si="3"/>
        <v/>
      </c>
      <c r="U3126" s="4">
        <f t="shared" si="4"/>
        <v>2214</v>
      </c>
    </row>
    <row r="3127" ht="15.75" customHeight="1">
      <c r="A3127" s="4" t="s">
        <v>4194</v>
      </c>
      <c r="B3127" s="4" t="s">
        <v>13</v>
      </c>
      <c r="I3127" s="4">
        <v>0.28245</v>
      </c>
      <c r="K3127" s="6" t="b">
        <f t="shared" ref="K3127:M3127" si="2940">FALSE()</f>
        <v>0</v>
      </c>
      <c r="L3127" s="6" t="b">
        <f t="shared" si="2940"/>
        <v>0</v>
      </c>
      <c r="M3127" s="6" t="b">
        <f t="shared" si="2940"/>
        <v>0</v>
      </c>
      <c r="P3127" s="4">
        <v>0.248772310948024</v>
      </c>
      <c r="T3127" s="4" t="str">
        <f t="shared" si="3"/>
        <v/>
      </c>
      <c r="U3127" s="4">
        <f t="shared" si="4"/>
        <v>1492</v>
      </c>
    </row>
    <row r="3128" ht="15.75" customHeight="1">
      <c r="A3128" s="4" t="s">
        <v>4195</v>
      </c>
      <c r="B3128" s="4" t="s">
        <v>13</v>
      </c>
      <c r="I3128" s="4">
        <v>0.2694</v>
      </c>
      <c r="K3128" s="6" t="b">
        <f t="shared" ref="K3128:M3128" si="2941">FALSE()</f>
        <v>0</v>
      </c>
      <c r="L3128" s="6" t="b">
        <f t="shared" si="2941"/>
        <v>0</v>
      </c>
      <c r="M3128" s="6" t="b">
        <f t="shared" si="2941"/>
        <v>0</v>
      </c>
      <c r="P3128" s="4">
        <v>0.238544347890233</v>
      </c>
      <c r="T3128" s="4" t="str">
        <f t="shared" si="3"/>
        <v/>
      </c>
      <c r="U3128" s="4">
        <f t="shared" si="4"/>
        <v>1594</v>
      </c>
    </row>
    <row r="3129" ht="15.75" customHeight="1">
      <c r="A3129" s="4" t="s">
        <v>4196</v>
      </c>
      <c r="B3129" s="4" t="s">
        <v>13</v>
      </c>
      <c r="I3129" s="4">
        <v>0.16308</v>
      </c>
      <c r="K3129" s="6" t="b">
        <f t="shared" ref="K3129:M3129" si="2942">FALSE()</f>
        <v>0</v>
      </c>
      <c r="L3129" s="6" t="b">
        <f t="shared" si="2942"/>
        <v>0</v>
      </c>
      <c r="M3129" s="6" t="b">
        <f t="shared" si="2942"/>
        <v>0</v>
      </c>
      <c r="P3129" s="4">
        <v>0.151071658788996</v>
      </c>
      <c r="T3129" s="4" t="str">
        <f t="shared" si="3"/>
        <v/>
      </c>
      <c r="U3129" s="4">
        <f t="shared" si="4"/>
        <v>3137</v>
      </c>
    </row>
    <row r="3130" ht="15.75" customHeight="1">
      <c r="A3130" s="4" t="s">
        <v>4197</v>
      </c>
      <c r="B3130" s="4" t="s">
        <v>13</v>
      </c>
      <c r="I3130" s="4">
        <v>0.103917</v>
      </c>
      <c r="K3130" s="6" t="b">
        <f t="shared" ref="K3130:M3130" si="2943">FALSE()</f>
        <v>0</v>
      </c>
      <c r="L3130" s="6" t="b">
        <f t="shared" si="2943"/>
        <v>0</v>
      </c>
      <c r="M3130" s="6" t="b">
        <f t="shared" si="2943"/>
        <v>0</v>
      </c>
      <c r="P3130" s="4">
        <v>0.0988647638692382</v>
      </c>
      <c r="T3130" s="4" t="str">
        <f t="shared" si="3"/>
        <v/>
      </c>
      <c r="U3130" s="4">
        <f t="shared" si="4"/>
        <v>4159</v>
      </c>
    </row>
    <row r="3131" ht="15.75" customHeight="1">
      <c r="A3131" s="4" t="s">
        <v>4198</v>
      </c>
      <c r="B3131" s="4" t="s">
        <v>13</v>
      </c>
      <c r="I3131" s="4">
        <v>0.213</v>
      </c>
      <c r="J3131" s="4">
        <v>0.096</v>
      </c>
      <c r="K3131" s="6" t="b">
        <f t="shared" ref="K3131:M3131" si="2944">FALSE()</f>
        <v>0</v>
      </c>
      <c r="L3131" s="6" t="b">
        <f t="shared" si="2944"/>
        <v>0</v>
      </c>
      <c r="M3131" s="6" t="b">
        <f t="shared" si="2944"/>
        <v>0</v>
      </c>
      <c r="P3131" s="4">
        <v>0.193096629961913</v>
      </c>
      <c r="T3131" s="4" t="str">
        <f t="shared" si="3"/>
        <v/>
      </c>
      <c r="U3131" s="4">
        <f t="shared" si="4"/>
        <v>2359</v>
      </c>
    </row>
    <row r="3132" ht="15.75" customHeight="1">
      <c r="A3132" s="4" t="s">
        <v>4199</v>
      </c>
      <c r="B3132" s="4" t="s">
        <v>13</v>
      </c>
      <c r="I3132" s="4">
        <v>0.245</v>
      </c>
      <c r="J3132" s="4">
        <v>0.111</v>
      </c>
      <c r="K3132" s="6" t="b">
        <f t="shared" ref="K3132:M3132" si="2945">FALSE()</f>
        <v>0</v>
      </c>
      <c r="L3132" s="6" t="b">
        <f t="shared" si="2945"/>
        <v>0</v>
      </c>
      <c r="M3132" s="6" t="b">
        <f t="shared" si="2945"/>
        <v>0</v>
      </c>
      <c r="P3132" s="4">
        <v>0.219135529916671</v>
      </c>
      <c r="T3132" s="4" t="str">
        <f t="shared" si="3"/>
        <v/>
      </c>
      <c r="U3132" s="4">
        <f t="shared" si="4"/>
        <v>1874</v>
      </c>
    </row>
    <row r="3133" ht="15.75" customHeight="1">
      <c r="A3133" s="4" t="s">
        <v>4200</v>
      </c>
      <c r="B3133" s="4" t="s">
        <v>13</v>
      </c>
      <c r="I3133" s="4">
        <v>0.13802</v>
      </c>
      <c r="K3133" s="6" t="b">
        <f t="shared" ref="K3133:M3133" si="2946">FALSE()</f>
        <v>0</v>
      </c>
      <c r="L3133" s="6" t="b">
        <f t="shared" si="2946"/>
        <v>0</v>
      </c>
      <c r="M3133" s="6" t="b">
        <f t="shared" si="2946"/>
        <v>0</v>
      </c>
      <c r="P3133" s="4">
        <v>0.129289910242149</v>
      </c>
      <c r="T3133" s="4" t="str">
        <f t="shared" si="3"/>
        <v/>
      </c>
      <c r="U3133" s="4">
        <f t="shared" si="4"/>
        <v>3537</v>
      </c>
    </row>
    <row r="3134" ht="15.75" customHeight="1">
      <c r="A3134" s="4" t="s">
        <v>4201</v>
      </c>
      <c r="B3134" s="4" t="s">
        <v>13</v>
      </c>
      <c r="I3134" s="4">
        <v>0.23633</v>
      </c>
      <c r="K3134" s="6" t="b">
        <f t="shared" ref="K3134:M3134" si="2947">FALSE()</f>
        <v>0</v>
      </c>
      <c r="L3134" s="6" t="b">
        <f t="shared" si="2947"/>
        <v>0</v>
      </c>
      <c r="M3134" s="6" t="b">
        <f t="shared" si="2947"/>
        <v>0</v>
      </c>
      <c r="P3134" s="4">
        <v>0.212147313691196</v>
      </c>
      <c r="T3134" s="4" t="str">
        <f t="shared" si="3"/>
        <v/>
      </c>
      <c r="U3134" s="4">
        <f t="shared" si="4"/>
        <v>2007</v>
      </c>
    </row>
    <row r="3135" ht="15.75" customHeight="1">
      <c r="A3135" s="4" t="s">
        <v>4202</v>
      </c>
      <c r="B3135" s="4" t="s">
        <v>13</v>
      </c>
      <c r="I3135" s="4">
        <v>0.18887</v>
      </c>
      <c r="J3135" s="4">
        <v>9.8E-4</v>
      </c>
      <c r="K3135" s="6" t="b">
        <f t="shared" ref="K3135:M3135" si="2948">FALSE()</f>
        <v>0</v>
      </c>
      <c r="L3135" s="6" t="b">
        <f t="shared" si="2948"/>
        <v>0</v>
      </c>
      <c r="M3135" s="6" t="b">
        <f t="shared" si="2948"/>
        <v>0</v>
      </c>
      <c r="P3135" s="4">
        <v>0.173003276154961</v>
      </c>
      <c r="T3135" s="4" t="str">
        <f t="shared" si="3"/>
        <v/>
      </c>
      <c r="U3135" s="4">
        <f t="shared" si="4"/>
        <v>2767</v>
      </c>
    </row>
    <row r="3136" ht="15.75" customHeight="1">
      <c r="A3136" s="4" t="s">
        <v>4203</v>
      </c>
      <c r="B3136" s="4" t="s">
        <v>13</v>
      </c>
      <c r="I3136" s="4">
        <v>0.1381</v>
      </c>
      <c r="K3136" s="6" t="b">
        <f t="shared" ref="K3136:M3136" si="2949">FALSE()</f>
        <v>0</v>
      </c>
      <c r="L3136" s="6" t="b">
        <f t="shared" si="2949"/>
        <v>0</v>
      </c>
      <c r="M3136" s="6" t="b">
        <f t="shared" si="2949"/>
        <v>0</v>
      </c>
      <c r="P3136" s="4">
        <v>0.129360205305707</v>
      </c>
      <c r="T3136" s="4" t="str">
        <f t="shared" si="3"/>
        <v/>
      </c>
      <c r="U3136" s="4">
        <f t="shared" si="4"/>
        <v>3536</v>
      </c>
    </row>
    <row r="3137" ht="15.75" customHeight="1">
      <c r="A3137" s="4" t="s">
        <v>4204</v>
      </c>
      <c r="B3137" s="4" t="s">
        <v>13</v>
      </c>
      <c r="I3137" s="4">
        <v>0.24614</v>
      </c>
      <c r="K3137" s="6" t="b">
        <f t="shared" ref="K3137:M3137" si="2950">FALSE()</f>
        <v>0</v>
      </c>
      <c r="L3137" s="6" t="b">
        <f t="shared" si="2950"/>
        <v>0</v>
      </c>
      <c r="M3137" s="6" t="b">
        <f t="shared" si="2950"/>
        <v>0</v>
      </c>
      <c r="P3137" s="4">
        <v>0.220050773603962</v>
      </c>
      <c r="T3137" s="4" t="str">
        <f t="shared" si="3"/>
        <v/>
      </c>
      <c r="U3137" s="4">
        <f t="shared" si="4"/>
        <v>1860</v>
      </c>
    </row>
    <row r="3138" ht="15.75" customHeight="1">
      <c r="A3138" s="4" t="s">
        <v>4205</v>
      </c>
      <c r="B3138" s="4" t="s">
        <v>13</v>
      </c>
      <c r="I3138" s="4">
        <v>0.115</v>
      </c>
      <c r="K3138" s="6" t="b">
        <f t="shared" ref="K3138:M3138" si="2951">FALSE()</f>
        <v>0</v>
      </c>
      <c r="L3138" s="6" t="b">
        <f t="shared" si="2951"/>
        <v>0</v>
      </c>
      <c r="M3138" s="6" t="b">
        <f t="shared" si="2951"/>
        <v>0</v>
      </c>
      <c r="P3138" s="4">
        <v>0.108854404912082</v>
      </c>
      <c r="T3138" s="4" t="str">
        <f t="shared" si="3"/>
        <v/>
      </c>
      <c r="U3138" s="4">
        <f t="shared" si="4"/>
        <v>3969</v>
      </c>
    </row>
    <row r="3139" ht="15.75" customHeight="1">
      <c r="A3139" s="4" t="s">
        <v>4206</v>
      </c>
      <c r="B3139" s="4" t="s">
        <v>13</v>
      </c>
      <c r="I3139" s="4">
        <v>0.22197</v>
      </c>
      <c r="K3139" s="6" t="b">
        <f t="shared" ref="K3139:M3139" si="2952">FALSE()</f>
        <v>0</v>
      </c>
      <c r="L3139" s="6" t="b">
        <f t="shared" si="2952"/>
        <v>0</v>
      </c>
      <c r="M3139" s="6" t="b">
        <f t="shared" si="2952"/>
        <v>0</v>
      </c>
      <c r="P3139" s="4">
        <v>0.200464310529882</v>
      </c>
      <c r="T3139" s="4" t="str">
        <f t="shared" si="3"/>
        <v/>
      </c>
      <c r="U3139" s="4">
        <f t="shared" si="4"/>
        <v>2239</v>
      </c>
    </row>
    <row r="3140" ht="15.75" customHeight="1">
      <c r="A3140" s="4" t="s">
        <v>4207</v>
      </c>
      <c r="B3140" s="4" t="s">
        <v>13</v>
      </c>
      <c r="I3140" s="4">
        <v>0.0901</v>
      </c>
      <c r="K3140" s="6" t="b">
        <f t="shared" ref="K3140:M3140" si="2953">FALSE()</f>
        <v>0</v>
      </c>
      <c r="L3140" s="6" t="b">
        <f t="shared" si="2953"/>
        <v>0</v>
      </c>
      <c r="M3140" s="6" t="b">
        <f t="shared" si="2953"/>
        <v>0</v>
      </c>
      <c r="P3140" s="4">
        <v>0.0862694351521757</v>
      </c>
      <c r="T3140" s="4" t="str">
        <f t="shared" si="3"/>
        <v/>
      </c>
      <c r="U3140" s="4">
        <f t="shared" si="4"/>
        <v>4326</v>
      </c>
    </row>
    <row r="3141" ht="15.75" customHeight="1">
      <c r="A3141" s="4" t="s">
        <v>4208</v>
      </c>
      <c r="B3141" s="4" t="s">
        <v>13</v>
      </c>
      <c r="I3141" s="4">
        <v>0.09207</v>
      </c>
      <c r="K3141" s="6" t="b">
        <f t="shared" ref="K3141:M3141" si="2954">FALSE()</f>
        <v>0</v>
      </c>
      <c r="L3141" s="6" t="b">
        <f t="shared" si="2954"/>
        <v>0</v>
      </c>
      <c r="M3141" s="6" t="b">
        <f t="shared" si="2954"/>
        <v>0</v>
      </c>
      <c r="P3141" s="4">
        <v>0.0880749778323343</v>
      </c>
      <c r="T3141" s="4" t="str">
        <f t="shared" si="3"/>
        <v/>
      </c>
      <c r="U3141" s="4">
        <f t="shared" si="4"/>
        <v>4304</v>
      </c>
    </row>
    <row r="3142" ht="15.75" customHeight="1">
      <c r="A3142" s="4" t="s">
        <v>4209</v>
      </c>
      <c r="B3142" s="4" t="s">
        <v>13</v>
      </c>
      <c r="I3142" s="4">
        <v>0.19797</v>
      </c>
      <c r="K3142" s="6" t="b">
        <f t="shared" ref="K3142:M3142" si="2955">FALSE()</f>
        <v>0</v>
      </c>
      <c r="L3142" s="6" t="b">
        <f t="shared" si="2955"/>
        <v>0</v>
      </c>
      <c r="M3142" s="6" t="b">
        <f t="shared" si="2955"/>
        <v>0</v>
      </c>
      <c r="P3142" s="4">
        <v>0.180628457643481</v>
      </c>
      <c r="T3142" s="4" t="str">
        <f t="shared" si="3"/>
        <v/>
      </c>
      <c r="U3142" s="4">
        <f t="shared" si="4"/>
        <v>2626</v>
      </c>
    </row>
    <row r="3143" ht="15.75" customHeight="1">
      <c r="A3143" s="4" t="s">
        <v>4210</v>
      </c>
      <c r="B3143" s="4" t="s">
        <v>13</v>
      </c>
      <c r="I3143" s="4">
        <v>0.135</v>
      </c>
      <c r="J3143" s="4">
        <v>0.07</v>
      </c>
      <c r="K3143" s="6" t="b">
        <f t="shared" ref="K3143:M3143" si="2956">FALSE()</f>
        <v>0</v>
      </c>
      <c r="L3143" s="6" t="b">
        <f t="shared" si="2956"/>
        <v>0</v>
      </c>
      <c r="M3143" s="6" t="b">
        <f t="shared" si="2956"/>
        <v>0</v>
      </c>
      <c r="P3143" s="4">
        <v>0.126632650933366</v>
      </c>
      <c r="T3143" s="4" t="str">
        <f t="shared" si="3"/>
        <v/>
      </c>
      <c r="U3143" s="4">
        <f t="shared" si="4"/>
        <v>3614</v>
      </c>
    </row>
    <row r="3144" ht="15.75" customHeight="1">
      <c r="A3144" s="4" t="s">
        <v>4211</v>
      </c>
      <c r="B3144" s="4" t="s">
        <v>13</v>
      </c>
      <c r="I3144" s="4">
        <v>0.231</v>
      </c>
      <c r="J3144" s="4">
        <v>0.121</v>
      </c>
      <c r="K3144" s="6" t="b">
        <f t="shared" ref="K3144:M3144" si="2957">FALSE()</f>
        <v>0</v>
      </c>
      <c r="L3144" s="6" t="b">
        <f t="shared" si="2957"/>
        <v>0</v>
      </c>
      <c r="M3144" s="6" t="b">
        <f t="shared" si="2957"/>
        <v>0</v>
      </c>
      <c r="P3144" s="4">
        <v>0.207826847202316</v>
      </c>
      <c r="T3144" s="4" t="str">
        <f t="shared" si="3"/>
        <v/>
      </c>
      <c r="U3144" s="4">
        <f t="shared" si="4"/>
        <v>2097</v>
      </c>
    </row>
    <row r="3145" ht="15.75" customHeight="1">
      <c r="A3145" s="4" t="s">
        <v>4212</v>
      </c>
      <c r="B3145" s="4" t="s">
        <v>13</v>
      </c>
      <c r="I3145" s="4">
        <v>0.214</v>
      </c>
      <c r="J3145" s="4">
        <v>0.112</v>
      </c>
      <c r="K3145" s="6" t="b">
        <f t="shared" ref="K3145:M3145" si="2958">FALSE()</f>
        <v>0</v>
      </c>
      <c r="L3145" s="6" t="b">
        <f t="shared" si="2958"/>
        <v>0</v>
      </c>
      <c r="M3145" s="6" t="b">
        <f t="shared" si="2958"/>
        <v>0</v>
      </c>
      <c r="P3145" s="4">
        <v>0.193920692637307</v>
      </c>
      <c r="T3145" s="4" t="str">
        <f t="shared" si="3"/>
        <v/>
      </c>
      <c r="U3145" s="4">
        <f t="shared" si="4"/>
        <v>2347</v>
      </c>
    </row>
    <row r="3146" ht="15.75" customHeight="1">
      <c r="A3146" s="4" t="s">
        <v>4213</v>
      </c>
      <c r="B3146" s="4" t="s">
        <v>13</v>
      </c>
      <c r="I3146" s="4">
        <v>0.13623</v>
      </c>
      <c r="K3146" s="6" t="b">
        <f t="shared" ref="K3146:M3146" si="2959">FALSE()</f>
        <v>0</v>
      </c>
      <c r="L3146" s="6" t="b">
        <f t="shared" si="2959"/>
        <v>0</v>
      </c>
      <c r="M3146" s="6" t="b">
        <f t="shared" si="2959"/>
        <v>0</v>
      </c>
      <c r="P3146" s="4">
        <v>0.127715764594463</v>
      </c>
      <c r="T3146" s="4" t="str">
        <f t="shared" si="3"/>
        <v/>
      </c>
      <c r="U3146" s="4">
        <f t="shared" si="4"/>
        <v>3568</v>
      </c>
    </row>
    <row r="3147" ht="15.75" customHeight="1">
      <c r="A3147" s="4" t="s">
        <v>4214</v>
      </c>
      <c r="B3147" s="4" t="s">
        <v>13</v>
      </c>
      <c r="I3147" s="4">
        <v>0.20707</v>
      </c>
      <c r="K3147" s="6" t="b">
        <f t="shared" ref="K3147:M3147" si="2960">FALSE()</f>
        <v>0</v>
      </c>
      <c r="L3147" s="6" t="b">
        <f t="shared" si="2960"/>
        <v>0</v>
      </c>
      <c r="M3147" s="6" t="b">
        <f t="shared" si="2960"/>
        <v>0</v>
      </c>
      <c r="P3147" s="4">
        <v>0.188195935462745</v>
      </c>
      <c r="T3147" s="4" t="str">
        <f t="shared" si="3"/>
        <v/>
      </c>
      <c r="U3147" s="4">
        <f t="shared" si="4"/>
        <v>2457</v>
      </c>
    </row>
    <row r="3148" ht="15.75" customHeight="1">
      <c r="A3148" s="4" t="s">
        <v>4215</v>
      </c>
      <c r="B3148" s="4" t="s">
        <v>13</v>
      </c>
      <c r="I3148" s="4">
        <v>0.11054</v>
      </c>
      <c r="K3148" s="6" t="b">
        <f t="shared" ref="K3148:M3148" si="2961">FALSE()</f>
        <v>0</v>
      </c>
      <c r="L3148" s="6" t="b">
        <f t="shared" si="2961"/>
        <v>0</v>
      </c>
      <c r="M3148" s="6" t="b">
        <f t="shared" si="2961"/>
        <v>0</v>
      </c>
      <c r="P3148" s="4">
        <v>0.104846383514543</v>
      </c>
      <c r="T3148" s="4" t="str">
        <f t="shared" si="3"/>
        <v/>
      </c>
      <c r="U3148" s="4">
        <f t="shared" si="4"/>
        <v>4038</v>
      </c>
    </row>
    <row r="3149" ht="15.75" customHeight="1">
      <c r="A3149" s="4" t="s">
        <v>4216</v>
      </c>
      <c r="B3149" s="4" t="s">
        <v>13</v>
      </c>
      <c r="I3149" s="4">
        <v>0.114703</v>
      </c>
      <c r="K3149" s="6" t="b">
        <f t="shared" ref="K3149:M3149" si="2962">FALSE()</f>
        <v>0</v>
      </c>
      <c r="L3149" s="6" t="b">
        <f t="shared" si="2962"/>
        <v>0</v>
      </c>
      <c r="M3149" s="6" t="b">
        <f t="shared" si="2962"/>
        <v>0</v>
      </c>
      <c r="P3149" s="4">
        <v>0.108588001716897</v>
      </c>
      <c r="T3149" s="4" t="str">
        <f t="shared" si="3"/>
        <v/>
      </c>
      <c r="U3149" s="4">
        <f t="shared" si="4"/>
        <v>3973</v>
      </c>
    </row>
    <row r="3150" ht="15.75" customHeight="1">
      <c r="A3150" s="4" t="s">
        <v>4217</v>
      </c>
      <c r="B3150" s="4" t="s">
        <v>13</v>
      </c>
      <c r="I3150" s="4">
        <v>0.16076</v>
      </c>
      <c r="K3150" s="6" t="b">
        <f t="shared" ref="K3150:M3150" si="2963">FALSE()</f>
        <v>0</v>
      </c>
      <c r="L3150" s="6" t="b">
        <f t="shared" si="2963"/>
        <v>0</v>
      </c>
      <c r="M3150" s="6" t="b">
        <f t="shared" si="2963"/>
        <v>0</v>
      </c>
      <c r="P3150" s="4">
        <v>0.149074963000319</v>
      </c>
      <c r="T3150" s="4" t="str">
        <f t="shared" si="3"/>
        <v/>
      </c>
      <c r="U3150" s="4">
        <f t="shared" si="4"/>
        <v>3173</v>
      </c>
    </row>
    <row r="3151" ht="15.75" customHeight="1">
      <c r="A3151" s="4" t="s">
        <v>4218</v>
      </c>
      <c r="B3151" s="4" t="s">
        <v>13</v>
      </c>
      <c r="I3151" s="4">
        <v>0.10402</v>
      </c>
      <c r="K3151" s="6" t="b">
        <f t="shared" ref="K3151:M3151" si="2964">FALSE()</f>
        <v>0</v>
      </c>
      <c r="L3151" s="6" t="b">
        <f t="shared" si="2964"/>
        <v>0</v>
      </c>
      <c r="M3151" s="6" t="b">
        <f t="shared" si="2964"/>
        <v>0</v>
      </c>
      <c r="P3151" s="4">
        <v>0.0989580636328408</v>
      </c>
      <c r="T3151" s="4" t="str">
        <f t="shared" si="3"/>
        <v/>
      </c>
      <c r="U3151" s="4">
        <f t="shared" si="4"/>
        <v>4153</v>
      </c>
    </row>
    <row r="3152" ht="15.75" customHeight="1">
      <c r="A3152" s="4" t="s">
        <v>4219</v>
      </c>
      <c r="B3152" s="4" t="s">
        <v>13</v>
      </c>
      <c r="I3152" s="4">
        <v>0.09715</v>
      </c>
      <c r="K3152" s="6" t="b">
        <f t="shared" ref="K3152:M3152" si="2965">FALSE()</f>
        <v>0</v>
      </c>
      <c r="L3152" s="6" t="b">
        <f t="shared" si="2965"/>
        <v>0</v>
      </c>
      <c r="M3152" s="6" t="b">
        <f t="shared" si="2965"/>
        <v>0</v>
      </c>
      <c r="P3152" s="4">
        <v>0.0927159084997414</v>
      </c>
      <c r="T3152" s="4" t="str">
        <f t="shared" si="3"/>
        <v/>
      </c>
      <c r="U3152" s="4">
        <f t="shared" si="4"/>
        <v>4254</v>
      </c>
    </row>
    <row r="3153" ht="15.75" customHeight="1">
      <c r="A3153" s="4" t="s">
        <v>4220</v>
      </c>
      <c r="B3153" s="4" t="s">
        <v>13</v>
      </c>
      <c r="I3153" s="4">
        <v>0.084192</v>
      </c>
      <c r="K3153" s="6" t="b">
        <f t="shared" ref="K3153:M3153" si="2966">FALSE()</f>
        <v>0</v>
      </c>
      <c r="L3153" s="6" t="b">
        <f t="shared" si="2966"/>
        <v>0</v>
      </c>
      <c r="M3153" s="6" t="b">
        <f t="shared" si="2966"/>
        <v>0</v>
      </c>
      <c r="P3153" s="4">
        <v>0.0808350091044632</v>
      </c>
      <c r="T3153" s="4" t="str">
        <f t="shared" si="3"/>
        <v/>
      </c>
      <c r="U3153" s="4">
        <f t="shared" si="4"/>
        <v>4378</v>
      </c>
    </row>
    <row r="3154" ht="15.75" customHeight="1">
      <c r="A3154" s="4" t="s">
        <v>4221</v>
      </c>
      <c r="B3154" s="4" t="s">
        <v>13</v>
      </c>
      <c r="I3154" s="4">
        <v>0.18298</v>
      </c>
      <c r="K3154" s="6" t="b">
        <f t="shared" ref="K3154:M3154" si="2967">FALSE()</f>
        <v>0</v>
      </c>
      <c r="L3154" s="6" t="b">
        <f t="shared" si="2967"/>
        <v>0</v>
      </c>
      <c r="M3154" s="6" t="b">
        <f t="shared" si="2967"/>
        <v>0</v>
      </c>
      <c r="P3154" s="4">
        <v>0.168036678682586</v>
      </c>
      <c r="T3154" s="4" t="str">
        <f t="shared" si="3"/>
        <v/>
      </c>
      <c r="U3154" s="4">
        <f t="shared" si="4"/>
        <v>2857</v>
      </c>
    </row>
    <row r="3155" ht="15.75" customHeight="1">
      <c r="A3155" s="4" t="s">
        <v>4222</v>
      </c>
      <c r="B3155" s="4" t="s">
        <v>13</v>
      </c>
      <c r="I3155" s="4">
        <v>0.10197</v>
      </c>
      <c r="K3155" s="6" t="b">
        <f t="shared" ref="K3155:M3155" si="2968">FALSE()</f>
        <v>0</v>
      </c>
      <c r="L3155" s="6" t="b">
        <f t="shared" si="2968"/>
        <v>0</v>
      </c>
      <c r="M3155" s="6" t="b">
        <f t="shared" si="2968"/>
        <v>0</v>
      </c>
      <c r="P3155" s="4">
        <v>0.0970994871296738</v>
      </c>
      <c r="T3155" s="4" t="str">
        <f t="shared" si="3"/>
        <v/>
      </c>
      <c r="U3155" s="4">
        <f t="shared" si="4"/>
        <v>4196</v>
      </c>
    </row>
    <row r="3156" ht="15.75" customHeight="1">
      <c r="A3156" s="4" t="s">
        <v>4223</v>
      </c>
      <c r="B3156" s="4" t="s">
        <v>13</v>
      </c>
      <c r="I3156" s="4">
        <v>0.181</v>
      </c>
      <c r="J3156" s="4">
        <v>0.066</v>
      </c>
      <c r="K3156" s="6" t="b">
        <f t="shared" ref="K3156:M3156" si="2969">FALSE()</f>
        <v>0</v>
      </c>
      <c r="L3156" s="6" t="b">
        <f t="shared" si="2969"/>
        <v>0</v>
      </c>
      <c r="M3156" s="6" t="b">
        <f t="shared" si="2969"/>
        <v>0</v>
      </c>
      <c r="P3156" s="4">
        <v>0.166361537215225</v>
      </c>
      <c r="T3156" s="4" t="str">
        <f t="shared" si="3"/>
        <v/>
      </c>
      <c r="U3156" s="4">
        <f t="shared" si="4"/>
        <v>2881</v>
      </c>
    </row>
    <row r="3157" ht="15.75" customHeight="1">
      <c r="A3157" s="4" t="s">
        <v>4224</v>
      </c>
      <c r="B3157" s="4" t="s">
        <v>13</v>
      </c>
      <c r="I3157" s="4">
        <v>0.138</v>
      </c>
      <c r="J3157" s="4">
        <v>0.051</v>
      </c>
      <c r="K3157" s="6" t="b">
        <f t="shared" ref="K3157:M3157" si="2970">FALSE()</f>
        <v>0</v>
      </c>
      <c r="L3157" s="6" t="b">
        <f t="shared" si="2970"/>
        <v>0</v>
      </c>
      <c r="M3157" s="6" t="b">
        <f t="shared" si="2970"/>
        <v>0</v>
      </c>
      <c r="P3157" s="4">
        <v>0.129272335704139</v>
      </c>
      <c r="T3157" s="4" t="str">
        <f t="shared" si="3"/>
        <v/>
      </c>
      <c r="U3157" s="4">
        <f t="shared" si="4"/>
        <v>3546</v>
      </c>
    </row>
    <row r="3158" ht="15.75" customHeight="1">
      <c r="A3158" s="4" t="s">
        <v>4225</v>
      </c>
      <c r="B3158" s="4" t="s">
        <v>13</v>
      </c>
      <c r="I3158" s="4">
        <v>0.1166</v>
      </c>
      <c r="K3158" s="6" t="b">
        <f t="shared" ref="K3158:M3158" si="2971">FALSE()</f>
        <v>0</v>
      </c>
      <c r="L3158" s="6" t="b">
        <f t="shared" si="2971"/>
        <v>0</v>
      </c>
      <c r="M3158" s="6" t="b">
        <f t="shared" si="2971"/>
        <v>0</v>
      </c>
      <c r="P3158" s="4">
        <v>0.110288353894123</v>
      </c>
      <c r="T3158" s="4" t="str">
        <f t="shared" si="3"/>
        <v/>
      </c>
      <c r="U3158" s="4">
        <f t="shared" si="4"/>
        <v>3944</v>
      </c>
    </row>
    <row r="3159" ht="15.75" customHeight="1">
      <c r="A3159" s="4" t="s">
        <v>4226</v>
      </c>
      <c r="B3159" s="4" t="s">
        <v>13</v>
      </c>
      <c r="I3159" s="4">
        <v>0.14435</v>
      </c>
      <c r="K3159" s="6" t="b">
        <f t="shared" ref="K3159:M3159" si="2972">FALSE()</f>
        <v>0</v>
      </c>
      <c r="L3159" s="6" t="b">
        <f t="shared" si="2972"/>
        <v>0</v>
      </c>
      <c r="M3159" s="6" t="b">
        <f t="shared" si="2972"/>
        <v>0</v>
      </c>
      <c r="P3159" s="4">
        <v>0.134836790222211</v>
      </c>
      <c r="T3159" s="4" t="str">
        <f t="shared" si="3"/>
        <v/>
      </c>
      <c r="U3159" s="4">
        <f t="shared" si="4"/>
        <v>3435</v>
      </c>
    </row>
    <row r="3160" ht="15.75" customHeight="1">
      <c r="A3160" s="4" t="s">
        <v>4227</v>
      </c>
      <c r="B3160" s="4" t="s">
        <v>13</v>
      </c>
      <c r="I3160" s="4">
        <v>0.10831</v>
      </c>
      <c r="K3160" s="6" t="b">
        <f t="shared" ref="K3160:M3160" si="2973">FALSE()</f>
        <v>0</v>
      </c>
      <c r="L3160" s="6" t="b">
        <f t="shared" si="2973"/>
        <v>0</v>
      </c>
      <c r="M3160" s="6" t="b">
        <f t="shared" si="2973"/>
        <v>0</v>
      </c>
      <c r="P3160" s="4">
        <v>0.102836332586519</v>
      </c>
      <c r="T3160" s="4" t="str">
        <f t="shared" si="3"/>
        <v/>
      </c>
      <c r="U3160" s="4">
        <f t="shared" si="4"/>
        <v>4074</v>
      </c>
    </row>
    <row r="3161" ht="15.75" customHeight="1">
      <c r="A3161" s="4" t="s">
        <v>4228</v>
      </c>
      <c r="B3161" s="4" t="s">
        <v>13</v>
      </c>
      <c r="I3161" s="4">
        <v>0.0664088</v>
      </c>
      <c r="K3161" s="6" t="b">
        <f t="shared" ref="K3161:M3161" si="2974">FALSE()</f>
        <v>0</v>
      </c>
      <c r="L3161" s="6" t="b">
        <f t="shared" si="2974"/>
        <v>0</v>
      </c>
      <c r="M3161" s="6" t="b">
        <f t="shared" si="2974"/>
        <v>0</v>
      </c>
      <c r="P3161" s="4">
        <v>0.0642967419113295</v>
      </c>
      <c r="T3161" s="4" t="str">
        <f t="shared" si="3"/>
        <v/>
      </c>
      <c r="U3161" s="4">
        <f t="shared" si="4"/>
        <v>4510</v>
      </c>
    </row>
    <row r="3162" ht="15.75" customHeight="1">
      <c r="A3162" s="4" t="s">
        <v>4229</v>
      </c>
      <c r="B3162" s="4" t="s">
        <v>13</v>
      </c>
      <c r="I3162" s="4">
        <v>0.15889</v>
      </c>
      <c r="K3162" s="6" t="b">
        <f t="shared" ref="K3162:M3162" si="2975">FALSE()</f>
        <v>0</v>
      </c>
      <c r="L3162" s="6" t="b">
        <f t="shared" si="2975"/>
        <v>0</v>
      </c>
      <c r="M3162" s="6" t="b">
        <f t="shared" si="2975"/>
        <v>0</v>
      </c>
      <c r="P3162" s="4">
        <v>0.147462650448773</v>
      </c>
      <c r="T3162" s="4" t="str">
        <f t="shared" si="3"/>
        <v/>
      </c>
      <c r="U3162" s="4">
        <f t="shared" si="4"/>
        <v>3195</v>
      </c>
    </row>
    <row r="3163" ht="15.75" customHeight="1">
      <c r="A3163" s="4" t="s">
        <v>4230</v>
      </c>
      <c r="B3163" s="4" t="s">
        <v>13</v>
      </c>
      <c r="I3163" s="4">
        <v>0.1208</v>
      </c>
      <c r="K3163" s="6" t="b">
        <f t="shared" ref="K3163:M3163" si="2976">FALSE()</f>
        <v>0</v>
      </c>
      <c r="L3163" s="6" t="b">
        <f t="shared" si="2976"/>
        <v>0</v>
      </c>
      <c r="M3163" s="6" t="b">
        <f t="shared" si="2976"/>
        <v>0</v>
      </c>
      <c r="P3163" s="4">
        <v>0.11404271604066</v>
      </c>
      <c r="T3163" s="4" t="str">
        <f t="shared" si="3"/>
        <v/>
      </c>
      <c r="U3163" s="4">
        <f t="shared" si="4"/>
        <v>3853</v>
      </c>
    </row>
    <row r="3164" ht="15.75" customHeight="1">
      <c r="A3164" s="4" t="s">
        <v>4231</v>
      </c>
      <c r="B3164" s="4" t="s">
        <v>13</v>
      </c>
      <c r="I3164" s="4">
        <v>0.0985627</v>
      </c>
      <c r="K3164" s="6" t="b">
        <f t="shared" ref="K3164:M3164" si="2977">FALSE()</f>
        <v>0</v>
      </c>
      <c r="L3164" s="6" t="b">
        <f t="shared" si="2977"/>
        <v>0</v>
      </c>
      <c r="M3164" s="6" t="b">
        <f t="shared" si="2977"/>
        <v>0</v>
      </c>
      <c r="P3164" s="4">
        <v>0.0940026890470595</v>
      </c>
      <c r="T3164" s="4" t="str">
        <f t="shared" si="3"/>
        <v/>
      </c>
      <c r="U3164" s="4">
        <f t="shared" si="4"/>
        <v>4239</v>
      </c>
    </row>
    <row r="3165" ht="15.75" customHeight="1">
      <c r="A3165" s="4" t="s">
        <v>4232</v>
      </c>
      <c r="B3165" s="4" t="s">
        <v>13</v>
      </c>
      <c r="I3165" s="4">
        <v>0.0651464</v>
      </c>
      <c r="K3165" s="6" t="b">
        <f t="shared" ref="K3165:M3165" si="2978">FALSE()</f>
        <v>0</v>
      </c>
      <c r="L3165" s="6" t="b">
        <f t="shared" si="2978"/>
        <v>0</v>
      </c>
      <c r="M3165" s="6" t="b">
        <f t="shared" si="2978"/>
        <v>0</v>
      </c>
      <c r="P3165" s="4">
        <v>0.0631122545027025</v>
      </c>
      <c r="T3165" s="4" t="str">
        <f t="shared" si="3"/>
        <v/>
      </c>
      <c r="U3165" s="4">
        <f t="shared" si="4"/>
        <v>4515</v>
      </c>
    </row>
    <row r="3166" ht="15.75" customHeight="1">
      <c r="A3166" s="4" t="s">
        <v>4233</v>
      </c>
      <c r="B3166" s="4" t="s">
        <v>13</v>
      </c>
      <c r="I3166" s="4">
        <v>0.134</v>
      </c>
      <c r="K3166" s="6" t="b">
        <f t="shared" ref="K3166:M3166" si="2979">FALSE()</f>
        <v>0</v>
      </c>
      <c r="L3166" s="6" t="b">
        <f t="shared" si="2979"/>
        <v>0</v>
      </c>
      <c r="M3166" s="6" t="b">
        <f t="shared" si="2979"/>
        <v>0</v>
      </c>
      <c r="P3166" s="4">
        <v>0.12575120530556</v>
      </c>
      <c r="T3166" s="4" t="str">
        <f t="shared" si="3"/>
        <v/>
      </c>
      <c r="U3166" s="4">
        <f t="shared" si="4"/>
        <v>3629</v>
      </c>
    </row>
    <row r="3167" ht="15.75" customHeight="1">
      <c r="A3167" s="4" t="s">
        <v>4234</v>
      </c>
      <c r="B3167" s="4" t="s">
        <v>13</v>
      </c>
      <c r="I3167" s="4">
        <v>0.14997</v>
      </c>
      <c r="K3167" s="6" t="b">
        <f t="shared" ref="K3167:M3167" si="2980">FALSE()</f>
        <v>0</v>
      </c>
      <c r="L3167" s="6" t="b">
        <f t="shared" si="2980"/>
        <v>0</v>
      </c>
      <c r="M3167" s="6" t="b">
        <f t="shared" si="2980"/>
        <v>0</v>
      </c>
      <c r="P3167" s="4">
        <v>0.139735855078366</v>
      </c>
      <c r="T3167" s="4" t="str">
        <f t="shared" si="3"/>
        <v/>
      </c>
      <c r="U3167" s="4">
        <f t="shared" si="4"/>
        <v>3334</v>
      </c>
    </row>
    <row r="3168" ht="15.75" customHeight="1">
      <c r="A3168" s="4" t="s">
        <v>4235</v>
      </c>
      <c r="B3168" s="4" t="s">
        <v>13</v>
      </c>
      <c r="I3168" s="4">
        <v>0.17</v>
      </c>
      <c r="J3168" s="4">
        <v>0.013</v>
      </c>
      <c r="K3168" s="6" t="b">
        <f t="shared" ref="K3168:M3168" si="2981">FALSE()</f>
        <v>0</v>
      </c>
      <c r="L3168" s="6" t="b">
        <f t="shared" si="2981"/>
        <v>0</v>
      </c>
      <c r="M3168" s="6" t="b">
        <f t="shared" si="2981"/>
        <v>0</v>
      </c>
      <c r="P3168" s="4">
        <v>0.157003748809665</v>
      </c>
      <c r="T3168" s="4" t="str">
        <f t="shared" si="3"/>
        <v/>
      </c>
      <c r="U3168" s="4">
        <f t="shared" si="4"/>
        <v>3047</v>
      </c>
    </row>
    <row r="3169" ht="15.75" customHeight="1">
      <c r="A3169" s="4" t="s">
        <v>4236</v>
      </c>
      <c r="B3169" s="4" t="s">
        <v>13</v>
      </c>
      <c r="I3169" s="4">
        <v>0.2</v>
      </c>
      <c r="J3169" s="4">
        <v>0.015</v>
      </c>
      <c r="K3169" s="6" t="b">
        <f t="shared" ref="K3169:M3169" si="2982">FALSE()</f>
        <v>0</v>
      </c>
      <c r="L3169" s="6" t="b">
        <f t="shared" si="2982"/>
        <v>0</v>
      </c>
      <c r="M3169" s="6" t="b">
        <f t="shared" si="2982"/>
        <v>0</v>
      </c>
      <c r="P3169" s="4">
        <v>0.182321556793955</v>
      </c>
      <c r="T3169" s="4" t="str">
        <f t="shared" si="3"/>
        <v/>
      </c>
      <c r="U3169" s="4">
        <f t="shared" si="4"/>
        <v>2586</v>
      </c>
    </row>
    <row r="3170" ht="15.75" customHeight="1">
      <c r="A3170" s="4" t="s">
        <v>4237</v>
      </c>
      <c r="B3170" s="4" t="s">
        <v>13</v>
      </c>
      <c r="I3170" s="4">
        <v>0.2373</v>
      </c>
      <c r="K3170" s="6" t="b">
        <f t="shared" ref="K3170:M3170" si="2983">FALSE()</f>
        <v>0</v>
      </c>
      <c r="L3170" s="6" t="b">
        <f t="shared" si="2983"/>
        <v>0</v>
      </c>
      <c r="M3170" s="6" t="b">
        <f t="shared" si="2983"/>
        <v>0</v>
      </c>
      <c r="P3170" s="4">
        <v>0.212931586237793</v>
      </c>
      <c r="T3170" s="4" t="str">
        <f t="shared" si="3"/>
        <v/>
      </c>
      <c r="U3170" s="4">
        <f t="shared" si="4"/>
        <v>1986</v>
      </c>
    </row>
    <row r="3171" ht="15.75" customHeight="1">
      <c r="A3171" s="4" t="s">
        <v>4238</v>
      </c>
      <c r="B3171" s="4" t="s">
        <v>13</v>
      </c>
      <c r="D3171" s="4">
        <v>0.4</v>
      </c>
      <c r="E3171" s="4">
        <v>0.4</v>
      </c>
      <c r="F3171" s="4">
        <v>2.1</v>
      </c>
      <c r="G3171" s="4">
        <v>0.4</v>
      </c>
      <c r="H3171" s="4">
        <v>0.4</v>
      </c>
      <c r="K3171" s="6" t="b">
        <f t="shared" ref="K3171:M3171" si="2984">FALSE()</f>
        <v>0</v>
      </c>
      <c r="L3171" s="6" t="b">
        <f t="shared" si="2984"/>
        <v>0</v>
      </c>
      <c r="M3171" s="6" t="b">
        <f t="shared" si="2984"/>
        <v>0</v>
      </c>
      <c r="O3171" s="4">
        <v>1.1314021114911</v>
      </c>
      <c r="T3171" s="4" t="str">
        <f t="shared" si="3"/>
        <v/>
      </c>
      <c r="U3171" s="4" t="str">
        <f t="shared" si="4"/>
        <v/>
      </c>
    </row>
    <row r="3172" ht="15.75" customHeight="1">
      <c r="A3172" s="4" t="s">
        <v>813</v>
      </c>
      <c r="B3172" s="4" t="s">
        <v>13</v>
      </c>
      <c r="C3172" s="4">
        <v>0.00107</v>
      </c>
      <c r="D3172" s="4">
        <v>0.00104</v>
      </c>
      <c r="E3172" s="4">
        <v>0.0</v>
      </c>
      <c r="I3172" s="4">
        <v>0.0455</v>
      </c>
      <c r="J3172" s="4">
        <v>0.0027</v>
      </c>
      <c r="K3172" s="6" t="b">
        <f t="shared" ref="K3172:M3172" si="2985">FALSE()</f>
        <v>0</v>
      </c>
      <c r="L3172" s="6" t="b">
        <f t="shared" si="2985"/>
        <v>0</v>
      </c>
      <c r="M3172" s="6" t="b">
        <f t="shared" si="2985"/>
        <v>0</v>
      </c>
      <c r="N3172" s="4">
        <v>0.0010694279580202</v>
      </c>
      <c r="P3172" s="4">
        <v>0.0444952398865512</v>
      </c>
      <c r="T3172" s="4">
        <f t="shared" si="3"/>
        <v>2075</v>
      </c>
      <c r="U3172" s="4">
        <f t="shared" si="4"/>
        <v>4561</v>
      </c>
    </row>
    <row r="3173" ht="15.75" customHeight="1">
      <c r="A3173" s="4" t="s">
        <v>814</v>
      </c>
      <c r="B3173" s="4" t="s">
        <v>13</v>
      </c>
      <c r="C3173" s="4">
        <v>0.00636</v>
      </c>
      <c r="D3173" s="4">
        <v>0.00195</v>
      </c>
      <c r="E3173" s="4">
        <v>0.00176</v>
      </c>
      <c r="I3173" s="4">
        <v>0.07155</v>
      </c>
      <c r="J3173" s="4">
        <v>0.00366</v>
      </c>
      <c r="K3173" s="6" t="b">
        <f t="shared" ref="K3173:M3173" si="2986">FALSE()</f>
        <v>0</v>
      </c>
      <c r="L3173" s="6" t="b">
        <f t="shared" si="2986"/>
        <v>0</v>
      </c>
      <c r="M3173" s="6" t="b">
        <f t="shared" si="2986"/>
        <v>0</v>
      </c>
      <c r="N3173" s="4">
        <v>0.0063398605461797</v>
      </c>
      <c r="P3173" s="4">
        <v>0.0691061983985477</v>
      </c>
      <c r="T3173" s="4">
        <f t="shared" si="3"/>
        <v>2001</v>
      </c>
      <c r="U3173" s="4">
        <f t="shared" si="4"/>
        <v>4477</v>
      </c>
    </row>
    <row r="3174" ht="15.75" customHeight="1">
      <c r="A3174" s="4" t="s">
        <v>816</v>
      </c>
      <c r="B3174" s="4" t="s">
        <v>13</v>
      </c>
      <c r="C3174" s="4">
        <v>0.00664</v>
      </c>
      <c r="D3174" s="4">
        <v>0.00205</v>
      </c>
      <c r="E3174" s="4">
        <v>0.00186</v>
      </c>
      <c r="I3174" s="4">
        <v>0.07744</v>
      </c>
      <c r="J3174" s="4">
        <v>0.0045</v>
      </c>
      <c r="K3174" s="6" t="b">
        <f t="shared" ref="K3174:M3174" si="2987">FALSE()</f>
        <v>0</v>
      </c>
      <c r="L3174" s="6" t="b">
        <f t="shared" si="2987"/>
        <v>0</v>
      </c>
      <c r="M3174" s="6" t="b">
        <f t="shared" si="2987"/>
        <v>0</v>
      </c>
      <c r="N3174" s="4">
        <v>0.0066180523015754</v>
      </c>
      <c r="P3174" s="4">
        <v>0.0745878569905726</v>
      </c>
      <c r="T3174" s="4">
        <f t="shared" si="3"/>
        <v>1995</v>
      </c>
      <c r="U3174" s="4">
        <f t="shared" si="4"/>
        <v>4437</v>
      </c>
    </row>
    <row r="3175" ht="15.75" customHeight="1">
      <c r="A3175" s="4" t="s">
        <v>817</v>
      </c>
      <c r="B3175" s="4" t="s">
        <v>13</v>
      </c>
      <c r="C3175" s="4">
        <v>0.0544</v>
      </c>
      <c r="D3175" s="4">
        <v>0.009</v>
      </c>
      <c r="E3175" s="4">
        <v>0.009</v>
      </c>
      <c r="I3175" s="4">
        <v>0.384</v>
      </c>
      <c r="J3175" s="4">
        <v>0.0045</v>
      </c>
      <c r="K3175" s="6" t="b">
        <f t="shared" ref="K3175:M3175" si="2988">FALSE()</f>
        <v>0</v>
      </c>
      <c r="L3175" s="6" t="b">
        <f t="shared" si="2988"/>
        <v>0</v>
      </c>
      <c r="M3175" s="6" t="b">
        <f t="shared" si="2988"/>
        <v>0</v>
      </c>
      <c r="N3175" s="4">
        <v>0.0529718847661057</v>
      </c>
      <c r="P3175" s="4">
        <v>0.324977857195478</v>
      </c>
      <c r="T3175" s="4">
        <f t="shared" si="3"/>
        <v>1380</v>
      </c>
      <c r="U3175" s="4">
        <f t="shared" si="4"/>
        <v>1140</v>
      </c>
    </row>
    <row r="3176" ht="15.75" customHeight="1">
      <c r="A3176" s="4" t="s">
        <v>4239</v>
      </c>
      <c r="B3176" s="4" t="s">
        <v>13</v>
      </c>
      <c r="C3176" s="4">
        <v>0.6601</v>
      </c>
      <c r="D3176" s="4">
        <v>0.126</v>
      </c>
      <c r="E3176" s="4">
        <v>0.126</v>
      </c>
      <c r="K3176" s="6" t="b">
        <f t="shared" ref="K3176:M3176" si="2989">FALSE()</f>
        <v>0</v>
      </c>
      <c r="L3176" s="6" t="b">
        <f t="shared" si="2989"/>
        <v>0</v>
      </c>
      <c r="M3176" s="6" t="b">
        <f t="shared" si="2989"/>
        <v>0</v>
      </c>
      <c r="N3176" s="4">
        <v>0.506877841517893</v>
      </c>
      <c r="T3176" s="4">
        <f t="shared" si="3"/>
        <v>848</v>
      </c>
      <c r="U3176" s="4" t="str">
        <f t="shared" si="4"/>
        <v/>
      </c>
    </row>
    <row r="3177" ht="15.75" customHeight="1">
      <c r="A3177" s="4" t="s">
        <v>4240</v>
      </c>
      <c r="B3177" s="4" t="s">
        <v>13</v>
      </c>
      <c r="I3177" s="4">
        <v>0.1981</v>
      </c>
      <c r="J3177" s="4">
        <v>0.0107</v>
      </c>
      <c r="K3177" s="6" t="b">
        <f t="shared" ref="K3177:M3177" si="2990">FALSE()</f>
        <v>0</v>
      </c>
      <c r="L3177" s="6" t="b">
        <f t="shared" si="2990"/>
        <v>0</v>
      </c>
      <c r="M3177" s="6" t="b">
        <f t="shared" si="2990"/>
        <v>0</v>
      </c>
      <c r="P3177" s="4">
        <v>0.180736968663716</v>
      </c>
      <c r="T3177" s="4" t="str">
        <f t="shared" si="3"/>
        <v/>
      </c>
      <c r="U3177" s="4">
        <f t="shared" si="4"/>
        <v>2610</v>
      </c>
    </row>
    <row r="3178" ht="15.75" customHeight="1">
      <c r="A3178" s="4" t="s">
        <v>4241</v>
      </c>
      <c r="B3178" s="4" t="s">
        <v>13</v>
      </c>
      <c r="I3178" s="4">
        <v>0.2088</v>
      </c>
      <c r="J3178" s="4">
        <v>0.0161</v>
      </c>
      <c r="K3178" s="6" t="b">
        <f t="shared" ref="K3178:M3178" si="2991">FALSE()</f>
        <v>0</v>
      </c>
      <c r="L3178" s="6" t="b">
        <f t="shared" si="2991"/>
        <v>0</v>
      </c>
      <c r="M3178" s="6" t="b">
        <f t="shared" si="2991"/>
        <v>0</v>
      </c>
      <c r="P3178" s="4">
        <v>0.189628131976393</v>
      </c>
      <c r="T3178" s="4" t="str">
        <f t="shared" si="3"/>
        <v/>
      </c>
      <c r="U3178" s="4">
        <f t="shared" si="4"/>
        <v>2442</v>
      </c>
    </row>
    <row r="3179" ht="15.75" customHeight="1">
      <c r="A3179" s="4" t="s">
        <v>4242</v>
      </c>
      <c r="B3179" s="4" t="s">
        <v>13</v>
      </c>
      <c r="I3179" s="4">
        <v>1.09</v>
      </c>
      <c r="J3179" s="4">
        <v>0.13</v>
      </c>
      <c r="K3179" s="6" t="b">
        <f t="shared" ref="K3179:L3179" si="2992">FALSE()</f>
        <v>0</v>
      </c>
      <c r="L3179" s="6" t="b">
        <f t="shared" si="2992"/>
        <v>0</v>
      </c>
      <c r="M3179" s="6" t="b">
        <f>TRUE()</f>
        <v>1</v>
      </c>
      <c r="P3179" s="4">
        <v>0.73716406597672</v>
      </c>
      <c r="T3179" s="4" t="str">
        <f t="shared" si="3"/>
        <v/>
      </c>
      <c r="U3179" s="4">
        <f t="shared" si="4"/>
        <v>534</v>
      </c>
    </row>
    <row r="3180" ht="15.75" customHeight="1">
      <c r="A3180" s="4" t="s">
        <v>4243</v>
      </c>
      <c r="B3180" s="4" t="s">
        <v>13</v>
      </c>
      <c r="I3180" s="4">
        <v>0.1624</v>
      </c>
      <c r="K3180" s="6" t="b">
        <f t="shared" ref="K3180:M3180" si="2993">FALSE()</f>
        <v>0</v>
      </c>
      <c r="L3180" s="6" t="b">
        <f t="shared" si="2993"/>
        <v>0</v>
      </c>
      <c r="M3180" s="6" t="b">
        <f t="shared" si="2993"/>
        <v>0</v>
      </c>
      <c r="P3180" s="4">
        <v>0.150486833273936</v>
      </c>
      <c r="T3180" s="4" t="str">
        <f t="shared" si="3"/>
        <v/>
      </c>
      <c r="U3180" s="4">
        <f t="shared" si="4"/>
        <v>3144</v>
      </c>
    </row>
    <row r="3181" ht="15.75" customHeight="1">
      <c r="A3181" s="4" t="s">
        <v>4244</v>
      </c>
      <c r="B3181" s="4" t="s">
        <v>13</v>
      </c>
      <c r="I3181" s="4">
        <v>0.27</v>
      </c>
      <c r="K3181" s="6" t="b">
        <f t="shared" ref="K3181:M3181" si="2994">FALSE()</f>
        <v>0</v>
      </c>
      <c r="L3181" s="6" t="b">
        <f t="shared" si="2994"/>
        <v>0</v>
      </c>
      <c r="M3181" s="6" t="b">
        <f t="shared" si="2994"/>
        <v>0</v>
      </c>
      <c r="P3181" s="4">
        <v>0.2390169004705</v>
      </c>
      <c r="T3181" s="4" t="str">
        <f t="shared" si="3"/>
        <v/>
      </c>
      <c r="U3181" s="4">
        <f t="shared" si="4"/>
        <v>1585</v>
      </c>
    </row>
    <row r="3182" ht="15.75" customHeight="1">
      <c r="A3182" s="4" t="s">
        <v>4245</v>
      </c>
      <c r="B3182" s="4" t="s">
        <v>13</v>
      </c>
      <c r="I3182" s="4">
        <v>0.38559</v>
      </c>
      <c r="K3182" s="6" t="b">
        <f t="shared" ref="K3182:M3182" si="2995">FALSE()</f>
        <v>0</v>
      </c>
      <c r="L3182" s="6" t="b">
        <f t="shared" si="2995"/>
        <v>0</v>
      </c>
      <c r="M3182" s="6" t="b">
        <f t="shared" si="2995"/>
        <v>0</v>
      </c>
      <c r="P3182" s="4">
        <v>0.326126041709921</v>
      </c>
      <c r="T3182" s="4" t="str">
        <f t="shared" si="3"/>
        <v/>
      </c>
      <c r="U3182" s="4">
        <f t="shared" si="4"/>
        <v>1138</v>
      </c>
    </row>
    <row r="3183" ht="15.75" customHeight="1">
      <c r="A3183" s="4" t="s">
        <v>4246</v>
      </c>
      <c r="B3183" s="4" t="s">
        <v>13</v>
      </c>
      <c r="I3183" s="4">
        <v>0.09921</v>
      </c>
      <c r="J3183" s="4">
        <v>0.00312</v>
      </c>
      <c r="K3183" s="6" t="b">
        <f t="shared" ref="K3183:M3183" si="2996">FALSE()</f>
        <v>0</v>
      </c>
      <c r="L3183" s="6" t="b">
        <f t="shared" si="2996"/>
        <v>0</v>
      </c>
      <c r="M3183" s="6" t="b">
        <f t="shared" si="2996"/>
        <v>0</v>
      </c>
      <c r="P3183" s="4">
        <v>0.0945917399700386</v>
      </c>
      <c r="T3183" s="4" t="str">
        <f t="shared" si="3"/>
        <v/>
      </c>
      <c r="U3183" s="4">
        <f t="shared" si="4"/>
        <v>4229</v>
      </c>
    </row>
    <row r="3184" ht="15.75" customHeight="1">
      <c r="A3184" s="4" t="s">
        <v>818</v>
      </c>
      <c r="B3184" s="4" t="s">
        <v>13</v>
      </c>
      <c r="C3184" s="4">
        <v>0.017</v>
      </c>
      <c r="D3184" s="4">
        <v>0.0091</v>
      </c>
      <c r="E3184" s="4">
        <v>0.01</v>
      </c>
      <c r="I3184" s="4">
        <v>0.11669</v>
      </c>
      <c r="J3184" s="4">
        <v>0.00366</v>
      </c>
      <c r="K3184" s="6" t="b">
        <f t="shared" ref="K3184:M3184" si="2997">FALSE()</f>
        <v>0</v>
      </c>
      <c r="L3184" s="6" t="b">
        <f t="shared" si="2997"/>
        <v>0</v>
      </c>
      <c r="M3184" s="6" t="b">
        <f t="shared" si="2997"/>
        <v>0</v>
      </c>
      <c r="N3184" s="4">
        <v>0.0168571170664229</v>
      </c>
      <c r="P3184" s="4">
        <v>0.110368952472945</v>
      </c>
      <c r="T3184" s="4">
        <f t="shared" si="3"/>
        <v>1787</v>
      </c>
      <c r="U3184" s="4">
        <f t="shared" si="4"/>
        <v>3943</v>
      </c>
    </row>
    <row r="3185" ht="15.75" customHeight="1">
      <c r="A3185" s="4" t="s">
        <v>4247</v>
      </c>
      <c r="B3185" s="4" t="s">
        <v>13</v>
      </c>
      <c r="I3185" s="4">
        <v>0.10625</v>
      </c>
      <c r="J3185" s="4">
        <v>0.0036</v>
      </c>
      <c r="K3185" s="6" t="b">
        <f t="shared" ref="K3185:M3185" si="2998">FALSE()</f>
        <v>0</v>
      </c>
      <c r="L3185" s="6" t="b">
        <f t="shared" si="2998"/>
        <v>0</v>
      </c>
      <c r="M3185" s="6" t="b">
        <f t="shared" si="2998"/>
        <v>0</v>
      </c>
      <c r="P3185" s="4">
        <v>0.100975917340002</v>
      </c>
      <c r="T3185" s="4" t="str">
        <f t="shared" si="3"/>
        <v/>
      </c>
      <c r="U3185" s="4">
        <f t="shared" si="4"/>
        <v>4113</v>
      </c>
    </row>
    <row r="3186" ht="15.75" customHeight="1">
      <c r="A3186" s="4" t="s">
        <v>4248</v>
      </c>
      <c r="B3186" s="4" t="s">
        <v>13</v>
      </c>
      <c r="I3186" s="4">
        <v>0.0827</v>
      </c>
      <c r="J3186" s="4">
        <v>0.01017</v>
      </c>
      <c r="K3186" s="6" t="b">
        <f t="shared" ref="K3186:M3186" si="2999">FALSE()</f>
        <v>0</v>
      </c>
      <c r="L3186" s="6" t="b">
        <f t="shared" si="2999"/>
        <v>0</v>
      </c>
      <c r="M3186" s="6" t="b">
        <f t="shared" si="2999"/>
        <v>0</v>
      </c>
      <c r="P3186" s="4">
        <v>0.0794579213347155</v>
      </c>
      <c r="T3186" s="4" t="str">
        <f t="shared" si="3"/>
        <v/>
      </c>
      <c r="U3186" s="4">
        <f t="shared" si="4"/>
        <v>4394</v>
      </c>
    </row>
    <row r="3187" ht="15.75" customHeight="1">
      <c r="A3187" s="4" t="s">
        <v>4249</v>
      </c>
      <c r="B3187" s="4" t="s">
        <v>13</v>
      </c>
      <c r="I3187" s="4">
        <v>0.1972</v>
      </c>
      <c r="J3187" s="4">
        <v>0.0107</v>
      </c>
      <c r="K3187" s="6" t="b">
        <f t="shared" ref="K3187:M3187" si="3000">FALSE()</f>
        <v>0</v>
      </c>
      <c r="L3187" s="6" t="b">
        <f t="shared" si="3000"/>
        <v>0</v>
      </c>
      <c r="M3187" s="6" t="b">
        <f t="shared" si="3000"/>
        <v>0</v>
      </c>
      <c r="P3187" s="4">
        <v>0.179985496996407</v>
      </c>
      <c r="T3187" s="4" t="str">
        <f t="shared" si="3"/>
        <v/>
      </c>
      <c r="U3187" s="4">
        <f t="shared" si="4"/>
        <v>2630</v>
      </c>
    </row>
    <row r="3188" ht="15.75" customHeight="1">
      <c r="A3188" s="4" t="s">
        <v>4250</v>
      </c>
      <c r="B3188" s="4" t="s">
        <v>13</v>
      </c>
      <c r="I3188" s="4">
        <v>0.83968</v>
      </c>
      <c r="K3188" s="6" t="b">
        <f t="shared" ref="K3188:L3188" si="3001">FALSE()</f>
        <v>0</v>
      </c>
      <c r="L3188" s="6" t="b">
        <f t="shared" si="3001"/>
        <v>0</v>
      </c>
      <c r="M3188" s="6" t="b">
        <f>TRUE()</f>
        <v>1</v>
      </c>
      <c r="P3188" s="4">
        <v>0.609591643452789</v>
      </c>
      <c r="T3188" s="4" t="str">
        <f t="shared" si="3"/>
        <v/>
      </c>
      <c r="U3188" s="4">
        <f t="shared" si="4"/>
        <v>813</v>
      </c>
    </row>
    <row r="3189" ht="15.75" customHeight="1">
      <c r="A3189" s="4" t="s">
        <v>4251</v>
      </c>
      <c r="B3189" s="4" t="s">
        <v>13</v>
      </c>
      <c r="I3189" s="4">
        <v>0.077313</v>
      </c>
      <c r="J3189" s="4">
        <v>0.00187</v>
      </c>
      <c r="K3189" s="6" t="b">
        <f t="shared" ref="K3189:M3189" si="3002">FALSE()</f>
        <v>0</v>
      </c>
      <c r="L3189" s="6" t="b">
        <f t="shared" si="3002"/>
        <v>0</v>
      </c>
      <c r="M3189" s="6" t="b">
        <f t="shared" si="3002"/>
        <v>0</v>
      </c>
      <c r="P3189" s="4">
        <v>0.0744699780502513</v>
      </c>
      <c r="T3189" s="4" t="str">
        <f t="shared" si="3"/>
        <v/>
      </c>
      <c r="U3189" s="4">
        <f t="shared" si="4"/>
        <v>4438</v>
      </c>
    </row>
    <row r="3190" ht="15.75" customHeight="1">
      <c r="A3190" s="4" t="s">
        <v>4252</v>
      </c>
      <c r="B3190" s="4" t="s">
        <v>13</v>
      </c>
      <c r="I3190" s="4">
        <v>0.14658</v>
      </c>
      <c r="K3190" s="6" t="b">
        <f t="shared" ref="K3190:M3190" si="3003">FALSE()</f>
        <v>0</v>
      </c>
      <c r="L3190" s="6" t="b">
        <f t="shared" si="3003"/>
        <v>0</v>
      </c>
      <c r="M3190" s="6" t="b">
        <f t="shared" si="3003"/>
        <v>0</v>
      </c>
      <c r="P3190" s="4">
        <v>0.136783598465431</v>
      </c>
      <c r="T3190" s="4" t="str">
        <f t="shared" si="3"/>
        <v/>
      </c>
      <c r="U3190" s="4">
        <f t="shared" si="4"/>
        <v>3382</v>
      </c>
    </row>
    <row r="3191" ht="15.75" customHeight="1">
      <c r="A3191" s="4" t="s">
        <v>4253</v>
      </c>
      <c r="B3191" s="4" t="s">
        <v>13</v>
      </c>
      <c r="I3191" s="4">
        <v>0.071871</v>
      </c>
      <c r="K3191" s="6" t="b">
        <f t="shared" ref="K3191:M3191" si="3004">FALSE()</f>
        <v>0</v>
      </c>
      <c r="L3191" s="6" t="b">
        <f t="shared" si="3004"/>
        <v>0</v>
      </c>
      <c r="M3191" s="6" t="b">
        <f t="shared" si="3004"/>
        <v>0</v>
      </c>
      <c r="P3191" s="4">
        <v>0.0694057195867789</v>
      </c>
      <c r="T3191" s="4" t="str">
        <f t="shared" si="3"/>
        <v/>
      </c>
      <c r="U3191" s="4">
        <f t="shared" si="4"/>
        <v>4476</v>
      </c>
    </row>
    <row r="3192" ht="15.75" customHeight="1">
      <c r="A3192" s="4" t="s">
        <v>4254</v>
      </c>
      <c r="B3192" s="4" t="s">
        <v>13</v>
      </c>
      <c r="I3192" s="4">
        <v>0.1981</v>
      </c>
      <c r="K3192" s="6" t="b">
        <f t="shared" ref="K3192:M3192" si="3005">FALSE()</f>
        <v>0</v>
      </c>
      <c r="L3192" s="6" t="b">
        <f t="shared" si="3005"/>
        <v>0</v>
      </c>
      <c r="M3192" s="6" t="b">
        <f t="shared" si="3005"/>
        <v>0</v>
      </c>
      <c r="P3192" s="4">
        <v>0.180736968663716</v>
      </c>
      <c r="T3192" s="4" t="str">
        <f t="shared" si="3"/>
        <v/>
      </c>
      <c r="U3192" s="4">
        <f t="shared" si="4"/>
        <v>2611</v>
      </c>
    </row>
    <row r="3193" ht="15.75" customHeight="1">
      <c r="A3193" s="4" t="s">
        <v>4255</v>
      </c>
      <c r="B3193" s="4" t="s">
        <v>13</v>
      </c>
      <c r="I3193" s="4">
        <v>0.2632</v>
      </c>
      <c r="K3193" s="6" t="b">
        <f t="shared" ref="K3193:M3193" si="3006">FALSE()</f>
        <v>0</v>
      </c>
      <c r="L3193" s="6" t="b">
        <f t="shared" si="3006"/>
        <v>0</v>
      </c>
      <c r="M3193" s="6" t="b">
        <f t="shared" si="3006"/>
        <v>0</v>
      </c>
      <c r="P3193" s="4">
        <v>0.233648183959295</v>
      </c>
      <c r="T3193" s="4" t="str">
        <f t="shared" si="3"/>
        <v/>
      </c>
      <c r="U3193" s="4">
        <f t="shared" si="4"/>
        <v>1639</v>
      </c>
    </row>
    <row r="3194" ht="15.75" customHeight="1">
      <c r="A3194" s="4" t="s">
        <v>4256</v>
      </c>
      <c r="B3194" s="4" t="s">
        <v>13</v>
      </c>
      <c r="I3194" s="4">
        <v>0.1347</v>
      </c>
      <c r="K3194" s="6" t="b">
        <f t="shared" ref="K3194:M3194" si="3007">FALSE()</f>
        <v>0</v>
      </c>
      <c r="L3194" s="6" t="b">
        <f t="shared" si="3007"/>
        <v>0</v>
      </c>
      <c r="M3194" s="6" t="b">
        <f t="shared" si="3007"/>
        <v>0</v>
      </c>
      <c r="P3194" s="4">
        <v>0.126368298814807</v>
      </c>
      <c r="T3194" s="4" t="str">
        <f t="shared" si="3"/>
        <v/>
      </c>
      <c r="U3194" s="4">
        <f t="shared" si="4"/>
        <v>3621</v>
      </c>
    </row>
    <row r="3195" ht="15.75" customHeight="1">
      <c r="A3195" s="4" t="s">
        <v>4257</v>
      </c>
      <c r="B3195" s="4" t="s">
        <v>13</v>
      </c>
      <c r="I3195" s="4">
        <v>0.1481</v>
      </c>
      <c r="K3195" s="6" t="b">
        <f t="shared" ref="K3195:M3195" si="3008">FALSE()</f>
        <v>0</v>
      </c>
      <c r="L3195" s="6" t="b">
        <f t="shared" si="3008"/>
        <v>0</v>
      </c>
      <c r="M3195" s="6" t="b">
        <f t="shared" si="3008"/>
        <v>0</v>
      </c>
      <c r="P3195" s="4">
        <v>0.138108402117629</v>
      </c>
      <c r="T3195" s="4" t="str">
        <f t="shared" si="3"/>
        <v/>
      </c>
      <c r="U3195" s="4">
        <f t="shared" si="4"/>
        <v>3355</v>
      </c>
    </row>
    <row r="3196" ht="15.75" customHeight="1">
      <c r="A3196" s="4" t="s">
        <v>4258</v>
      </c>
      <c r="B3196" s="4" t="s">
        <v>13</v>
      </c>
      <c r="I3196" s="4">
        <v>0.29129</v>
      </c>
      <c r="K3196" s="6" t="b">
        <f t="shared" ref="K3196:M3196" si="3009">FALSE()</f>
        <v>0</v>
      </c>
      <c r="L3196" s="6" t="b">
        <f t="shared" si="3009"/>
        <v>0</v>
      </c>
      <c r="M3196" s="6" t="b">
        <f t="shared" si="3009"/>
        <v>0</v>
      </c>
      <c r="P3196" s="4">
        <v>0.255641718706664</v>
      </c>
      <c r="T3196" s="4" t="str">
        <f t="shared" si="3"/>
        <v/>
      </c>
      <c r="U3196" s="4">
        <f t="shared" si="4"/>
        <v>1427</v>
      </c>
    </row>
    <row r="3197" ht="15.75" customHeight="1">
      <c r="A3197" s="4" t="s">
        <v>4259</v>
      </c>
      <c r="B3197" s="4" t="s">
        <v>13</v>
      </c>
      <c r="I3197" s="4">
        <v>0.21884</v>
      </c>
      <c r="K3197" s="6" t="b">
        <f t="shared" ref="K3197:M3197" si="3010">FALSE()</f>
        <v>0</v>
      </c>
      <c r="L3197" s="6" t="b">
        <f t="shared" si="3010"/>
        <v>0</v>
      </c>
      <c r="M3197" s="6" t="b">
        <f t="shared" si="3010"/>
        <v>0</v>
      </c>
      <c r="P3197" s="4">
        <v>0.197899586757273</v>
      </c>
      <c r="T3197" s="4" t="str">
        <f t="shared" si="3"/>
        <v/>
      </c>
      <c r="U3197" s="4">
        <f t="shared" si="4"/>
        <v>2286</v>
      </c>
    </row>
    <row r="3198" ht="15.75" customHeight="1">
      <c r="A3198" s="4" t="s">
        <v>4260</v>
      </c>
      <c r="B3198" s="4" t="s">
        <v>13</v>
      </c>
      <c r="I3198" s="4">
        <v>0.1383</v>
      </c>
      <c r="K3198" s="6" t="b">
        <f t="shared" ref="K3198:M3198" si="3011">FALSE()</f>
        <v>0</v>
      </c>
      <c r="L3198" s="6" t="b">
        <f t="shared" si="3011"/>
        <v>0</v>
      </c>
      <c r="M3198" s="6" t="b">
        <f t="shared" si="3011"/>
        <v>0</v>
      </c>
      <c r="P3198" s="4">
        <v>0.129535921349034</v>
      </c>
      <c r="T3198" s="4" t="str">
        <f t="shared" si="3"/>
        <v/>
      </c>
      <c r="U3198" s="4">
        <f t="shared" si="4"/>
        <v>3533</v>
      </c>
    </row>
    <row r="3199" ht="15.75" customHeight="1">
      <c r="A3199" s="4" t="s">
        <v>4261</v>
      </c>
      <c r="B3199" s="4" t="s">
        <v>13</v>
      </c>
      <c r="I3199" s="4">
        <v>0.42475</v>
      </c>
      <c r="K3199" s="6" t="b">
        <f t="shared" ref="K3199:M3199" si="3012">FALSE()</f>
        <v>0</v>
      </c>
      <c r="L3199" s="6" t="b">
        <f t="shared" si="3012"/>
        <v>0</v>
      </c>
      <c r="M3199" s="6" t="b">
        <f t="shared" si="3012"/>
        <v>0</v>
      </c>
      <c r="P3199" s="4">
        <v>0.353996359732972</v>
      </c>
      <c r="T3199" s="4" t="str">
        <f t="shared" si="3"/>
        <v/>
      </c>
      <c r="U3199" s="4">
        <f t="shared" si="4"/>
        <v>1085</v>
      </c>
    </row>
    <row r="3200" ht="15.75" customHeight="1">
      <c r="A3200" s="4" t="s">
        <v>4262</v>
      </c>
      <c r="B3200" s="4" t="s">
        <v>13</v>
      </c>
      <c r="I3200" s="4">
        <v>0.252</v>
      </c>
      <c r="J3200" s="4">
        <v>0.037</v>
      </c>
      <c r="K3200" s="6" t="b">
        <f t="shared" ref="K3200:M3200" si="3013">FALSE()</f>
        <v>0</v>
      </c>
      <c r="L3200" s="6" t="b">
        <f t="shared" si="3013"/>
        <v>0</v>
      </c>
      <c r="M3200" s="6" t="b">
        <f t="shared" si="3013"/>
        <v>0</v>
      </c>
      <c r="P3200" s="4">
        <v>0.224742272677907</v>
      </c>
      <c r="T3200" s="4" t="str">
        <f t="shared" si="3"/>
        <v/>
      </c>
      <c r="U3200" s="4">
        <f t="shared" si="4"/>
        <v>1784</v>
      </c>
    </row>
    <row r="3201" ht="15.75" customHeight="1">
      <c r="A3201" s="4" t="s">
        <v>4263</v>
      </c>
      <c r="B3201" s="4" t="s">
        <v>13</v>
      </c>
      <c r="I3201" s="4">
        <v>0.22</v>
      </c>
      <c r="J3201" s="4">
        <v>0.033</v>
      </c>
      <c r="K3201" s="6" t="b">
        <f t="shared" ref="K3201:M3201" si="3014">FALSE()</f>
        <v>0</v>
      </c>
      <c r="L3201" s="6" t="b">
        <f t="shared" si="3014"/>
        <v>0</v>
      </c>
      <c r="M3201" s="6" t="b">
        <f t="shared" si="3014"/>
        <v>0</v>
      </c>
      <c r="P3201" s="4">
        <v>0.198850858745165</v>
      </c>
      <c r="T3201" s="4" t="str">
        <f t="shared" si="3"/>
        <v/>
      </c>
      <c r="U3201" s="4">
        <f t="shared" si="4"/>
        <v>2261</v>
      </c>
    </row>
    <row r="3202" ht="15.75" customHeight="1">
      <c r="A3202" s="4" t="s">
        <v>4264</v>
      </c>
      <c r="B3202" s="4" t="s">
        <v>13</v>
      </c>
      <c r="I3202" s="4">
        <v>0.136</v>
      </c>
      <c r="J3202" s="4">
        <v>0.006</v>
      </c>
      <c r="K3202" s="6" t="b">
        <f t="shared" ref="K3202:M3202" si="3015">FALSE()</f>
        <v>0</v>
      </c>
      <c r="L3202" s="6" t="b">
        <f t="shared" si="3015"/>
        <v>0</v>
      </c>
      <c r="M3202" s="6" t="b">
        <f t="shared" si="3015"/>
        <v>0</v>
      </c>
      <c r="P3202" s="4">
        <v>0.12751332029896</v>
      </c>
      <c r="T3202" s="4" t="str">
        <f t="shared" si="3"/>
        <v/>
      </c>
      <c r="U3202" s="4">
        <f t="shared" si="4"/>
        <v>3584</v>
      </c>
    </row>
    <row r="3203" ht="15.75" customHeight="1">
      <c r="A3203" s="4" t="s">
        <v>4265</v>
      </c>
      <c r="B3203" s="4" t="s">
        <v>13</v>
      </c>
      <c r="I3203" s="4">
        <v>0.34919</v>
      </c>
      <c r="K3203" s="6" t="b">
        <f t="shared" ref="K3203:M3203" si="3016">FALSE()</f>
        <v>0</v>
      </c>
      <c r="L3203" s="6" t="b">
        <f t="shared" si="3016"/>
        <v>0</v>
      </c>
      <c r="M3203" s="6" t="b">
        <f t="shared" si="3016"/>
        <v>0</v>
      </c>
      <c r="P3203" s="4">
        <v>0.299504412378306</v>
      </c>
      <c r="T3203" s="4" t="str">
        <f t="shared" si="3"/>
        <v/>
      </c>
      <c r="U3203" s="4">
        <f t="shared" si="4"/>
        <v>1209</v>
      </c>
    </row>
    <row r="3204" ht="15.75" customHeight="1">
      <c r="A3204" s="4" t="s">
        <v>4266</v>
      </c>
      <c r="B3204" s="4" t="s">
        <v>13</v>
      </c>
      <c r="I3204" s="4">
        <v>0.1059</v>
      </c>
      <c r="K3204" s="6" t="b">
        <f t="shared" ref="K3204:M3204" si="3017">FALSE()</f>
        <v>0</v>
      </c>
      <c r="L3204" s="6" t="b">
        <f t="shared" si="3017"/>
        <v>0</v>
      </c>
      <c r="M3204" s="6" t="b">
        <f t="shared" si="3017"/>
        <v>0</v>
      </c>
      <c r="P3204" s="4">
        <v>0.100659483099177</v>
      </c>
      <c r="T3204" s="4" t="str">
        <f t="shared" si="3"/>
        <v/>
      </c>
      <c r="U3204" s="4">
        <f t="shared" si="4"/>
        <v>4131</v>
      </c>
    </row>
    <row r="3205" ht="15.75" customHeight="1">
      <c r="A3205" s="4" t="s">
        <v>4267</v>
      </c>
      <c r="B3205" s="4" t="s">
        <v>13</v>
      </c>
      <c r="I3205" s="4">
        <v>0.16469</v>
      </c>
      <c r="K3205" s="6" t="b">
        <f t="shared" ref="K3205:M3205" si="3018">FALSE()</f>
        <v>0</v>
      </c>
      <c r="L3205" s="6" t="b">
        <f t="shared" si="3018"/>
        <v>0</v>
      </c>
      <c r="M3205" s="6" t="b">
        <f t="shared" si="3018"/>
        <v>0</v>
      </c>
      <c r="P3205" s="4">
        <v>0.152454957187661</v>
      </c>
      <c r="T3205" s="4" t="str">
        <f t="shared" si="3"/>
        <v/>
      </c>
      <c r="U3205" s="4">
        <f t="shared" si="4"/>
        <v>3115</v>
      </c>
    </row>
    <row r="3206" ht="15.75" customHeight="1">
      <c r="A3206" s="4" t="s">
        <v>4268</v>
      </c>
      <c r="B3206" s="4" t="s">
        <v>13</v>
      </c>
      <c r="I3206" s="4">
        <v>0.25944</v>
      </c>
      <c r="K3206" s="6" t="b">
        <f t="shared" ref="K3206:M3206" si="3019">FALSE()</f>
        <v>0</v>
      </c>
      <c r="L3206" s="6" t="b">
        <f t="shared" si="3019"/>
        <v>0</v>
      </c>
      <c r="M3206" s="6" t="b">
        <f t="shared" si="3019"/>
        <v>0</v>
      </c>
      <c r="P3206" s="4">
        <v>0.230667177724237</v>
      </c>
      <c r="T3206" s="4" t="str">
        <f t="shared" si="3"/>
        <v/>
      </c>
      <c r="U3206" s="4">
        <f t="shared" si="4"/>
        <v>1687</v>
      </c>
    </row>
    <row r="3207" ht="15.75" customHeight="1">
      <c r="A3207" s="4" t="s">
        <v>4269</v>
      </c>
      <c r="B3207" s="4" t="s">
        <v>13</v>
      </c>
      <c r="I3207" s="4">
        <v>0.09162</v>
      </c>
      <c r="K3207" s="6" t="b">
        <f t="shared" ref="K3207:M3207" si="3020">FALSE()</f>
        <v>0</v>
      </c>
      <c r="L3207" s="6" t="b">
        <f t="shared" si="3020"/>
        <v>0</v>
      </c>
      <c r="M3207" s="6" t="b">
        <f t="shared" si="3020"/>
        <v>0</v>
      </c>
      <c r="P3207" s="4">
        <v>0.0876628314137767</v>
      </c>
      <c r="T3207" s="4" t="str">
        <f t="shared" si="3"/>
        <v/>
      </c>
      <c r="U3207" s="4">
        <f t="shared" si="4"/>
        <v>4319</v>
      </c>
    </row>
    <row r="3208" ht="15.75" customHeight="1">
      <c r="A3208" s="4" t="s">
        <v>4270</v>
      </c>
      <c r="B3208" s="4" t="s">
        <v>13</v>
      </c>
      <c r="I3208" s="4">
        <v>0.39495</v>
      </c>
      <c r="K3208" s="6" t="b">
        <f t="shared" ref="K3208:M3208" si="3021">FALSE()</f>
        <v>0</v>
      </c>
      <c r="L3208" s="6" t="b">
        <f t="shared" si="3021"/>
        <v>0</v>
      </c>
      <c r="M3208" s="6" t="b">
        <f t="shared" si="3021"/>
        <v>0</v>
      </c>
      <c r="P3208" s="4">
        <v>0.332858572337072</v>
      </c>
      <c r="T3208" s="4" t="str">
        <f t="shared" si="3"/>
        <v/>
      </c>
      <c r="U3208" s="4">
        <f t="shared" si="4"/>
        <v>1124</v>
      </c>
    </row>
    <row r="3209" ht="15.75" customHeight="1">
      <c r="A3209" s="4" t="s">
        <v>4271</v>
      </c>
      <c r="B3209" s="4" t="s">
        <v>13</v>
      </c>
      <c r="I3209" s="4">
        <v>0.05549</v>
      </c>
      <c r="K3209" s="6" t="b">
        <f t="shared" ref="K3209:M3209" si="3022">FALSE()</f>
        <v>0</v>
      </c>
      <c r="L3209" s="6" t="b">
        <f t="shared" si="3022"/>
        <v>0</v>
      </c>
      <c r="M3209" s="6" t="b">
        <f t="shared" si="3022"/>
        <v>0</v>
      </c>
      <c r="P3209" s="4">
        <v>0.0540051140785061</v>
      </c>
      <c r="T3209" s="4" t="str">
        <f t="shared" si="3"/>
        <v/>
      </c>
      <c r="U3209" s="4">
        <f t="shared" si="4"/>
        <v>4547</v>
      </c>
    </row>
    <row r="3210" ht="15.75" customHeight="1">
      <c r="A3210" s="4" t="s">
        <v>4272</v>
      </c>
      <c r="B3210" s="4" t="s">
        <v>13</v>
      </c>
      <c r="I3210" s="4">
        <v>0.4119</v>
      </c>
      <c r="K3210" s="6" t="b">
        <f t="shared" ref="K3210:M3210" si="3023">FALSE()</f>
        <v>0</v>
      </c>
      <c r="L3210" s="6" t="b">
        <f t="shared" si="3023"/>
        <v>0</v>
      </c>
      <c r="M3210" s="6" t="b">
        <f t="shared" si="3023"/>
        <v>0</v>
      </c>
      <c r="P3210" s="4">
        <v>0.344936315033342</v>
      </c>
      <c r="T3210" s="4" t="str">
        <f t="shared" si="3"/>
        <v/>
      </c>
      <c r="U3210" s="4">
        <f t="shared" si="4"/>
        <v>1105</v>
      </c>
    </row>
    <row r="3211" ht="15.75" customHeight="1">
      <c r="A3211" s="4" t="s">
        <v>4273</v>
      </c>
      <c r="B3211" s="4" t="s">
        <v>13</v>
      </c>
      <c r="I3211" s="4">
        <v>0.20466</v>
      </c>
      <c r="K3211" s="6" t="b">
        <f t="shared" ref="K3211:M3211" si="3024">FALSE()</f>
        <v>0</v>
      </c>
      <c r="L3211" s="6" t="b">
        <f t="shared" si="3024"/>
        <v>0</v>
      </c>
      <c r="M3211" s="6" t="b">
        <f t="shared" si="3024"/>
        <v>0</v>
      </c>
      <c r="P3211" s="4">
        <v>0.186197369452303</v>
      </c>
      <c r="T3211" s="4" t="str">
        <f t="shared" si="3"/>
        <v/>
      </c>
      <c r="U3211" s="4">
        <f t="shared" si="4"/>
        <v>2500</v>
      </c>
    </row>
    <row r="3212" ht="15.75" customHeight="1">
      <c r="A3212" s="4" t="s">
        <v>4274</v>
      </c>
      <c r="B3212" s="4" t="s">
        <v>13</v>
      </c>
      <c r="I3212" s="4">
        <v>0.25096</v>
      </c>
      <c r="K3212" s="6" t="b">
        <f t="shared" ref="K3212:M3212" si="3025">FALSE()</f>
        <v>0</v>
      </c>
      <c r="L3212" s="6" t="b">
        <f t="shared" si="3025"/>
        <v>0</v>
      </c>
      <c r="M3212" s="6" t="b">
        <f t="shared" si="3025"/>
        <v>0</v>
      </c>
      <c r="P3212" s="4">
        <v>0.223911256553118</v>
      </c>
      <c r="T3212" s="4" t="str">
        <f t="shared" si="3"/>
        <v/>
      </c>
      <c r="U3212" s="4">
        <f t="shared" si="4"/>
        <v>1803</v>
      </c>
    </row>
    <row r="3213" ht="15.75" customHeight="1">
      <c r="A3213" s="4" t="s">
        <v>4275</v>
      </c>
      <c r="B3213" s="4" t="s">
        <v>13</v>
      </c>
      <c r="I3213" s="4">
        <v>0.21795</v>
      </c>
      <c r="K3213" s="6" t="b">
        <f t="shared" ref="K3213:M3213" si="3026">FALSE()</f>
        <v>0</v>
      </c>
      <c r="L3213" s="6" t="b">
        <f t="shared" si="3026"/>
        <v>0</v>
      </c>
      <c r="M3213" s="6" t="b">
        <f t="shared" si="3026"/>
        <v>0</v>
      </c>
      <c r="P3213" s="4">
        <v>0.197169117541974</v>
      </c>
      <c r="T3213" s="4" t="str">
        <f t="shared" si="3"/>
        <v/>
      </c>
      <c r="U3213" s="4">
        <f t="shared" si="4"/>
        <v>2296</v>
      </c>
    </row>
    <row r="3214" ht="15.75" customHeight="1">
      <c r="A3214" s="4" t="s">
        <v>4276</v>
      </c>
      <c r="B3214" s="4" t="s">
        <v>13</v>
      </c>
      <c r="I3214" s="4">
        <v>0.061933</v>
      </c>
      <c r="K3214" s="6" t="b">
        <f t="shared" ref="K3214:M3214" si="3027">FALSE()</f>
        <v>0</v>
      </c>
      <c r="L3214" s="6" t="b">
        <f t="shared" si="3027"/>
        <v>0</v>
      </c>
      <c r="M3214" s="6" t="b">
        <f t="shared" si="3027"/>
        <v>0</v>
      </c>
      <c r="P3214" s="4">
        <v>0.0600908323173421</v>
      </c>
      <c r="T3214" s="4" t="str">
        <f t="shared" si="3"/>
        <v/>
      </c>
      <c r="U3214" s="4">
        <f t="shared" si="4"/>
        <v>4532</v>
      </c>
    </row>
    <row r="3215" ht="15.75" customHeight="1">
      <c r="A3215" s="4" t="s">
        <v>4277</v>
      </c>
      <c r="B3215" s="4" t="s">
        <v>13</v>
      </c>
      <c r="I3215" s="4">
        <v>0.31698</v>
      </c>
      <c r="K3215" s="6" t="b">
        <f t="shared" ref="K3215:M3215" si="3028">FALSE()</f>
        <v>0</v>
      </c>
      <c r="L3215" s="6" t="b">
        <f t="shared" si="3028"/>
        <v>0</v>
      </c>
      <c r="M3215" s="6" t="b">
        <f t="shared" si="3028"/>
        <v>0</v>
      </c>
      <c r="P3215" s="4">
        <v>0.275341236616982</v>
      </c>
      <c r="T3215" s="4" t="str">
        <f t="shared" si="3"/>
        <v/>
      </c>
      <c r="U3215" s="4">
        <f t="shared" si="4"/>
        <v>1312</v>
      </c>
    </row>
    <row r="3216" ht="15.75" customHeight="1">
      <c r="A3216" s="4" t="s">
        <v>4278</v>
      </c>
      <c r="B3216" s="4" t="s">
        <v>13</v>
      </c>
      <c r="I3216" s="4">
        <v>0.277</v>
      </c>
      <c r="J3216" s="4">
        <v>0.05</v>
      </c>
      <c r="K3216" s="6" t="b">
        <f t="shared" ref="K3216:M3216" si="3029">FALSE()</f>
        <v>0</v>
      </c>
      <c r="L3216" s="6" t="b">
        <f t="shared" si="3029"/>
        <v>0</v>
      </c>
      <c r="M3216" s="6" t="b">
        <f t="shared" si="3029"/>
        <v>0</v>
      </c>
      <c r="P3216" s="4">
        <v>0.244513577050402</v>
      </c>
      <c r="T3216" s="4" t="str">
        <f t="shared" si="3"/>
        <v/>
      </c>
      <c r="U3216" s="4">
        <f t="shared" si="4"/>
        <v>1529</v>
      </c>
    </row>
    <row r="3217" ht="15.75" customHeight="1">
      <c r="A3217" s="4" t="s">
        <v>4279</v>
      </c>
      <c r="B3217" s="4" t="s">
        <v>13</v>
      </c>
      <c r="I3217" s="4">
        <v>0.29</v>
      </c>
      <c r="J3217" s="4">
        <v>0.052</v>
      </c>
      <c r="K3217" s="6" t="b">
        <f t="shared" ref="K3217:M3217" si="3030">FALSE()</f>
        <v>0</v>
      </c>
      <c r="L3217" s="6" t="b">
        <f t="shared" si="3030"/>
        <v>0</v>
      </c>
      <c r="M3217" s="6" t="b">
        <f t="shared" si="3030"/>
        <v>0</v>
      </c>
      <c r="P3217" s="4">
        <v>0.254642218373581</v>
      </c>
      <c r="T3217" s="4" t="str">
        <f t="shared" si="3"/>
        <v/>
      </c>
      <c r="U3217" s="4">
        <f t="shared" si="4"/>
        <v>1437</v>
      </c>
    </row>
    <row r="3218" ht="15.75" customHeight="1">
      <c r="A3218" s="4" t="s">
        <v>819</v>
      </c>
      <c r="B3218" s="4" t="s">
        <v>13</v>
      </c>
      <c r="C3218" s="4">
        <v>0.02643</v>
      </c>
      <c r="D3218" s="4">
        <v>0.00472</v>
      </c>
      <c r="E3218" s="4">
        <v>0.00503</v>
      </c>
      <c r="I3218" s="4">
        <v>0.198</v>
      </c>
      <c r="J3218" s="4">
        <v>0.004</v>
      </c>
      <c r="K3218" s="6" t="b">
        <f t="shared" ref="K3218:M3218" si="3031">FALSE()</f>
        <v>0</v>
      </c>
      <c r="L3218" s="6" t="b">
        <f t="shared" si="3031"/>
        <v>0</v>
      </c>
      <c r="M3218" s="6" t="b">
        <f t="shared" si="3031"/>
        <v>0</v>
      </c>
      <c r="N3218" s="4">
        <v>0.0260867622631545</v>
      </c>
      <c r="P3218" s="4">
        <v>0.180653499693258</v>
      </c>
      <c r="T3218" s="4">
        <f t="shared" si="3"/>
        <v>1610</v>
      </c>
      <c r="U3218" s="4">
        <f t="shared" si="4"/>
        <v>2621</v>
      </c>
    </row>
    <row r="3219" ht="15.75" customHeight="1">
      <c r="A3219" s="4" t="s">
        <v>4280</v>
      </c>
      <c r="B3219" s="4" t="s">
        <v>13</v>
      </c>
      <c r="C3219" s="4">
        <v>0.04122</v>
      </c>
      <c r="D3219" s="4">
        <v>0.0085</v>
      </c>
      <c r="E3219" s="4">
        <v>0.0085</v>
      </c>
      <c r="K3219" s="6" t="b">
        <f t="shared" ref="K3219:M3219" si="3032">FALSE()</f>
        <v>0</v>
      </c>
      <c r="L3219" s="6" t="b">
        <f t="shared" si="3032"/>
        <v>0</v>
      </c>
      <c r="M3219" s="6" t="b">
        <f t="shared" si="3032"/>
        <v>0</v>
      </c>
      <c r="N3219" s="4">
        <v>0.0403931025592456</v>
      </c>
      <c r="T3219" s="4">
        <f t="shared" si="3"/>
        <v>1448</v>
      </c>
      <c r="U3219" s="4" t="str">
        <f t="shared" si="4"/>
        <v/>
      </c>
    </row>
    <row r="3220" ht="15.75" customHeight="1">
      <c r="A3220" s="4" t="s">
        <v>4281</v>
      </c>
      <c r="B3220" s="4" t="s">
        <v>13</v>
      </c>
      <c r="C3220" s="4">
        <v>0.07079</v>
      </c>
      <c r="D3220" s="4">
        <v>0.01762</v>
      </c>
      <c r="E3220" s="4">
        <v>0.00378</v>
      </c>
      <c r="F3220" s="4">
        <v>0.0708</v>
      </c>
      <c r="G3220" s="4">
        <v>0.018</v>
      </c>
      <c r="H3220" s="4">
        <v>0.0038</v>
      </c>
      <c r="K3220" s="6" t="b">
        <f t="shared" ref="K3220:M3220" si="3033">FALSE()</f>
        <v>0</v>
      </c>
      <c r="L3220" s="6" t="b">
        <f t="shared" si="3033"/>
        <v>0</v>
      </c>
      <c r="M3220" s="6" t="b">
        <f t="shared" si="3033"/>
        <v>0</v>
      </c>
      <c r="N3220" s="4">
        <v>0.0683966938083503</v>
      </c>
      <c r="O3220" s="4">
        <v>0.0684060326640604</v>
      </c>
      <c r="T3220" s="4">
        <f t="shared" si="3"/>
        <v>1320</v>
      </c>
      <c r="U3220" s="4" t="str">
        <f t="shared" si="4"/>
        <v/>
      </c>
    </row>
    <row r="3221" ht="15.75" customHeight="1">
      <c r="A3221" s="4" t="s">
        <v>4282</v>
      </c>
      <c r="B3221" s="4" t="s">
        <v>13</v>
      </c>
      <c r="I3221" s="4">
        <v>0.2962</v>
      </c>
      <c r="K3221" s="6" t="b">
        <f t="shared" ref="K3221:M3221" si="3034">FALSE()</f>
        <v>0</v>
      </c>
      <c r="L3221" s="6" t="b">
        <f t="shared" si="3034"/>
        <v>0</v>
      </c>
      <c r="M3221" s="6" t="b">
        <f t="shared" si="3034"/>
        <v>0</v>
      </c>
      <c r="P3221" s="4">
        <v>0.259436907011479</v>
      </c>
      <c r="T3221" s="4" t="str">
        <f t="shared" si="3"/>
        <v/>
      </c>
      <c r="U3221" s="4">
        <f t="shared" si="4"/>
        <v>1401</v>
      </c>
    </row>
    <row r="3222" ht="15.75" customHeight="1">
      <c r="A3222" s="4" t="s">
        <v>4283</v>
      </c>
      <c r="B3222" s="4" t="s">
        <v>13</v>
      </c>
      <c r="I3222" s="4">
        <v>0.196</v>
      </c>
      <c r="K3222" s="6" t="b">
        <f t="shared" ref="K3222:M3222" si="3035">FALSE()</f>
        <v>0</v>
      </c>
      <c r="L3222" s="6" t="b">
        <f t="shared" si="3035"/>
        <v>0</v>
      </c>
      <c r="M3222" s="6" t="b">
        <f t="shared" si="3035"/>
        <v>0</v>
      </c>
      <c r="P3222" s="4">
        <v>0.17898265552844</v>
      </c>
      <c r="T3222" s="4" t="str">
        <f t="shared" si="3"/>
        <v/>
      </c>
      <c r="U3222" s="4">
        <f t="shared" si="4"/>
        <v>2652</v>
      </c>
    </row>
    <row r="3223" ht="15.75" customHeight="1">
      <c r="A3223" s="4" t="s">
        <v>4284</v>
      </c>
      <c r="B3223" s="4" t="s">
        <v>13</v>
      </c>
      <c r="I3223" s="4">
        <v>0.1062</v>
      </c>
      <c r="K3223" s="6" t="b">
        <f t="shared" ref="K3223:M3223" si="3036">FALSE()</f>
        <v>0</v>
      </c>
      <c r="L3223" s="6" t="b">
        <f t="shared" si="3036"/>
        <v>0</v>
      </c>
      <c r="M3223" s="6" t="b">
        <f t="shared" si="3036"/>
        <v>0</v>
      </c>
      <c r="P3223" s="4">
        <v>0.100930718578441</v>
      </c>
      <c r="T3223" s="4" t="str">
        <f t="shared" si="3"/>
        <v/>
      </c>
      <c r="U3223" s="4">
        <f t="shared" si="4"/>
        <v>4115</v>
      </c>
    </row>
    <row r="3224" ht="15.75" customHeight="1">
      <c r="A3224" s="4" t="s">
        <v>4285</v>
      </c>
      <c r="B3224" s="4" t="s">
        <v>13</v>
      </c>
      <c r="I3224" s="4">
        <v>0.364</v>
      </c>
      <c r="K3224" s="6" t="b">
        <f t="shared" ref="K3224:M3224" si="3037">FALSE()</f>
        <v>0</v>
      </c>
      <c r="L3224" s="6" t="b">
        <f t="shared" si="3037"/>
        <v>0</v>
      </c>
      <c r="M3224" s="6" t="b">
        <f t="shared" si="3037"/>
        <v>0</v>
      </c>
      <c r="P3224" s="4">
        <v>0.31042155942127</v>
      </c>
      <c r="T3224" s="4" t="str">
        <f t="shared" si="3"/>
        <v/>
      </c>
      <c r="U3224" s="4">
        <f t="shared" si="4"/>
        <v>1173</v>
      </c>
    </row>
    <row r="3225" ht="15.75" customHeight="1">
      <c r="A3225" s="4" t="s">
        <v>4286</v>
      </c>
      <c r="B3225" s="4" t="s">
        <v>13</v>
      </c>
      <c r="I3225" s="4">
        <v>0.062</v>
      </c>
      <c r="J3225" s="4">
        <v>0.00303</v>
      </c>
      <c r="K3225" s="6" t="b">
        <f t="shared" ref="K3225:M3225" si="3038">FALSE()</f>
        <v>0</v>
      </c>
      <c r="L3225" s="6" t="b">
        <f t="shared" si="3038"/>
        <v>0</v>
      </c>
      <c r="M3225" s="6" t="b">
        <f t="shared" si="3038"/>
        <v>0</v>
      </c>
      <c r="P3225" s="4">
        <v>0.060153922819747</v>
      </c>
      <c r="T3225" s="4" t="str">
        <f t="shared" si="3"/>
        <v/>
      </c>
      <c r="U3225" s="4">
        <f t="shared" si="4"/>
        <v>4529</v>
      </c>
    </row>
    <row r="3226" ht="15.75" customHeight="1">
      <c r="A3226" s="4" t="s">
        <v>4287</v>
      </c>
      <c r="B3226" s="4" t="s">
        <v>13</v>
      </c>
      <c r="I3226" s="4">
        <v>0.19</v>
      </c>
      <c r="J3226" s="4">
        <v>0.037</v>
      </c>
      <c r="K3226" s="6" t="b">
        <f t="shared" ref="K3226:M3226" si="3039">FALSE()</f>
        <v>0</v>
      </c>
      <c r="L3226" s="6" t="b">
        <f t="shared" si="3039"/>
        <v>0</v>
      </c>
      <c r="M3226" s="6" t="b">
        <f t="shared" si="3039"/>
        <v>0</v>
      </c>
      <c r="P3226" s="4">
        <v>0.173953307123438</v>
      </c>
      <c r="T3226" s="4" t="str">
        <f t="shared" si="3"/>
        <v/>
      </c>
      <c r="U3226" s="4">
        <f t="shared" si="4"/>
        <v>2736</v>
      </c>
    </row>
    <row r="3227" ht="15.75" customHeight="1">
      <c r="A3227" s="4" t="s">
        <v>4288</v>
      </c>
      <c r="B3227" s="4" t="s">
        <v>13</v>
      </c>
      <c r="I3227" s="4">
        <v>0.142</v>
      </c>
      <c r="J3227" s="4">
        <v>0.026</v>
      </c>
      <c r="K3227" s="6" t="b">
        <f t="shared" ref="K3227:M3227" si="3040">FALSE()</f>
        <v>0</v>
      </c>
      <c r="L3227" s="6" t="b">
        <f t="shared" si="3040"/>
        <v>0</v>
      </c>
      <c r="M3227" s="6" t="b">
        <f t="shared" si="3040"/>
        <v>0</v>
      </c>
      <c r="P3227" s="4">
        <v>0.132781111233818</v>
      </c>
      <c r="T3227" s="4" t="str">
        <f t="shared" si="3"/>
        <v/>
      </c>
      <c r="U3227" s="4">
        <f t="shared" si="4"/>
        <v>3475</v>
      </c>
    </row>
    <row r="3228" ht="15.75" customHeight="1">
      <c r="A3228" s="4" t="s">
        <v>4289</v>
      </c>
      <c r="B3228" s="4" t="s">
        <v>13</v>
      </c>
      <c r="I3228" s="4">
        <v>0.219</v>
      </c>
      <c r="J3228" s="4">
        <v>0.043</v>
      </c>
      <c r="K3228" s="6" t="b">
        <f t="shared" ref="K3228:M3228" si="3041">FALSE()</f>
        <v>0</v>
      </c>
      <c r="L3228" s="6" t="b">
        <f t="shared" si="3041"/>
        <v>0</v>
      </c>
      <c r="M3228" s="6" t="b">
        <f t="shared" si="3041"/>
        <v>0</v>
      </c>
      <c r="P3228" s="4">
        <v>0.198030850499134</v>
      </c>
      <c r="T3228" s="4" t="str">
        <f t="shared" si="3"/>
        <v/>
      </c>
      <c r="U3228" s="4">
        <f t="shared" si="4"/>
        <v>2279</v>
      </c>
    </row>
    <row r="3229" ht="15.75" customHeight="1">
      <c r="A3229" s="4" t="s">
        <v>4290</v>
      </c>
      <c r="B3229" s="4" t="s">
        <v>13</v>
      </c>
      <c r="I3229" s="4">
        <v>0.254</v>
      </c>
      <c r="J3229" s="4">
        <v>0.054</v>
      </c>
      <c r="K3229" s="6" t="b">
        <f t="shared" ref="K3229:M3229" si="3042">FALSE()</f>
        <v>0</v>
      </c>
      <c r="L3229" s="6" t="b">
        <f t="shared" si="3042"/>
        <v>0</v>
      </c>
      <c r="M3229" s="6" t="b">
        <f t="shared" si="3042"/>
        <v>0</v>
      </c>
      <c r="P3229" s="4">
        <v>0.226338442210729</v>
      </c>
      <c r="T3229" s="4" t="str">
        <f t="shared" si="3"/>
        <v/>
      </c>
      <c r="U3229" s="4">
        <f t="shared" si="4"/>
        <v>1758</v>
      </c>
    </row>
    <row r="3230" ht="15.75" customHeight="1">
      <c r="A3230" s="4" t="s">
        <v>4291</v>
      </c>
      <c r="B3230" s="4" t="s">
        <v>13</v>
      </c>
      <c r="I3230" s="4">
        <v>0.145</v>
      </c>
      <c r="J3230" s="4">
        <v>0.009</v>
      </c>
      <c r="K3230" s="6" t="b">
        <f t="shared" ref="K3230:M3230" si="3043">FALSE()</f>
        <v>0</v>
      </c>
      <c r="L3230" s="6" t="b">
        <f t="shared" si="3043"/>
        <v>0</v>
      </c>
      <c r="M3230" s="6" t="b">
        <f t="shared" si="3043"/>
        <v>0</v>
      </c>
      <c r="P3230" s="4">
        <v>0.135404637006203</v>
      </c>
      <c r="T3230" s="4" t="str">
        <f t="shared" si="3"/>
        <v/>
      </c>
      <c r="U3230" s="4">
        <f t="shared" si="4"/>
        <v>3414</v>
      </c>
    </row>
    <row r="3231" ht="15.75" customHeight="1">
      <c r="A3231" s="4" t="s">
        <v>4292</v>
      </c>
      <c r="B3231" s="4" t="s">
        <v>13</v>
      </c>
      <c r="I3231" s="4">
        <v>0.165</v>
      </c>
      <c r="J3231" s="4">
        <v>0.009</v>
      </c>
      <c r="K3231" s="6" t="b">
        <f t="shared" ref="K3231:M3231" si="3044">FALSE()</f>
        <v>0</v>
      </c>
      <c r="L3231" s="6" t="b">
        <f t="shared" si="3044"/>
        <v>0</v>
      </c>
      <c r="M3231" s="6" t="b">
        <f t="shared" si="3044"/>
        <v>0</v>
      </c>
      <c r="P3231" s="4">
        <v>0.152721087017664</v>
      </c>
      <c r="T3231" s="4" t="str">
        <f t="shared" si="3"/>
        <v/>
      </c>
      <c r="U3231" s="4">
        <f t="shared" si="4"/>
        <v>3106</v>
      </c>
    </row>
    <row r="3232" ht="15.75" customHeight="1">
      <c r="A3232" s="4" t="s">
        <v>4293</v>
      </c>
      <c r="B3232" s="4" t="s">
        <v>13</v>
      </c>
      <c r="I3232" s="4">
        <v>0.229</v>
      </c>
      <c r="J3232" s="4">
        <v>0.046</v>
      </c>
      <c r="K3232" s="6" t="b">
        <f t="shared" ref="K3232:M3232" si="3045">FALSE()</f>
        <v>0</v>
      </c>
      <c r="L3232" s="6" t="b">
        <f t="shared" si="3045"/>
        <v>0</v>
      </c>
      <c r="M3232" s="6" t="b">
        <f t="shared" si="3045"/>
        <v>0</v>
      </c>
      <c r="P3232" s="4">
        <v>0.206200830583898</v>
      </c>
      <c r="T3232" s="4" t="str">
        <f t="shared" si="3"/>
        <v/>
      </c>
      <c r="U3232" s="4">
        <f t="shared" si="4"/>
        <v>2125</v>
      </c>
    </row>
    <row r="3233" ht="15.75" customHeight="1">
      <c r="A3233" s="4" t="s">
        <v>4294</v>
      </c>
      <c r="B3233" s="4" t="s">
        <v>13</v>
      </c>
      <c r="I3233" s="4">
        <v>0.22</v>
      </c>
      <c r="J3233" s="4">
        <v>0.042</v>
      </c>
      <c r="K3233" s="6" t="b">
        <f t="shared" ref="K3233:M3233" si="3046">FALSE()</f>
        <v>0</v>
      </c>
      <c r="L3233" s="6" t="b">
        <f t="shared" si="3046"/>
        <v>0</v>
      </c>
      <c r="M3233" s="6" t="b">
        <f t="shared" si="3046"/>
        <v>0</v>
      </c>
      <c r="P3233" s="4">
        <v>0.198850858745165</v>
      </c>
      <c r="T3233" s="4" t="str">
        <f t="shared" si="3"/>
        <v/>
      </c>
      <c r="U3233" s="4">
        <f t="shared" si="4"/>
        <v>2262</v>
      </c>
    </row>
    <row r="3234" ht="15.75" customHeight="1">
      <c r="A3234" s="4" t="s">
        <v>4295</v>
      </c>
      <c r="B3234" s="4" t="s">
        <v>13</v>
      </c>
      <c r="I3234" s="4">
        <v>0.128</v>
      </c>
      <c r="J3234" s="4">
        <v>0.025</v>
      </c>
      <c r="K3234" s="6" t="b">
        <f t="shared" ref="K3234:M3234" si="3047">FALSE()</f>
        <v>0</v>
      </c>
      <c r="L3234" s="6" t="b">
        <f t="shared" si="3047"/>
        <v>0</v>
      </c>
      <c r="M3234" s="6" t="b">
        <f t="shared" si="3047"/>
        <v>0</v>
      </c>
      <c r="P3234" s="4">
        <v>0.120446153075867</v>
      </c>
      <c r="T3234" s="4" t="str">
        <f t="shared" si="3"/>
        <v/>
      </c>
      <c r="U3234" s="4">
        <f t="shared" si="4"/>
        <v>3729</v>
      </c>
    </row>
    <row r="3235" ht="15.75" customHeight="1">
      <c r="A3235" s="4" t="s">
        <v>4296</v>
      </c>
      <c r="B3235" s="4" t="s">
        <v>13</v>
      </c>
      <c r="I3235" s="4">
        <v>0.226</v>
      </c>
      <c r="J3235" s="4">
        <v>0.048</v>
      </c>
      <c r="K3235" s="6" t="b">
        <f t="shared" ref="K3235:M3235" si="3048">FALSE()</f>
        <v>0</v>
      </c>
      <c r="L3235" s="6" t="b">
        <f t="shared" si="3048"/>
        <v>0</v>
      </c>
      <c r="M3235" s="6" t="b">
        <f t="shared" si="3048"/>
        <v>0</v>
      </c>
      <c r="P3235" s="4">
        <v>0.20375683751402</v>
      </c>
      <c r="T3235" s="4" t="str">
        <f t="shared" si="3"/>
        <v/>
      </c>
      <c r="U3235" s="4">
        <f t="shared" si="4"/>
        <v>2175</v>
      </c>
    </row>
    <row r="3236" ht="15.75" customHeight="1">
      <c r="A3236" s="4" t="s">
        <v>4297</v>
      </c>
      <c r="B3236" s="4" t="s">
        <v>13</v>
      </c>
      <c r="I3236" s="4">
        <v>0.16</v>
      </c>
      <c r="J3236" s="4">
        <v>0.035</v>
      </c>
      <c r="K3236" s="6" t="b">
        <f t="shared" ref="K3236:M3236" si="3049">FALSE()</f>
        <v>0</v>
      </c>
      <c r="L3236" s="6" t="b">
        <f t="shared" si="3049"/>
        <v>0</v>
      </c>
      <c r="M3236" s="6" t="b">
        <f t="shared" si="3049"/>
        <v>0</v>
      </c>
      <c r="P3236" s="4">
        <v>0.148420005118273</v>
      </c>
      <c r="T3236" s="4" t="str">
        <f t="shared" si="3"/>
        <v/>
      </c>
      <c r="U3236" s="4">
        <f t="shared" si="4"/>
        <v>3176</v>
      </c>
    </row>
    <row r="3237" ht="15.75" customHeight="1">
      <c r="A3237" s="4" t="s">
        <v>4298</v>
      </c>
      <c r="B3237" s="4" t="s">
        <v>13</v>
      </c>
      <c r="I3237" s="4">
        <v>0.135</v>
      </c>
      <c r="J3237" s="4">
        <v>0.012</v>
      </c>
      <c r="K3237" s="6" t="b">
        <f t="shared" ref="K3237:M3237" si="3050">FALSE()</f>
        <v>0</v>
      </c>
      <c r="L3237" s="6" t="b">
        <f t="shared" si="3050"/>
        <v>0</v>
      </c>
      <c r="M3237" s="6" t="b">
        <f t="shared" si="3050"/>
        <v>0</v>
      </c>
      <c r="P3237" s="4">
        <v>0.126632650933366</v>
      </c>
      <c r="T3237" s="4" t="str">
        <f t="shared" si="3"/>
        <v/>
      </c>
      <c r="U3237" s="4">
        <f t="shared" si="4"/>
        <v>3615</v>
      </c>
    </row>
    <row r="3238" ht="15.75" customHeight="1">
      <c r="A3238" s="4" t="s">
        <v>4299</v>
      </c>
      <c r="B3238" s="4" t="s">
        <v>13</v>
      </c>
      <c r="I3238" s="4">
        <v>0.146</v>
      </c>
      <c r="J3238" s="4">
        <v>0.011</v>
      </c>
      <c r="K3238" s="6" t="b">
        <f t="shared" ref="K3238:M3238" si="3051">FALSE()</f>
        <v>0</v>
      </c>
      <c r="L3238" s="6" t="b">
        <f t="shared" si="3051"/>
        <v>0</v>
      </c>
      <c r="M3238" s="6" t="b">
        <f t="shared" si="3051"/>
        <v>0</v>
      </c>
      <c r="P3238" s="4">
        <v>0.136277618292548</v>
      </c>
      <c r="T3238" s="4" t="str">
        <f t="shared" si="3"/>
        <v/>
      </c>
      <c r="U3238" s="4">
        <f t="shared" si="4"/>
        <v>3395</v>
      </c>
    </row>
    <row r="3239" ht="15.75" customHeight="1">
      <c r="A3239" s="4" t="s">
        <v>4300</v>
      </c>
      <c r="B3239" s="4" t="s">
        <v>13</v>
      </c>
      <c r="I3239" s="4">
        <v>0.107</v>
      </c>
      <c r="J3239" s="4">
        <v>0.021</v>
      </c>
      <c r="K3239" s="6" t="b">
        <f t="shared" ref="K3239:M3239" si="3052">FALSE()</f>
        <v>0</v>
      </c>
      <c r="L3239" s="6" t="b">
        <f t="shared" si="3052"/>
        <v>0</v>
      </c>
      <c r="M3239" s="6" t="b">
        <f t="shared" si="3052"/>
        <v>0</v>
      </c>
      <c r="P3239" s="4">
        <v>0.1016536537265</v>
      </c>
      <c r="T3239" s="4" t="str">
        <f t="shared" si="3"/>
        <v/>
      </c>
      <c r="U3239" s="4">
        <f t="shared" si="4"/>
        <v>4099</v>
      </c>
    </row>
    <row r="3240" ht="15.75" customHeight="1">
      <c r="A3240" s="4" t="s">
        <v>4301</v>
      </c>
      <c r="B3240" s="4" t="s">
        <v>13</v>
      </c>
      <c r="I3240" s="4">
        <v>0.158</v>
      </c>
      <c r="J3240" s="4">
        <v>0.03</v>
      </c>
      <c r="K3240" s="6" t="b">
        <f t="shared" ref="K3240:M3240" si="3053">FALSE()</f>
        <v>0</v>
      </c>
      <c r="L3240" s="6" t="b">
        <f t="shared" si="3053"/>
        <v>0</v>
      </c>
      <c r="M3240" s="6" t="b">
        <f t="shared" si="3053"/>
        <v>0</v>
      </c>
      <c r="P3240" s="4">
        <v>0.146694379150804</v>
      </c>
      <c r="T3240" s="4" t="str">
        <f t="shared" si="3"/>
        <v/>
      </c>
      <c r="U3240" s="4">
        <f t="shared" si="4"/>
        <v>3201</v>
      </c>
    </row>
    <row r="3241" ht="15.75" customHeight="1">
      <c r="A3241" s="4" t="s">
        <v>4302</v>
      </c>
      <c r="B3241" s="4" t="s">
        <v>13</v>
      </c>
      <c r="I3241" s="4">
        <v>0.106</v>
      </c>
      <c r="J3241" s="4">
        <v>0.021</v>
      </c>
      <c r="K3241" s="6" t="b">
        <f t="shared" ref="K3241:M3241" si="3054">FALSE()</f>
        <v>0</v>
      </c>
      <c r="L3241" s="6" t="b">
        <f t="shared" si="3054"/>
        <v>0</v>
      </c>
      <c r="M3241" s="6" t="b">
        <f t="shared" si="3054"/>
        <v>0</v>
      </c>
      <c r="P3241" s="4">
        <v>0.100749903100143</v>
      </c>
      <c r="T3241" s="4" t="str">
        <f t="shared" si="3"/>
        <v/>
      </c>
      <c r="U3241" s="4">
        <f t="shared" si="4"/>
        <v>4122</v>
      </c>
    </row>
    <row r="3242" ht="15.75" customHeight="1">
      <c r="A3242" s="4" t="s">
        <v>4303</v>
      </c>
      <c r="B3242" s="4" t="s">
        <v>13</v>
      </c>
      <c r="I3242" s="4">
        <v>0.14</v>
      </c>
      <c r="J3242" s="4">
        <v>0.027</v>
      </c>
      <c r="K3242" s="6" t="b">
        <f t="shared" ref="K3242:M3242" si="3055">FALSE()</f>
        <v>0</v>
      </c>
      <c r="L3242" s="6" t="b">
        <f t="shared" si="3055"/>
        <v>0</v>
      </c>
      <c r="M3242" s="6" t="b">
        <f t="shared" si="3055"/>
        <v>0</v>
      </c>
      <c r="P3242" s="4">
        <v>0.131028262406404</v>
      </c>
      <c r="T3242" s="4" t="str">
        <f t="shared" si="3"/>
        <v/>
      </c>
      <c r="U3242" s="4">
        <f t="shared" si="4"/>
        <v>3504</v>
      </c>
    </row>
    <row r="3243" ht="15.75" customHeight="1">
      <c r="A3243" s="4" t="s">
        <v>4304</v>
      </c>
      <c r="B3243" s="4" t="s">
        <v>13</v>
      </c>
      <c r="I3243" s="4">
        <v>0.134</v>
      </c>
      <c r="J3243" s="4">
        <v>0.026</v>
      </c>
      <c r="K3243" s="6" t="b">
        <f t="shared" ref="K3243:M3243" si="3056">FALSE()</f>
        <v>0</v>
      </c>
      <c r="L3243" s="6" t="b">
        <f t="shared" si="3056"/>
        <v>0</v>
      </c>
      <c r="M3243" s="6" t="b">
        <f t="shared" si="3056"/>
        <v>0</v>
      </c>
      <c r="P3243" s="4">
        <v>0.12575120530556</v>
      </c>
      <c r="T3243" s="4" t="str">
        <f t="shared" si="3"/>
        <v/>
      </c>
      <c r="U3243" s="4">
        <f t="shared" si="4"/>
        <v>3630</v>
      </c>
    </row>
    <row r="3244" ht="15.75" customHeight="1">
      <c r="A3244" s="4" t="s">
        <v>4305</v>
      </c>
      <c r="B3244" s="4" t="s">
        <v>13</v>
      </c>
      <c r="I3244" s="4">
        <v>0.295</v>
      </c>
      <c r="J3244" s="4">
        <v>0.056</v>
      </c>
      <c r="K3244" s="6" t="b">
        <f t="shared" ref="K3244:M3244" si="3057">FALSE()</f>
        <v>0</v>
      </c>
      <c r="L3244" s="6" t="b">
        <f t="shared" si="3057"/>
        <v>0</v>
      </c>
      <c r="M3244" s="6" t="b">
        <f t="shared" si="3057"/>
        <v>0</v>
      </c>
      <c r="P3244" s="4">
        <v>0.258510695151501</v>
      </c>
      <c r="T3244" s="4" t="str">
        <f t="shared" si="3"/>
        <v/>
      </c>
      <c r="U3244" s="4">
        <f t="shared" si="4"/>
        <v>1408</v>
      </c>
    </row>
    <row r="3245" ht="15.75" customHeight="1">
      <c r="A3245" s="4" t="s">
        <v>4306</v>
      </c>
      <c r="B3245" s="4" t="s">
        <v>13</v>
      </c>
      <c r="I3245" s="4">
        <v>0.145</v>
      </c>
      <c r="J3245" s="4">
        <v>0.027</v>
      </c>
      <c r="K3245" s="6" t="b">
        <f t="shared" ref="K3245:M3245" si="3058">FALSE()</f>
        <v>0</v>
      </c>
      <c r="L3245" s="6" t="b">
        <f t="shared" si="3058"/>
        <v>0</v>
      </c>
      <c r="M3245" s="6" t="b">
        <f t="shared" si="3058"/>
        <v>0</v>
      </c>
      <c r="P3245" s="4">
        <v>0.135404637006203</v>
      </c>
      <c r="T3245" s="4" t="str">
        <f t="shared" si="3"/>
        <v/>
      </c>
      <c r="U3245" s="4">
        <f t="shared" si="4"/>
        <v>3415</v>
      </c>
    </row>
    <row r="3246" ht="15.75" customHeight="1">
      <c r="A3246" s="4" t="s">
        <v>4307</v>
      </c>
      <c r="B3246" s="4" t="s">
        <v>13</v>
      </c>
      <c r="I3246" s="4">
        <v>0.124</v>
      </c>
      <c r="J3246" s="4">
        <v>0.023</v>
      </c>
      <c r="K3246" s="6" t="b">
        <f t="shared" ref="K3246:M3246" si="3059">FALSE()</f>
        <v>0</v>
      </c>
      <c r="L3246" s="6" t="b">
        <f t="shared" si="3059"/>
        <v>0</v>
      </c>
      <c r="M3246" s="6" t="b">
        <f t="shared" si="3059"/>
        <v>0</v>
      </c>
      <c r="P3246" s="4">
        <v>0.116893751471499</v>
      </c>
      <c r="T3246" s="4" t="str">
        <f t="shared" si="3"/>
        <v/>
      </c>
      <c r="U3246" s="4">
        <f t="shared" si="4"/>
        <v>3801</v>
      </c>
    </row>
    <row r="3247" ht="15.75" customHeight="1">
      <c r="A3247" s="4" t="s">
        <v>4308</v>
      </c>
      <c r="B3247" s="4" t="s">
        <v>13</v>
      </c>
      <c r="I3247" s="4">
        <v>0.107</v>
      </c>
      <c r="J3247" s="4">
        <v>0.021</v>
      </c>
      <c r="K3247" s="6" t="b">
        <f t="shared" ref="K3247:M3247" si="3060">FALSE()</f>
        <v>0</v>
      </c>
      <c r="L3247" s="6" t="b">
        <f t="shared" si="3060"/>
        <v>0</v>
      </c>
      <c r="M3247" s="6" t="b">
        <f t="shared" si="3060"/>
        <v>0</v>
      </c>
      <c r="P3247" s="4">
        <v>0.1016536537265</v>
      </c>
      <c r="T3247" s="4" t="str">
        <f t="shared" si="3"/>
        <v/>
      </c>
      <c r="U3247" s="4">
        <f t="shared" si="4"/>
        <v>4100</v>
      </c>
    </row>
    <row r="3248" ht="15.75" customHeight="1">
      <c r="A3248" s="4" t="s">
        <v>4309</v>
      </c>
      <c r="B3248" s="4" t="s">
        <v>13</v>
      </c>
      <c r="I3248" s="4">
        <v>0.132</v>
      </c>
      <c r="J3248" s="4">
        <v>0.025</v>
      </c>
      <c r="K3248" s="6" t="b">
        <f t="shared" ref="K3248:M3248" si="3061">FALSE()</f>
        <v>0</v>
      </c>
      <c r="L3248" s="6" t="b">
        <f t="shared" si="3061"/>
        <v>0</v>
      </c>
      <c r="M3248" s="6" t="b">
        <f t="shared" si="3061"/>
        <v>0</v>
      </c>
      <c r="P3248" s="4">
        <v>0.123985979780991</v>
      </c>
      <c r="T3248" s="4" t="str">
        <f t="shared" si="3"/>
        <v/>
      </c>
      <c r="U3248" s="4">
        <f t="shared" si="4"/>
        <v>3661</v>
      </c>
    </row>
    <row r="3249" ht="15.75" customHeight="1">
      <c r="A3249" s="4" t="s">
        <v>4310</v>
      </c>
      <c r="B3249" s="4" t="s">
        <v>13</v>
      </c>
      <c r="I3249" s="4">
        <v>0.202</v>
      </c>
      <c r="J3249" s="4">
        <v>0.03</v>
      </c>
      <c r="K3249" s="6" t="b">
        <f t="shared" ref="K3249:M3249" si="3062">FALSE()</f>
        <v>0</v>
      </c>
      <c r="L3249" s="6" t="b">
        <f t="shared" si="3062"/>
        <v>0</v>
      </c>
      <c r="M3249" s="6" t="b">
        <f t="shared" si="3062"/>
        <v>0</v>
      </c>
      <c r="P3249" s="4">
        <v>0.183986836113016</v>
      </c>
      <c r="T3249" s="4" t="str">
        <f t="shared" si="3"/>
        <v/>
      </c>
      <c r="U3249" s="4">
        <f t="shared" si="4"/>
        <v>2556</v>
      </c>
    </row>
    <row r="3250" ht="15.75" customHeight="1">
      <c r="A3250" s="4" t="s">
        <v>4311</v>
      </c>
      <c r="B3250" s="4" t="s">
        <v>13</v>
      </c>
      <c r="I3250" s="4">
        <v>0.277</v>
      </c>
      <c r="J3250" s="4">
        <v>0.045</v>
      </c>
      <c r="K3250" s="6" t="b">
        <f t="shared" ref="K3250:M3250" si="3063">FALSE()</f>
        <v>0</v>
      </c>
      <c r="L3250" s="6" t="b">
        <f t="shared" si="3063"/>
        <v>0</v>
      </c>
      <c r="M3250" s="6" t="b">
        <f t="shared" si="3063"/>
        <v>0</v>
      </c>
      <c r="P3250" s="4">
        <v>0.244513577050402</v>
      </c>
      <c r="T3250" s="4" t="str">
        <f t="shared" si="3"/>
        <v/>
      </c>
      <c r="U3250" s="4">
        <f t="shared" si="4"/>
        <v>1530</v>
      </c>
    </row>
    <row r="3251" ht="15.75" customHeight="1">
      <c r="A3251" s="4" t="s">
        <v>820</v>
      </c>
      <c r="B3251" s="4" t="s">
        <v>13</v>
      </c>
      <c r="C3251" s="4">
        <v>0.029963</v>
      </c>
      <c r="D3251" s="4">
        <v>0.004597</v>
      </c>
      <c r="E3251" s="4">
        <v>0.00465</v>
      </c>
      <c r="F3251" s="4">
        <v>0.029931</v>
      </c>
      <c r="G3251" s="4">
        <v>0.004587</v>
      </c>
      <c r="H3251" s="4">
        <v>0.004587</v>
      </c>
      <c r="I3251" s="4">
        <v>0.17905</v>
      </c>
      <c r="J3251" s="4">
        <v>0.01633</v>
      </c>
      <c r="K3251" s="6" t="b">
        <f t="shared" ref="K3251:M3251" si="3064">FALSE()</f>
        <v>0</v>
      </c>
      <c r="L3251" s="6" t="b">
        <f t="shared" si="3064"/>
        <v>0</v>
      </c>
      <c r="M3251" s="6" t="b">
        <f t="shared" si="3064"/>
        <v>0</v>
      </c>
      <c r="N3251" s="4">
        <v>0.0295228792662249</v>
      </c>
      <c r="O3251" s="4">
        <v>0.0294918097063324</v>
      </c>
      <c r="P3251" s="4">
        <v>0.16470902947704</v>
      </c>
      <c r="Q3251" s="4">
        <v>-0.609640909109561</v>
      </c>
      <c r="R3251" s="4">
        <v>-0.633476670352241</v>
      </c>
      <c r="S3251" s="4">
        <v>-1.20909977070578</v>
      </c>
      <c r="T3251" s="4">
        <f t="shared" si="3"/>
        <v>1556</v>
      </c>
      <c r="U3251" s="4">
        <f t="shared" si="4"/>
        <v>2894</v>
      </c>
    </row>
    <row r="3252" ht="15.75" customHeight="1">
      <c r="A3252" s="4" t="s">
        <v>822</v>
      </c>
      <c r="B3252" s="4" t="s">
        <v>13</v>
      </c>
      <c r="C3252" s="4">
        <v>0.0349</v>
      </c>
      <c r="D3252" s="4">
        <v>0.0066</v>
      </c>
      <c r="E3252" s="4">
        <v>0.0066</v>
      </c>
      <c r="I3252" s="4">
        <v>0.2569</v>
      </c>
      <c r="J3252" s="4">
        <v>0.01195</v>
      </c>
      <c r="K3252" s="6" t="b">
        <f t="shared" ref="K3252:M3252" si="3065">FALSE()</f>
        <v>0</v>
      </c>
      <c r="L3252" s="6" t="b">
        <f t="shared" si="3065"/>
        <v>0</v>
      </c>
      <c r="M3252" s="6" t="b">
        <f t="shared" si="3065"/>
        <v>0</v>
      </c>
      <c r="N3252" s="4">
        <v>0.0343048036919903</v>
      </c>
      <c r="P3252" s="4">
        <v>0.228648371948655</v>
      </c>
      <c r="T3252" s="4">
        <f t="shared" si="3"/>
        <v>1492</v>
      </c>
      <c r="U3252" s="4">
        <f t="shared" si="4"/>
        <v>1720</v>
      </c>
    </row>
    <row r="3253" ht="15.75" customHeight="1">
      <c r="A3253" s="4" t="s">
        <v>823</v>
      </c>
      <c r="B3253" s="4" t="s">
        <v>13</v>
      </c>
      <c r="C3253" s="4">
        <v>0.040733</v>
      </c>
      <c r="D3253" s="4">
        <v>0.013252</v>
      </c>
      <c r="E3253" s="4">
        <v>0.013252</v>
      </c>
      <c r="I3253" s="4">
        <v>0.22232</v>
      </c>
      <c r="J3253" s="4">
        <v>0.00616</v>
      </c>
      <c r="K3253" s="6" t="b">
        <f t="shared" ref="K3253:M3253" si="3066">FALSE()</f>
        <v>0</v>
      </c>
      <c r="L3253" s="6" t="b">
        <f t="shared" si="3066"/>
        <v>0</v>
      </c>
      <c r="M3253" s="6" t="b">
        <f t="shared" si="3066"/>
        <v>0</v>
      </c>
      <c r="N3253" s="4">
        <v>0.039925272585291</v>
      </c>
      <c r="P3253" s="4">
        <v>0.200750692262322</v>
      </c>
      <c r="T3253" s="4">
        <f t="shared" si="3"/>
        <v>1454</v>
      </c>
      <c r="U3253" s="4">
        <f t="shared" si="4"/>
        <v>2226</v>
      </c>
    </row>
    <row r="3254" ht="15.75" customHeight="1">
      <c r="A3254" s="4" t="s">
        <v>824</v>
      </c>
      <c r="B3254" s="4" t="s">
        <v>13</v>
      </c>
      <c r="C3254" s="4">
        <v>0.0097</v>
      </c>
      <c r="D3254" s="4">
        <v>0.009699</v>
      </c>
      <c r="E3254" s="4">
        <v>0.0</v>
      </c>
      <c r="I3254" s="4">
        <v>0.06994</v>
      </c>
      <c r="J3254" s="4">
        <v>0.00937</v>
      </c>
      <c r="K3254" s="6" t="b">
        <f t="shared" ref="K3254:M3254" si="3067">FALSE()</f>
        <v>0</v>
      </c>
      <c r="L3254" s="6" t="b">
        <f t="shared" si="3067"/>
        <v>0</v>
      </c>
      <c r="M3254" s="6" t="b">
        <f t="shared" si="3067"/>
        <v>0</v>
      </c>
      <c r="N3254" s="4">
        <v>0.0096532570281383</v>
      </c>
      <c r="P3254" s="4">
        <v>0.0676025721352111</v>
      </c>
      <c r="T3254" s="4">
        <f t="shared" si="3"/>
        <v>1945</v>
      </c>
      <c r="U3254" s="4">
        <f t="shared" si="4"/>
        <v>4492</v>
      </c>
    </row>
    <row r="3255" ht="15.75" customHeight="1">
      <c r="A3255" s="4" t="s">
        <v>825</v>
      </c>
      <c r="B3255" s="4" t="s">
        <v>13</v>
      </c>
      <c r="C3255" s="4">
        <v>0.045</v>
      </c>
      <c r="I3255" s="4">
        <v>0.08404</v>
      </c>
      <c r="J3255" s="4">
        <v>0.00366</v>
      </c>
      <c r="K3255" s="6" t="b">
        <f t="shared" ref="K3255:M3255" si="3068">FALSE()</f>
        <v>0</v>
      </c>
      <c r="L3255" s="6" t="b">
        <f t="shared" si="3068"/>
        <v>0</v>
      </c>
      <c r="M3255" s="6" t="b">
        <f t="shared" si="3068"/>
        <v>0</v>
      </c>
      <c r="N3255" s="4">
        <v>0.0440168854167743</v>
      </c>
      <c r="P3255" s="4">
        <v>0.0806948027056563</v>
      </c>
      <c r="T3255" s="4">
        <f t="shared" si="3"/>
        <v>1430</v>
      </c>
      <c r="U3255" s="4">
        <f t="shared" si="4"/>
        <v>4379</v>
      </c>
    </row>
    <row r="3256" ht="15.75" customHeight="1">
      <c r="A3256" s="4" t="s">
        <v>4312</v>
      </c>
      <c r="B3256" s="4" t="s">
        <v>13</v>
      </c>
      <c r="D3256" s="4">
        <v>0.0106</v>
      </c>
      <c r="E3256" s="4">
        <v>0.0106</v>
      </c>
      <c r="F3256" s="4">
        <v>0.06598</v>
      </c>
      <c r="G3256" s="4">
        <v>0.0106</v>
      </c>
      <c r="H3256" s="4">
        <v>0.0106</v>
      </c>
      <c r="K3256" s="6" t="b">
        <f t="shared" ref="K3256:M3256" si="3069">FALSE()</f>
        <v>0</v>
      </c>
      <c r="L3256" s="6" t="b">
        <f t="shared" si="3069"/>
        <v>0</v>
      </c>
      <c r="M3256" s="6" t="b">
        <f t="shared" si="3069"/>
        <v>0</v>
      </c>
      <c r="O3256" s="4">
        <v>0.0638945638415706</v>
      </c>
      <c r="T3256" s="4" t="str">
        <f t="shared" si="3"/>
        <v/>
      </c>
      <c r="U3256" s="4" t="str">
        <f t="shared" si="4"/>
        <v/>
      </c>
    </row>
    <row r="3257" ht="15.75" customHeight="1">
      <c r="A3257" s="4" t="s">
        <v>4313</v>
      </c>
      <c r="B3257" s="4" t="s">
        <v>13</v>
      </c>
      <c r="I3257" s="4">
        <v>0.262</v>
      </c>
      <c r="J3257" s="4">
        <v>0.019</v>
      </c>
      <c r="K3257" s="6" t="b">
        <f t="shared" ref="K3257:M3257" si="3070">FALSE()</f>
        <v>0</v>
      </c>
      <c r="L3257" s="6" t="b">
        <f t="shared" si="3070"/>
        <v>0</v>
      </c>
      <c r="M3257" s="6" t="b">
        <f t="shared" si="3070"/>
        <v>0</v>
      </c>
      <c r="P3257" s="4">
        <v>0.232697764119021</v>
      </c>
      <c r="T3257" s="4" t="str">
        <f t="shared" si="3"/>
        <v/>
      </c>
      <c r="U3257" s="4">
        <f t="shared" si="4"/>
        <v>1661</v>
      </c>
    </row>
    <row r="3258" ht="15.75" customHeight="1">
      <c r="A3258" s="4" t="s">
        <v>4314</v>
      </c>
      <c r="B3258" s="4" t="s">
        <v>13</v>
      </c>
      <c r="I3258" s="4">
        <v>0.323</v>
      </c>
      <c r="J3258" s="4">
        <v>0.017</v>
      </c>
      <c r="K3258" s="6" t="b">
        <f t="shared" ref="K3258:M3258" si="3071">FALSE()</f>
        <v>0</v>
      </c>
      <c r="L3258" s="6" t="b">
        <f t="shared" si="3071"/>
        <v>0</v>
      </c>
      <c r="M3258" s="6" t="b">
        <f t="shared" si="3071"/>
        <v>0</v>
      </c>
      <c r="P3258" s="4">
        <v>0.279901885132819</v>
      </c>
      <c r="T3258" s="4" t="str">
        <f t="shared" si="3"/>
        <v/>
      </c>
      <c r="U3258" s="4">
        <f t="shared" si="4"/>
        <v>1288</v>
      </c>
    </row>
    <row r="3259" ht="15.75" customHeight="1">
      <c r="A3259" s="4" t="s">
        <v>4315</v>
      </c>
      <c r="B3259" s="4" t="s">
        <v>13</v>
      </c>
      <c r="I3259" s="4">
        <v>0.112</v>
      </c>
      <c r="J3259" s="4">
        <v>0.008</v>
      </c>
      <c r="K3259" s="6" t="b">
        <f t="shared" ref="K3259:M3259" si="3072">FALSE()</f>
        <v>0</v>
      </c>
      <c r="L3259" s="6" t="b">
        <f t="shared" si="3072"/>
        <v>0</v>
      </c>
      <c r="M3259" s="6" t="b">
        <f t="shared" si="3072"/>
        <v>0</v>
      </c>
      <c r="P3259" s="4">
        <v>0.106160195828391</v>
      </c>
      <c r="T3259" s="4" t="str">
        <f t="shared" si="3"/>
        <v/>
      </c>
      <c r="U3259" s="4">
        <f t="shared" si="4"/>
        <v>4017</v>
      </c>
    </row>
    <row r="3260" ht="15.75" customHeight="1">
      <c r="A3260" s="4" t="s">
        <v>4316</v>
      </c>
      <c r="B3260" s="4" t="s">
        <v>13</v>
      </c>
      <c r="I3260" s="4">
        <v>0.115</v>
      </c>
      <c r="J3260" s="4">
        <v>0.008</v>
      </c>
      <c r="K3260" s="6" t="b">
        <f t="shared" ref="K3260:M3260" si="3073">FALSE()</f>
        <v>0</v>
      </c>
      <c r="L3260" s="6" t="b">
        <f t="shared" si="3073"/>
        <v>0</v>
      </c>
      <c r="M3260" s="6" t="b">
        <f t="shared" si="3073"/>
        <v>0</v>
      </c>
      <c r="P3260" s="4">
        <v>0.108854404912082</v>
      </c>
      <c r="T3260" s="4" t="str">
        <f t="shared" si="3"/>
        <v/>
      </c>
      <c r="U3260" s="4">
        <f t="shared" si="4"/>
        <v>3970</v>
      </c>
    </row>
    <row r="3261" ht="15.75" customHeight="1">
      <c r="A3261" s="4" t="s">
        <v>4317</v>
      </c>
      <c r="B3261" s="4" t="s">
        <v>13</v>
      </c>
      <c r="I3261" s="4">
        <v>0.097</v>
      </c>
      <c r="J3261" s="4">
        <v>0.019</v>
      </c>
      <c r="K3261" s="6" t="b">
        <f t="shared" ref="K3261:M3261" si="3074">FALSE()</f>
        <v>0</v>
      </c>
      <c r="L3261" s="6" t="b">
        <f t="shared" si="3074"/>
        <v>0</v>
      </c>
      <c r="M3261" s="6" t="b">
        <f t="shared" si="3074"/>
        <v>0</v>
      </c>
      <c r="P3261" s="4">
        <v>0.0925791812930932</v>
      </c>
      <c r="T3261" s="4" t="str">
        <f t="shared" si="3"/>
        <v/>
      </c>
      <c r="U3261" s="4">
        <f t="shared" si="4"/>
        <v>4259</v>
      </c>
    </row>
    <row r="3262" ht="15.75" customHeight="1">
      <c r="A3262" s="4" t="s">
        <v>4318</v>
      </c>
      <c r="B3262" s="4" t="s">
        <v>13</v>
      </c>
      <c r="I3262" s="4">
        <v>0.244</v>
      </c>
      <c r="J3262" s="4">
        <v>0.045</v>
      </c>
      <c r="K3262" s="6" t="b">
        <f t="shared" ref="K3262:M3262" si="3075">FALSE()</f>
        <v>0</v>
      </c>
      <c r="L3262" s="6" t="b">
        <f t="shared" si="3075"/>
        <v>0</v>
      </c>
      <c r="M3262" s="6" t="b">
        <f t="shared" si="3075"/>
        <v>0</v>
      </c>
      <c r="P3262" s="4">
        <v>0.218331994316988</v>
      </c>
      <c r="T3262" s="4" t="str">
        <f t="shared" si="3"/>
        <v/>
      </c>
      <c r="U3262" s="4">
        <f t="shared" si="4"/>
        <v>1889</v>
      </c>
    </row>
    <row r="3263" ht="15.75" customHeight="1">
      <c r="A3263" s="4" t="s">
        <v>4319</v>
      </c>
      <c r="B3263" s="4" t="s">
        <v>13</v>
      </c>
      <c r="I3263" s="4">
        <v>0.145</v>
      </c>
      <c r="J3263" s="4">
        <v>0.028</v>
      </c>
      <c r="K3263" s="6" t="b">
        <f t="shared" ref="K3263:M3263" si="3076">FALSE()</f>
        <v>0</v>
      </c>
      <c r="L3263" s="6" t="b">
        <f t="shared" si="3076"/>
        <v>0</v>
      </c>
      <c r="M3263" s="6" t="b">
        <f t="shared" si="3076"/>
        <v>0</v>
      </c>
      <c r="P3263" s="4">
        <v>0.135404637006203</v>
      </c>
      <c r="T3263" s="4" t="str">
        <f t="shared" si="3"/>
        <v/>
      </c>
      <c r="U3263" s="4">
        <f t="shared" si="4"/>
        <v>3416</v>
      </c>
    </row>
    <row r="3264" ht="15.75" customHeight="1">
      <c r="A3264" s="4" t="s">
        <v>4320</v>
      </c>
      <c r="B3264" s="4" t="s">
        <v>13</v>
      </c>
      <c r="I3264" s="4">
        <v>0.209</v>
      </c>
      <c r="J3264" s="4">
        <v>0.04</v>
      </c>
      <c r="K3264" s="6" t="b">
        <f t="shared" ref="K3264:M3264" si="3077">FALSE()</f>
        <v>0</v>
      </c>
      <c r="L3264" s="6" t="b">
        <f t="shared" si="3077"/>
        <v>0</v>
      </c>
      <c r="M3264" s="6" t="b">
        <f t="shared" si="3077"/>
        <v>0</v>
      </c>
      <c r="P3264" s="4">
        <v>0.189793571632656</v>
      </c>
      <c r="T3264" s="4" t="str">
        <f t="shared" si="3"/>
        <v/>
      </c>
      <c r="U3264" s="4">
        <f t="shared" si="4"/>
        <v>2435</v>
      </c>
    </row>
    <row r="3265" ht="15.75" customHeight="1">
      <c r="A3265" s="4" t="s">
        <v>4321</v>
      </c>
      <c r="B3265" s="4" t="s">
        <v>13</v>
      </c>
      <c r="I3265" s="4">
        <v>0.233</v>
      </c>
      <c r="J3265" s="4">
        <v>0.044</v>
      </c>
      <c r="K3265" s="6" t="b">
        <f t="shared" ref="K3265:M3265" si="3078">FALSE()</f>
        <v>0</v>
      </c>
      <c r="L3265" s="6" t="b">
        <f t="shared" si="3078"/>
        <v>0</v>
      </c>
      <c r="M3265" s="6" t="b">
        <f t="shared" si="3078"/>
        <v>0</v>
      </c>
      <c r="P3265" s="4">
        <v>0.209450224182207</v>
      </c>
      <c r="T3265" s="4" t="str">
        <f t="shared" si="3"/>
        <v/>
      </c>
      <c r="U3265" s="4">
        <f t="shared" si="4"/>
        <v>2055</v>
      </c>
    </row>
    <row r="3266" ht="15.75" customHeight="1">
      <c r="A3266" s="4" t="s">
        <v>4322</v>
      </c>
      <c r="B3266" s="4" t="s">
        <v>13</v>
      </c>
      <c r="I3266" s="4">
        <v>0.19</v>
      </c>
      <c r="J3266" s="4">
        <v>0.036</v>
      </c>
      <c r="K3266" s="6" t="b">
        <f t="shared" ref="K3266:M3266" si="3079">FALSE()</f>
        <v>0</v>
      </c>
      <c r="L3266" s="6" t="b">
        <f t="shared" si="3079"/>
        <v>0</v>
      </c>
      <c r="M3266" s="6" t="b">
        <f t="shared" si="3079"/>
        <v>0</v>
      </c>
      <c r="P3266" s="4">
        <v>0.173953307123438</v>
      </c>
      <c r="T3266" s="4" t="str">
        <f t="shared" si="3"/>
        <v/>
      </c>
      <c r="U3266" s="4">
        <f t="shared" si="4"/>
        <v>2737</v>
      </c>
    </row>
    <row r="3267" ht="15.75" customHeight="1">
      <c r="A3267" s="4" t="s">
        <v>4323</v>
      </c>
      <c r="B3267" s="4" t="s">
        <v>13</v>
      </c>
      <c r="I3267" s="4">
        <v>0.145</v>
      </c>
      <c r="J3267" s="4">
        <v>0.036</v>
      </c>
      <c r="K3267" s="6" t="b">
        <f t="shared" ref="K3267:M3267" si="3080">FALSE()</f>
        <v>0</v>
      </c>
      <c r="L3267" s="6" t="b">
        <f t="shared" si="3080"/>
        <v>0</v>
      </c>
      <c r="M3267" s="6" t="b">
        <f t="shared" si="3080"/>
        <v>0</v>
      </c>
      <c r="P3267" s="4">
        <v>0.135404637006203</v>
      </c>
      <c r="T3267" s="4" t="str">
        <f t="shared" si="3"/>
        <v/>
      </c>
      <c r="U3267" s="4">
        <f t="shared" si="4"/>
        <v>3417</v>
      </c>
    </row>
    <row r="3268" ht="15.75" customHeight="1">
      <c r="A3268" s="4" t="s">
        <v>4324</v>
      </c>
      <c r="B3268" s="4" t="s">
        <v>13</v>
      </c>
      <c r="I3268" s="4">
        <v>0.158</v>
      </c>
      <c r="J3268" s="4">
        <v>0.037</v>
      </c>
      <c r="K3268" s="6" t="b">
        <f t="shared" ref="K3268:M3268" si="3081">FALSE()</f>
        <v>0</v>
      </c>
      <c r="L3268" s="6" t="b">
        <f t="shared" si="3081"/>
        <v>0</v>
      </c>
      <c r="M3268" s="6" t="b">
        <f t="shared" si="3081"/>
        <v>0</v>
      </c>
      <c r="P3268" s="4">
        <v>0.146694379150804</v>
      </c>
      <c r="T3268" s="4" t="str">
        <f t="shared" si="3"/>
        <v/>
      </c>
      <c r="U3268" s="4">
        <f t="shared" si="4"/>
        <v>3202</v>
      </c>
    </row>
    <row r="3269" ht="15.75" customHeight="1">
      <c r="A3269" s="4" t="s">
        <v>4325</v>
      </c>
      <c r="B3269" s="4" t="s">
        <v>13</v>
      </c>
      <c r="I3269" s="4">
        <v>0.213</v>
      </c>
      <c r="J3269" s="4">
        <v>0.049</v>
      </c>
      <c r="K3269" s="6" t="b">
        <f t="shared" ref="K3269:M3269" si="3082">FALSE()</f>
        <v>0</v>
      </c>
      <c r="L3269" s="6" t="b">
        <f t="shared" si="3082"/>
        <v>0</v>
      </c>
      <c r="M3269" s="6" t="b">
        <f t="shared" si="3082"/>
        <v>0</v>
      </c>
      <c r="P3269" s="4">
        <v>0.193096629961913</v>
      </c>
      <c r="T3269" s="4" t="str">
        <f t="shared" si="3"/>
        <v/>
      </c>
      <c r="U3269" s="4">
        <f t="shared" si="4"/>
        <v>2360</v>
      </c>
    </row>
    <row r="3270" ht="15.75" customHeight="1">
      <c r="A3270" s="4" t="s">
        <v>4326</v>
      </c>
      <c r="B3270" s="4" t="s">
        <v>13</v>
      </c>
      <c r="I3270" s="4">
        <v>0.156</v>
      </c>
      <c r="J3270" s="4">
        <v>0.037</v>
      </c>
      <c r="K3270" s="6" t="b">
        <f t="shared" ref="K3270:M3270" si="3083">FALSE()</f>
        <v>0</v>
      </c>
      <c r="L3270" s="6" t="b">
        <f t="shared" si="3083"/>
        <v>0</v>
      </c>
      <c r="M3270" s="6" t="b">
        <f t="shared" si="3083"/>
        <v>0</v>
      </c>
      <c r="P3270" s="4">
        <v>0.144965770250186</v>
      </c>
      <c r="T3270" s="4" t="str">
        <f t="shared" si="3"/>
        <v/>
      </c>
      <c r="U3270" s="4">
        <f t="shared" si="4"/>
        <v>3230</v>
      </c>
    </row>
    <row r="3271" ht="15.75" customHeight="1">
      <c r="A3271" s="4" t="s">
        <v>4327</v>
      </c>
      <c r="B3271" s="4" t="s">
        <v>13</v>
      </c>
      <c r="I3271" s="4">
        <v>0.21</v>
      </c>
      <c r="J3271" s="4">
        <v>0.041</v>
      </c>
      <c r="K3271" s="6" t="b">
        <f t="shared" ref="K3271:M3271" si="3084">FALSE()</f>
        <v>0</v>
      </c>
      <c r="L3271" s="6" t="b">
        <f t="shared" si="3084"/>
        <v>0</v>
      </c>
      <c r="M3271" s="6" t="b">
        <f t="shared" si="3084"/>
        <v>0</v>
      </c>
      <c r="P3271" s="4">
        <v>0.19062035960865</v>
      </c>
      <c r="T3271" s="4" t="str">
        <f t="shared" si="3"/>
        <v/>
      </c>
      <c r="U3271" s="4">
        <f t="shared" si="4"/>
        <v>2419</v>
      </c>
    </row>
    <row r="3272" ht="15.75" customHeight="1">
      <c r="A3272" s="4" t="s">
        <v>4328</v>
      </c>
      <c r="B3272" s="4" t="s">
        <v>13</v>
      </c>
      <c r="I3272" s="4">
        <v>0.271</v>
      </c>
      <c r="J3272" s="4">
        <v>0.053</v>
      </c>
      <c r="K3272" s="6" t="b">
        <f t="shared" ref="K3272:M3272" si="3085">FALSE()</f>
        <v>0</v>
      </c>
      <c r="L3272" s="6" t="b">
        <f t="shared" si="3085"/>
        <v>0</v>
      </c>
      <c r="M3272" s="6" t="b">
        <f t="shared" si="3085"/>
        <v>0</v>
      </c>
      <c r="P3272" s="4">
        <v>0.239803992207317</v>
      </c>
      <c r="T3272" s="4" t="str">
        <f t="shared" si="3"/>
        <v/>
      </c>
      <c r="U3272" s="4">
        <f t="shared" si="4"/>
        <v>1579</v>
      </c>
    </row>
    <row r="3273" ht="15.75" customHeight="1">
      <c r="A3273" s="4" t="s">
        <v>4329</v>
      </c>
      <c r="B3273" s="4" t="s">
        <v>13</v>
      </c>
      <c r="I3273" s="4">
        <v>0.199</v>
      </c>
      <c r="J3273" s="4">
        <v>0.029</v>
      </c>
      <c r="K3273" s="6" t="b">
        <f t="shared" ref="K3273:M3273" si="3086">FALSE()</f>
        <v>0</v>
      </c>
      <c r="L3273" s="6" t="b">
        <f t="shared" si="3086"/>
        <v>0</v>
      </c>
      <c r="M3273" s="6" t="b">
        <f t="shared" si="3086"/>
        <v>0</v>
      </c>
      <c r="P3273" s="4">
        <v>0.181487876045377</v>
      </c>
      <c r="T3273" s="4" t="str">
        <f t="shared" si="3"/>
        <v/>
      </c>
      <c r="U3273" s="4">
        <f t="shared" si="4"/>
        <v>2600</v>
      </c>
    </row>
    <row r="3274" ht="15.75" customHeight="1">
      <c r="A3274" s="4" t="s">
        <v>4330</v>
      </c>
      <c r="B3274" s="4" t="s">
        <v>13</v>
      </c>
      <c r="I3274" s="4">
        <v>0.165</v>
      </c>
      <c r="J3274" s="4">
        <v>0.024</v>
      </c>
      <c r="K3274" s="6" t="b">
        <f t="shared" ref="K3274:M3274" si="3087">FALSE()</f>
        <v>0</v>
      </c>
      <c r="L3274" s="6" t="b">
        <f t="shared" si="3087"/>
        <v>0</v>
      </c>
      <c r="M3274" s="6" t="b">
        <f t="shared" si="3087"/>
        <v>0</v>
      </c>
      <c r="P3274" s="4">
        <v>0.152721087017664</v>
      </c>
      <c r="T3274" s="4" t="str">
        <f t="shared" si="3"/>
        <v/>
      </c>
      <c r="U3274" s="4">
        <f t="shared" si="4"/>
        <v>3107</v>
      </c>
    </row>
    <row r="3275" ht="15.75" customHeight="1">
      <c r="A3275" s="4" t="s">
        <v>4331</v>
      </c>
      <c r="B3275" s="4" t="s">
        <v>13</v>
      </c>
      <c r="I3275" s="4">
        <v>0.118</v>
      </c>
      <c r="J3275" s="4">
        <v>0.024</v>
      </c>
      <c r="K3275" s="6" t="b">
        <f t="shared" ref="K3275:M3275" si="3088">FALSE()</f>
        <v>0</v>
      </c>
      <c r="L3275" s="6" t="b">
        <f t="shared" si="3088"/>
        <v>0</v>
      </c>
      <c r="M3275" s="6" t="b">
        <f t="shared" si="3088"/>
        <v>0</v>
      </c>
      <c r="P3275" s="4">
        <v>0.111541374732907</v>
      </c>
      <c r="T3275" s="4" t="str">
        <f t="shared" si="3"/>
        <v/>
      </c>
      <c r="U3275" s="4">
        <f t="shared" si="4"/>
        <v>3911</v>
      </c>
    </row>
    <row r="3276" ht="15.75" customHeight="1">
      <c r="A3276" s="4" t="s">
        <v>4332</v>
      </c>
      <c r="B3276" s="4" t="s">
        <v>13</v>
      </c>
      <c r="I3276" s="4">
        <v>0.132</v>
      </c>
      <c r="J3276" s="4">
        <v>0.011</v>
      </c>
      <c r="K3276" s="6" t="b">
        <f t="shared" ref="K3276:M3276" si="3089">FALSE()</f>
        <v>0</v>
      </c>
      <c r="L3276" s="6" t="b">
        <f t="shared" si="3089"/>
        <v>0</v>
      </c>
      <c r="M3276" s="6" t="b">
        <f t="shared" si="3089"/>
        <v>0</v>
      </c>
      <c r="P3276" s="4">
        <v>0.123985979780991</v>
      </c>
      <c r="T3276" s="4" t="str">
        <f t="shared" si="3"/>
        <v/>
      </c>
      <c r="U3276" s="4">
        <f t="shared" si="4"/>
        <v>3662</v>
      </c>
    </row>
    <row r="3277" ht="15.75" customHeight="1">
      <c r="A3277" s="4" t="s">
        <v>4333</v>
      </c>
      <c r="B3277" s="4" t="s">
        <v>13</v>
      </c>
      <c r="I3277" s="4">
        <v>0.28</v>
      </c>
      <c r="J3277" s="4">
        <v>0.023</v>
      </c>
      <c r="K3277" s="6" t="b">
        <f t="shared" ref="K3277:M3277" si="3090">FALSE()</f>
        <v>0</v>
      </c>
      <c r="L3277" s="6" t="b">
        <f t="shared" si="3090"/>
        <v>0</v>
      </c>
      <c r="M3277" s="6" t="b">
        <f t="shared" si="3090"/>
        <v>0</v>
      </c>
      <c r="P3277" s="4">
        <v>0.246860077931526</v>
      </c>
      <c r="T3277" s="4" t="str">
        <f t="shared" si="3"/>
        <v/>
      </c>
      <c r="U3277" s="4">
        <f t="shared" si="4"/>
        <v>1506</v>
      </c>
    </row>
    <row r="3278" ht="15.75" customHeight="1">
      <c r="A3278" s="4" t="s">
        <v>4334</v>
      </c>
      <c r="B3278" s="4" t="s">
        <v>13</v>
      </c>
      <c r="I3278" s="4">
        <v>0.237</v>
      </c>
      <c r="J3278" s="4">
        <v>0.016</v>
      </c>
      <c r="K3278" s="6" t="b">
        <f t="shared" ref="K3278:M3278" si="3091">FALSE()</f>
        <v>0</v>
      </c>
      <c r="L3278" s="6" t="b">
        <f t="shared" si="3091"/>
        <v>0</v>
      </c>
      <c r="M3278" s="6" t="b">
        <f t="shared" si="3091"/>
        <v>0</v>
      </c>
      <c r="P3278" s="4">
        <v>0.212689093410351</v>
      </c>
      <c r="T3278" s="4" t="str">
        <f t="shared" si="3"/>
        <v/>
      </c>
      <c r="U3278" s="4">
        <f t="shared" si="4"/>
        <v>1994</v>
      </c>
    </row>
    <row r="3279" ht="15.75" customHeight="1">
      <c r="A3279" s="4" t="s">
        <v>4335</v>
      </c>
      <c r="B3279" s="4" t="s">
        <v>13</v>
      </c>
      <c r="I3279" s="4">
        <v>0.263</v>
      </c>
      <c r="J3279" s="4">
        <v>0.044</v>
      </c>
      <c r="K3279" s="6" t="b">
        <f t="shared" ref="K3279:M3279" si="3092">FALSE()</f>
        <v>0</v>
      </c>
      <c r="L3279" s="6" t="b">
        <f t="shared" si="3092"/>
        <v>0</v>
      </c>
      <c r="M3279" s="6" t="b">
        <f t="shared" si="3092"/>
        <v>0</v>
      </c>
      <c r="P3279" s="4">
        <v>0.233489843368354</v>
      </c>
      <c r="T3279" s="4" t="str">
        <f t="shared" si="3"/>
        <v/>
      </c>
      <c r="U3279" s="4">
        <f t="shared" si="4"/>
        <v>1645</v>
      </c>
    </row>
    <row r="3280" ht="15.75" customHeight="1">
      <c r="A3280" s="4" t="s">
        <v>4336</v>
      </c>
      <c r="B3280" s="4" t="s">
        <v>13</v>
      </c>
      <c r="I3280" s="4">
        <v>0.319</v>
      </c>
      <c r="J3280" s="4">
        <v>0.054</v>
      </c>
      <c r="K3280" s="6" t="b">
        <f t="shared" ref="K3280:M3280" si="3093">FALSE()</f>
        <v>0</v>
      </c>
      <c r="L3280" s="6" t="b">
        <f t="shared" si="3093"/>
        <v>0</v>
      </c>
      <c r="M3280" s="6" t="b">
        <f t="shared" si="3093"/>
        <v>0</v>
      </c>
      <c r="P3280" s="4">
        <v>0.276873873735178</v>
      </c>
      <c r="T3280" s="4" t="str">
        <f t="shared" si="3"/>
        <v/>
      </c>
      <c r="U3280" s="4">
        <f t="shared" si="4"/>
        <v>1304</v>
      </c>
    </row>
    <row r="3281" ht="15.75" customHeight="1">
      <c r="A3281" s="4" t="s">
        <v>4337</v>
      </c>
      <c r="B3281" s="4" t="s">
        <v>13</v>
      </c>
      <c r="I3281" s="4">
        <v>0.251</v>
      </c>
      <c r="J3281" s="4">
        <v>0.043</v>
      </c>
      <c r="K3281" s="6" t="b">
        <f t="shared" ref="K3281:M3281" si="3094">FALSE()</f>
        <v>0</v>
      </c>
      <c r="L3281" s="6" t="b">
        <f t="shared" si="3094"/>
        <v>0</v>
      </c>
      <c r="M3281" s="6" t="b">
        <f t="shared" si="3094"/>
        <v>0</v>
      </c>
      <c r="P3281" s="4">
        <v>0.223943231484774</v>
      </c>
      <c r="T3281" s="4" t="str">
        <f t="shared" si="3"/>
        <v/>
      </c>
      <c r="U3281" s="4">
        <f t="shared" si="4"/>
        <v>1800</v>
      </c>
    </row>
    <row r="3282" ht="15.75" customHeight="1">
      <c r="A3282" s="4" t="s">
        <v>826</v>
      </c>
      <c r="B3282" s="4" t="s">
        <v>13</v>
      </c>
      <c r="C3282" s="4">
        <v>0.02102</v>
      </c>
      <c r="D3282" s="4">
        <v>0.0044</v>
      </c>
      <c r="E3282" s="4">
        <v>0.0044</v>
      </c>
      <c r="I3282" s="4">
        <v>0.1472</v>
      </c>
      <c r="J3282" s="4">
        <v>0.0018</v>
      </c>
      <c r="K3282" s="6" t="b">
        <f t="shared" ref="K3282:M3282" si="3095">FALSE()</f>
        <v>0</v>
      </c>
      <c r="L3282" s="6" t="b">
        <f t="shared" si="3095"/>
        <v>0</v>
      </c>
      <c r="M3282" s="6" t="b">
        <f t="shared" si="3095"/>
        <v>0</v>
      </c>
      <c r="N3282" s="4">
        <v>0.0208021276292632</v>
      </c>
      <c r="P3282" s="4">
        <v>0.137324190863219</v>
      </c>
      <c r="T3282" s="4">
        <f t="shared" si="3"/>
        <v>1708</v>
      </c>
      <c r="U3282" s="4">
        <f t="shared" si="4"/>
        <v>3372</v>
      </c>
    </row>
    <row r="3283" ht="15.75" customHeight="1">
      <c r="A3283" s="4" t="s">
        <v>4338</v>
      </c>
      <c r="B3283" s="4" t="s">
        <v>13</v>
      </c>
      <c r="I3283" s="4">
        <v>0.072</v>
      </c>
      <c r="J3283" s="4">
        <v>0.004</v>
      </c>
      <c r="K3283" s="6" t="b">
        <f t="shared" ref="K3283:M3283" si="3096">FALSE()</f>
        <v>0</v>
      </c>
      <c r="L3283" s="6" t="b">
        <f t="shared" si="3096"/>
        <v>0</v>
      </c>
      <c r="M3283" s="6" t="b">
        <f t="shared" si="3096"/>
        <v>0</v>
      </c>
      <c r="P3283" s="4">
        <v>0.0695260626486102</v>
      </c>
      <c r="T3283" s="4" t="str">
        <f t="shared" si="3"/>
        <v/>
      </c>
      <c r="U3283" s="4">
        <f t="shared" si="4"/>
        <v>4473</v>
      </c>
    </row>
    <row r="3284" ht="15.75" customHeight="1">
      <c r="A3284" s="4" t="s">
        <v>4339</v>
      </c>
      <c r="B3284" s="4" t="s">
        <v>13</v>
      </c>
      <c r="I3284" s="4">
        <v>0.14</v>
      </c>
      <c r="J3284" s="4">
        <v>0.008</v>
      </c>
      <c r="K3284" s="6" t="b">
        <f t="shared" ref="K3284:M3284" si="3097">FALSE()</f>
        <v>0</v>
      </c>
      <c r="L3284" s="6" t="b">
        <f t="shared" si="3097"/>
        <v>0</v>
      </c>
      <c r="M3284" s="6" t="b">
        <f t="shared" si="3097"/>
        <v>0</v>
      </c>
      <c r="P3284" s="4">
        <v>0.131028262406404</v>
      </c>
      <c r="T3284" s="4" t="str">
        <f t="shared" si="3"/>
        <v/>
      </c>
      <c r="U3284" s="4">
        <f t="shared" si="4"/>
        <v>3505</v>
      </c>
    </row>
    <row r="3285" ht="15.75" customHeight="1">
      <c r="A3285" s="4" t="s">
        <v>4340</v>
      </c>
      <c r="B3285" s="4" t="s">
        <v>13</v>
      </c>
      <c r="I3285" s="4">
        <v>0.087</v>
      </c>
      <c r="J3285" s="4">
        <v>0.005</v>
      </c>
      <c r="K3285" s="6" t="b">
        <f t="shared" ref="K3285:M3285" si="3098">FALSE()</f>
        <v>0</v>
      </c>
      <c r="L3285" s="6" t="b">
        <f t="shared" si="3098"/>
        <v>0</v>
      </c>
      <c r="M3285" s="6" t="b">
        <f t="shared" si="3098"/>
        <v>0</v>
      </c>
      <c r="P3285" s="4">
        <v>0.0834216081390723</v>
      </c>
      <c r="T3285" s="4" t="str">
        <f t="shared" si="3"/>
        <v/>
      </c>
      <c r="U3285" s="4">
        <f t="shared" si="4"/>
        <v>4362</v>
      </c>
    </row>
    <row r="3286" ht="15.75" customHeight="1">
      <c r="A3286" s="4" t="s">
        <v>4341</v>
      </c>
      <c r="B3286" s="4" t="s">
        <v>13</v>
      </c>
      <c r="I3286" s="4">
        <v>0.119</v>
      </c>
      <c r="J3286" s="4">
        <v>0.011</v>
      </c>
      <c r="K3286" s="6" t="b">
        <f t="shared" ref="K3286:M3286" si="3099">FALSE()</f>
        <v>0</v>
      </c>
      <c r="L3286" s="6" t="b">
        <f t="shared" si="3099"/>
        <v>0</v>
      </c>
      <c r="M3286" s="6" t="b">
        <f t="shared" si="3099"/>
        <v>0</v>
      </c>
      <c r="P3286" s="4">
        <v>0.112435429329788</v>
      </c>
      <c r="T3286" s="4" t="str">
        <f t="shared" si="3"/>
        <v/>
      </c>
      <c r="U3286" s="4">
        <f t="shared" si="4"/>
        <v>3890</v>
      </c>
    </row>
    <row r="3287" ht="15.75" customHeight="1">
      <c r="A3287" s="4" t="s">
        <v>4342</v>
      </c>
      <c r="B3287" s="4" t="s">
        <v>13</v>
      </c>
      <c r="I3287" s="4">
        <v>0.153</v>
      </c>
      <c r="J3287" s="4">
        <v>0.015</v>
      </c>
      <c r="K3287" s="6" t="b">
        <f t="shared" ref="K3287:M3287" si="3100">FALSE()</f>
        <v>0</v>
      </c>
      <c r="L3287" s="6" t="b">
        <f t="shared" si="3100"/>
        <v>0</v>
      </c>
      <c r="M3287" s="6" t="b">
        <f t="shared" si="3100"/>
        <v>0</v>
      </c>
      <c r="P3287" s="4">
        <v>0.142367241286922</v>
      </c>
      <c r="T3287" s="4" t="str">
        <f t="shared" si="3"/>
        <v/>
      </c>
      <c r="U3287" s="4">
        <f t="shared" si="4"/>
        <v>3277</v>
      </c>
    </row>
    <row r="3288" ht="15.75" customHeight="1">
      <c r="A3288" s="4" t="s">
        <v>4343</v>
      </c>
      <c r="B3288" s="4" t="s">
        <v>13</v>
      </c>
      <c r="I3288" s="4">
        <v>0.261</v>
      </c>
      <c r="J3288" s="4">
        <v>0.024</v>
      </c>
      <c r="K3288" s="6" t="b">
        <f t="shared" ref="K3288:M3288" si="3101">FALSE()</f>
        <v>0</v>
      </c>
      <c r="L3288" s="6" t="b">
        <f t="shared" si="3101"/>
        <v>0</v>
      </c>
      <c r="M3288" s="6" t="b">
        <f t="shared" si="3101"/>
        <v>0</v>
      </c>
      <c r="P3288" s="4">
        <v>0.231905056982783</v>
      </c>
      <c r="T3288" s="4" t="str">
        <f t="shared" si="3"/>
        <v/>
      </c>
      <c r="U3288" s="4">
        <f t="shared" si="4"/>
        <v>1674</v>
      </c>
    </row>
    <row r="3289" ht="15.75" customHeight="1">
      <c r="A3289" s="4" t="s">
        <v>4344</v>
      </c>
      <c r="B3289" s="4" t="s">
        <v>13</v>
      </c>
      <c r="I3289" s="4">
        <v>0.244</v>
      </c>
      <c r="J3289" s="4">
        <v>0.022</v>
      </c>
      <c r="K3289" s="6" t="b">
        <f t="shared" ref="K3289:M3289" si="3102">FALSE()</f>
        <v>0</v>
      </c>
      <c r="L3289" s="6" t="b">
        <f t="shared" si="3102"/>
        <v>0</v>
      </c>
      <c r="M3289" s="6" t="b">
        <f t="shared" si="3102"/>
        <v>0</v>
      </c>
      <c r="P3289" s="4">
        <v>0.218331994316988</v>
      </c>
      <c r="T3289" s="4" t="str">
        <f t="shared" si="3"/>
        <v/>
      </c>
      <c r="U3289" s="4">
        <f t="shared" si="4"/>
        <v>1890</v>
      </c>
    </row>
    <row r="3290" ht="15.75" customHeight="1">
      <c r="A3290" s="4" t="s">
        <v>4345</v>
      </c>
      <c r="B3290" s="4" t="s">
        <v>13</v>
      </c>
      <c r="I3290" s="4">
        <v>0.235</v>
      </c>
      <c r="J3290" s="4">
        <v>0.022</v>
      </c>
      <c r="K3290" s="6" t="b">
        <f t="shared" ref="K3290:M3290" si="3103">FALSE()</f>
        <v>0</v>
      </c>
      <c r="L3290" s="6" t="b">
        <f t="shared" si="3103"/>
        <v>0</v>
      </c>
      <c r="M3290" s="6" t="b">
        <f t="shared" si="3103"/>
        <v>0</v>
      </c>
      <c r="P3290" s="4">
        <v>0.211070970079941</v>
      </c>
      <c r="T3290" s="4" t="str">
        <f t="shared" si="3"/>
        <v/>
      </c>
      <c r="U3290" s="4">
        <f t="shared" si="4"/>
        <v>2031</v>
      </c>
    </row>
    <row r="3291" ht="15.75" customHeight="1">
      <c r="A3291" s="4" t="s">
        <v>4346</v>
      </c>
      <c r="B3291" s="4" t="s">
        <v>13</v>
      </c>
      <c r="I3291" s="4">
        <v>0.282</v>
      </c>
      <c r="J3291" s="4">
        <v>0.125</v>
      </c>
      <c r="K3291" s="6" t="b">
        <f t="shared" ref="K3291:M3291" si="3104">FALSE()</f>
        <v>0</v>
      </c>
      <c r="L3291" s="6" t="b">
        <f t="shared" si="3104"/>
        <v>0</v>
      </c>
      <c r="M3291" s="6" t="b">
        <f t="shared" si="3104"/>
        <v>0</v>
      </c>
      <c r="P3291" s="4">
        <v>0.248421358498478</v>
      </c>
      <c r="T3291" s="4" t="str">
        <f t="shared" si="3"/>
        <v/>
      </c>
      <c r="U3291" s="4">
        <f t="shared" si="4"/>
        <v>1494</v>
      </c>
    </row>
    <row r="3292" ht="15.75" customHeight="1">
      <c r="A3292" s="4" t="s">
        <v>4347</v>
      </c>
      <c r="B3292" s="4" t="s">
        <v>13</v>
      </c>
      <c r="I3292" s="4">
        <v>0.414</v>
      </c>
      <c r="J3292" s="4">
        <v>0.185</v>
      </c>
      <c r="K3292" s="6" t="b">
        <f t="shared" ref="K3292:M3292" si="3105">FALSE()</f>
        <v>0</v>
      </c>
      <c r="L3292" s="6" t="b">
        <f t="shared" si="3105"/>
        <v>0</v>
      </c>
      <c r="M3292" s="6" t="b">
        <f t="shared" si="3105"/>
        <v>0</v>
      </c>
      <c r="P3292" s="4">
        <v>0.346422567474381</v>
      </c>
      <c r="T3292" s="4" t="str">
        <f t="shared" si="3"/>
        <v/>
      </c>
      <c r="U3292" s="4">
        <f t="shared" si="4"/>
        <v>1099</v>
      </c>
    </row>
    <row r="3293" ht="15.75" customHeight="1">
      <c r="A3293" s="4" t="s">
        <v>4348</v>
      </c>
      <c r="B3293" s="4" t="s">
        <v>13</v>
      </c>
      <c r="I3293" s="4">
        <v>0.329</v>
      </c>
      <c r="J3293" s="4">
        <v>0.145</v>
      </c>
      <c r="K3293" s="6" t="b">
        <f t="shared" ref="K3293:M3293" si="3106">FALSE()</f>
        <v>0</v>
      </c>
      <c r="L3293" s="6" t="b">
        <f t="shared" si="3106"/>
        <v>0</v>
      </c>
      <c r="M3293" s="6" t="b">
        <f t="shared" si="3106"/>
        <v>0</v>
      </c>
      <c r="P3293" s="4">
        <v>0.284426779731108</v>
      </c>
      <c r="T3293" s="4" t="str">
        <f t="shared" si="3"/>
        <v/>
      </c>
      <c r="U3293" s="4">
        <f t="shared" si="4"/>
        <v>1262</v>
      </c>
    </row>
    <row r="3294" ht="15.75" customHeight="1">
      <c r="A3294" s="4" t="s">
        <v>827</v>
      </c>
      <c r="B3294" s="4" t="s">
        <v>13</v>
      </c>
      <c r="C3294" s="4">
        <v>0.02328</v>
      </c>
      <c r="D3294" s="4">
        <v>0.00346</v>
      </c>
      <c r="E3294" s="4">
        <v>0.00409</v>
      </c>
      <c r="I3294" s="4">
        <v>0.267</v>
      </c>
      <c r="J3294" s="4">
        <v>0.024</v>
      </c>
      <c r="K3294" s="6" t="b">
        <f t="shared" ref="K3294:M3294" si="3107">FALSE()</f>
        <v>0</v>
      </c>
      <c r="L3294" s="6" t="b">
        <f t="shared" si="3107"/>
        <v>0</v>
      </c>
      <c r="M3294" s="6" t="b">
        <f t="shared" si="3107"/>
        <v>0</v>
      </c>
      <c r="N3294" s="4">
        <v>0.0230131543090006</v>
      </c>
      <c r="P3294" s="4">
        <v>0.236651901339002</v>
      </c>
      <c r="T3294" s="4">
        <f t="shared" si="3"/>
        <v>1663</v>
      </c>
      <c r="U3294" s="4">
        <f t="shared" si="4"/>
        <v>1617</v>
      </c>
    </row>
    <row r="3295" ht="15.75" customHeight="1">
      <c r="A3295" s="4" t="s">
        <v>829</v>
      </c>
      <c r="B3295" s="4" t="s">
        <v>13</v>
      </c>
      <c r="C3295" s="4">
        <v>0.01605</v>
      </c>
      <c r="D3295" s="4">
        <v>0.00346</v>
      </c>
      <c r="E3295" s="4">
        <v>0.00535</v>
      </c>
      <c r="I3295" s="4">
        <v>0.307</v>
      </c>
      <c r="J3295" s="4">
        <v>0.027</v>
      </c>
      <c r="K3295" s="6" t="b">
        <f t="shared" ref="K3295:M3295" si="3108">FALSE()</f>
        <v>0</v>
      </c>
      <c r="L3295" s="6" t="b">
        <f t="shared" si="3108"/>
        <v>0</v>
      </c>
      <c r="M3295" s="6" t="b">
        <f t="shared" si="3108"/>
        <v>0</v>
      </c>
      <c r="N3295" s="4">
        <v>0.0159225605438151</v>
      </c>
      <c r="P3295" s="4">
        <v>0.267734434642085</v>
      </c>
      <c r="T3295" s="4">
        <f t="shared" si="3"/>
        <v>1805</v>
      </c>
      <c r="U3295" s="4">
        <f t="shared" si="4"/>
        <v>1344</v>
      </c>
    </row>
    <row r="3296" ht="15.75" customHeight="1">
      <c r="A3296" s="4" t="s">
        <v>830</v>
      </c>
      <c r="B3296" s="4" t="s">
        <v>13</v>
      </c>
      <c r="C3296" s="4">
        <v>0.02517</v>
      </c>
      <c r="D3296" s="4">
        <v>0.00409</v>
      </c>
      <c r="E3296" s="4">
        <v>0.00472</v>
      </c>
      <c r="I3296" s="4">
        <v>0.467</v>
      </c>
      <c r="J3296" s="4">
        <v>0.04</v>
      </c>
      <c r="K3296" s="6" t="b">
        <f t="shared" ref="K3296:M3296" si="3109">FALSE()</f>
        <v>0</v>
      </c>
      <c r="L3296" s="6" t="b">
        <f t="shared" si="3109"/>
        <v>0</v>
      </c>
      <c r="M3296" s="6" t="b">
        <f t="shared" si="3109"/>
        <v>0</v>
      </c>
      <c r="N3296" s="4">
        <v>0.0248584524967106</v>
      </c>
      <c r="P3296" s="4">
        <v>0.383219499160845</v>
      </c>
      <c r="T3296" s="4">
        <f t="shared" si="3"/>
        <v>1631</v>
      </c>
      <c r="U3296" s="4">
        <f t="shared" si="4"/>
        <v>1042</v>
      </c>
    </row>
    <row r="3297" ht="15.75" customHeight="1">
      <c r="A3297" s="4" t="s">
        <v>831</v>
      </c>
      <c r="B3297" s="4" t="s">
        <v>13</v>
      </c>
      <c r="C3297" s="4">
        <v>0.0151</v>
      </c>
      <c r="D3297" s="4">
        <v>0.00378</v>
      </c>
      <c r="E3297" s="4">
        <v>0.0044</v>
      </c>
      <c r="I3297" s="4">
        <v>0.41</v>
      </c>
      <c r="J3297" s="4">
        <v>0.037</v>
      </c>
      <c r="K3297" s="6" t="b">
        <f t="shared" ref="K3297:M3297" si="3110">FALSE()</f>
        <v>0</v>
      </c>
      <c r="L3297" s="6" t="b">
        <f t="shared" si="3110"/>
        <v>0</v>
      </c>
      <c r="M3297" s="6" t="b">
        <f t="shared" si="3110"/>
        <v>0</v>
      </c>
      <c r="N3297" s="4">
        <v>0.0149871298082483</v>
      </c>
      <c r="P3297" s="4">
        <v>0.343589704390077</v>
      </c>
      <c r="T3297" s="4">
        <f t="shared" si="3"/>
        <v>1822</v>
      </c>
      <c r="U3297" s="4">
        <f t="shared" si="4"/>
        <v>1107</v>
      </c>
    </row>
    <row r="3298" ht="15.75" customHeight="1">
      <c r="A3298" s="4" t="s">
        <v>4349</v>
      </c>
      <c r="B3298" s="4" t="s">
        <v>13</v>
      </c>
      <c r="I3298" s="4">
        <v>0.124</v>
      </c>
      <c r="J3298" s="4">
        <v>0.008</v>
      </c>
      <c r="K3298" s="6" t="b">
        <f t="shared" ref="K3298:M3298" si="3111">FALSE()</f>
        <v>0</v>
      </c>
      <c r="L3298" s="6" t="b">
        <f t="shared" si="3111"/>
        <v>0</v>
      </c>
      <c r="M3298" s="6" t="b">
        <f t="shared" si="3111"/>
        <v>0</v>
      </c>
      <c r="P3298" s="4">
        <v>0.116893751471499</v>
      </c>
      <c r="T3298" s="4" t="str">
        <f t="shared" si="3"/>
        <v/>
      </c>
      <c r="U3298" s="4">
        <f t="shared" si="4"/>
        <v>3802</v>
      </c>
    </row>
    <row r="3299" ht="15.75" customHeight="1">
      <c r="A3299" s="4" t="s">
        <v>4350</v>
      </c>
      <c r="B3299" s="4" t="s">
        <v>13</v>
      </c>
      <c r="I3299" s="4">
        <v>0.278</v>
      </c>
      <c r="J3299" s="4">
        <v>0.023</v>
      </c>
      <c r="K3299" s="6" t="b">
        <f t="shared" ref="K3299:M3299" si="3112">FALSE()</f>
        <v>0</v>
      </c>
      <c r="L3299" s="6" t="b">
        <f t="shared" si="3112"/>
        <v>0</v>
      </c>
      <c r="M3299" s="6" t="b">
        <f t="shared" si="3112"/>
        <v>0</v>
      </c>
      <c r="P3299" s="4">
        <v>0.245296355955343</v>
      </c>
      <c r="T3299" s="4" t="str">
        <f t="shared" si="3"/>
        <v/>
      </c>
      <c r="U3299" s="4">
        <f t="shared" si="4"/>
        <v>1523</v>
      </c>
    </row>
    <row r="3300" ht="15.75" customHeight="1">
      <c r="A3300" s="4" t="s">
        <v>4351</v>
      </c>
      <c r="B3300" s="4" t="s">
        <v>13</v>
      </c>
      <c r="I3300" s="4">
        <v>0.205</v>
      </c>
      <c r="J3300" s="4">
        <v>0.012</v>
      </c>
      <c r="K3300" s="6" t="b">
        <f t="shared" ref="K3300:M3300" si="3113">FALSE()</f>
        <v>0</v>
      </c>
      <c r="L3300" s="6" t="b">
        <f t="shared" si="3113"/>
        <v>0</v>
      </c>
      <c r="M3300" s="6" t="b">
        <f t="shared" si="3113"/>
        <v>0</v>
      </c>
      <c r="P3300" s="4">
        <v>0.186479566942618</v>
      </c>
      <c r="T3300" s="4" t="str">
        <f t="shared" si="3"/>
        <v/>
      </c>
      <c r="U3300" s="4">
        <f t="shared" si="4"/>
        <v>2494</v>
      </c>
    </row>
    <row r="3301" ht="15.75" customHeight="1">
      <c r="A3301" s="4" t="s">
        <v>4352</v>
      </c>
      <c r="B3301" s="4" t="s">
        <v>13</v>
      </c>
      <c r="I3301" s="4">
        <v>0.176</v>
      </c>
      <c r="J3301" s="4">
        <v>0.013</v>
      </c>
      <c r="K3301" s="6" t="b">
        <f t="shared" ref="K3301:M3301" si="3114">FALSE()</f>
        <v>0</v>
      </c>
      <c r="L3301" s="6" t="b">
        <f t="shared" si="3114"/>
        <v>0</v>
      </c>
      <c r="M3301" s="6" t="b">
        <f t="shared" si="3114"/>
        <v>0</v>
      </c>
      <c r="P3301" s="4">
        <v>0.162118849476435</v>
      </c>
      <c r="T3301" s="4" t="str">
        <f t="shared" si="3"/>
        <v/>
      </c>
      <c r="U3301" s="4">
        <f t="shared" si="4"/>
        <v>2959</v>
      </c>
    </row>
    <row r="3302" ht="15.75" customHeight="1">
      <c r="A3302" s="4" t="s">
        <v>4353</v>
      </c>
      <c r="B3302" s="4" t="s">
        <v>13</v>
      </c>
      <c r="I3302" s="4">
        <v>0.107</v>
      </c>
      <c r="J3302" s="4">
        <v>0.006</v>
      </c>
      <c r="K3302" s="6" t="b">
        <f t="shared" ref="K3302:M3302" si="3115">FALSE()</f>
        <v>0</v>
      </c>
      <c r="L3302" s="6" t="b">
        <f t="shared" si="3115"/>
        <v>0</v>
      </c>
      <c r="M3302" s="6" t="b">
        <f t="shared" si="3115"/>
        <v>0</v>
      </c>
      <c r="P3302" s="4">
        <v>0.1016536537265</v>
      </c>
      <c r="T3302" s="4" t="str">
        <f t="shared" si="3"/>
        <v/>
      </c>
      <c r="U3302" s="4">
        <f t="shared" si="4"/>
        <v>4101</v>
      </c>
    </row>
    <row r="3303" ht="15.75" customHeight="1">
      <c r="A3303" s="4" t="s">
        <v>4354</v>
      </c>
      <c r="B3303" s="4" t="s">
        <v>13</v>
      </c>
      <c r="I3303" s="4">
        <v>0.164</v>
      </c>
      <c r="J3303" s="4">
        <v>0.009</v>
      </c>
      <c r="K3303" s="6" t="b">
        <f t="shared" ref="K3303:M3303" si="3116">FALSE()</f>
        <v>0</v>
      </c>
      <c r="L3303" s="6" t="b">
        <f t="shared" si="3116"/>
        <v>0</v>
      </c>
      <c r="M3303" s="6" t="b">
        <f t="shared" si="3116"/>
        <v>0</v>
      </c>
      <c r="P3303" s="4">
        <v>0.151862349309246</v>
      </c>
      <c r="T3303" s="4" t="str">
        <f t="shared" si="3"/>
        <v/>
      </c>
      <c r="U3303" s="4">
        <f t="shared" si="4"/>
        <v>3125</v>
      </c>
    </row>
    <row r="3304" ht="15.75" customHeight="1">
      <c r="A3304" s="4" t="s">
        <v>4355</v>
      </c>
      <c r="B3304" s="4" t="s">
        <v>13</v>
      </c>
      <c r="I3304" s="4">
        <v>0.138</v>
      </c>
      <c r="J3304" s="4">
        <v>0.055</v>
      </c>
      <c r="K3304" s="6" t="b">
        <f t="shared" ref="K3304:M3304" si="3117">FALSE()</f>
        <v>0</v>
      </c>
      <c r="L3304" s="6" t="b">
        <f t="shared" si="3117"/>
        <v>0</v>
      </c>
      <c r="M3304" s="6" t="b">
        <f t="shared" si="3117"/>
        <v>0</v>
      </c>
      <c r="P3304" s="4">
        <v>0.129272335704139</v>
      </c>
      <c r="T3304" s="4" t="str">
        <f t="shared" si="3"/>
        <v/>
      </c>
      <c r="U3304" s="4">
        <f t="shared" si="4"/>
        <v>3547</v>
      </c>
    </row>
    <row r="3305" ht="15.75" customHeight="1">
      <c r="A3305" s="4" t="s">
        <v>4356</v>
      </c>
      <c r="B3305" s="4" t="s">
        <v>13</v>
      </c>
      <c r="I3305" s="4">
        <v>0.203</v>
      </c>
      <c r="J3305" s="4">
        <v>0.08</v>
      </c>
      <c r="K3305" s="6" t="b">
        <f t="shared" ref="K3305:M3305" si="3118">FALSE()</f>
        <v>0</v>
      </c>
      <c r="L3305" s="6" t="b">
        <f t="shared" si="3118"/>
        <v>0</v>
      </c>
      <c r="M3305" s="6" t="b">
        <f t="shared" si="3118"/>
        <v>0</v>
      </c>
      <c r="P3305" s="4">
        <v>0.184818436992542</v>
      </c>
      <c r="T3305" s="4" t="str">
        <f t="shared" si="3"/>
        <v/>
      </c>
      <c r="U3305" s="4">
        <f t="shared" si="4"/>
        <v>2529</v>
      </c>
    </row>
    <row r="3306" ht="15.75" customHeight="1">
      <c r="A3306" s="4" t="s">
        <v>4357</v>
      </c>
      <c r="B3306" s="4" t="s">
        <v>13</v>
      </c>
      <c r="I3306" s="4">
        <v>0.109</v>
      </c>
      <c r="J3306" s="4">
        <v>0.044</v>
      </c>
      <c r="K3306" s="6" t="b">
        <f t="shared" ref="K3306:M3306" si="3119">FALSE()</f>
        <v>0</v>
      </c>
      <c r="L3306" s="6" t="b">
        <f t="shared" si="3119"/>
        <v>0</v>
      </c>
      <c r="M3306" s="6" t="b">
        <f t="shared" si="3119"/>
        <v>0</v>
      </c>
      <c r="P3306" s="4">
        <v>0.10345870836823</v>
      </c>
      <c r="T3306" s="4" t="str">
        <f t="shared" si="3"/>
        <v/>
      </c>
      <c r="U3306" s="4">
        <f t="shared" si="4"/>
        <v>4063</v>
      </c>
    </row>
    <row r="3307" ht="15.75" customHeight="1">
      <c r="A3307" s="4" t="s">
        <v>4358</v>
      </c>
      <c r="B3307" s="4" t="s">
        <v>13</v>
      </c>
      <c r="I3307" s="4">
        <v>0.277</v>
      </c>
      <c r="J3307" s="4">
        <v>0.14</v>
      </c>
      <c r="K3307" s="6" t="b">
        <f t="shared" ref="K3307:M3307" si="3120">FALSE()</f>
        <v>0</v>
      </c>
      <c r="L3307" s="6" t="b">
        <f t="shared" si="3120"/>
        <v>0</v>
      </c>
      <c r="M3307" s="6" t="b">
        <f t="shared" si="3120"/>
        <v>0</v>
      </c>
      <c r="P3307" s="4">
        <v>0.244513577050402</v>
      </c>
      <c r="T3307" s="4" t="str">
        <f t="shared" si="3"/>
        <v/>
      </c>
      <c r="U3307" s="4">
        <f t="shared" si="4"/>
        <v>1531</v>
      </c>
    </row>
    <row r="3308" ht="15.75" customHeight="1">
      <c r="A3308" s="4" t="s">
        <v>4359</v>
      </c>
      <c r="B3308" s="4" t="s">
        <v>13</v>
      </c>
      <c r="I3308" s="4">
        <v>0.271</v>
      </c>
      <c r="J3308" s="4">
        <v>0.136</v>
      </c>
      <c r="K3308" s="6" t="b">
        <f t="shared" ref="K3308:M3308" si="3121">FALSE()</f>
        <v>0</v>
      </c>
      <c r="L3308" s="6" t="b">
        <f t="shared" si="3121"/>
        <v>0</v>
      </c>
      <c r="M3308" s="6" t="b">
        <f t="shared" si="3121"/>
        <v>0</v>
      </c>
      <c r="P3308" s="4">
        <v>0.239803992207317</v>
      </c>
      <c r="T3308" s="4" t="str">
        <f t="shared" si="3"/>
        <v/>
      </c>
      <c r="U3308" s="4">
        <f t="shared" si="4"/>
        <v>1580</v>
      </c>
    </row>
    <row r="3309" ht="15.75" customHeight="1">
      <c r="A3309" s="4" t="s">
        <v>4360</v>
      </c>
      <c r="B3309" s="4" t="s">
        <v>13</v>
      </c>
      <c r="I3309" s="4">
        <v>0.136</v>
      </c>
      <c r="J3309" s="4">
        <v>0.063</v>
      </c>
      <c r="K3309" s="6" t="b">
        <f t="shared" ref="K3309:M3309" si="3122">FALSE()</f>
        <v>0</v>
      </c>
      <c r="L3309" s="6" t="b">
        <f t="shared" si="3122"/>
        <v>0</v>
      </c>
      <c r="M3309" s="6" t="b">
        <f t="shared" si="3122"/>
        <v>0</v>
      </c>
      <c r="P3309" s="4">
        <v>0.12751332029896</v>
      </c>
      <c r="T3309" s="4" t="str">
        <f t="shared" si="3"/>
        <v/>
      </c>
      <c r="U3309" s="4">
        <f t="shared" si="4"/>
        <v>3585</v>
      </c>
    </row>
    <row r="3310" ht="15.75" customHeight="1">
      <c r="A3310" s="4" t="s">
        <v>4361</v>
      </c>
      <c r="B3310" s="4" t="s">
        <v>13</v>
      </c>
      <c r="I3310" s="4">
        <v>0.241</v>
      </c>
      <c r="J3310" s="4">
        <v>0.111</v>
      </c>
      <c r="K3310" s="6" t="b">
        <f t="shared" ref="K3310:M3310" si="3123">FALSE()</f>
        <v>0</v>
      </c>
      <c r="L3310" s="6" t="b">
        <f t="shared" si="3123"/>
        <v>0</v>
      </c>
      <c r="M3310" s="6" t="b">
        <f t="shared" si="3123"/>
        <v>0</v>
      </c>
      <c r="P3310" s="4">
        <v>0.21591750622247</v>
      </c>
      <c r="T3310" s="4" t="str">
        <f t="shared" si="3"/>
        <v/>
      </c>
      <c r="U3310" s="4">
        <f t="shared" si="4"/>
        <v>1933</v>
      </c>
    </row>
    <row r="3311" ht="15.75" customHeight="1">
      <c r="A3311" s="4" t="s">
        <v>4362</v>
      </c>
      <c r="B3311" s="4" t="s">
        <v>13</v>
      </c>
      <c r="I3311" s="4">
        <v>0.36</v>
      </c>
      <c r="J3311" s="4">
        <v>0.165</v>
      </c>
      <c r="K3311" s="6" t="b">
        <f t="shared" ref="K3311:M3311" si="3124">FALSE()</f>
        <v>0</v>
      </c>
      <c r="L3311" s="6" t="b">
        <f t="shared" si="3124"/>
        <v>0</v>
      </c>
      <c r="M3311" s="6" t="b">
        <f t="shared" si="3124"/>
        <v>0</v>
      </c>
      <c r="P3311" s="4">
        <v>0.307484699747961</v>
      </c>
      <c r="T3311" s="4" t="str">
        <f t="shared" si="3"/>
        <v/>
      </c>
      <c r="U3311" s="4">
        <f t="shared" si="4"/>
        <v>1184</v>
      </c>
    </row>
    <row r="3312" ht="15.75" customHeight="1">
      <c r="A3312" s="4" t="s">
        <v>4363</v>
      </c>
      <c r="B3312" s="4" t="s">
        <v>13</v>
      </c>
      <c r="I3312" s="4">
        <v>0.196</v>
      </c>
      <c r="J3312" s="4">
        <v>0.07</v>
      </c>
      <c r="K3312" s="6" t="b">
        <f t="shared" ref="K3312:M3312" si="3125">FALSE()</f>
        <v>0</v>
      </c>
      <c r="L3312" s="6" t="b">
        <f t="shared" si="3125"/>
        <v>0</v>
      </c>
      <c r="M3312" s="6" t="b">
        <f t="shared" si="3125"/>
        <v>0</v>
      </c>
      <c r="P3312" s="4">
        <v>0.17898265552844</v>
      </c>
      <c r="T3312" s="4" t="str">
        <f t="shared" si="3"/>
        <v/>
      </c>
      <c r="U3312" s="4">
        <f t="shared" si="4"/>
        <v>2653</v>
      </c>
    </row>
    <row r="3313" ht="15.75" customHeight="1">
      <c r="A3313" s="4" t="s">
        <v>4364</v>
      </c>
      <c r="B3313" s="4" t="s">
        <v>13</v>
      </c>
      <c r="I3313" s="4">
        <v>0.439</v>
      </c>
      <c r="J3313" s="4">
        <v>0.155</v>
      </c>
      <c r="K3313" s="6" t="b">
        <f t="shared" ref="K3313:M3313" si="3126">FALSE()</f>
        <v>0</v>
      </c>
      <c r="L3313" s="6" t="b">
        <f t="shared" si="3126"/>
        <v>0</v>
      </c>
      <c r="M3313" s="6" t="b">
        <f t="shared" si="3126"/>
        <v>0</v>
      </c>
      <c r="P3313" s="4">
        <v>0.363948427905231</v>
      </c>
      <c r="T3313" s="4" t="str">
        <f t="shared" si="3"/>
        <v/>
      </c>
      <c r="U3313" s="4">
        <f t="shared" si="4"/>
        <v>1068</v>
      </c>
    </row>
    <row r="3314" ht="15.75" customHeight="1">
      <c r="A3314" s="4" t="s">
        <v>4365</v>
      </c>
      <c r="B3314" s="4" t="s">
        <v>13</v>
      </c>
      <c r="I3314" s="4">
        <v>0.343</v>
      </c>
      <c r="J3314" s="4">
        <v>0.123</v>
      </c>
      <c r="K3314" s="6" t="b">
        <f t="shared" ref="K3314:M3314" si="3127">FALSE()</f>
        <v>0</v>
      </c>
      <c r="L3314" s="6" t="b">
        <f t="shared" si="3127"/>
        <v>0</v>
      </c>
      <c r="M3314" s="6" t="b">
        <f t="shared" si="3127"/>
        <v>0</v>
      </c>
      <c r="P3314" s="4">
        <v>0.294905917541101</v>
      </c>
      <c r="T3314" s="4" t="str">
        <f t="shared" si="3"/>
        <v/>
      </c>
      <c r="U3314" s="4">
        <f t="shared" si="4"/>
        <v>1230</v>
      </c>
    </row>
    <row r="3315" ht="15.75" customHeight="1">
      <c r="A3315" s="4" t="s">
        <v>832</v>
      </c>
      <c r="B3315" s="4" t="s">
        <v>13</v>
      </c>
      <c r="C3315" s="4">
        <v>0.0286</v>
      </c>
      <c r="I3315" s="4">
        <v>0.187</v>
      </c>
      <c r="J3315" s="4">
        <v>0.0107</v>
      </c>
      <c r="K3315" s="6" t="b">
        <f t="shared" ref="K3315:M3315" si="3128">FALSE()</f>
        <v>0</v>
      </c>
      <c r="L3315" s="6" t="b">
        <f t="shared" si="3128"/>
        <v>0</v>
      </c>
      <c r="M3315" s="6" t="b">
        <f t="shared" si="3128"/>
        <v>0</v>
      </c>
      <c r="N3315" s="4">
        <v>0.0281986543586787</v>
      </c>
      <c r="P3315" s="4">
        <v>0.171429115627531</v>
      </c>
      <c r="T3315" s="4">
        <f t="shared" si="3"/>
        <v>1574</v>
      </c>
      <c r="U3315" s="4">
        <f t="shared" si="4"/>
        <v>2787</v>
      </c>
    </row>
    <row r="3316" ht="15.75" customHeight="1">
      <c r="A3316" s="4" t="s">
        <v>4366</v>
      </c>
      <c r="B3316" s="4" t="s">
        <v>13</v>
      </c>
      <c r="I3316" s="4">
        <v>0.38</v>
      </c>
      <c r="J3316" s="4">
        <v>0.194</v>
      </c>
      <c r="K3316" s="6" t="b">
        <f t="shared" ref="K3316:M3316" si="3129">FALSE()</f>
        <v>0</v>
      </c>
      <c r="L3316" s="6" t="b">
        <f t="shared" si="3129"/>
        <v>0</v>
      </c>
      <c r="M3316" s="6" t="b">
        <f t="shared" si="3129"/>
        <v>0</v>
      </c>
      <c r="P3316" s="4">
        <v>0.322083499169113</v>
      </c>
      <c r="T3316" s="4" t="str">
        <f t="shared" si="3"/>
        <v/>
      </c>
      <c r="U3316" s="4">
        <f t="shared" si="4"/>
        <v>1149</v>
      </c>
    </row>
    <row r="3317" ht="15.75" customHeight="1">
      <c r="A3317" s="4" t="s">
        <v>4367</v>
      </c>
      <c r="B3317" s="4" t="s">
        <v>13</v>
      </c>
      <c r="I3317" s="4">
        <v>0.182</v>
      </c>
      <c r="J3317" s="4">
        <v>0.093</v>
      </c>
      <c r="K3317" s="6" t="b">
        <f t="shared" ref="K3317:M3317" si="3130">FALSE()</f>
        <v>0</v>
      </c>
      <c r="L3317" s="6" t="b">
        <f t="shared" si="3130"/>
        <v>0</v>
      </c>
      <c r="M3317" s="6" t="b">
        <f t="shared" si="3130"/>
        <v>0</v>
      </c>
      <c r="P3317" s="4">
        <v>0.167207918983906</v>
      </c>
      <c r="T3317" s="4" t="str">
        <f t="shared" si="3"/>
        <v/>
      </c>
      <c r="U3317" s="4">
        <f t="shared" si="4"/>
        <v>2866</v>
      </c>
    </row>
    <row r="3318" ht="15.75" customHeight="1">
      <c r="A3318" s="4" t="s">
        <v>4368</v>
      </c>
      <c r="B3318" s="4" t="s">
        <v>13</v>
      </c>
      <c r="I3318" s="4">
        <v>0.154</v>
      </c>
      <c r="J3318" s="4">
        <v>0.011</v>
      </c>
      <c r="K3318" s="6" t="b">
        <f t="shared" ref="K3318:M3318" si="3131">FALSE()</f>
        <v>0</v>
      </c>
      <c r="L3318" s="6" t="b">
        <f t="shared" si="3131"/>
        <v>0</v>
      </c>
      <c r="M3318" s="6" t="b">
        <f t="shared" si="3131"/>
        <v>0</v>
      </c>
      <c r="P3318" s="4">
        <v>0.143234168085908</v>
      </c>
      <c r="T3318" s="4" t="str">
        <f t="shared" si="3"/>
        <v/>
      </c>
      <c r="U3318" s="4">
        <f t="shared" si="4"/>
        <v>3262</v>
      </c>
    </row>
    <row r="3319" ht="15.75" customHeight="1">
      <c r="A3319" s="4" t="s">
        <v>4369</v>
      </c>
      <c r="B3319" s="4" t="s">
        <v>13</v>
      </c>
      <c r="I3319" s="4">
        <v>0.172</v>
      </c>
      <c r="J3319" s="4">
        <v>0.017</v>
      </c>
      <c r="K3319" s="6" t="b">
        <f t="shared" ref="K3319:M3319" si="3132">FALSE()</f>
        <v>0</v>
      </c>
      <c r="L3319" s="6" t="b">
        <f t="shared" si="3132"/>
        <v>0</v>
      </c>
      <c r="M3319" s="6" t="b">
        <f t="shared" si="3132"/>
        <v>0</v>
      </c>
      <c r="P3319" s="4">
        <v>0.158711691154821</v>
      </c>
      <c r="T3319" s="4" t="str">
        <f t="shared" si="3"/>
        <v/>
      </c>
      <c r="U3319" s="4">
        <f t="shared" si="4"/>
        <v>3017</v>
      </c>
    </row>
    <row r="3320" ht="15.75" customHeight="1">
      <c r="A3320" s="4" t="s">
        <v>4370</v>
      </c>
      <c r="B3320" s="4" t="s">
        <v>13</v>
      </c>
      <c r="I3320" s="4">
        <v>0.275</v>
      </c>
      <c r="J3320" s="4">
        <v>0.131</v>
      </c>
      <c r="K3320" s="6" t="b">
        <f t="shared" ref="K3320:M3320" si="3133">FALSE()</f>
        <v>0</v>
      </c>
      <c r="L3320" s="6" t="b">
        <f t="shared" si="3133"/>
        <v>0</v>
      </c>
      <c r="M3320" s="6" t="b">
        <f t="shared" si="3133"/>
        <v>0</v>
      </c>
      <c r="P3320" s="4">
        <v>0.242946178610389</v>
      </c>
      <c r="T3320" s="4" t="str">
        <f t="shared" si="3"/>
        <v/>
      </c>
      <c r="U3320" s="4">
        <f t="shared" si="4"/>
        <v>1542</v>
      </c>
    </row>
    <row r="3321" ht="15.75" customHeight="1">
      <c r="A3321" s="4" t="s">
        <v>4371</v>
      </c>
      <c r="B3321" s="4" t="s">
        <v>13</v>
      </c>
      <c r="I3321" s="4">
        <v>0.342</v>
      </c>
      <c r="J3321" s="4">
        <v>0.166</v>
      </c>
      <c r="K3321" s="6" t="b">
        <f t="shared" ref="K3321:M3321" si="3134">FALSE()</f>
        <v>0</v>
      </c>
      <c r="L3321" s="6" t="b">
        <f t="shared" si="3134"/>
        <v>0</v>
      </c>
      <c r="M3321" s="6" t="b">
        <f t="shared" si="3134"/>
        <v>0</v>
      </c>
      <c r="P3321" s="4">
        <v>0.29416103854949</v>
      </c>
      <c r="T3321" s="4" t="str">
        <f t="shared" si="3"/>
        <v/>
      </c>
      <c r="U3321" s="4">
        <f t="shared" si="4"/>
        <v>1231</v>
      </c>
    </row>
    <row r="3322" ht="15.75" customHeight="1">
      <c r="A3322" s="4" t="s">
        <v>4372</v>
      </c>
      <c r="B3322" s="4" t="s">
        <v>13</v>
      </c>
      <c r="I3322" s="4">
        <v>0.217</v>
      </c>
      <c r="J3322" s="4">
        <v>0.059</v>
      </c>
      <c r="K3322" s="6" t="b">
        <f t="shared" ref="K3322:M3322" si="3135">FALSE()</f>
        <v>0</v>
      </c>
      <c r="L3322" s="6" t="b">
        <f t="shared" si="3135"/>
        <v>0</v>
      </c>
      <c r="M3322" s="6" t="b">
        <f t="shared" si="3135"/>
        <v>0</v>
      </c>
      <c r="P3322" s="4">
        <v>0.19638881400539</v>
      </c>
      <c r="T3322" s="4" t="str">
        <f t="shared" si="3"/>
        <v/>
      </c>
      <c r="U3322" s="4">
        <f t="shared" si="4"/>
        <v>2304</v>
      </c>
    </row>
    <row r="3323" ht="15.75" customHeight="1">
      <c r="A3323" s="4" t="s">
        <v>4373</v>
      </c>
      <c r="B3323" s="4" t="s">
        <v>13</v>
      </c>
      <c r="I3323" s="4">
        <v>0.242</v>
      </c>
      <c r="J3323" s="4">
        <v>0.07</v>
      </c>
      <c r="K3323" s="6" t="b">
        <f t="shared" ref="K3323:M3323" si="3136">FALSE()</f>
        <v>0</v>
      </c>
      <c r="L3323" s="6" t="b">
        <f t="shared" si="3136"/>
        <v>0</v>
      </c>
      <c r="M3323" s="6" t="b">
        <f t="shared" si="3136"/>
        <v>0</v>
      </c>
      <c r="P3323" s="4">
        <v>0.216722983511287</v>
      </c>
      <c r="T3323" s="4" t="str">
        <f t="shared" si="3"/>
        <v/>
      </c>
      <c r="U3323" s="4">
        <f t="shared" si="4"/>
        <v>1914</v>
      </c>
    </row>
    <row r="3324" ht="15.75" customHeight="1">
      <c r="A3324" s="4" t="s">
        <v>4374</v>
      </c>
      <c r="B3324" s="4" t="s">
        <v>13</v>
      </c>
      <c r="I3324" s="4">
        <v>0.33</v>
      </c>
      <c r="J3324" s="4">
        <v>0.148</v>
      </c>
      <c r="K3324" s="6" t="b">
        <f t="shared" ref="K3324:M3324" si="3137">FALSE()</f>
        <v>0</v>
      </c>
      <c r="L3324" s="6" t="b">
        <f t="shared" si="3137"/>
        <v>0</v>
      </c>
      <c r="M3324" s="6" t="b">
        <f t="shared" si="3137"/>
        <v>0</v>
      </c>
      <c r="P3324" s="4">
        <v>0.285178942233662</v>
      </c>
      <c r="T3324" s="4" t="str">
        <f t="shared" si="3"/>
        <v/>
      </c>
      <c r="U3324" s="4">
        <f t="shared" si="4"/>
        <v>1259</v>
      </c>
    </row>
    <row r="3325" ht="15.75" customHeight="1">
      <c r="A3325" s="4" t="s">
        <v>4375</v>
      </c>
      <c r="B3325" s="4" t="s">
        <v>13</v>
      </c>
      <c r="I3325" s="4">
        <v>0.313</v>
      </c>
      <c r="J3325" s="4">
        <v>0.139</v>
      </c>
      <c r="K3325" s="6" t="b">
        <f t="shared" ref="K3325:M3325" si="3138">FALSE()</f>
        <v>0</v>
      </c>
      <c r="L3325" s="6" t="b">
        <f t="shared" si="3138"/>
        <v>0</v>
      </c>
      <c r="M3325" s="6" t="b">
        <f t="shared" si="3138"/>
        <v>0</v>
      </c>
      <c r="P3325" s="4">
        <v>0.272314595320659</v>
      </c>
      <c r="T3325" s="4" t="str">
        <f t="shared" si="3"/>
        <v/>
      </c>
      <c r="U3325" s="4">
        <f t="shared" si="4"/>
        <v>1330</v>
      </c>
    </row>
    <row r="3326" ht="15.75" customHeight="1">
      <c r="A3326" s="4" t="s">
        <v>4376</v>
      </c>
      <c r="B3326" s="4" t="s">
        <v>13</v>
      </c>
      <c r="I3326" s="4">
        <v>0.199</v>
      </c>
      <c r="J3326" s="4">
        <v>0.009</v>
      </c>
      <c r="K3326" s="6" t="b">
        <f t="shared" ref="K3326:M3326" si="3139">FALSE()</f>
        <v>0</v>
      </c>
      <c r="L3326" s="6" t="b">
        <f t="shared" si="3139"/>
        <v>0</v>
      </c>
      <c r="M3326" s="6" t="b">
        <f t="shared" si="3139"/>
        <v>0</v>
      </c>
      <c r="P3326" s="4">
        <v>0.181487876045377</v>
      </c>
      <c r="T3326" s="4" t="str">
        <f t="shared" si="3"/>
        <v/>
      </c>
      <c r="U3326" s="4">
        <f t="shared" si="4"/>
        <v>2601</v>
      </c>
    </row>
    <row r="3327" ht="15.75" customHeight="1">
      <c r="A3327" s="4" t="s">
        <v>4377</v>
      </c>
      <c r="B3327" s="4" t="s">
        <v>13</v>
      </c>
      <c r="I3327" s="4">
        <v>0.114</v>
      </c>
      <c r="J3327" s="4">
        <v>0.007</v>
      </c>
      <c r="K3327" s="6" t="b">
        <f t="shared" ref="K3327:M3327" si="3140">FALSE()</f>
        <v>0</v>
      </c>
      <c r="L3327" s="6" t="b">
        <f t="shared" si="3140"/>
        <v>0</v>
      </c>
      <c r="M3327" s="6" t="b">
        <f t="shared" si="3140"/>
        <v>0</v>
      </c>
      <c r="P3327" s="4">
        <v>0.107957141505092</v>
      </c>
      <c r="T3327" s="4" t="str">
        <f t="shared" si="3"/>
        <v/>
      </c>
      <c r="U3327" s="4">
        <f t="shared" si="4"/>
        <v>3985</v>
      </c>
    </row>
    <row r="3328" ht="15.75" customHeight="1">
      <c r="A3328" s="4" t="s">
        <v>4378</v>
      </c>
      <c r="B3328" s="4" t="s">
        <v>13</v>
      </c>
      <c r="I3328" s="4">
        <v>0.183</v>
      </c>
      <c r="J3328" s="4">
        <v>0.009</v>
      </c>
      <c r="K3328" s="6" t="b">
        <f t="shared" ref="K3328:M3328" si="3141">FALSE()</f>
        <v>0</v>
      </c>
      <c r="L3328" s="6" t="b">
        <f t="shared" si="3141"/>
        <v>0</v>
      </c>
      <c r="M3328" s="6" t="b">
        <f t="shared" si="3141"/>
        <v>0</v>
      </c>
      <c r="P3328" s="4">
        <v>0.16805358499625</v>
      </c>
      <c r="T3328" s="4" t="str">
        <f t="shared" si="3"/>
        <v/>
      </c>
      <c r="U3328" s="4">
        <f t="shared" si="4"/>
        <v>2851</v>
      </c>
    </row>
    <row r="3329" ht="15.75" customHeight="1">
      <c r="A3329" s="4" t="s">
        <v>4379</v>
      </c>
      <c r="B3329" s="4" t="s">
        <v>13</v>
      </c>
      <c r="I3329" s="4">
        <v>0.198</v>
      </c>
      <c r="J3329" s="4">
        <v>0.026</v>
      </c>
      <c r="K3329" s="6" t="b">
        <f t="shared" ref="K3329:M3329" si="3142">FALSE()</f>
        <v>0</v>
      </c>
      <c r="L3329" s="6" t="b">
        <f t="shared" si="3142"/>
        <v>0</v>
      </c>
      <c r="M3329" s="6" t="b">
        <f t="shared" si="3142"/>
        <v>0</v>
      </c>
      <c r="P3329" s="4">
        <v>0.180653499693258</v>
      </c>
      <c r="T3329" s="4" t="str">
        <f t="shared" si="3"/>
        <v/>
      </c>
      <c r="U3329" s="4">
        <f t="shared" si="4"/>
        <v>2622</v>
      </c>
    </row>
    <row r="3330" ht="15.75" customHeight="1">
      <c r="A3330" s="4" t="s">
        <v>4380</v>
      </c>
      <c r="B3330" s="4" t="s">
        <v>13</v>
      </c>
      <c r="I3330" s="4">
        <v>0.14</v>
      </c>
      <c r="J3330" s="4">
        <v>0.011</v>
      </c>
      <c r="K3330" s="6" t="b">
        <f t="shared" ref="K3330:M3330" si="3143">FALSE()</f>
        <v>0</v>
      </c>
      <c r="L3330" s="6" t="b">
        <f t="shared" si="3143"/>
        <v>0</v>
      </c>
      <c r="M3330" s="6" t="b">
        <f t="shared" si="3143"/>
        <v>0</v>
      </c>
      <c r="P3330" s="4">
        <v>0.131028262406404</v>
      </c>
      <c r="T3330" s="4" t="str">
        <f t="shared" si="3"/>
        <v/>
      </c>
      <c r="U3330" s="4">
        <f t="shared" si="4"/>
        <v>3506</v>
      </c>
    </row>
    <row r="3331" ht="15.75" customHeight="1">
      <c r="A3331" s="4" t="s">
        <v>4381</v>
      </c>
      <c r="B3331" s="4" t="s">
        <v>13</v>
      </c>
      <c r="I3331" s="4">
        <v>0.178</v>
      </c>
      <c r="J3331" s="4">
        <v>0.015</v>
      </c>
      <c r="K3331" s="6" t="b">
        <f t="shared" ref="K3331:M3331" si="3144">FALSE()</f>
        <v>0</v>
      </c>
      <c r="L3331" s="6" t="b">
        <f t="shared" si="3144"/>
        <v>0</v>
      </c>
      <c r="M3331" s="6" t="b">
        <f t="shared" si="3144"/>
        <v>0</v>
      </c>
      <c r="P3331" s="4">
        <v>0.163818085229395</v>
      </c>
      <c r="T3331" s="4" t="str">
        <f t="shared" si="3"/>
        <v/>
      </c>
      <c r="U3331" s="4">
        <f t="shared" si="4"/>
        <v>2922</v>
      </c>
    </row>
    <row r="3332" ht="15.75" customHeight="1">
      <c r="A3332" s="4" t="s">
        <v>4382</v>
      </c>
      <c r="B3332" s="4" t="s">
        <v>13</v>
      </c>
      <c r="I3332" s="4">
        <v>0.126</v>
      </c>
      <c r="J3332" s="4">
        <v>0.067</v>
      </c>
      <c r="K3332" s="6" t="b">
        <f t="shared" ref="K3332:M3332" si="3145">FALSE()</f>
        <v>0</v>
      </c>
      <c r="L3332" s="6" t="b">
        <f t="shared" si="3145"/>
        <v>0</v>
      </c>
      <c r="M3332" s="6" t="b">
        <f t="shared" si="3145"/>
        <v>0</v>
      </c>
      <c r="P3332" s="4">
        <v>0.118671529717499</v>
      </c>
      <c r="T3332" s="4" t="str">
        <f t="shared" si="3"/>
        <v/>
      </c>
      <c r="U3332" s="4">
        <f t="shared" si="4"/>
        <v>3769</v>
      </c>
    </row>
    <row r="3333" ht="15.75" customHeight="1">
      <c r="A3333" s="4" t="s">
        <v>4383</v>
      </c>
      <c r="B3333" s="4" t="s">
        <v>13</v>
      </c>
      <c r="I3333" s="4">
        <v>0.186</v>
      </c>
      <c r="J3333" s="4">
        <v>0.098</v>
      </c>
      <c r="K3333" s="6" t="b">
        <f t="shared" ref="K3333:M3333" si="3146">FALSE()</f>
        <v>0</v>
      </c>
      <c r="L3333" s="6" t="b">
        <f t="shared" si="3146"/>
        <v>0</v>
      </c>
      <c r="M3333" s="6" t="b">
        <f t="shared" si="3146"/>
        <v>0</v>
      </c>
      <c r="P3333" s="4">
        <v>0.170586300575534</v>
      </c>
      <c r="T3333" s="4" t="str">
        <f t="shared" si="3"/>
        <v/>
      </c>
      <c r="U3333" s="4">
        <f t="shared" si="4"/>
        <v>2805</v>
      </c>
    </row>
    <row r="3334" ht="15.75" customHeight="1">
      <c r="A3334" s="4" t="s">
        <v>4384</v>
      </c>
      <c r="B3334" s="4" t="s">
        <v>13</v>
      </c>
      <c r="I3334" s="4">
        <v>0.154</v>
      </c>
      <c r="J3334" s="4">
        <v>0.036</v>
      </c>
      <c r="K3334" s="6" t="b">
        <f t="shared" ref="K3334:M3334" si="3147">FALSE()</f>
        <v>0</v>
      </c>
      <c r="L3334" s="6" t="b">
        <f t="shared" si="3147"/>
        <v>0</v>
      </c>
      <c r="M3334" s="6" t="b">
        <f t="shared" si="3147"/>
        <v>0</v>
      </c>
      <c r="P3334" s="4">
        <v>0.143234168085908</v>
      </c>
      <c r="T3334" s="4" t="str">
        <f t="shared" si="3"/>
        <v/>
      </c>
      <c r="U3334" s="4">
        <f t="shared" si="4"/>
        <v>3263</v>
      </c>
    </row>
    <row r="3335" ht="15.75" customHeight="1">
      <c r="A3335" s="4" t="s">
        <v>4385</v>
      </c>
      <c r="B3335" s="4" t="s">
        <v>13</v>
      </c>
      <c r="I3335" s="4">
        <v>0.213</v>
      </c>
      <c r="J3335" s="4">
        <v>0.04</v>
      </c>
      <c r="K3335" s="6" t="b">
        <f t="shared" ref="K3335:M3335" si="3148">FALSE()</f>
        <v>0</v>
      </c>
      <c r="L3335" s="6" t="b">
        <f t="shared" si="3148"/>
        <v>0</v>
      </c>
      <c r="M3335" s="6" t="b">
        <f t="shared" si="3148"/>
        <v>0</v>
      </c>
      <c r="P3335" s="4">
        <v>0.193096629961913</v>
      </c>
      <c r="T3335" s="4" t="str">
        <f t="shared" si="3"/>
        <v/>
      </c>
      <c r="U3335" s="4">
        <f t="shared" si="4"/>
        <v>2361</v>
      </c>
    </row>
    <row r="3336" ht="15.75" customHeight="1">
      <c r="A3336" s="4" t="s">
        <v>4386</v>
      </c>
      <c r="B3336" s="4" t="s">
        <v>13</v>
      </c>
      <c r="I3336" s="4">
        <v>0.274</v>
      </c>
      <c r="J3336" s="4">
        <v>0.051</v>
      </c>
      <c r="K3336" s="6" t="b">
        <f t="shared" ref="K3336:M3336" si="3149">FALSE()</f>
        <v>0</v>
      </c>
      <c r="L3336" s="6" t="b">
        <f t="shared" si="3149"/>
        <v>0</v>
      </c>
      <c r="M3336" s="6" t="b">
        <f t="shared" si="3149"/>
        <v>0</v>
      </c>
      <c r="P3336" s="4">
        <v>0.242161557149972</v>
      </c>
      <c r="T3336" s="4" t="str">
        <f t="shared" si="3"/>
        <v/>
      </c>
      <c r="U3336" s="4">
        <f t="shared" si="4"/>
        <v>1552</v>
      </c>
    </row>
    <row r="3337" ht="15.75" customHeight="1">
      <c r="A3337" s="4" t="s">
        <v>833</v>
      </c>
      <c r="B3337" s="4" t="s">
        <v>13</v>
      </c>
      <c r="C3337" s="4">
        <v>0.534</v>
      </c>
      <c r="D3337" s="4">
        <v>0.217</v>
      </c>
      <c r="E3337" s="4">
        <v>0.226</v>
      </c>
      <c r="I3337" s="4">
        <v>0.5</v>
      </c>
      <c r="J3337" s="4">
        <v>0.041</v>
      </c>
      <c r="K3337" s="6" t="b">
        <f t="shared" ref="K3337:M3337" si="3150">FALSE()</f>
        <v>0</v>
      </c>
      <c r="L3337" s="6" t="b">
        <f t="shared" si="3150"/>
        <v>0</v>
      </c>
      <c r="M3337" s="6" t="b">
        <f t="shared" si="3150"/>
        <v>0</v>
      </c>
      <c r="N3337" s="4">
        <v>0.427878702945064</v>
      </c>
      <c r="P3337" s="4">
        <v>0.405465108108164</v>
      </c>
      <c r="T3337" s="4">
        <f t="shared" si="3"/>
        <v>931</v>
      </c>
      <c r="U3337" s="4">
        <f t="shared" si="4"/>
        <v>1015</v>
      </c>
    </row>
    <row r="3338" ht="15.75" customHeight="1">
      <c r="A3338" s="4" t="s">
        <v>835</v>
      </c>
      <c r="B3338" s="4" t="s">
        <v>13</v>
      </c>
      <c r="C3338" s="4">
        <v>0.042</v>
      </c>
      <c r="D3338" s="4">
        <v>0.008</v>
      </c>
      <c r="E3338" s="4">
        <v>0.009</v>
      </c>
      <c r="I3338" s="4">
        <v>0.178</v>
      </c>
      <c r="J3338" s="4">
        <v>0.015</v>
      </c>
      <c r="K3338" s="6" t="b">
        <f t="shared" ref="K3338:M3338" si="3151">FALSE()</f>
        <v>0</v>
      </c>
      <c r="L3338" s="6" t="b">
        <f t="shared" si="3151"/>
        <v>0</v>
      </c>
      <c r="M3338" s="6" t="b">
        <f t="shared" si="3151"/>
        <v>0</v>
      </c>
      <c r="N3338" s="4">
        <v>0.0411419433311751</v>
      </c>
      <c r="P3338" s="4">
        <v>0.163818085229395</v>
      </c>
      <c r="T3338" s="4">
        <f t="shared" si="3"/>
        <v>1443</v>
      </c>
      <c r="U3338" s="4">
        <f t="shared" si="4"/>
        <v>2923</v>
      </c>
    </row>
    <row r="3339" ht="15.75" customHeight="1">
      <c r="A3339" s="4" t="s">
        <v>4387</v>
      </c>
      <c r="B3339" s="4" t="s">
        <v>13</v>
      </c>
      <c r="I3339" s="4">
        <v>0.208</v>
      </c>
      <c r="J3339" s="4">
        <v>0.013</v>
      </c>
      <c r="K3339" s="6" t="b">
        <f t="shared" ref="K3339:M3339" si="3152">FALSE()</f>
        <v>0</v>
      </c>
      <c r="L3339" s="6" t="b">
        <f t="shared" si="3152"/>
        <v>0</v>
      </c>
      <c r="M3339" s="6" t="b">
        <f t="shared" si="3152"/>
        <v>0</v>
      </c>
      <c r="P3339" s="4">
        <v>0.188966099512623</v>
      </c>
      <c r="T3339" s="4" t="str">
        <f t="shared" si="3"/>
        <v/>
      </c>
      <c r="U3339" s="4">
        <f t="shared" si="4"/>
        <v>2447</v>
      </c>
    </row>
    <row r="3340" ht="15.75" customHeight="1">
      <c r="A3340" s="4" t="s">
        <v>4388</v>
      </c>
      <c r="B3340" s="4" t="s">
        <v>13</v>
      </c>
      <c r="I3340" s="4">
        <v>0.224</v>
      </c>
      <c r="J3340" s="4">
        <v>0.037</v>
      </c>
      <c r="K3340" s="6" t="b">
        <f t="shared" ref="K3340:M3340" si="3153">FALSE()</f>
        <v>0</v>
      </c>
      <c r="L3340" s="6" t="b">
        <f t="shared" si="3153"/>
        <v>0</v>
      </c>
      <c r="M3340" s="6" t="b">
        <f t="shared" si="3153"/>
        <v>0</v>
      </c>
      <c r="P3340" s="4">
        <v>0.202124184090134</v>
      </c>
      <c r="T3340" s="4" t="str">
        <f t="shared" si="3"/>
        <v/>
      </c>
      <c r="U3340" s="4">
        <f t="shared" si="4"/>
        <v>2198</v>
      </c>
    </row>
    <row r="3341" ht="15.75" customHeight="1">
      <c r="A3341" s="4" t="s">
        <v>836</v>
      </c>
      <c r="B3341" s="4" t="s">
        <v>13</v>
      </c>
      <c r="C3341" s="4">
        <v>0.8</v>
      </c>
      <c r="D3341" s="4">
        <v>0.75</v>
      </c>
      <c r="E3341" s="4">
        <v>0.0</v>
      </c>
      <c r="I3341" s="4">
        <v>0.17</v>
      </c>
      <c r="K3341" s="6" t="b">
        <f t="shared" ref="K3341:M3341" si="3154">FALSE()</f>
        <v>0</v>
      </c>
      <c r="L3341" s="6" t="b">
        <f t="shared" si="3154"/>
        <v>0</v>
      </c>
      <c r="M3341" s="6" t="b">
        <f t="shared" si="3154"/>
        <v>0</v>
      </c>
      <c r="N3341" s="4">
        <v>0.587786664902119</v>
      </c>
      <c r="P3341" s="4">
        <v>0.157003748809665</v>
      </c>
      <c r="T3341" s="4">
        <f t="shared" si="3"/>
        <v>767</v>
      </c>
      <c r="U3341" s="4">
        <f t="shared" si="4"/>
        <v>3048</v>
      </c>
    </row>
    <row r="3342" ht="15.75" customHeight="1">
      <c r="A3342" s="4" t="s">
        <v>837</v>
      </c>
      <c r="B3342" s="4" t="s">
        <v>13</v>
      </c>
      <c r="C3342" s="4">
        <v>2.7</v>
      </c>
      <c r="D3342" s="4">
        <v>2.6</v>
      </c>
      <c r="E3342" s="4">
        <v>0.0</v>
      </c>
      <c r="I3342" s="4">
        <v>0.285</v>
      </c>
      <c r="K3342" s="6" t="b">
        <f t="shared" ref="K3342:M3342" si="3155">FALSE()</f>
        <v>0</v>
      </c>
      <c r="L3342" s="6" t="b">
        <f t="shared" si="3155"/>
        <v>0</v>
      </c>
      <c r="M3342" s="6" t="b">
        <f t="shared" si="3155"/>
        <v>0</v>
      </c>
      <c r="N3342" s="4">
        <v>1.30833281965018</v>
      </c>
      <c r="P3342" s="4">
        <v>0.250758718347183</v>
      </c>
      <c r="T3342" s="4">
        <f t="shared" si="3"/>
        <v>353</v>
      </c>
      <c r="U3342" s="4">
        <f t="shared" si="4"/>
        <v>1469</v>
      </c>
    </row>
    <row r="3343" ht="15.75" customHeight="1">
      <c r="A3343" s="4" t="s">
        <v>838</v>
      </c>
      <c r="B3343" s="4" t="s">
        <v>13</v>
      </c>
      <c r="C3343" s="4">
        <v>0.055</v>
      </c>
      <c r="D3343" s="4">
        <v>0.037</v>
      </c>
      <c r="E3343" s="4">
        <v>0.043</v>
      </c>
      <c r="I3343" s="4">
        <v>0.196</v>
      </c>
      <c r="J3343" s="4">
        <v>0.008</v>
      </c>
      <c r="K3343" s="6" t="b">
        <f t="shared" ref="K3343:M3343" si="3156">FALSE()</f>
        <v>0</v>
      </c>
      <c r="L3343" s="6" t="b">
        <f t="shared" si="3156"/>
        <v>0</v>
      </c>
      <c r="M3343" s="6" t="b">
        <f t="shared" si="3156"/>
        <v>0</v>
      </c>
      <c r="N3343" s="4">
        <v>0.0535407669280298</v>
      </c>
      <c r="P3343" s="4">
        <v>0.17898265552844</v>
      </c>
      <c r="T3343" s="4">
        <f t="shared" si="3"/>
        <v>1377</v>
      </c>
      <c r="U3343" s="4">
        <f t="shared" si="4"/>
        <v>2654</v>
      </c>
    </row>
    <row r="3344" ht="15.75" customHeight="1">
      <c r="A3344" s="4" t="s">
        <v>4389</v>
      </c>
      <c r="B3344" s="4" t="s">
        <v>13</v>
      </c>
      <c r="I3344" s="4">
        <v>0.122</v>
      </c>
      <c r="J3344" s="4">
        <v>0.05</v>
      </c>
      <c r="K3344" s="6" t="b">
        <f t="shared" ref="K3344:M3344" si="3157">FALSE()</f>
        <v>0</v>
      </c>
      <c r="L3344" s="6" t="b">
        <f t="shared" si="3157"/>
        <v>0</v>
      </c>
      <c r="M3344" s="6" t="b">
        <f t="shared" si="3157"/>
        <v>0</v>
      </c>
      <c r="P3344" s="4">
        <v>0.115112807100505</v>
      </c>
      <c r="T3344" s="4" t="str">
        <f t="shared" si="3"/>
        <v/>
      </c>
      <c r="U3344" s="4">
        <f t="shared" si="4"/>
        <v>3829</v>
      </c>
    </row>
    <row r="3345" ht="15.75" customHeight="1">
      <c r="A3345" s="4" t="s">
        <v>4390</v>
      </c>
      <c r="B3345" s="4" t="s">
        <v>13</v>
      </c>
      <c r="I3345" s="4">
        <v>0.196</v>
      </c>
      <c r="J3345" s="4">
        <v>0.079</v>
      </c>
      <c r="K3345" s="6" t="b">
        <f t="shared" ref="K3345:M3345" si="3158">FALSE()</f>
        <v>0</v>
      </c>
      <c r="L3345" s="6" t="b">
        <f t="shared" si="3158"/>
        <v>0</v>
      </c>
      <c r="M3345" s="6" t="b">
        <f t="shared" si="3158"/>
        <v>0</v>
      </c>
      <c r="P3345" s="4">
        <v>0.17898265552844</v>
      </c>
      <c r="T3345" s="4" t="str">
        <f t="shared" si="3"/>
        <v/>
      </c>
      <c r="U3345" s="4">
        <f t="shared" si="4"/>
        <v>2655</v>
      </c>
    </row>
    <row r="3346" ht="15.75" customHeight="1">
      <c r="A3346" s="4" t="s">
        <v>4391</v>
      </c>
      <c r="B3346" s="4" t="s">
        <v>13</v>
      </c>
      <c r="I3346" s="4">
        <v>0.208</v>
      </c>
      <c r="J3346" s="4">
        <v>0.092</v>
      </c>
      <c r="K3346" s="6" t="b">
        <f t="shared" ref="K3346:M3346" si="3159">FALSE()</f>
        <v>0</v>
      </c>
      <c r="L3346" s="6" t="b">
        <f t="shared" si="3159"/>
        <v>0</v>
      </c>
      <c r="M3346" s="6" t="b">
        <f t="shared" si="3159"/>
        <v>0</v>
      </c>
      <c r="P3346" s="4">
        <v>0.188966099512623</v>
      </c>
      <c r="T3346" s="4" t="str">
        <f t="shared" si="3"/>
        <v/>
      </c>
      <c r="U3346" s="4">
        <f t="shared" si="4"/>
        <v>2448</v>
      </c>
    </row>
    <row r="3347" ht="15.75" customHeight="1">
      <c r="A3347" s="4" t="s">
        <v>4392</v>
      </c>
      <c r="B3347" s="4" t="s">
        <v>13</v>
      </c>
      <c r="I3347" s="4">
        <v>0.229</v>
      </c>
      <c r="J3347" s="4">
        <v>0.099</v>
      </c>
      <c r="K3347" s="6" t="b">
        <f t="shared" ref="K3347:M3347" si="3160">FALSE()</f>
        <v>0</v>
      </c>
      <c r="L3347" s="6" t="b">
        <f t="shared" si="3160"/>
        <v>0</v>
      </c>
      <c r="M3347" s="6" t="b">
        <f t="shared" si="3160"/>
        <v>0</v>
      </c>
      <c r="P3347" s="4">
        <v>0.206200830583898</v>
      </c>
      <c r="T3347" s="4" t="str">
        <f t="shared" si="3"/>
        <v/>
      </c>
      <c r="U3347" s="4">
        <f t="shared" si="4"/>
        <v>2126</v>
      </c>
    </row>
    <row r="3348" ht="15.75" customHeight="1">
      <c r="A3348" s="4" t="s">
        <v>4393</v>
      </c>
      <c r="B3348" s="4" t="s">
        <v>13</v>
      </c>
      <c r="I3348" s="4">
        <v>0.233</v>
      </c>
      <c r="J3348" s="4">
        <v>0.143</v>
      </c>
      <c r="K3348" s="6" t="b">
        <f t="shared" ref="K3348:M3348" si="3161">FALSE()</f>
        <v>0</v>
      </c>
      <c r="L3348" s="6" t="b">
        <f t="shared" si="3161"/>
        <v>0</v>
      </c>
      <c r="M3348" s="6" t="b">
        <f t="shared" si="3161"/>
        <v>0</v>
      </c>
      <c r="P3348" s="4">
        <v>0.209450224182207</v>
      </c>
      <c r="T3348" s="4" t="str">
        <f t="shared" si="3"/>
        <v/>
      </c>
      <c r="U3348" s="4">
        <f t="shared" si="4"/>
        <v>2056</v>
      </c>
    </row>
    <row r="3349" ht="15.75" customHeight="1">
      <c r="A3349" s="4" t="s">
        <v>4394</v>
      </c>
      <c r="B3349" s="4" t="s">
        <v>13</v>
      </c>
      <c r="I3349" s="4">
        <v>0.178</v>
      </c>
      <c r="J3349" s="4">
        <v>0.11</v>
      </c>
      <c r="K3349" s="6" t="b">
        <f t="shared" ref="K3349:M3349" si="3162">FALSE()</f>
        <v>0</v>
      </c>
      <c r="L3349" s="6" t="b">
        <f t="shared" si="3162"/>
        <v>0</v>
      </c>
      <c r="M3349" s="6" t="b">
        <f t="shared" si="3162"/>
        <v>0</v>
      </c>
      <c r="P3349" s="4">
        <v>0.163818085229395</v>
      </c>
      <c r="T3349" s="4" t="str">
        <f t="shared" si="3"/>
        <v/>
      </c>
      <c r="U3349" s="4">
        <f t="shared" si="4"/>
        <v>2924</v>
      </c>
    </row>
    <row r="3350" ht="15.75" customHeight="1">
      <c r="A3350" s="4" t="s">
        <v>4395</v>
      </c>
      <c r="B3350" s="4" t="s">
        <v>13</v>
      </c>
      <c r="I3350" s="4">
        <v>0.219</v>
      </c>
      <c r="J3350" s="4">
        <v>0.103</v>
      </c>
      <c r="K3350" s="6" t="b">
        <f t="shared" ref="K3350:M3350" si="3163">FALSE()</f>
        <v>0</v>
      </c>
      <c r="L3350" s="6" t="b">
        <f t="shared" si="3163"/>
        <v>0</v>
      </c>
      <c r="M3350" s="6" t="b">
        <f t="shared" si="3163"/>
        <v>0</v>
      </c>
      <c r="P3350" s="4">
        <v>0.198030850499134</v>
      </c>
      <c r="T3350" s="4" t="str">
        <f t="shared" si="3"/>
        <v/>
      </c>
      <c r="U3350" s="4">
        <f t="shared" si="4"/>
        <v>2280</v>
      </c>
    </row>
    <row r="3351" ht="15.75" customHeight="1">
      <c r="A3351" s="4" t="s">
        <v>4396</v>
      </c>
      <c r="B3351" s="4" t="s">
        <v>13</v>
      </c>
      <c r="I3351" s="4">
        <v>0.178</v>
      </c>
      <c r="J3351" s="4">
        <v>0.087</v>
      </c>
      <c r="K3351" s="6" t="b">
        <f t="shared" ref="K3351:M3351" si="3164">FALSE()</f>
        <v>0</v>
      </c>
      <c r="L3351" s="6" t="b">
        <f t="shared" si="3164"/>
        <v>0</v>
      </c>
      <c r="M3351" s="6" t="b">
        <f t="shared" si="3164"/>
        <v>0</v>
      </c>
      <c r="P3351" s="4">
        <v>0.163818085229395</v>
      </c>
      <c r="T3351" s="4" t="str">
        <f t="shared" si="3"/>
        <v/>
      </c>
      <c r="U3351" s="4">
        <f t="shared" si="4"/>
        <v>2925</v>
      </c>
    </row>
    <row r="3352" ht="15.75" customHeight="1">
      <c r="A3352" s="4" t="s">
        <v>4397</v>
      </c>
      <c r="B3352" s="4" t="s">
        <v>13</v>
      </c>
      <c r="I3352" s="4">
        <v>0.246</v>
      </c>
      <c r="J3352" s="4">
        <v>0.103</v>
      </c>
      <c r="K3352" s="6" t="b">
        <f t="shared" ref="K3352:M3352" si="3165">FALSE()</f>
        <v>0</v>
      </c>
      <c r="L3352" s="6" t="b">
        <f t="shared" si="3165"/>
        <v>0</v>
      </c>
      <c r="M3352" s="6" t="b">
        <f t="shared" si="3165"/>
        <v>0</v>
      </c>
      <c r="P3352" s="4">
        <v>0.219938420365261</v>
      </c>
      <c r="T3352" s="4" t="str">
        <f t="shared" si="3"/>
        <v/>
      </c>
      <c r="U3352" s="4">
        <f t="shared" si="4"/>
        <v>1865</v>
      </c>
    </row>
    <row r="3353" ht="15.75" customHeight="1">
      <c r="A3353" s="4" t="s">
        <v>4398</v>
      </c>
      <c r="B3353" s="4" t="s">
        <v>13</v>
      </c>
      <c r="I3353" s="4">
        <v>0.183</v>
      </c>
      <c r="J3353" s="4">
        <v>0.078</v>
      </c>
      <c r="K3353" s="6" t="b">
        <f t="shared" ref="K3353:M3353" si="3166">FALSE()</f>
        <v>0</v>
      </c>
      <c r="L3353" s="6" t="b">
        <f t="shared" si="3166"/>
        <v>0</v>
      </c>
      <c r="M3353" s="6" t="b">
        <f t="shared" si="3166"/>
        <v>0</v>
      </c>
      <c r="P3353" s="4">
        <v>0.16805358499625</v>
      </c>
      <c r="T3353" s="4" t="str">
        <f t="shared" si="3"/>
        <v/>
      </c>
      <c r="U3353" s="4">
        <f t="shared" si="4"/>
        <v>2852</v>
      </c>
    </row>
    <row r="3354" ht="15.75" customHeight="1">
      <c r="A3354" s="4" t="s">
        <v>4399</v>
      </c>
      <c r="B3354" s="4" t="s">
        <v>13</v>
      </c>
      <c r="I3354" s="4">
        <v>0.206</v>
      </c>
      <c r="J3354" s="4">
        <v>0.087</v>
      </c>
      <c r="K3354" s="6" t="b">
        <f t="shared" ref="K3354:M3354" si="3167">FALSE()</f>
        <v>0</v>
      </c>
      <c r="L3354" s="6" t="b">
        <f t="shared" si="3167"/>
        <v>0</v>
      </c>
      <c r="M3354" s="6" t="b">
        <f t="shared" si="3167"/>
        <v>0</v>
      </c>
      <c r="P3354" s="4">
        <v>0.187309098304994</v>
      </c>
      <c r="T3354" s="4" t="str">
        <f t="shared" si="3"/>
        <v/>
      </c>
      <c r="U3354" s="4">
        <f t="shared" si="4"/>
        <v>2480</v>
      </c>
    </row>
    <row r="3355" ht="15.75" customHeight="1">
      <c r="A3355" s="4" t="s">
        <v>4400</v>
      </c>
      <c r="B3355" s="4" t="s">
        <v>13</v>
      </c>
      <c r="I3355" s="4">
        <v>0.229</v>
      </c>
      <c r="J3355" s="4">
        <v>0.016</v>
      </c>
      <c r="K3355" s="6" t="b">
        <f t="shared" ref="K3355:M3355" si="3168">FALSE()</f>
        <v>0</v>
      </c>
      <c r="L3355" s="6" t="b">
        <f t="shared" si="3168"/>
        <v>0</v>
      </c>
      <c r="M3355" s="6" t="b">
        <f t="shared" si="3168"/>
        <v>0</v>
      </c>
      <c r="P3355" s="4">
        <v>0.206200830583898</v>
      </c>
      <c r="T3355" s="4" t="str">
        <f t="shared" si="3"/>
        <v/>
      </c>
      <c r="U3355" s="4">
        <f t="shared" si="4"/>
        <v>2127</v>
      </c>
    </row>
    <row r="3356" ht="15.75" customHeight="1">
      <c r="A3356" s="4" t="s">
        <v>4401</v>
      </c>
      <c r="B3356" s="4" t="s">
        <v>13</v>
      </c>
      <c r="I3356" s="4">
        <v>0.194</v>
      </c>
      <c r="J3356" s="4">
        <v>0.015</v>
      </c>
      <c r="K3356" s="6" t="b">
        <f t="shared" ref="K3356:M3356" si="3169">FALSE()</f>
        <v>0</v>
      </c>
      <c r="L3356" s="6" t="b">
        <f t="shared" si="3169"/>
        <v>0</v>
      </c>
      <c r="M3356" s="6" t="b">
        <f t="shared" si="3169"/>
        <v>0</v>
      </c>
      <c r="P3356" s="4">
        <v>0.17730901497041</v>
      </c>
      <c r="T3356" s="4" t="str">
        <f t="shared" si="3"/>
        <v/>
      </c>
      <c r="U3356" s="4">
        <f t="shared" si="4"/>
        <v>2686</v>
      </c>
    </row>
    <row r="3357" ht="15.75" customHeight="1">
      <c r="A3357" s="4" t="s">
        <v>4402</v>
      </c>
      <c r="B3357" s="4" t="s">
        <v>13</v>
      </c>
      <c r="I3357" s="4">
        <v>0.27</v>
      </c>
      <c r="J3357" s="4">
        <v>0.019</v>
      </c>
      <c r="K3357" s="6" t="b">
        <f t="shared" ref="K3357:M3357" si="3170">FALSE()</f>
        <v>0</v>
      </c>
      <c r="L3357" s="6" t="b">
        <f t="shared" si="3170"/>
        <v>0</v>
      </c>
      <c r="M3357" s="6" t="b">
        <f t="shared" si="3170"/>
        <v>0</v>
      </c>
      <c r="P3357" s="4">
        <v>0.2390169004705</v>
      </c>
      <c r="T3357" s="4" t="str">
        <f t="shared" si="3"/>
        <v/>
      </c>
      <c r="U3357" s="4">
        <f t="shared" si="4"/>
        <v>1586</v>
      </c>
    </row>
    <row r="3358" ht="15.75" customHeight="1">
      <c r="A3358" s="4" t="s">
        <v>4403</v>
      </c>
      <c r="B3358" s="4" t="s">
        <v>13</v>
      </c>
      <c r="I3358" s="4">
        <v>0.156</v>
      </c>
      <c r="J3358" s="4">
        <v>0.005</v>
      </c>
      <c r="K3358" s="6" t="b">
        <f t="shared" ref="K3358:M3358" si="3171">FALSE()</f>
        <v>0</v>
      </c>
      <c r="L3358" s="6" t="b">
        <f t="shared" si="3171"/>
        <v>0</v>
      </c>
      <c r="M3358" s="6" t="b">
        <f t="shared" si="3171"/>
        <v>0</v>
      </c>
      <c r="P3358" s="4">
        <v>0.144965770250186</v>
      </c>
      <c r="T3358" s="4" t="str">
        <f t="shared" si="3"/>
        <v/>
      </c>
      <c r="U3358" s="4">
        <f t="shared" si="4"/>
        <v>3231</v>
      </c>
    </row>
    <row r="3359" ht="15.75" customHeight="1">
      <c r="A3359" s="4" t="s">
        <v>4404</v>
      </c>
      <c r="B3359" s="4" t="s">
        <v>13</v>
      </c>
      <c r="I3359" s="4">
        <v>0.209</v>
      </c>
      <c r="J3359" s="4">
        <v>0.107</v>
      </c>
      <c r="K3359" s="6" t="b">
        <f t="shared" ref="K3359:M3359" si="3172">FALSE()</f>
        <v>0</v>
      </c>
      <c r="L3359" s="6" t="b">
        <f t="shared" si="3172"/>
        <v>0</v>
      </c>
      <c r="M3359" s="6" t="b">
        <f t="shared" si="3172"/>
        <v>0</v>
      </c>
      <c r="P3359" s="4">
        <v>0.189793571632656</v>
      </c>
      <c r="T3359" s="4" t="str">
        <f t="shared" si="3"/>
        <v/>
      </c>
      <c r="U3359" s="4">
        <f t="shared" si="4"/>
        <v>2436</v>
      </c>
    </row>
    <row r="3360" ht="15.75" customHeight="1">
      <c r="A3360" s="4" t="s">
        <v>4405</v>
      </c>
      <c r="B3360" s="4" t="s">
        <v>13</v>
      </c>
      <c r="I3360" s="4">
        <v>0.134</v>
      </c>
      <c r="J3360" s="4">
        <v>0.068</v>
      </c>
      <c r="K3360" s="6" t="b">
        <f t="shared" ref="K3360:M3360" si="3173">FALSE()</f>
        <v>0</v>
      </c>
      <c r="L3360" s="6" t="b">
        <f t="shared" si="3173"/>
        <v>0</v>
      </c>
      <c r="M3360" s="6" t="b">
        <f t="shared" si="3173"/>
        <v>0</v>
      </c>
      <c r="P3360" s="4">
        <v>0.12575120530556</v>
      </c>
      <c r="T3360" s="4" t="str">
        <f t="shared" si="3"/>
        <v/>
      </c>
      <c r="U3360" s="4">
        <f t="shared" si="4"/>
        <v>3631</v>
      </c>
    </row>
    <row r="3361" ht="15.75" customHeight="1">
      <c r="A3361" s="4" t="s">
        <v>4406</v>
      </c>
      <c r="B3361" s="4" t="s">
        <v>13</v>
      </c>
      <c r="I3361" s="4">
        <v>0.146</v>
      </c>
      <c r="J3361" s="4">
        <v>0.041</v>
      </c>
      <c r="K3361" s="6" t="b">
        <f t="shared" ref="K3361:M3361" si="3174">FALSE()</f>
        <v>0</v>
      </c>
      <c r="L3361" s="6" t="b">
        <f t="shared" si="3174"/>
        <v>0</v>
      </c>
      <c r="M3361" s="6" t="b">
        <f t="shared" si="3174"/>
        <v>0</v>
      </c>
      <c r="P3361" s="4">
        <v>0.136277618292548</v>
      </c>
      <c r="T3361" s="4" t="str">
        <f t="shared" si="3"/>
        <v/>
      </c>
      <c r="U3361" s="4">
        <f t="shared" si="4"/>
        <v>3396</v>
      </c>
    </row>
    <row r="3362" ht="15.75" customHeight="1">
      <c r="A3362" s="4" t="s">
        <v>4407</v>
      </c>
      <c r="B3362" s="4" t="s">
        <v>13</v>
      </c>
      <c r="I3362" s="4">
        <v>0.365</v>
      </c>
      <c r="J3362" s="4">
        <v>0.102</v>
      </c>
      <c r="K3362" s="6" t="b">
        <f t="shared" ref="K3362:M3362" si="3175">FALSE()</f>
        <v>0</v>
      </c>
      <c r="L3362" s="6" t="b">
        <f t="shared" si="3175"/>
        <v>0</v>
      </c>
      <c r="M3362" s="6" t="b">
        <f t="shared" si="3175"/>
        <v>0</v>
      </c>
      <c r="P3362" s="4">
        <v>0.311154428636923</v>
      </c>
      <c r="T3362" s="4" t="str">
        <f t="shared" si="3"/>
        <v/>
      </c>
      <c r="U3362" s="4">
        <f t="shared" si="4"/>
        <v>1171</v>
      </c>
    </row>
    <row r="3363" ht="15.75" customHeight="1">
      <c r="A3363" s="4" t="s">
        <v>4408</v>
      </c>
      <c r="B3363" s="4" t="s">
        <v>13</v>
      </c>
      <c r="I3363" s="4">
        <v>0.352</v>
      </c>
      <c r="J3363" s="4">
        <v>0.098</v>
      </c>
      <c r="K3363" s="6" t="b">
        <f t="shared" ref="K3363:M3363" si="3176">FALSE()</f>
        <v>0</v>
      </c>
      <c r="L3363" s="6" t="b">
        <f t="shared" si="3176"/>
        <v>0</v>
      </c>
      <c r="M3363" s="6" t="b">
        <f t="shared" si="3176"/>
        <v>0</v>
      </c>
      <c r="P3363" s="4">
        <v>0.301584977620772</v>
      </c>
      <c r="T3363" s="4" t="str">
        <f t="shared" si="3"/>
        <v/>
      </c>
      <c r="U3363" s="4">
        <f t="shared" si="4"/>
        <v>1202</v>
      </c>
    </row>
    <row r="3364" ht="15.75" customHeight="1">
      <c r="A3364" s="4" t="s">
        <v>4409</v>
      </c>
      <c r="B3364" s="4" t="s">
        <v>13</v>
      </c>
      <c r="I3364" s="4">
        <v>0.269</v>
      </c>
      <c r="J3364" s="4">
        <v>0.032</v>
      </c>
      <c r="K3364" s="6" t="b">
        <f t="shared" ref="K3364:M3364" si="3177">FALSE()</f>
        <v>0</v>
      </c>
      <c r="L3364" s="6" t="b">
        <f t="shared" si="3177"/>
        <v>0</v>
      </c>
      <c r="M3364" s="6" t="b">
        <f t="shared" si="3177"/>
        <v>0</v>
      </c>
      <c r="P3364" s="4">
        <v>0.238229188732251</v>
      </c>
      <c r="T3364" s="4" t="str">
        <f t="shared" si="3"/>
        <v/>
      </c>
      <c r="U3364" s="4">
        <f t="shared" si="4"/>
        <v>1604</v>
      </c>
    </row>
    <row r="3365" ht="15.75" customHeight="1">
      <c r="A3365" s="4" t="s">
        <v>4410</v>
      </c>
      <c r="B3365" s="4" t="s">
        <v>13</v>
      </c>
      <c r="I3365" s="4">
        <v>0.363</v>
      </c>
      <c r="J3365" s="4">
        <v>0.044</v>
      </c>
      <c r="K3365" s="6" t="b">
        <f t="shared" ref="K3365:M3365" si="3178">FALSE()</f>
        <v>0</v>
      </c>
      <c r="L3365" s="6" t="b">
        <f t="shared" si="3178"/>
        <v>0</v>
      </c>
      <c r="M3365" s="6" t="b">
        <f t="shared" si="3178"/>
        <v>0</v>
      </c>
      <c r="P3365" s="4">
        <v>0.309688152714396</v>
      </c>
      <c r="T3365" s="4" t="str">
        <f t="shared" si="3"/>
        <v/>
      </c>
      <c r="U3365" s="4">
        <f t="shared" si="4"/>
        <v>1177</v>
      </c>
    </row>
    <row r="3366" ht="15.75" customHeight="1">
      <c r="A3366" s="4" t="s">
        <v>4411</v>
      </c>
      <c r="B3366" s="4" t="s">
        <v>13</v>
      </c>
      <c r="I3366" s="4">
        <v>0.097</v>
      </c>
      <c r="J3366" s="4">
        <v>0.004</v>
      </c>
      <c r="K3366" s="6" t="b">
        <f t="shared" ref="K3366:M3366" si="3179">FALSE()</f>
        <v>0</v>
      </c>
      <c r="L3366" s="6" t="b">
        <f t="shared" si="3179"/>
        <v>0</v>
      </c>
      <c r="M3366" s="6" t="b">
        <f t="shared" si="3179"/>
        <v>0</v>
      </c>
      <c r="P3366" s="4">
        <v>0.0925791812930932</v>
      </c>
      <c r="T3366" s="4" t="str">
        <f t="shared" si="3"/>
        <v/>
      </c>
      <c r="U3366" s="4">
        <f t="shared" si="4"/>
        <v>4260</v>
      </c>
    </row>
    <row r="3367" ht="15.75" customHeight="1">
      <c r="A3367" s="4" t="s">
        <v>4412</v>
      </c>
      <c r="B3367" s="4" t="s">
        <v>13</v>
      </c>
      <c r="I3367" s="4">
        <v>0.135</v>
      </c>
      <c r="J3367" s="4">
        <v>0.008</v>
      </c>
      <c r="K3367" s="6" t="b">
        <f t="shared" ref="K3367:M3367" si="3180">FALSE()</f>
        <v>0</v>
      </c>
      <c r="L3367" s="6" t="b">
        <f t="shared" si="3180"/>
        <v>0</v>
      </c>
      <c r="M3367" s="6" t="b">
        <f t="shared" si="3180"/>
        <v>0</v>
      </c>
      <c r="P3367" s="4">
        <v>0.126632650933366</v>
      </c>
      <c r="T3367" s="4" t="str">
        <f t="shared" si="3"/>
        <v/>
      </c>
      <c r="U3367" s="4">
        <f t="shared" si="4"/>
        <v>3616</v>
      </c>
    </row>
    <row r="3368" ht="15.75" customHeight="1">
      <c r="A3368" s="4" t="s">
        <v>4413</v>
      </c>
      <c r="B3368" s="4" t="s">
        <v>13</v>
      </c>
      <c r="I3368" s="4">
        <v>0.14</v>
      </c>
      <c r="J3368" s="4">
        <v>0.012</v>
      </c>
      <c r="K3368" s="6" t="b">
        <f t="shared" ref="K3368:M3368" si="3181">FALSE()</f>
        <v>0</v>
      </c>
      <c r="L3368" s="6" t="b">
        <f t="shared" si="3181"/>
        <v>0</v>
      </c>
      <c r="M3368" s="6" t="b">
        <f t="shared" si="3181"/>
        <v>0</v>
      </c>
      <c r="P3368" s="4">
        <v>0.131028262406404</v>
      </c>
      <c r="T3368" s="4" t="str">
        <f t="shared" si="3"/>
        <v/>
      </c>
      <c r="U3368" s="4">
        <f t="shared" si="4"/>
        <v>3507</v>
      </c>
    </row>
    <row r="3369" ht="15.75" customHeight="1">
      <c r="A3369" s="4" t="s">
        <v>839</v>
      </c>
      <c r="B3369" s="4" t="s">
        <v>13</v>
      </c>
      <c r="C3369" s="4">
        <v>1.6</v>
      </c>
      <c r="D3369" s="4">
        <v>1.599</v>
      </c>
      <c r="E3369" s="4">
        <v>0.0</v>
      </c>
      <c r="I3369" s="4">
        <v>0.214</v>
      </c>
      <c r="K3369" s="6" t="b">
        <f t="shared" ref="K3369:M3369" si="3182">FALSE()</f>
        <v>0</v>
      </c>
      <c r="L3369" s="6" t="b">
        <f t="shared" si="3182"/>
        <v>0</v>
      </c>
      <c r="M3369" s="6" t="b">
        <f t="shared" si="3182"/>
        <v>0</v>
      </c>
      <c r="N3369" s="4">
        <v>0.955511445027436</v>
      </c>
      <c r="P3369" s="4">
        <v>0.193920692637307</v>
      </c>
      <c r="T3369" s="4">
        <f t="shared" si="3"/>
        <v>499</v>
      </c>
      <c r="U3369" s="4">
        <f t="shared" si="4"/>
        <v>2348</v>
      </c>
    </row>
    <row r="3370" ht="15.75" customHeight="1">
      <c r="A3370" s="4" t="s">
        <v>840</v>
      </c>
      <c r="B3370" s="4" t="s">
        <v>13</v>
      </c>
      <c r="C3370" s="4">
        <v>1.6</v>
      </c>
      <c r="D3370" s="4">
        <v>1.599</v>
      </c>
      <c r="E3370" s="4">
        <v>0.0</v>
      </c>
      <c r="I3370" s="4">
        <v>0.25</v>
      </c>
      <c r="K3370" s="6" t="b">
        <f t="shared" ref="K3370:M3370" si="3183">FALSE()</f>
        <v>0</v>
      </c>
      <c r="L3370" s="6" t="b">
        <f t="shared" si="3183"/>
        <v>0</v>
      </c>
      <c r="M3370" s="6" t="b">
        <f t="shared" si="3183"/>
        <v>0</v>
      </c>
      <c r="N3370" s="4">
        <v>0.955511445027436</v>
      </c>
      <c r="P3370" s="4">
        <v>0.22314355131421</v>
      </c>
      <c r="T3370" s="4">
        <f t="shared" si="3"/>
        <v>500</v>
      </c>
      <c r="U3370" s="4">
        <f t="shared" si="4"/>
        <v>1807</v>
      </c>
    </row>
    <row r="3371" ht="15.75" customHeight="1">
      <c r="A3371" s="4" t="s">
        <v>4414</v>
      </c>
      <c r="B3371" s="4" t="s">
        <v>13</v>
      </c>
      <c r="I3371" s="4">
        <v>0.149</v>
      </c>
      <c r="J3371" s="4">
        <v>0.035</v>
      </c>
      <c r="K3371" s="6" t="b">
        <f t="shared" ref="K3371:M3371" si="3184">FALSE()</f>
        <v>0</v>
      </c>
      <c r="L3371" s="6" t="b">
        <f t="shared" si="3184"/>
        <v>0</v>
      </c>
      <c r="M3371" s="6" t="b">
        <f t="shared" si="3184"/>
        <v>0</v>
      </c>
      <c r="P3371" s="4">
        <v>0.138891998866619</v>
      </c>
      <c r="T3371" s="4" t="str">
        <f t="shared" si="3"/>
        <v/>
      </c>
      <c r="U3371" s="4">
        <f t="shared" si="4"/>
        <v>3348</v>
      </c>
    </row>
    <row r="3372" ht="15.75" customHeight="1">
      <c r="A3372" s="4" t="s">
        <v>4415</v>
      </c>
      <c r="B3372" s="4" t="s">
        <v>13</v>
      </c>
      <c r="I3372" s="4">
        <v>0.248</v>
      </c>
      <c r="J3372" s="4">
        <v>0.057</v>
      </c>
      <c r="K3372" s="6" t="b">
        <f t="shared" ref="K3372:M3372" si="3185">FALSE()</f>
        <v>0</v>
      </c>
      <c r="L3372" s="6" t="b">
        <f t="shared" si="3185"/>
        <v>0</v>
      </c>
      <c r="M3372" s="6" t="b">
        <f t="shared" si="3185"/>
        <v>0</v>
      </c>
      <c r="P3372" s="4">
        <v>0.221542269947236</v>
      </c>
      <c r="T3372" s="4" t="str">
        <f t="shared" si="3"/>
        <v/>
      </c>
      <c r="U3372" s="4">
        <f t="shared" si="4"/>
        <v>1831</v>
      </c>
    </row>
    <row r="3373" ht="15.75" customHeight="1">
      <c r="A3373" s="4" t="s">
        <v>4416</v>
      </c>
      <c r="B3373" s="4" t="s">
        <v>13</v>
      </c>
      <c r="I3373" s="4">
        <v>0.101</v>
      </c>
      <c r="J3373" s="4">
        <v>0.061</v>
      </c>
      <c r="K3373" s="6" t="b">
        <f t="shared" ref="K3373:M3373" si="3186">FALSE()</f>
        <v>0</v>
      </c>
      <c r="L3373" s="6" t="b">
        <f t="shared" si="3186"/>
        <v>0</v>
      </c>
      <c r="M3373" s="6" t="b">
        <f t="shared" si="3186"/>
        <v>0</v>
      </c>
      <c r="P3373" s="4">
        <v>0.0962188577405429</v>
      </c>
      <c r="T3373" s="4" t="str">
        <f t="shared" si="3"/>
        <v/>
      </c>
      <c r="U3373" s="4">
        <f t="shared" si="4"/>
        <v>4201</v>
      </c>
    </row>
    <row r="3374" ht="15.75" customHeight="1">
      <c r="A3374" s="4" t="s">
        <v>4417</v>
      </c>
      <c r="B3374" s="4" t="s">
        <v>13</v>
      </c>
      <c r="I3374" s="4">
        <v>0.203</v>
      </c>
      <c r="J3374" s="4">
        <v>0.117</v>
      </c>
      <c r="K3374" s="6" t="b">
        <f t="shared" ref="K3374:M3374" si="3187">FALSE()</f>
        <v>0</v>
      </c>
      <c r="L3374" s="6" t="b">
        <f t="shared" si="3187"/>
        <v>0</v>
      </c>
      <c r="M3374" s="6" t="b">
        <f t="shared" si="3187"/>
        <v>0</v>
      </c>
      <c r="P3374" s="4">
        <v>0.184818436992542</v>
      </c>
      <c r="T3374" s="4" t="str">
        <f t="shared" si="3"/>
        <v/>
      </c>
      <c r="U3374" s="4">
        <f t="shared" si="4"/>
        <v>2530</v>
      </c>
    </row>
    <row r="3375" ht="15.75" customHeight="1">
      <c r="A3375" s="4" t="s">
        <v>4418</v>
      </c>
      <c r="B3375" s="4" t="s">
        <v>13</v>
      </c>
      <c r="I3375" s="4">
        <v>0.194</v>
      </c>
      <c r="J3375" s="4">
        <v>0.112</v>
      </c>
      <c r="K3375" s="6" t="b">
        <f t="shared" ref="K3375:M3375" si="3188">FALSE()</f>
        <v>0</v>
      </c>
      <c r="L3375" s="6" t="b">
        <f t="shared" si="3188"/>
        <v>0</v>
      </c>
      <c r="M3375" s="6" t="b">
        <f t="shared" si="3188"/>
        <v>0</v>
      </c>
      <c r="P3375" s="4">
        <v>0.17730901497041</v>
      </c>
      <c r="T3375" s="4" t="str">
        <f t="shared" si="3"/>
        <v/>
      </c>
      <c r="U3375" s="4">
        <f t="shared" si="4"/>
        <v>2687</v>
      </c>
    </row>
    <row r="3376" ht="15.75" customHeight="1">
      <c r="A3376" s="4" t="s">
        <v>4419</v>
      </c>
      <c r="B3376" s="4" t="s">
        <v>13</v>
      </c>
      <c r="I3376" s="4">
        <v>0.119</v>
      </c>
      <c r="J3376" s="4">
        <v>0.021</v>
      </c>
      <c r="K3376" s="6" t="b">
        <f t="shared" ref="K3376:M3376" si="3189">FALSE()</f>
        <v>0</v>
      </c>
      <c r="L3376" s="6" t="b">
        <f t="shared" si="3189"/>
        <v>0</v>
      </c>
      <c r="M3376" s="6" t="b">
        <f t="shared" si="3189"/>
        <v>0</v>
      </c>
      <c r="P3376" s="4">
        <v>0.112435429329788</v>
      </c>
      <c r="T3376" s="4" t="str">
        <f t="shared" si="3"/>
        <v/>
      </c>
      <c r="U3376" s="4">
        <f t="shared" si="4"/>
        <v>3891</v>
      </c>
    </row>
    <row r="3377" ht="15.75" customHeight="1">
      <c r="A3377" s="4" t="s">
        <v>4420</v>
      </c>
      <c r="B3377" s="4" t="s">
        <v>13</v>
      </c>
      <c r="I3377" s="4">
        <v>0.247</v>
      </c>
      <c r="J3377" s="4">
        <v>0.044</v>
      </c>
      <c r="K3377" s="6" t="b">
        <f t="shared" ref="K3377:M3377" si="3190">FALSE()</f>
        <v>0</v>
      </c>
      <c r="L3377" s="6" t="b">
        <f t="shared" si="3190"/>
        <v>0</v>
      </c>
      <c r="M3377" s="6" t="b">
        <f t="shared" si="3190"/>
        <v>0</v>
      </c>
      <c r="P3377" s="4">
        <v>0.220740666697899</v>
      </c>
      <c r="T3377" s="4" t="str">
        <f t="shared" si="3"/>
        <v/>
      </c>
      <c r="U3377" s="4">
        <f t="shared" si="4"/>
        <v>1851</v>
      </c>
    </row>
    <row r="3378" ht="15.75" customHeight="1">
      <c r="A3378" s="4" t="s">
        <v>4421</v>
      </c>
      <c r="B3378" s="4" t="s">
        <v>13</v>
      </c>
      <c r="I3378" s="4">
        <v>0.247</v>
      </c>
      <c r="J3378" s="4">
        <v>0.044</v>
      </c>
      <c r="K3378" s="6" t="b">
        <f t="shared" ref="K3378:M3378" si="3191">FALSE()</f>
        <v>0</v>
      </c>
      <c r="L3378" s="6" t="b">
        <f t="shared" si="3191"/>
        <v>0</v>
      </c>
      <c r="M3378" s="6" t="b">
        <f t="shared" si="3191"/>
        <v>0</v>
      </c>
      <c r="P3378" s="4">
        <v>0.220740666697899</v>
      </c>
      <c r="T3378" s="4" t="str">
        <f t="shared" si="3"/>
        <v/>
      </c>
      <c r="U3378" s="4">
        <f t="shared" si="4"/>
        <v>1852</v>
      </c>
    </row>
    <row r="3379" ht="15.75" customHeight="1">
      <c r="A3379" s="4" t="s">
        <v>4422</v>
      </c>
      <c r="B3379" s="4" t="s">
        <v>13</v>
      </c>
      <c r="I3379" s="4">
        <v>0.247</v>
      </c>
      <c r="J3379" s="4">
        <v>0.044</v>
      </c>
      <c r="K3379" s="6" t="b">
        <f t="shared" ref="K3379:M3379" si="3192">FALSE()</f>
        <v>0</v>
      </c>
      <c r="L3379" s="6" t="b">
        <f t="shared" si="3192"/>
        <v>0</v>
      </c>
      <c r="M3379" s="6" t="b">
        <f t="shared" si="3192"/>
        <v>0</v>
      </c>
      <c r="P3379" s="4">
        <v>0.220740666697899</v>
      </c>
      <c r="T3379" s="4" t="str">
        <f t="shared" si="3"/>
        <v/>
      </c>
      <c r="U3379" s="4">
        <f t="shared" si="4"/>
        <v>1853</v>
      </c>
    </row>
    <row r="3380" ht="15.75" customHeight="1">
      <c r="A3380" s="4" t="s">
        <v>4423</v>
      </c>
      <c r="B3380" s="4" t="s">
        <v>13</v>
      </c>
      <c r="I3380" s="4">
        <v>0.11</v>
      </c>
      <c r="J3380" s="4">
        <v>0.011</v>
      </c>
      <c r="K3380" s="6" t="b">
        <f t="shared" ref="K3380:M3380" si="3193">FALSE()</f>
        <v>0</v>
      </c>
      <c r="L3380" s="6" t="b">
        <f t="shared" si="3193"/>
        <v>0</v>
      </c>
      <c r="M3380" s="6" t="b">
        <f t="shared" si="3193"/>
        <v>0</v>
      </c>
      <c r="P3380" s="4">
        <v>0.104360015324243</v>
      </c>
      <c r="T3380" s="4" t="str">
        <f t="shared" si="3"/>
        <v/>
      </c>
      <c r="U3380" s="4">
        <f t="shared" si="4"/>
        <v>4048</v>
      </c>
    </row>
    <row r="3381" ht="15.75" customHeight="1">
      <c r="A3381" s="4" t="s">
        <v>4424</v>
      </c>
      <c r="B3381" s="4" t="s">
        <v>13</v>
      </c>
      <c r="I3381" s="4">
        <v>0.192</v>
      </c>
      <c r="J3381" s="4">
        <v>0.012</v>
      </c>
      <c r="K3381" s="6" t="b">
        <f t="shared" ref="K3381:M3381" si="3194">FALSE()</f>
        <v>0</v>
      </c>
      <c r="L3381" s="6" t="b">
        <f t="shared" si="3194"/>
        <v>0</v>
      </c>
      <c r="M3381" s="6" t="b">
        <f t="shared" si="3194"/>
        <v>0</v>
      </c>
      <c r="P3381" s="4">
        <v>0.175632568643158</v>
      </c>
      <c r="T3381" s="4" t="str">
        <f t="shared" si="3"/>
        <v/>
      </c>
      <c r="U3381" s="4">
        <f t="shared" si="4"/>
        <v>2713</v>
      </c>
    </row>
    <row r="3382" ht="15.75" customHeight="1">
      <c r="A3382" s="4" t="s">
        <v>4425</v>
      </c>
      <c r="B3382" s="4" t="s">
        <v>13</v>
      </c>
      <c r="I3382" s="4">
        <v>0.145</v>
      </c>
      <c r="J3382" s="4">
        <v>0.06</v>
      </c>
      <c r="K3382" s="6" t="b">
        <f t="shared" ref="K3382:M3382" si="3195">FALSE()</f>
        <v>0</v>
      </c>
      <c r="L3382" s="6" t="b">
        <f t="shared" si="3195"/>
        <v>0</v>
      </c>
      <c r="M3382" s="6" t="b">
        <f t="shared" si="3195"/>
        <v>0</v>
      </c>
      <c r="P3382" s="4">
        <v>0.135404637006203</v>
      </c>
      <c r="T3382" s="4" t="str">
        <f t="shared" si="3"/>
        <v/>
      </c>
      <c r="U3382" s="4">
        <f t="shared" si="4"/>
        <v>3418</v>
      </c>
    </row>
    <row r="3383" ht="15.75" customHeight="1">
      <c r="A3383" s="4" t="s">
        <v>4426</v>
      </c>
      <c r="B3383" s="4" t="s">
        <v>13</v>
      </c>
      <c r="I3383" s="4">
        <v>0.236</v>
      </c>
      <c r="J3383" s="4">
        <v>0.099</v>
      </c>
      <c r="K3383" s="6" t="b">
        <f t="shared" ref="K3383:M3383" si="3196">FALSE()</f>
        <v>0</v>
      </c>
      <c r="L3383" s="6" t="b">
        <f t="shared" si="3196"/>
        <v>0</v>
      </c>
      <c r="M3383" s="6" t="b">
        <f t="shared" si="3196"/>
        <v>0</v>
      </c>
      <c r="P3383" s="4">
        <v>0.211880359035499</v>
      </c>
      <c r="T3383" s="4" t="str">
        <f t="shared" si="3"/>
        <v/>
      </c>
      <c r="U3383" s="4">
        <f t="shared" si="4"/>
        <v>2016</v>
      </c>
    </row>
    <row r="3384" ht="15.75" customHeight="1">
      <c r="A3384" s="4" t="s">
        <v>4427</v>
      </c>
      <c r="B3384" s="4" t="s">
        <v>13</v>
      </c>
      <c r="I3384" s="4">
        <v>0.283</v>
      </c>
      <c r="J3384" s="4">
        <v>0.116</v>
      </c>
      <c r="K3384" s="6" t="b">
        <f t="shared" ref="K3384:M3384" si="3197">FALSE()</f>
        <v>0</v>
      </c>
      <c r="L3384" s="6" t="b">
        <f t="shared" si="3197"/>
        <v>0</v>
      </c>
      <c r="M3384" s="6" t="b">
        <f t="shared" si="3197"/>
        <v>0</v>
      </c>
      <c r="P3384" s="4">
        <v>0.249201085633499</v>
      </c>
      <c r="T3384" s="4" t="str">
        <f t="shared" si="3"/>
        <v/>
      </c>
      <c r="U3384" s="4">
        <f t="shared" si="4"/>
        <v>1489</v>
      </c>
    </row>
    <row r="3385" ht="15.75" customHeight="1">
      <c r="A3385" s="4" t="s">
        <v>4428</v>
      </c>
      <c r="B3385" s="4" t="s">
        <v>13</v>
      </c>
      <c r="I3385" s="4">
        <v>0.345</v>
      </c>
      <c r="J3385" s="4">
        <v>0.165</v>
      </c>
      <c r="K3385" s="6" t="b">
        <f t="shared" ref="K3385:M3385" si="3198">FALSE()</f>
        <v>0</v>
      </c>
      <c r="L3385" s="6" t="b">
        <f t="shared" si="3198"/>
        <v>0</v>
      </c>
      <c r="M3385" s="6" t="b">
        <f t="shared" si="3198"/>
        <v>0</v>
      </c>
      <c r="P3385" s="4">
        <v>0.296394013053802</v>
      </c>
      <c r="T3385" s="4" t="str">
        <f t="shared" si="3"/>
        <v/>
      </c>
      <c r="U3385" s="4">
        <f t="shared" si="4"/>
        <v>1224</v>
      </c>
    </row>
    <row r="3386" ht="15.75" customHeight="1">
      <c r="A3386" s="4" t="s">
        <v>4429</v>
      </c>
      <c r="B3386" s="4" t="s">
        <v>13</v>
      </c>
      <c r="I3386" s="4">
        <v>0.192</v>
      </c>
      <c r="J3386" s="4">
        <v>0.092</v>
      </c>
      <c r="K3386" s="6" t="b">
        <f t="shared" ref="K3386:M3386" si="3199">FALSE()</f>
        <v>0</v>
      </c>
      <c r="L3386" s="6" t="b">
        <f t="shared" si="3199"/>
        <v>0</v>
      </c>
      <c r="M3386" s="6" t="b">
        <f t="shared" si="3199"/>
        <v>0</v>
      </c>
      <c r="P3386" s="4">
        <v>0.175632568643158</v>
      </c>
      <c r="T3386" s="4" t="str">
        <f t="shared" si="3"/>
        <v/>
      </c>
      <c r="U3386" s="4">
        <f t="shared" si="4"/>
        <v>2714</v>
      </c>
    </row>
    <row r="3387" ht="15.75" customHeight="1">
      <c r="A3387" s="4" t="s">
        <v>4430</v>
      </c>
      <c r="B3387" s="4" t="s">
        <v>13</v>
      </c>
      <c r="I3387" s="4">
        <v>0.223</v>
      </c>
      <c r="J3387" s="4">
        <v>0.106</v>
      </c>
      <c r="K3387" s="6" t="b">
        <f t="shared" ref="K3387:M3387" si="3200">FALSE()</f>
        <v>0</v>
      </c>
      <c r="L3387" s="6" t="b">
        <f t="shared" si="3200"/>
        <v>0</v>
      </c>
      <c r="M3387" s="6" t="b">
        <f t="shared" si="3200"/>
        <v>0</v>
      </c>
      <c r="P3387" s="4">
        <v>0.201306856705035</v>
      </c>
      <c r="T3387" s="4" t="str">
        <f t="shared" si="3"/>
        <v/>
      </c>
      <c r="U3387" s="4">
        <f t="shared" si="4"/>
        <v>2215</v>
      </c>
    </row>
    <row r="3388" ht="15.75" customHeight="1">
      <c r="A3388" s="4" t="s">
        <v>4431</v>
      </c>
      <c r="B3388" s="4" t="s">
        <v>13</v>
      </c>
      <c r="I3388" s="4">
        <v>0.138</v>
      </c>
      <c r="J3388" s="4">
        <v>0.055</v>
      </c>
      <c r="K3388" s="6" t="b">
        <f t="shared" ref="K3388:M3388" si="3201">FALSE()</f>
        <v>0</v>
      </c>
      <c r="L3388" s="6" t="b">
        <f t="shared" si="3201"/>
        <v>0</v>
      </c>
      <c r="M3388" s="6" t="b">
        <f t="shared" si="3201"/>
        <v>0</v>
      </c>
      <c r="P3388" s="4">
        <v>0.129272335704139</v>
      </c>
      <c r="T3388" s="4" t="str">
        <f t="shared" si="3"/>
        <v/>
      </c>
      <c r="U3388" s="4">
        <f t="shared" si="4"/>
        <v>3548</v>
      </c>
    </row>
    <row r="3389" ht="15.75" customHeight="1">
      <c r="A3389" s="4" t="s">
        <v>4432</v>
      </c>
      <c r="B3389" s="4" t="s">
        <v>13</v>
      </c>
      <c r="I3389" s="4">
        <v>0.267</v>
      </c>
      <c r="J3389" s="4">
        <v>0.105</v>
      </c>
      <c r="K3389" s="6" t="b">
        <f t="shared" ref="K3389:M3389" si="3202">FALSE()</f>
        <v>0</v>
      </c>
      <c r="L3389" s="6" t="b">
        <f t="shared" si="3202"/>
        <v>0</v>
      </c>
      <c r="M3389" s="6" t="b">
        <f t="shared" si="3202"/>
        <v>0</v>
      </c>
      <c r="P3389" s="4">
        <v>0.236651901339002</v>
      </c>
      <c r="T3389" s="4" t="str">
        <f t="shared" si="3"/>
        <v/>
      </c>
      <c r="U3389" s="4">
        <f t="shared" si="4"/>
        <v>1618</v>
      </c>
    </row>
    <row r="3390" ht="15.75" customHeight="1">
      <c r="A3390" s="4" t="s">
        <v>4433</v>
      </c>
      <c r="B3390" s="4" t="s">
        <v>13</v>
      </c>
      <c r="I3390" s="4">
        <v>0.118</v>
      </c>
      <c r="J3390" s="4">
        <v>0.009</v>
      </c>
      <c r="K3390" s="6" t="b">
        <f t="shared" ref="K3390:M3390" si="3203">FALSE()</f>
        <v>0</v>
      </c>
      <c r="L3390" s="6" t="b">
        <f t="shared" si="3203"/>
        <v>0</v>
      </c>
      <c r="M3390" s="6" t="b">
        <f t="shared" si="3203"/>
        <v>0</v>
      </c>
      <c r="P3390" s="4">
        <v>0.111541374732907</v>
      </c>
      <c r="T3390" s="4" t="str">
        <f t="shared" si="3"/>
        <v/>
      </c>
      <c r="U3390" s="4">
        <f t="shared" si="4"/>
        <v>3912</v>
      </c>
    </row>
    <row r="3391" ht="15.75" customHeight="1">
      <c r="A3391" s="4" t="s">
        <v>4434</v>
      </c>
      <c r="B3391" s="4" t="s">
        <v>13</v>
      </c>
      <c r="I3391" s="4">
        <v>0.142</v>
      </c>
      <c r="J3391" s="4">
        <v>0.035</v>
      </c>
      <c r="K3391" s="6" t="b">
        <f t="shared" ref="K3391:M3391" si="3204">FALSE()</f>
        <v>0</v>
      </c>
      <c r="L3391" s="6" t="b">
        <f t="shared" si="3204"/>
        <v>0</v>
      </c>
      <c r="M3391" s="6" t="b">
        <f t="shared" si="3204"/>
        <v>0</v>
      </c>
      <c r="P3391" s="4">
        <v>0.132781111233818</v>
      </c>
      <c r="T3391" s="4" t="str">
        <f t="shared" si="3"/>
        <v/>
      </c>
      <c r="U3391" s="4">
        <f t="shared" si="4"/>
        <v>3476</v>
      </c>
    </row>
    <row r="3392" ht="15.75" customHeight="1">
      <c r="A3392" s="4" t="s">
        <v>4435</v>
      </c>
      <c r="B3392" s="4" t="s">
        <v>13</v>
      </c>
      <c r="I3392" s="4">
        <v>0.192</v>
      </c>
      <c r="J3392" s="4">
        <v>0.047</v>
      </c>
      <c r="K3392" s="6" t="b">
        <f t="shared" ref="K3392:M3392" si="3205">FALSE()</f>
        <v>0</v>
      </c>
      <c r="L3392" s="6" t="b">
        <f t="shared" si="3205"/>
        <v>0</v>
      </c>
      <c r="M3392" s="6" t="b">
        <f t="shared" si="3205"/>
        <v>0</v>
      </c>
      <c r="P3392" s="4">
        <v>0.175632568643158</v>
      </c>
      <c r="T3392" s="4" t="str">
        <f t="shared" si="3"/>
        <v/>
      </c>
      <c r="U3392" s="4">
        <f t="shared" si="4"/>
        <v>2715</v>
      </c>
    </row>
    <row r="3393" ht="15.75" customHeight="1">
      <c r="A3393" s="4" t="s">
        <v>4436</v>
      </c>
      <c r="B3393" s="4" t="s">
        <v>13</v>
      </c>
      <c r="I3393" s="4">
        <v>0.221</v>
      </c>
      <c r="J3393" s="4">
        <v>0.056</v>
      </c>
      <c r="K3393" s="6" t="b">
        <f t="shared" ref="K3393:M3393" si="3206">FALSE()</f>
        <v>0</v>
      </c>
      <c r="L3393" s="6" t="b">
        <f t="shared" si="3206"/>
        <v>0</v>
      </c>
      <c r="M3393" s="6" t="b">
        <f t="shared" si="3206"/>
        <v>0</v>
      </c>
      <c r="P3393" s="4">
        <v>0.199670195128568</v>
      </c>
      <c r="T3393" s="4" t="str">
        <f t="shared" si="3"/>
        <v/>
      </c>
      <c r="U3393" s="4">
        <f t="shared" si="4"/>
        <v>2247</v>
      </c>
    </row>
    <row r="3394" ht="15.75" customHeight="1">
      <c r="A3394" s="4" t="s">
        <v>4437</v>
      </c>
      <c r="B3394" s="4" t="s">
        <v>13</v>
      </c>
      <c r="I3394" s="4">
        <v>0.21</v>
      </c>
      <c r="J3394" s="4">
        <v>0.052</v>
      </c>
      <c r="K3394" s="6" t="b">
        <f t="shared" ref="K3394:M3394" si="3207">FALSE()</f>
        <v>0</v>
      </c>
      <c r="L3394" s="6" t="b">
        <f t="shared" si="3207"/>
        <v>0</v>
      </c>
      <c r="M3394" s="6" t="b">
        <f t="shared" si="3207"/>
        <v>0</v>
      </c>
      <c r="P3394" s="4">
        <v>0.19062035960865</v>
      </c>
      <c r="T3394" s="4" t="str">
        <f t="shared" si="3"/>
        <v/>
      </c>
      <c r="U3394" s="4">
        <f t="shared" si="4"/>
        <v>2420</v>
      </c>
    </row>
    <row r="3395" ht="15.75" customHeight="1">
      <c r="A3395" s="4" t="s">
        <v>4438</v>
      </c>
      <c r="B3395" s="4" t="s">
        <v>13</v>
      </c>
      <c r="I3395" s="4">
        <v>0.233</v>
      </c>
      <c r="J3395" s="4">
        <v>0.117</v>
      </c>
      <c r="K3395" s="6" t="b">
        <f t="shared" ref="K3395:M3395" si="3208">FALSE()</f>
        <v>0</v>
      </c>
      <c r="L3395" s="6" t="b">
        <f t="shared" si="3208"/>
        <v>0</v>
      </c>
      <c r="M3395" s="6" t="b">
        <f t="shared" si="3208"/>
        <v>0</v>
      </c>
      <c r="P3395" s="4">
        <v>0.209450224182207</v>
      </c>
      <c r="T3395" s="4" t="str">
        <f t="shared" si="3"/>
        <v/>
      </c>
      <c r="U3395" s="4">
        <f t="shared" si="4"/>
        <v>2057</v>
      </c>
    </row>
    <row r="3396" ht="15.75" customHeight="1">
      <c r="A3396" s="4" t="s">
        <v>4439</v>
      </c>
      <c r="B3396" s="4" t="s">
        <v>13</v>
      </c>
      <c r="I3396" s="4">
        <v>0.483</v>
      </c>
      <c r="J3396" s="4">
        <v>0.243</v>
      </c>
      <c r="K3396" s="6" t="b">
        <f t="shared" ref="K3396:M3396" si="3209">FALSE()</f>
        <v>0</v>
      </c>
      <c r="L3396" s="6" t="b">
        <f t="shared" si="3209"/>
        <v>0</v>
      </c>
      <c r="M3396" s="6" t="b">
        <f t="shared" si="3209"/>
        <v>0</v>
      </c>
      <c r="P3396" s="4">
        <v>0.394067063155795</v>
      </c>
      <c r="T3396" s="4" t="str">
        <f t="shared" si="3"/>
        <v/>
      </c>
      <c r="U3396" s="4">
        <f t="shared" si="4"/>
        <v>1026</v>
      </c>
    </row>
    <row r="3397" ht="15.75" customHeight="1">
      <c r="A3397" s="4" t="s">
        <v>4440</v>
      </c>
      <c r="B3397" s="4" t="s">
        <v>13</v>
      </c>
      <c r="I3397" s="4">
        <v>0.442</v>
      </c>
      <c r="J3397" s="4">
        <v>0.221</v>
      </c>
      <c r="K3397" s="6" t="b">
        <f t="shared" ref="K3397:M3397" si="3210">FALSE()</f>
        <v>0</v>
      </c>
      <c r="L3397" s="6" t="b">
        <f t="shared" si="3210"/>
        <v>0</v>
      </c>
      <c r="M3397" s="6" t="b">
        <f t="shared" si="3210"/>
        <v>0</v>
      </c>
      <c r="P3397" s="4">
        <v>0.366031038862757</v>
      </c>
      <c r="T3397" s="4" t="str">
        <f t="shared" si="3"/>
        <v/>
      </c>
      <c r="U3397" s="4">
        <f t="shared" si="4"/>
        <v>1064</v>
      </c>
    </row>
    <row r="3398" ht="15.75" customHeight="1">
      <c r="A3398" s="4" t="s">
        <v>4441</v>
      </c>
      <c r="B3398" s="4" t="s">
        <v>13</v>
      </c>
      <c r="I3398" s="4">
        <v>0.362</v>
      </c>
      <c r="J3398" s="4">
        <v>0.242</v>
      </c>
      <c r="K3398" s="6" t="b">
        <f t="shared" ref="K3398:M3398" si="3211">FALSE()</f>
        <v>0</v>
      </c>
      <c r="L3398" s="6" t="b">
        <f t="shared" si="3211"/>
        <v>0</v>
      </c>
      <c r="M3398" s="6" t="b">
        <f t="shared" si="3211"/>
        <v>0</v>
      </c>
      <c r="P3398" s="4">
        <v>0.308954207727321</v>
      </c>
      <c r="T3398" s="4" t="str">
        <f t="shared" si="3"/>
        <v/>
      </c>
      <c r="U3398" s="4">
        <f t="shared" si="4"/>
        <v>1181</v>
      </c>
    </row>
    <row r="3399" ht="15.75" customHeight="1">
      <c r="A3399" s="4" t="s">
        <v>4442</v>
      </c>
      <c r="B3399" s="4" t="s">
        <v>13</v>
      </c>
      <c r="I3399" s="4">
        <v>0.322</v>
      </c>
      <c r="J3399" s="4">
        <v>0.217</v>
      </c>
      <c r="K3399" s="6" t="b">
        <f t="shared" ref="K3399:M3399" si="3212">FALSE()</f>
        <v>0</v>
      </c>
      <c r="L3399" s="6" t="b">
        <f t="shared" si="3212"/>
        <v>0</v>
      </c>
      <c r="M3399" s="6" t="b">
        <f t="shared" si="3212"/>
        <v>0</v>
      </c>
      <c r="P3399" s="4">
        <v>0.279145741429495</v>
      </c>
      <c r="T3399" s="4" t="str">
        <f t="shared" si="3"/>
        <v/>
      </c>
      <c r="U3399" s="4">
        <f t="shared" si="4"/>
        <v>1290</v>
      </c>
    </row>
    <row r="3400" ht="15.75" customHeight="1">
      <c r="A3400" s="4" t="s">
        <v>4443</v>
      </c>
      <c r="B3400" s="4" t="s">
        <v>13</v>
      </c>
      <c r="I3400" s="4">
        <v>0.25</v>
      </c>
      <c r="J3400" s="4">
        <v>0.122</v>
      </c>
      <c r="K3400" s="6" t="b">
        <f t="shared" ref="K3400:M3400" si="3213">FALSE()</f>
        <v>0</v>
      </c>
      <c r="L3400" s="6" t="b">
        <f t="shared" si="3213"/>
        <v>0</v>
      </c>
      <c r="M3400" s="6" t="b">
        <f t="shared" si="3213"/>
        <v>0</v>
      </c>
      <c r="P3400" s="4">
        <v>0.22314355131421</v>
      </c>
      <c r="T3400" s="4" t="str">
        <f t="shared" si="3"/>
        <v/>
      </c>
      <c r="U3400" s="4">
        <f t="shared" si="4"/>
        <v>1808</v>
      </c>
    </row>
    <row r="3401" ht="15.75" customHeight="1">
      <c r="A3401" s="4" t="s">
        <v>4444</v>
      </c>
      <c r="B3401" s="4" t="s">
        <v>13</v>
      </c>
      <c r="I3401" s="4">
        <v>0.241</v>
      </c>
      <c r="J3401" s="4">
        <v>0.117</v>
      </c>
      <c r="K3401" s="6" t="b">
        <f t="shared" ref="K3401:M3401" si="3214">FALSE()</f>
        <v>0</v>
      </c>
      <c r="L3401" s="6" t="b">
        <f t="shared" si="3214"/>
        <v>0</v>
      </c>
      <c r="M3401" s="6" t="b">
        <f t="shared" si="3214"/>
        <v>0</v>
      </c>
      <c r="P3401" s="4">
        <v>0.21591750622247</v>
      </c>
      <c r="T3401" s="4" t="str">
        <f t="shared" si="3"/>
        <v/>
      </c>
      <c r="U3401" s="4">
        <f t="shared" si="4"/>
        <v>1934</v>
      </c>
    </row>
    <row r="3402" ht="15.75" customHeight="1">
      <c r="A3402" s="4" t="s">
        <v>842</v>
      </c>
      <c r="B3402" s="4" t="s">
        <v>13</v>
      </c>
      <c r="C3402" s="4">
        <v>0.034013</v>
      </c>
      <c r="D3402" s="4">
        <v>0.009736</v>
      </c>
      <c r="E3402" s="4">
        <v>0.009737</v>
      </c>
      <c r="F3402" s="4">
        <v>0.033971</v>
      </c>
      <c r="G3402" s="4">
        <v>0.00972</v>
      </c>
      <c r="H3402" s="4">
        <v>0.00972</v>
      </c>
      <c r="I3402" s="4">
        <v>0.24124</v>
      </c>
      <c r="J3402" s="4">
        <v>0.00526</v>
      </c>
      <c r="K3402" s="6" t="b">
        <f t="shared" ref="K3402:M3402" si="3215">FALSE()</f>
        <v>0</v>
      </c>
      <c r="L3402" s="6" t="b">
        <f t="shared" si="3215"/>
        <v>0</v>
      </c>
      <c r="M3402" s="6" t="b">
        <f t="shared" si="3215"/>
        <v>0</v>
      </c>
      <c r="N3402" s="4">
        <v>0.0334473485410528</v>
      </c>
      <c r="O3402" s="4">
        <v>0.0334067292712657</v>
      </c>
      <c r="P3402" s="4">
        <v>0.216110879950029</v>
      </c>
      <c r="Q3402" s="4">
        <v>-0.607153325329467</v>
      </c>
      <c r="R3402" s="4">
        <v>-0.630913544621588</v>
      </c>
      <c r="S3402" s="4">
        <v>-1.09274110646201</v>
      </c>
      <c r="T3402" s="4">
        <f t="shared" si="3"/>
        <v>1496</v>
      </c>
      <c r="U3402" s="4">
        <f t="shared" si="4"/>
        <v>1926</v>
      </c>
    </row>
    <row r="3403" ht="15.75" customHeight="1">
      <c r="A3403" s="4" t="s">
        <v>843</v>
      </c>
      <c r="B3403" s="4" t="s">
        <v>13</v>
      </c>
      <c r="C3403" s="4">
        <v>0.075805</v>
      </c>
      <c r="D3403" s="4">
        <v>0.012697</v>
      </c>
      <c r="E3403" s="4">
        <v>0.012698</v>
      </c>
      <c r="F3403" s="4">
        <v>0.075717</v>
      </c>
      <c r="G3403" s="4">
        <v>0.01268</v>
      </c>
      <c r="H3403" s="4">
        <v>0.01268</v>
      </c>
      <c r="I3403" s="4">
        <v>0.4128</v>
      </c>
      <c r="J3403" s="4">
        <v>0.0091</v>
      </c>
      <c r="K3403" s="6" t="b">
        <f t="shared" ref="K3403:M3403" si="3216">FALSE()</f>
        <v>0</v>
      </c>
      <c r="L3403" s="6" t="b">
        <f t="shared" si="3216"/>
        <v>0</v>
      </c>
      <c r="M3403" s="6" t="b">
        <f t="shared" si="3216"/>
        <v>0</v>
      </c>
      <c r="N3403" s="4">
        <v>0.0730692185502388</v>
      </c>
      <c r="O3403" s="4">
        <v>0.0729874159936773</v>
      </c>
      <c r="P3403" s="4">
        <v>0.345573550867559</v>
      </c>
      <c r="Q3403" s="4">
        <v>-0.581483917591775</v>
      </c>
      <c r="R3403" s="4">
        <v>-0.604428335029543</v>
      </c>
      <c r="S3403" s="4">
        <v>-0.771749107142789</v>
      </c>
      <c r="T3403" s="4">
        <f t="shared" si="3"/>
        <v>1309</v>
      </c>
      <c r="U3403" s="4">
        <f t="shared" si="4"/>
        <v>1103</v>
      </c>
    </row>
    <row r="3404" ht="15.75" customHeight="1">
      <c r="A3404" s="4" t="s">
        <v>4445</v>
      </c>
      <c r="B3404" s="4" t="s">
        <v>13</v>
      </c>
      <c r="D3404" s="4">
        <v>0.02681</v>
      </c>
      <c r="E3404" s="4">
        <v>0.02681</v>
      </c>
      <c r="F3404" s="4">
        <v>0.2161854</v>
      </c>
      <c r="G3404" s="4">
        <v>0.02681</v>
      </c>
      <c r="H3404" s="4">
        <v>0.02681</v>
      </c>
      <c r="K3404" s="6" t="b">
        <f t="shared" ref="K3404:M3404" si="3217">FALSE()</f>
        <v>0</v>
      </c>
      <c r="L3404" s="6" t="b">
        <f t="shared" si="3217"/>
        <v>0</v>
      </c>
      <c r="M3404" s="6" t="b">
        <f t="shared" si="3217"/>
        <v>0</v>
      </c>
      <c r="O3404" s="4">
        <v>0.195719239027311</v>
      </c>
      <c r="T3404" s="4" t="str">
        <f t="shared" si="3"/>
        <v/>
      </c>
      <c r="U3404" s="4" t="str">
        <f t="shared" si="4"/>
        <v/>
      </c>
    </row>
    <row r="3405" ht="15.75" customHeight="1">
      <c r="A3405" s="4" t="s">
        <v>4446</v>
      </c>
      <c r="B3405" s="4" t="s">
        <v>13</v>
      </c>
      <c r="I3405" s="4">
        <v>0.179</v>
      </c>
      <c r="J3405" s="4">
        <v>0.049</v>
      </c>
      <c r="K3405" s="6" t="b">
        <f t="shared" ref="K3405:M3405" si="3218">FALSE()</f>
        <v>0</v>
      </c>
      <c r="L3405" s="6" t="b">
        <f t="shared" si="3218"/>
        <v>0</v>
      </c>
      <c r="M3405" s="6" t="b">
        <f t="shared" si="3218"/>
        <v>0</v>
      </c>
      <c r="P3405" s="4">
        <v>0.164666621555234</v>
      </c>
      <c r="T3405" s="4" t="str">
        <f t="shared" si="3"/>
        <v/>
      </c>
      <c r="U3405" s="4">
        <f t="shared" si="4"/>
        <v>2901</v>
      </c>
    </row>
    <row r="3406" ht="15.75" customHeight="1">
      <c r="A3406" s="4" t="s">
        <v>4447</v>
      </c>
      <c r="B3406" s="4" t="s">
        <v>13</v>
      </c>
      <c r="I3406" s="4">
        <v>0.155</v>
      </c>
      <c r="J3406" s="4">
        <v>0.048</v>
      </c>
      <c r="K3406" s="6" t="b">
        <f t="shared" ref="K3406:M3406" si="3219">FALSE()</f>
        <v>0</v>
      </c>
      <c r="L3406" s="6" t="b">
        <f t="shared" si="3219"/>
        <v>0</v>
      </c>
      <c r="M3406" s="6" t="b">
        <f t="shared" si="3219"/>
        <v>0</v>
      </c>
      <c r="P3406" s="4">
        <v>0.144100343973757</v>
      </c>
      <c r="T3406" s="4" t="str">
        <f t="shared" si="3"/>
        <v/>
      </c>
      <c r="U3406" s="4">
        <f t="shared" si="4"/>
        <v>3242</v>
      </c>
    </row>
    <row r="3407" ht="15.75" customHeight="1">
      <c r="A3407" s="4" t="s">
        <v>4448</v>
      </c>
      <c r="B3407" s="4" t="s">
        <v>13</v>
      </c>
      <c r="I3407" s="4">
        <v>0.194</v>
      </c>
      <c r="J3407" s="4">
        <v>0.012</v>
      </c>
      <c r="K3407" s="6" t="b">
        <f t="shared" ref="K3407:M3407" si="3220">FALSE()</f>
        <v>0</v>
      </c>
      <c r="L3407" s="6" t="b">
        <f t="shared" si="3220"/>
        <v>0</v>
      </c>
      <c r="M3407" s="6" t="b">
        <f t="shared" si="3220"/>
        <v>0</v>
      </c>
      <c r="P3407" s="4">
        <v>0.17730901497041</v>
      </c>
      <c r="T3407" s="4" t="str">
        <f t="shared" si="3"/>
        <v/>
      </c>
      <c r="U3407" s="4">
        <f t="shared" si="4"/>
        <v>2688</v>
      </c>
    </row>
    <row r="3408" ht="15.75" customHeight="1">
      <c r="A3408" s="4" t="s">
        <v>4449</v>
      </c>
      <c r="B3408" s="4" t="s">
        <v>13</v>
      </c>
      <c r="I3408" s="4">
        <v>0.178</v>
      </c>
      <c r="J3408" s="4">
        <v>0.012</v>
      </c>
      <c r="K3408" s="6" t="b">
        <f t="shared" ref="K3408:M3408" si="3221">FALSE()</f>
        <v>0</v>
      </c>
      <c r="L3408" s="6" t="b">
        <f t="shared" si="3221"/>
        <v>0</v>
      </c>
      <c r="M3408" s="6" t="b">
        <f t="shared" si="3221"/>
        <v>0</v>
      </c>
      <c r="P3408" s="4">
        <v>0.163818085229395</v>
      </c>
      <c r="T3408" s="4" t="str">
        <f t="shared" si="3"/>
        <v/>
      </c>
      <c r="U3408" s="4">
        <f t="shared" si="4"/>
        <v>2926</v>
      </c>
    </row>
    <row r="3409" ht="15.75" customHeight="1">
      <c r="A3409" s="4" t="s">
        <v>4450</v>
      </c>
      <c r="B3409" s="4" t="s">
        <v>13</v>
      </c>
      <c r="I3409" s="4">
        <v>0.121</v>
      </c>
      <c r="J3409" s="4">
        <v>0.053</v>
      </c>
      <c r="K3409" s="6" t="b">
        <f t="shared" ref="K3409:M3409" si="3222">FALSE()</f>
        <v>0</v>
      </c>
      <c r="L3409" s="6" t="b">
        <f t="shared" si="3222"/>
        <v>0</v>
      </c>
      <c r="M3409" s="6" t="b">
        <f t="shared" si="3222"/>
        <v>0</v>
      </c>
      <c r="P3409" s="4">
        <v>0.114221144090023</v>
      </c>
      <c r="T3409" s="4" t="str">
        <f t="shared" si="3"/>
        <v/>
      </c>
      <c r="U3409" s="4">
        <f t="shared" si="4"/>
        <v>3846</v>
      </c>
    </row>
    <row r="3410" ht="15.75" customHeight="1">
      <c r="A3410" s="4" t="s">
        <v>4451</v>
      </c>
      <c r="B3410" s="4" t="s">
        <v>13</v>
      </c>
      <c r="I3410" s="4">
        <v>0.146</v>
      </c>
      <c r="J3410" s="4">
        <v>0.061</v>
      </c>
      <c r="K3410" s="6" t="b">
        <f t="shared" ref="K3410:M3410" si="3223">FALSE()</f>
        <v>0</v>
      </c>
      <c r="L3410" s="6" t="b">
        <f t="shared" si="3223"/>
        <v>0</v>
      </c>
      <c r="M3410" s="6" t="b">
        <f t="shared" si="3223"/>
        <v>0</v>
      </c>
      <c r="P3410" s="4">
        <v>0.136277618292548</v>
      </c>
      <c r="T3410" s="4" t="str">
        <f t="shared" si="3"/>
        <v/>
      </c>
      <c r="U3410" s="4">
        <f t="shared" si="4"/>
        <v>3397</v>
      </c>
    </row>
    <row r="3411" ht="15.75" customHeight="1">
      <c r="A3411" s="4" t="s">
        <v>4452</v>
      </c>
      <c r="B3411" s="4" t="s">
        <v>13</v>
      </c>
      <c r="I3411" s="4">
        <v>0.238</v>
      </c>
      <c r="J3411" s="4">
        <v>0.129</v>
      </c>
      <c r="K3411" s="6" t="b">
        <f t="shared" ref="K3411:M3411" si="3224">FALSE()</f>
        <v>0</v>
      </c>
      <c r="L3411" s="6" t="b">
        <f t="shared" si="3224"/>
        <v>0</v>
      </c>
      <c r="M3411" s="6" t="b">
        <f t="shared" si="3224"/>
        <v>0</v>
      </c>
      <c r="P3411" s="4">
        <v>0.213497174262404</v>
      </c>
      <c r="T3411" s="4" t="str">
        <f t="shared" si="3"/>
        <v/>
      </c>
      <c r="U3411" s="4">
        <f t="shared" si="4"/>
        <v>1977</v>
      </c>
    </row>
    <row r="3412" ht="15.75" customHeight="1">
      <c r="A3412" s="4" t="s">
        <v>4453</v>
      </c>
      <c r="B3412" s="4" t="s">
        <v>13</v>
      </c>
      <c r="I3412" s="4">
        <v>0.22</v>
      </c>
      <c r="J3412" s="4">
        <v>0.12</v>
      </c>
      <c r="K3412" s="6" t="b">
        <f t="shared" ref="K3412:M3412" si="3225">FALSE()</f>
        <v>0</v>
      </c>
      <c r="L3412" s="6" t="b">
        <f t="shared" si="3225"/>
        <v>0</v>
      </c>
      <c r="M3412" s="6" t="b">
        <f t="shared" si="3225"/>
        <v>0</v>
      </c>
      <c r="P3412" s="4">
        <v>0.198850858745165</v>
      </c>
      <c r="T3412" s="4" t="str">
        <f t="shared" si="3"/>
        <v/>
      </c>
      <c r="U3412" s="4">
        <f t="shared" si="4"/>
        <v>2263</v>
      </c>
    </row>
    <row r="3413" ht="15.75" customHeight="1">
      <c r="A3413" s="4" t="s">
        <v>4454</v>
      </c>
      <c r="B3413" s="4" t="s">
        <v>13</v>
      </c>
      <c r="I3413" s="4">
        <v>0.297</v>
      </c>
      <c r="J3413" s="4">
        <v>0.066</v>
      </c>
      <c r="K3413" s="6" t="b">
        <f t="shared" ref="K3413:M3413" si="3226">FALSE()</f>
        <v>0</v>
      </c>
      <c r="L3413" s="6" t="b">
        <f t="shared" si="3226"/>
        <v>0</v>
      </c>
      <c r="M3413" s="6" t="b">
        <f t="shared" si="3226"/>
        <v>0</v>
      </c>
      <c r="P3413" s="4">
        <v>0.260053905334307</v>
      </c>
      <c r="T3413" s="4" t="str">
        <f t="shared" si="3"/>
        <v/>
      </c>
      <c r="U3413" s="4">
        <f t="shared" si="4"/>
        <v>1398</v>
      </c>
    </row>
    <row r="3414" ht="15.75" customHeight="1">
      <c r="A3414" s="4" t="s">
        <v>4455</v>
      </c>
      <c r="B3414" s="4" t="s">
        <v>13</v>
      </c>
      <c r="I3414" s="4">
        <v>0.252</v>
      </c>
      <c r="J3414" s="4">
        <v>0.052</v>
      </c>
      <c r="K3414" s="6" t="b">
        <f t="shared" ref="K3414:M3414" si="3227">FALSE()</f>
        <v>0</v>
      </c>
      <c r="L3414" s="6" t="b">
        <f t="shared" si="3227"/>
        <v>0</v>
      </c>
      <c r="M3414" s="6" t="b">
        <f t="shared" si="3227"/>
        <v>0</v>
      </c>
      <c r="P3414" s="4">
        <v>0.224742272677907</v>
      </c>
      <c r="T3414" s="4" t="str">
        <f t="shared" si="3"/>
        <v/>
      </c>
      <c r="U3414" s="4">
        <f t="shared" si="4"/>
        <v>1785</v>
      </c>
    </row>
    <row r="3415" ht="15.75" customHeight="1">
      <c r="A3415" s="4" t="s">
        <v>4456</v>
      </c>
      <c r="B3415" s="4" t="s">
        <v>13</v>
      </c>
      <c r="I3415" s="4">
        <v>0.166</v>
      </c>
      <c r="J3415" s="4">
        <v>0.04</v>
      </c>
      <c r="K3415" s="6" t="b">
        <f t="shared" ref="K3415:M3415" si="3228">FALSE()</f>
        <v>0</v>
      </c>
      <c r="L3415" s="6" t="b">
        <f t="shared" si="3228"/>
        <v>0</v>
      </c>
      <c r="M3415" s="6" t="b">
        <f t="shared" si="3228"/>
        <v>0</v>
      </c>
      <c r="P3415" s="4">
        <v>0.153579087928301</v>
      </c>
      <c r="T3415" s="4" t="str">
        <f t="shared" si="3"/>
        <v/>
      </c>
      <c r="U3415" s="4">
        <f t="shared" si="4"/>
        <v>3098</v>
      </c>
    </row>
    <row r="3416" ht="15.75" customHeight="1">
      <c r="A3416" s="4" t="s">
        <v>4457</v>
      </c>
      <c r="B3416" s="4" t="s">
        <v>13</v>
      </c>
      <c r="I3416" s="4">
        <v>0.235</v>
      </c>
      <c r="J3416" s="4">
        <v>0.049</v>
      </c>
      <c r="K3416" s="6" t="b">
        <f t="shared" ref="K3416:M3416" si="3229">FALSE()</f>
        <v>0</v>
      </c>
      <c r="L3416" s="6" t="b">
        <f t="shared" si="3229"/>
        <v>0</v>
      </c>
      <c r="M3416" s="6" t="b">
        <f t="shared" si="3229"/>
        <v>0</v>
      </c>
      <c r="P3416" s="4">
        <v>0.211070970079941</v>
      </c>
      <c r="T3416" s="4" t="str">
        <f t="shared" si="3"/>
        <v/>
      </c>
      <c r="U3416" s="4">
        <f t="shared" si="4"/>
        <v>2032</v>
      </c>
    </row>
    <row r="3417" ht="15.75" customHeight="1">
      <c r="A3417" s="4" t="s">
        <v>4458</v>
      </c>
      <c r="B3417" s="4" t="s">
        <v>13</v>
      </c>
      <c r="I3417" s="4">
        <v>0.222</v>
      </c>
      <c r="J3417" s="4">
        <v>0.048</v>
      </c>
      <c r="K3417" s="6" t="b">
        <f t="shared" ref="K3417:M3417" si="3230">FALSE()</f>
        <v>0</v>
      </c>
      <c r="L3417" s="6" t="b">
        <f t="shared" si="3230"/>
        <v>0</v>
      </c>
      <c r="M3417" s="6" t="b">
        <f t="shared" si="3230"/>
        <v>0</v>
      </c>
      <c r="P3417" s="4">
        <v>0.200488860749404</v>
      </c>
      <c r="T3417" s="4" t="str">
        <f t="shared" si="3"/>
        <v/>
      </c>
      <c r="U3417" s="4">
        <f t="shared" si="4"/>
        <v>2233</v>
      </c>
    </row>
    <row r="3418" ht="15.75" customHeight="1">
      <c r="A3418" s="4" t="s">
        <v>4459</v>
      </c>
      <c r="B3418" s="4" t="s">
        <v>13</v>
      </c>
      <c r="I3418" s="4">
        <v>0.231</v>
      </c>
      <c r="J3418" s="4">
        <v>0.049</v>
      </c>
      <c r="K3418" s="6" t="b">
        <f t="shared" ref="K3418:M3418" si="3231">FALSE()</f>
        <v>0</v>
      </c>
      <c r="L3418" s="6" t="b">
        <f t="shared" si="3231"/>
        <v>0</v>
      </c>
      <c r="M3418" s="6" t="b">
        <f t="shared" si="3231"/>
        <v>0</v>
      </c>
      <c r="P3418" s="4">
        <v>0.207826847202316</v>
      </c>
      <c r="T3418" s="4" t="str">
        <f t="shared" si="3"/>
        <v/>
      </c>
      <c r="U3418" s="4">
        <f t="shared" si="4"/>
        <v>2098</v>
      </c>
    </row>
    <row r="3419" ht="15.75" customHeight="1">
      <c r="A3419" s="4" t="s">
        <v>4460</v>
      </c>
      <c r="B3419" s="4" t="s">
        <v>13</v>
      </c>
      <c r="I3419" s="4">
        <v>0.221</v>
      </c>
      <c r="J3419" s="4">
        <v>0.107</v>
      </c>
      <c r="K3419" s="6" t="b">
        <f t="shared" ref="K3419:M3419" si="3232">FALSE()</f>
        <v>0</v>
      </c>
      <c r="L3419" s="6" t="b">
        <f t="shared" si="3232"/>
        <v>0</v>
      </c>
      <c r="M3419" s="6" t="b">
        <f t="shared" si="3232"/>
        <v>0</v>
      </c>
      <c r="P3419" s="4">
        <v>0.199670195128568</v>
      </c>
      <c r="T3419" s="4" t="str">
        <f t="shared" si="3"/>
        <v/>
      </c>
      <c r="U3419" s="4">
        <f t="shared" si="4"/>
        <v>2248</v>
      </c>
    </row>
    <row r="3420" ht="15.75" customHeight="1">
      <c r="A3420" s="4" t="s">
        <v>4461</v>
      </c>
      <c r="B3420" s="4" t="s">
        <v>13</v>
      </c>
      <c r="I3420" s="4">
        <v>0.347</v>
      </c>
      <c r="J3420" s="4">
        <v>0.169</v>
      </c>
      <c r="K3420" s="6" t="b">
        <f t="shared" ref="K3420:M3420" si="3233">FALSE()</f>
        <v>0</v>
      </c>
      <c r="L3420" s="6" t="b">
        <f t="shared" si="3233"/>
        <v>0</v>
      </c>
      <c r="M3420" s="6" t="b">
        <f t="shared" si="3233"/>
        <v>0</v>
      </c>
      <c r="P3420" s="4">
        <v>0.297879897428227</v>
      </c>
      <c r="T3420" s="4" t="str">
        <f t="shared" si="3"/>
        <v/>
      </c>
      <c r="U3420" s="4">
        <f t="shared" si="4"/>
        <v>1219</v>
      </c>
    </row>
    <row r="3421" ht="15.75" customHeight="1">
      <c r="A3421" s="4" t="s">
        <v>4462</v>
      </c>
      <c r="B3421" s="4" t="s">
        <v>13</v>
      </c>
      <c r="I3421" s="4">
        <v>0.177</v>
      </c>
      <c r="J3421" s="4">
        <v>0.008</v>
      </c>
      <c r="K3421" s="6" t="b">
        <f t="shared" ref="K3421:M3421" si="3234">FALSE()</f>
        <v>0</v>
      </c>
      <c r="L3421" s="6" t="b">
        <f t="shared" si="3234"/>
        <v>0</v>
      </c>
      <c r="M3421" s="6" t="b">
        <f t="shared" si="3234"/>
        <v>0</v>
      </c>
      <c r="P3421" s="4">
        <v>0.16296882827814</v>
      </c>
      <c r="T3421" s="4" t="str">
        <f t="shared" si="3"/>
        <v/>
      </c>
      <c r="U3421" s="4">
        <f t="shared" si="4"/>
        <v>2949</v>
      </c>
    </row>
    <row r="3422" ht="15.75" customHeight="1">
      <c r="A3422" s="4" t="s">
        <v>4463</v>
      </c>
      <c r="B3422" s="4" t="s">
        <v>13</v>
      </c>
      <c r="I3422" s="4">
        <v>0.19</v>
      </c>
      <c r="J3422" s="4">
        <v>0.01</v>
      </c>
      <c r="K3422" s="6" t="b">
        <f t="shared" ref="K3422:M3422" si="3235">FALSE()</f>
        <v>0</v>
      </c>
      <c r="L3422" s="6" t="b">
        <f t="shared" si="3235"/>
        <v>0</v>
      </c>
      <c r="M3422" s="6" t="b">
        <f t="shared" si="3235"/>
        <v>0</v>
      </c>
      <c r="P3422" s="4">
        <v>0.173953307123438</v>
      </c>
      <c r="T3422" s="4" t="str">
        <f t="shared" si="3"/>
        <v/>
      </c>
      <c r="U3422" s="4">
        <f t="shared" si="4"/>
        <v>2738</v>
      </c>
    </row>
    <row r="3423" ht="15.75" customHeight="1">
      <c r="A3423" s="4" t="s">
        <v>4464</v>
      </c>
      <c r="B3423" s="4" t="s">
        <v>13</v>
      </c>
      <c r="I3423" s="4">
        <v>0.203</v>
      </c>
      <c r="J3423" s="4">
        <v>0.011</v>
      </c>
      <c r="K3423" s="6" t="b">
        <f t="shared" ref="K3423:M3423" si="3236">FALSE()</f>
        <v>0</v>
      </c>
      <c r="L3423" s="6" t="b">
        <f t="shared" si="3236"/>
        <v>0</v>
      </c>
      <c r="M3423" s="6" t="b">
        <f t="shared" si="3236"/>
        <v>0</v>
      </c>
      <c r="P3423" s="4">
        <v>0.184818436992542</v>
      </c>
      <c r="T3423" s="4" t="str">
        <f t="shared" si="3"/>
        <v/>
      </c>
      <c r="U3423" s="4">
        <f t="shared" si="4"/>
        <v>2531</v>
      </c>
    </row>
    <row r="3424" ht="15.75" customHeight="1">
      <c r="A3424" s="4" t="s">
        <v>4465</v>
      </c>
      <c r="B3424" s="4" t="s">
        <v>13</v>
      </c>
      <c r="I3424" s="4">
        <v>0.227</v>
      </c>
      <c r="J3424" s="4">
        <v>0.042</v>
      </c>
      <c r="K3424" s="6" t="b">
        <f t="shared" ref="K3424:M3424" si="3237">FALSE()</f>
        <v>0</v>
      </c>
      <c r="L3424" s="6" t="b">
        <f t="shared" si="3237"/>
        <v>0</v>
      </c>
      <c r="M3424" s="6" t="b">
        <f t="shared" si="3237"/>
        <v>0</v>
      </c>
      <c r="P3424" s="4">
        <v>0.204572165728774</v>
      </c>
      <c r="T3424" s="4" t="str">
        <f t="shared" si="3"/>
        <v/>
      </c>
      <c r="U3424" s="4">
        <f t="shared" si="4"/>
        <v>2158</v>
      </c>
    </row>
    <row r="3425" ht="15.75" customHeight="1">
      <c r="A3425" s="4" t="s">
        <v>4466</v>
      </c>
      <c r="B3425" s="4" t="s">
        <v>13</v>
      </c>
      <c r="I3425" s="4">
        <v>0.302</v>
      </c>
      <c r="J3425" s="4">
        <v>0.062</v>
      </c>
      <c r="K3425" s="6" t="b">
        <f t="shared" ref="K3425:M3425" si="3238">FALSE()</f>
        <v>0</v>
      </c>
      <c r="L3425" s="6" t="b">
        <f t="shared" si="3238"/>
        <v>0</v>
      </c>
      <c r="M3425" s="6" t="b">
        <f t="shared" si="3238"/>
        <v>0</v>
      </c>
      <c r="P3425" s="4">
        <v>0.263901543786378</v>
      </c>
      <c r="T3425" s="4" t="str">
        <f t="shared" si="3"/>
        <v/>
      </c>
      <c r="U3425" s="4">
        <f t="shared" si="4"/>
        <v>1365</v>
      </c>
    </row>
    <row r="3426" ht="15.75" customHeight="1">
      <c r="A3426" s="4" t="s">
        <v>4467</v>
      </c>
      <c r="B3426" s="4" t="s">
        <v>13</v>
      </c>
      <c r="I3426" s="4">
        <v>0.22</v>
      </c>
      <c r="J3426" s="4">
        <v>0.103</v>
      </c>
      <c r="K3426" s="6" t="b">
        <f t="shared" ref="K3426:M3426" si="3239">FALSE()</f>
        <v>0</v>
      </c>
      <c r="L3426" s="6" t="b">
        <f t="shared" si="3239"/>
        <v>0</v>
      </c>
      <c r="M3426" s="6" t="b">
        <f t="shared" si="3239"/>
        <v>0</v>
      </c>
      <c r="P3426" s="4">
        <v>0.198850858745165</v>
      </c>
      <c r="T3426" s="4" t="str">
        <f t="shared" si="3"/>
        <v/>
      </c>
      <c r="U3426" s="4">
        <f t="shared" si="4"/>
        <v>2264</v>
      </c>
    </row>
    <row r="3427" ht="15.75" customHeight="1">
      <c r="A3427" s="4" t="s">
        <v>4468</v>
      </c>
      <c r="B3427" s="4" t="s">
        <v>13</v>
      </c>
      <c r="I3427" s="4">
        <v>0.151</v>
      </c>
      <c r="J3427" s="4">
        <v>0.071</v>
      </c>
      <c r="K3427" s="6" t="b">
        <f t="shared" ref="K3427:M3427" si="3240">FALSE()</f>
        <v>0</v>
      </c>
      <c r="L3427" s="6" t="b">
        <f t="shared" si="3240"/>
        <v>0</v>
      </c>
      <c r="M3427" s="6" t="b">
        <f t="shared" si="3240"/>
        <v>0</v>
      </c>
      <c r="P3427" s="4">
        <v>0.140631129739746</v>
      </c>
      <c r="T3427" s="4" t="str">
        <f t="shared" si="3"/>
        <v/>
      </c>
      <c r="U3427" s="4">
        <f t="shared" si="4"/>
        <v>3308</v>
      </c>
    </row>
    <row r="3428" ht="15.75" customHeight="1">
      <c r="A3428" s="4" t="s">
        <v>844</v>
      </c>
      <c r="B3428" s="4" t="s">
        <v>13</v>
      </c>
      <c r="C3428" s="4">
        <v>0.01611</v>
      </c>
      <c r="D3428" s="4">
        <v>0.00192</v>
      </c>
      <c r="E3428" s="4">
        <v>0.00205</v>
      </c>
      <c r="I3428" s="4">
        <v>0.248</v>
      </c>
      <c r="J3428" s="4">
        <v>0.01</v>
      </c>
      <c r="K3428" s="6" t="b">
        <f t="shared" ref="K3428:M3428" si="3241">FALSE()</f>
        <v>0</v>
      </c>
      <c r="L3428" s="6" t="b">
        <f t="shared" si="3241"/>
        <v>0</v>
      </c>
      <c r="M3428" s="6" t="b">
        <f t="shared" si="3241"/>
        <v>0</v>
      </c>
      <c r="N3428" s="4">
        <v>0.0159816110122993</v>
      </c>
      <c r="P3428" s="4">
        <v>0.221542269947236</v>
      </c>
      <c r="T3428" s="4">
        <f t="shared" si="3"/>
        <v>1804</v>
      </c>
      <c r="U3428" s="4">
        <f t="shared" si="4"/>
        <v>1832</v>
      </c>
    </row>
    <row r="3429" ht="15.75" customHeight="1">
      <c r="A3429" s="4" t="s">
        <v>845</v>
      </c>
      <c r="B3429" s="4" t="s">
        <v>13</v>
      </c>
      <c r="C3429" s="4">
        <v>0.01951</v>
      </c>
      <c r="D3429" s="4">
        <v>0.00205</v>
      </c>
      <c r="E3429" s="4">
        <v>0.00205</v>
      </c>
      <c r="I3429" s="4">
        <v>0.243</v>
      </c>
      <c r="J3429" s="4">
        <v>0.011</v>
      </c>
      <c r="K3429" s="6" t="b">
        <f t="shared" ref="K3429:M3429" si="3242">FALSE()</f>
        <v>0</v>
      </c>
      <c r="L3429" s="6" t="b">
        <f t="shared" si="3242"/>
        <v>0</v>
      </c>
      <c r="M3429" s="6" t="b">
        <f t="shared" si="3242"/>
        <v>0</v>
      </c>
      <c r="N3429" s="4">
        <v>0.019322119714037</v>
      </c>
      <c r="P3429" s="4">
        <v>0.217527812528574</v>
      </c>
      <c r="T3429" s="4">
        <f t="shared" si="3"/>
        <v>1745</v>
      </c>
      <c r="U3429" s="4">
        <f t="shared" si="4"/>
        <v>1902</v>
      </c>
    </row>
    <row r="3430" ht="15.75" customHeight="1">
      <c r="A3430" s="4" t="s">
        <v>4469</v>
      </c>
      <c r="B3430" s="4" t="s">
        <v>13</v>
      </c>
      <c r="I3430" s="4">
        <v>0.095</v>
      </c>
      <c r="J3430" s="4">
        <v>0.005</v>
      </c>
      <c r="K3430" s="6" t="b">
        <f t="shared" ref="K3430:M3430" si="3243">FALSE()</f>
        <v>0</v>
      </c>
      <c r="L3430" s="6" t="b">
        <f t="shared" si="3243"/>
        <v>0</v>
      </c>
      <c r="M3430" s="6" t="b">
        <f t="shared" si="3243"/>
        <v>0</v>
      </c>
      <c r="P3430" s="4">
        <v>0.0907543632684641</v>
      </c>
      <c r="T3430" s="4" t="str">
        <f t="shared" si="3"/>
        <v/>
      </c>
      <c r="U3430" s="4">
        <f t="shared" si="4"/>
        <v>4281</v>
      </c>
    </row>
    <row r="3431" ht="15.75" customHeight="1">
      <c r="A3431" s="4" t="s">
        <v>4470</v>
      </c>
      <c r="B3431" s="4" t="s">
        <v>13</v>
      </c>
      <c r="I3431" s="4">
        <v>0.215</v>
      </c>
      <c r="J3431" s="4">
        <v>0.013</v>
      </c>
      <c r="K3431" s="6" t="b">
        <f t="shared" ref="K3431:M3431" si="3244">FALSE()</f>
        <v>0</v>
      </c>
      <c r="L3431" s="6" t="b">
        <f t="shared" si="3244"/>
        <v>0</v>
      </c>
      <c r="M3431" s="6" t="b">
        <f t="shared" si="3244"/>
        <v>0</v>
      </c>
      <c r="P3431" s="4">
        <v>0.194744076792512</v>
      </c>
      <c r="T3431" s="4" t="str">
        <f t="shared" si="3"/>
        <v/>
      </c>
      <c r="U3431" s="4">
        <f t="shared" si="4"/>
        <v>2339</v>
      </c>
    </row>
    <row r="3432" ht="15.75" customHeight="1">
      <c r="A3432" s="4" t="s">
        <v>4471</v>
      </c>
      <c r="B3432" s="4" t="s">
        <v>13</v>
      </c>
      <c r="I3432" s="4">
        <v>0.179</v>
      </c>
      <c r="J3432" s="4">
        <v>0.036</v>
      </c>
      <c r="K3432" s="6" t="b">
        <f t="shared" ref="K3432:M3432" si="3245">FALSE()</f>
        <v>0</v>
      </c>
      <c r="L3432" s="6" t="b">
        <f t="shared" si="3245"/>
        <v>0</v>
      </c>
      <c r="M3432" s="6" t="b">
        <f t="shared" si="3245"/>
        <v>0</v>
      </c>
      <c r="P3432" s="4">
        <v>0.164666621555234</v>
      </c>
      <c r="T3432" s="4" t="str">
        <f t="shared" si="3"/>
        <v/>
      </c>
      <c r="U3432" s="4">
        <f t="shared" si="4"/>
        <v>2902</v>
      </c>
    </row>
    <row r="3433" ht="15.75" customHeight="1">
      <c r="A3433" s="4" t="s">
        <v>4472</v>
      </c>
      <c r="B3433" s="4" t="s">
        <v>13</v>
      </c>
      <c r="I3433" s="4">
        <v>0.158</v>
      </c>
      <c r="J3433" s="4">
        <v>0.033</v>
      </c>
      <c r="K3433" s="6" t="b">
        <f t="shared" ref="K3433:M3433" si="3246">FALSE()</f>
        <v>0</v>
      </c>
      <c r="L3433" s="6" t="b">
        <f t="shared" si="3246"/>
        <v>0</v>
      </c>
      <c r="M3433" s="6" t="b">
        <f t="shared" si="3246"/>
        <v>0</v>
      </c>
      <c r="P3433" s="4">
        <v>0.146694379150804</v>
      </c>
      <c r="T3433" s="4" t="str">
        <f t="shared" si="3"/>
        <v/>
      </c>
      <c r="U3433" s="4">
        <f t="shared" si="4"/>
        <v>3203</v>
      </c>
    </row>
    <row r="3434" ht="15.75" customHeight="1">
      <c r="A3434" s="4" t="s">
        <v>4473</v>
      </c>
      <c r="B3434" s="4" t="s">
        <v>13</v>
      </c>
      <c r="I3434" s="4">
        <v>0.1088</v>
      </c>
      <c r="J3434" s="4">
        <v>0.008</v>
      </c>
      <c r="K3434" s="6" t="b">
        <f t="shared" ref="K3434:M3434" si="3247">FALSE()</f>
        <v>0</v>
      </c>
      <c r="L3434" s="6" t="b">
        <f t="shared" si="3247"/>
        <v>0</v>
      </c>
      <c r="M3434" s="6" t="b">
        <f t="shared" si="3247"/>
        <v>0</v>
      </c>
      <c r="P3434" s="4">
        <v>0.103278349453502</v>
      </c>
      <c r="T3434" s="4" t="str">
        <f t="shared" si="3"/>
        <v/>
      </c>
      <c r="U3434" s="4">
        <f t="shared" si="4"/>
        <v>4070</v>
      </c>
    </row>
    <row r="3435" ht="15.75" customHeight="1">
      <c r="A3435" s="4" t="s">
        <v>4474</v>
      </c>
      <c r="B3435" s="4" t="s">
        <v>13</v>
      </c>
      <c r="I3435" s="4">
        <v>0.0839</v>
      </c>
      <c r="J3435" s="4">
        <v>0.0071</v>
      </c>
      <c r="K3435" s="6" t="b">
        <f t="shared" ref="K3435:M3435" si="3248">FALSE()</f>
        <v>0</v>
      </c>
      <c r="L3435" s="6" t="b">
        <f t="shared" si="3248"/>
        <v>0</v>
      </c>
      <c r="M3435" s="6" t="b">
        <f t="shared" si="3248"/>
        <v>0</v>
      </c>
      <c r="P3435" s="4">
        <v>0.0805656478395671</v>
      </c>
      <c r="T3435" s="4" t="str">
        <f t="shared" si="3"/>
        <v/>
      </c>
      <c r="U3435" s="4">
        <f t="shared" si="4"/>
        <v>4387</v>
      </c>
    </row>
    <row r="3436" ht="15.75" customHeight="1">
      <c r="A3436" s="4" t="s">
        <v>4475</v>
      </c>
      <c r="B3436" s="4" t="s">
        <v>13</v>
      </c>
      <c r="I3436" s="4">
        <v>0.0598</v>
      </c>
      <c r="J3436" s="4">
        <v>0.0054</v>
      </c>
      <c r="K3436" s="6" t="b">
        <f t="shared" ref="K3436:M3436" si="3249">FALSE()</f>
        <v>0</v>
      </c>
      <c r="L3436" s="6" t="b">
        <f t="shared" si="3249"/>
        <v>0</v>
      </c>
      <c r="M3436" s="6" t="b">
        <f t="shared" si="3249"/>
        <v>0</v>
      </c>
      <c r="P3436" s="4">
        <v>0.0580802110765246</v>
      </c>
      <c r="T3436" s="4" t="str">
        <f t="shared" si="3"/>
        <v/>
      </c>
      <c r="U3436" s="4">
        <f t="shared" si="4"/>
        <v>4536</v>
      </c>
    </row>
    <row r="3437" ht="15.75" customHeight="1">
      <c r="A3437" s="4" t="s">
        <v>4476</v>
      </c>
      <c r="B3437" s="4" t="s">
        <v>13</v>
      </c>
      <c r="I3437" s="4">
        <v>0.128</v>
      </c>
      <c r="J3437" s="4">
        <v>0.069</v>
      </c>
      <c r="K3437" s="6" t="b">
        <f t="shared" ref="K3437:M3437" si="3250">FALSE()</f>
        <v>0</v>
      </c>
      <c r="L3437" s="6" t="b">
        <f t="shared" si="3250"/>
        <v>0</v>
      </c>
      <c r="M3437" s="6" t="b">
        <f t="shared" si="3250"/>
        <v>0</v>
      </c>
      <c r="P3437" s="4">
        <v>0.120446153075867</v>
      </c>
      <c r="T3437" s="4" t="str">
        <f t="shared" si="3"/>
        <v/>
      </c>
      <c r="U3437" s="4">
        <f t="shared" si="4"/>
        <v>3730</v>
      </c>
    </row>
    <row r="3438" ht="15.75" customHeight="1">
      <c r="A3438" s="4" t="s">
        <v>4477</v>
      </c>
      <c r="B3438" s="4" t="s">
        <v>13</v>
      </c>
      <c r="I3438" s="4">
        <v>0.16</v>
      </c>
      <c r="J3438" s="4">
        <v>0.086</v>
      </c>
      <c r="K3438" s="6" t="b">
        <f t="shared" ref="K3438:M3438" si="3251">FALSE()</f>
        <v>0</v>
      </c>
      <c r="L3438" s="6" t="b">
        <f t="shared" si="3251"/>
        <v>0</v>
      </c>
      <c r="M3438" s="6" t="b">
        <f t="shared" si="3251"/>
        <v>0</v>
      </c>
      <c r="P3438" s="4">
        <v>0.148420005118273</v>
      </c>
      <c r="T3438" s="4" t="str">
        <f t="shared" si="3"/>
        <v/>
      </c>
      <c r="U3438" s="4">
        <f t="shared" si="4"/>
        <v>3177</v>
      </c>
    </row>
    <row r="3439" ht="15.75" customHeight="1">
      <c r="A3439" s="4" t="s">
        <v>4478</v>
      </c>
      <c r="B3439" s="4" t="s">
        <v>13</v>
      </c>
      <c r="I3439" s="4">
        <v>0.201</v>
      </c>
      <c r="J3439" s="4">
        <v>0.109</v>
      </c>
      <c r="K3439" s="6" t="b">
        <f t="shared" ref="K3439:M3439" si="3252">FALSE()</f>
        <v>0</v>
      </c>
      <c r="L3439" s="6" t="b">
        <f t="shared" si="3252"/>
        <v>0</v>
      </c>
      <c r="M3439" s="6" t="b">
        <f t="shared" si="3252"/>
        <v>0</v>
      </c>
      <c r="P3439" s="4">
        <v>0.183154543097847</v>
      </c>
      <c r="T3439" s="4" t="str">
        <f t="shared" si="3"/>
        <v/>
      </c>
      <c r="U3439" s="4">
        <f t="shared" si="4"/>
        <v>2569</v>
      </c>
    </row>
    <row r="3440" ht="15.75" customHeight="1">
      <c r="A3440" s="4" t="s">
        <v>4479</v>
      </c>
      <c r="B3440" s="4" t="s">
        <v>13</v>
      </c>
      <c r="I3440" s="4">
        <v>0.134</v>
      </c>
      <c r="J3440" s="4">
        <v>0.077</v>
      </c>
      <c r="K3440" s="6" t="b">
        <f t="shared" ref="K3440:M3440" si="3253">FALSE()</f>
        <v>0</v>
      </c>
      <c r="L3440" s="6" t="b">
        <f t="shared" si="3253"/>
        <v>0</v>
      </c>
      <c r="M3440" s="6" t="b">
        <f t="shared" si="3253"/>
        <v>0</v>
      </c>
      <c r="P3440" s="4">
        <v>0.12575120530556</v>
      </c>
      <c r="T3440" s="4" t="str">
        <f t="shared" si="3"/>
        <v/>
      </c>
      <c r="U3440" s="4">
        <f t="shared" si="4"/>
        <v>3632</v>
      </c>
    </row>
    <row r="3441" ht="15.75" customHeight="1">
      <c r="A3441" s="4" t="s">
        <v>4480</v>
      </c>
      <c r="B3441" s="4" t="s">
        <v>13</v>
      </c>
      <c r="I3441" s="4">
        <v>0.177</v>
      </c>
      <c r="J3441" s="4">
        <v>0.103</v>
      </c>
      <c r="K3441" s="6" t="b">
        <f t="shared" ref="K3441:M3441" si="3254">FALSE()</f>
        <v>0</v>
      </c>
      <c r="L3441" s="6" t="b">
        <f t="shared" si="3254"/>
        <v>0</v>
      </c>
      <c r="M3441" s="6" t="b">
        <f t="shared" si="3254"/>
        <v>0</v>
      </c>
      <c r="P3441" s="4">
        <v>0.16296882827814</v>
      </c>
      <c r="T3441" s="4" t="str">
        <f t="shared" si="3"/>
        <v/>
      </c>
      <c r="U3441" s="4">
        <f t="shared" si="4"/>
        <v>2950</v>
      </c>
    </row>
    <row r="3442" ht="15.75" customHeight="1">
      <c r="A3442" s="4" t="s">
        <v>4481</v>
      </c>
      <c r="B3442" s="4" t="s">
        <v>13</v>
      </c>
      <c r="I3442" s="4">
        <v>0.137</v>
      </c>
      <c r="J3442" s="4">
        <v>0.075</v>
      </c>
      <c r="K3442" s="6" t="b">
        <f t="shared" ref="K3442:M3442" si="3255">FALSE()</f>
        <v>0</v>
      </c>
      <c r="L3442" s="6" t="b">
        <f t="shared" si="3255"/>
        <v>0</v>
      </c>
      <c r="M3442" s="6" t="b">
        <f t="shared" si="3255"/>
        <v>0</v>
      </c>
      <c r="P3442" s="4">
        <v>0.128393214768399</v>
      </c>
      <c r="T3442" s="4" t="str">
        <f t="shared" si="3"/>
        <v/>
      </c>
      <c r="U3442" s="4">
        <f t="shared" si="4"/>
        <v>3562</v>
      </c>
    </row>
    <row r="3443" ht="15.75" customHeight="1">
      <c r="A3443" s="4" t="s">
        <v>4482</v>
      </c>
      <c r="B3443" s="4" t="s">
        <v>13</v>
      </c>
      <c r="I3443" s="4">
        <v>0.164</v>
      </c>
      <c r="J3443" s="4">
        <v>0.089</v>
      </c>
      <c r="K3443" s="6" t="b">
        <f t="shared" ref="K3443:M3443" si="3256">FALSE()</f>
        <v>0</v>
      </c>
      <c r="L3443" s="6" t="b">
        <f t="shared" si="3256"/>
        <v>0</v>
      </c>
      <c r="M3443" s="6" t="b">
        <f t="shared" si="3256"/>
        <v>0</v>
      </c>
      <c r="P3443" s="4">
        <v>0.151862349309246</v>
      </c>
      <c r="T3443" s="4" t="str">
        <f t="shared" si="3"/>
        <v/>
      </c>
      <c r="U3443" s="4">
        <f t="shared" si="4"/>
        <v>3126</v>
      </c>
    </row>
    <row r="3444" ht="15.75" customHeight="1">
      <c r="A3444" s="4" t="s">
        <v>4483</v>
      </c>
      <c r="B3444" s="4" t="s">
        <v>13</v>
      </c>
      <c r="I3444" s="4">
        <v>0.209</v>
      </c>
      <c r="J3444" s="4">
        <v>0.04</v>
      </c>
      <c r="K3444" s="6" t="b">
        <f t="shared" ref="K3444:M3444" si="3257">FALSE()</f>
        <v>0</v>
      </c>
      <c r="L3444" s="6" t="b">
        <f t="shared" si="3257"/>
        <v>0</v>
      </c>
      <c r="M3444" s="6" t="b">
        <f t="shared" si="3257"/>
        <v>0</v>
      </c>
      <c r="P3444" s="4">
        <v>0.189793571632656</v>
      </c>
      <c r="T3444" s="4" t="str">
        <f t="shared" si="3"/>
        <v/>
      </c>
      <c r="U3444" s="4">
        <f t="shared" si="4"/>
        <v>2437</v>
      </c>
    </row>
    <row r="3445" ht="15.75" customHeight="1">
      <c r="A3445" s="4" t="s">
        <v>4484</v>
      </c>
      <c r="B3445" s="4" t="s">
        <v>13</v>
      </c>
      <c r="I3445" s="4">
        <v>0.302</v>
      </c>
      <c r="J3445" s="4">
        <v>0.057</v>
      </c>
      <c r="K3445" s="6" t="b">
        <f t="shared" ref="K3445:M3445" si="3258">FALSE()</f>
        <v>0</v>
      </c>
      <c r="L3445" s="6" t="b">
        <f t="shared" si="3258"/>
        <v>0</v>
      </c>
      <c r="M3445" s="6" t="b">
        <f t="shared" si="3258"/>
        <v>0</v>
      </c>
      <c r="P3445" s="4">
        <v>0.263901543786378</v>
      </c>
      <c r="T3445" s="4" t="str">
        <f t="shared" si="3"/>
        <v/>
      </c>
      <c r="U3445" s="4">
        <f t="shared" si="4"/>
        <v>1366</v>
      </c>
    </row>
    <row r="3446" ht="15.75" customHeight="1">
      <c r="A3446" s="4" t="s">
        <v>4485</v>
      </c>
      <c r="B3446" s="4" t="s">
        <v>13</v>
      </c>
      <c r="I3446" s="4">
        <v>0.297</v>
      </c>
      <c r="J3446" s="4">
        <v>0.066</v>
      </c>
      <c r="K3446" s="6" t="b">
        <f t="shared" ref="K3446:M3446" si="3259">FALSE()</f>
        <v>0</v>
      </c>
      <c r="L3446" s="6" t="b">
        <f t="shared" si="3259"/>
        <v>0</v>
      </c>
      <c r="M3446" s="6" t="b">
        <f t="shared" si="3259"/>
        <v>0</v>
      </c>
      <c r="P3446" s="4">
        <v>0.260053905334307</v>
      </c>
      <c r="T3446" s="4" t="str">
        <f t="shared" si="3"/>
        <v/>
      </c>
      <c r="U3446" s="4">
        <f t="shared" si="4"/>
        <v>1399</v>
      </c>
    </row>
    <row r="3447" ht="15.75" customHeight="1">
      <c r="A3447" s="4" t="s">
        <v>4486</v>
      </c>
      <c r="B3447" s="4" t="s">
        <v>13</v>
      </c>
      <c r="I3447" s="4">
        <v>0.256</v>
      </c>
      <c r="J3447" s="4">
        <v>0.12</v>
      </c>
      <c r="K3447" s="6" t="b">
        <f t="shared" ref="K3447:M3447" si="3260">FALSE()</f>
        <v>0</v>
      </c>
      <c r="L3447" s="6" t="b">
        <f t="shared" si="3260"/>
        <v>0</v>
      </c>
      <c r="M3447" s="6" t="b">
        <f t="shared" si="3260"/>
        <v>0</v>
      </c>
      <c r="P3447" s="4">
        <v>0.227932068046007</v>
      </c>
      <c r="T3447" s="4" t="str">
        <f t="shared" si="3"/>
        <v/>
      </c>
      <c r="U3447" s="4">
        <f t="shared" si="4"/>
        <v>1731</v>
      </c>
    </row>
    <row r="3448" ht="15.75" customHeight="1">
      <c r="A3448" s="4" t="s">
        <v>846</v>
      </c>
      <c r="B3448" s="4" t="s">
        <v>13</v>
      </c>
      <c r="C3448" s="4">
        <v>0.052</v>
      </c>
      <c r="D3448" s="4">
        <v>0.011</v>
      </c>
      <c r="E3448" s="4">
        <v>0.014</v>
      </c>
      <c r="I3448" s="4">
        <v>0.259</v>
      </c>
      <c r="J3448" s="4">
        <v>0.0143</v>
      </c>
      <c r="K3448" s="6" t="b">
        <f t="shared" ref="K3448:M3448" si="3261">FALSE()</f>
        <v>0</v>
      </c>
      <c r="L3448" s="6" t="b">
        <f t="shared" si="3261"/>
        <v>0</v>
      </c>
      <c r="M3448" s="6" t="b">
        <f t="shared" si="3261"/>
        <v>0</v>
      </c>
      <c r="N3448" s="4">
        <v>0.0506931143155181</v>
      </c>
      <c r="P3448" s="4">
        <v>0.23031775506221</v>
      </c>
      <c r="T3448" s="4">
        <f t="shared" si="3"/>
        <v>1393</v>
      </c>
      <c r="U3448" s="4">
        <f t="shared" si="4"/>
        <v>1698</v>
      </c>
    </row>
    <row r="3449" ht="15.75" customHeight="1">
      <c r="A3449" s="4" t="s">
        <v>847</v>
      </c>
      <c r="B3449" s="4" t="s">
        <v>13</v>
      </c>
      <c r="C3449" s="4">
        <v>0.051</v>
      </c>
      <c r="D3449" s="4">
        <v>0.014</v>
      </c>
      <c r="E3449" s="4">
        <v>0.016</v>
      </c>
      <c r="I3449" s="4">
        <v>0.25</v>
      </c>
      <c r="J3449" s="4">
        <v>0.0134</v>
      </c>
      <c r="K3449" s="6" t="b">
        <f t="shared" ref="K3449:M3449" si="3262">FALSE()</f>
        <v>0</v>
      </c>
      <c r="L3449" s="6" t="b">
        <f t="shared" si="3262"/>
        <v>0</v>
      </c>
      <c r="M3449" s="6" t="b">
        <f t="shared" si="3262"/>
        <v>0</v>
      </c>
      <c r="N3449" s="4">
        <v>0.049742091894814</v>
      </c>
      <c r="P3449" s="4">
        <v>0.22314355131421</v>
      </c>
      <c r="T3449" s="4">
        <f t="shared" si="3"/>
        <v>1400</v>
      </c>
      <c r="U3449" s="4">
        <f t="shared" si="4"/>
        <v>1809</v>
      </c>
    </row>
    <row r="3450" ht="15.75" customHeight="1">
      <c r="A3450" s="4" t="s">
        <v>849</v>
      </c>
      <c r="B3450" s="4" t="s">
        <v>13</v>
      </c>
      <c r="C3450" s="4">
        <v>0.275</v>
      </c>
      <c r="D3450" s="4">
        <v>0.126</v>
      </c>
      <c r="E3450" s="4">
        <v>0.131</v>
      </c>
      <c r="I3450" s="4">
        <v>0.261</v>
      </c>
      <c r="J3450" s="4">
        <v>0.0349</v>
      </c>
      <c r="K3450" s="6" t="b">
        <f t="shared" ref="K3450:M3450" si="3263">FALSE()</f>
        <v>0</v>
      </c>
      <c r="L3450" s="6" t="b">
        <f t="shared" si="3263"/>
        <v>0</v>
      </c>
      <c r="M3450" s="6" t="b">
        <f t="shared" si="3263"/>
        <v>0</v>
      </c>
      <c r="N3450" s="4">
        <v>0.242946178610389</v>
      </c>
      <c r="P3450" s="4">
        <v>0.231905056982783</v>
      </c>
      <c r="T3450" s="4">
        <f t="shared" si="3"/>
        <v>1086</v>
      </c>
      <c r="U3450" s="4">
        <f t="shared" si="4"/>
        <v>1675</v>
      </c>
    </row>
    <row r="3451" ht="15.75" customHeight="1">
      <c r="A3451" s="4" t="s">
        <v>850</v>
      </c>
      <c r="B3451" s="4" t="s">
        <v>13</v>
      </c>
      <c r="C3451" s="4">
        <v>0.202</v>
      </c>
      <c r="D3451" s="4">
        <v>0.049</v>
      </c>
      <c r="E3451" s="4">
        <v>0.057</v>
      </c>
      <c r="I3451" s="4">
        <v>0.3</v>
      </c>
      <c r="J3451" s="4">
        <v>0.04</v>
      </c>
      <c r="K3451" s="6" t="b">
        <f t="shared" ref="K3451:M3451" si="3264">FALSE()</f>
        <v>0</v>
      </c>
      <c r="L3451" s="6" t="b">
        <f t="shared" si="3264"/>
        <v>0</v>
      </c>
      <c r="M3451" s="6" t="b">
        <f t="shared" si="3264"/>
        <v>0</v>
      </c>
      <c r="N3451" s="4">
        <v>0.183986836113016</v>
      </c>
      <c r="P3451" s="4">
        <v>0.262364264467491</v>
      </c>
      <c r="T3451" s="4">
        <f t="shared" si="3"/>
        <v>1149</v>
      </c>
      <c r="U3451" s="4">
        <f t="shared" si="4"/>
        <v>1382</v>
      </c>
    </row>
    <row r="3452" ht="15.75" customHeight="1">
      <c r="A3452" s="4" t="s">
        <v>851</v>
      </c>
      <c r="B3452" s="4" t="s">
        <v>13</v>
      </c>
      <c r="C3452" s="4">
        <v>0.176</v>
      </c>
      <c r="D3452" s="4">
        <v>0.041</v>
      </c>
      <c r="E3452" s="4">
        <v>0.116</v>
      </c>
      <c r="I3452" s="4">
        <v>0.363</v>
      </c>
      <c r="J3452" s="4">
        <v>0.014</v>
      </c>
      <c r="K3452" s="6" t="b">
        <f t="shared" ref="K3452:M3452" si="3265">FALSE()</f>
        <v>0</v>
      </c>
      <c r="L3452" s="6" t="b">
        <f t="shared" si="3265"/>
        <v>0</v>
      </c>
      <c r="M3452" s="6" t="b">
        <f t="shared" si="3265"/>
        <v>0</v>
      </c>
      <c r="N3452" s="4">
        <v>0.162118849476435</v>
      </c>
      <c r="P3452" s="4">
        <v>0.309688152714396</v>
      </c>
      <c r="T3452" s="4">
        <f t="shared" si="3"/>
        <v>1176</v>
      </c>
      <c r="U3452" s="4">
        <f t="shared" si="4"/>
        <v>1178</v>
      </c>
    </row>
    <row r="3453" ht="15.75" customHeight="1">
      <c r="A3453" s="4" t="s">
        <v>852</v>
      </c>
      <c r="B3453" s="4" t="s">
        <v>13</v>
      </c>
      <c r="C3453" s="4">
        <v>0.1098</v>
      </c>
      <c r="D3453" s="4">
        <v>0.066</v>
      </c>
      <c r="E3453" s="4">
        <v>0.0311</v>
      </c>
      <c r="I3453" s="4">
        <v>0.32</v>
      </c>
      <c r="J3453" s="4">
        <v>0.038</v>
      </c>
      <c r="K3453" s="6" t="b">
        <f t="shared" ref="K3453:M3453" si="3266">FALSE()</f>
        <v>0</v>
      </c>
      <c r="L3453" s="6" t="b">
        <f t="shared" si="3266"/>
        <v>0</v>
      </c>
      <c r="M3453" s="6" t="b">
        <f t="shared" si="3266"/>
        <v>0</v>
      </c>
      <c r="N3453" s="4">
        <v>0.104179818909664</v>
      </c>
      <c r="P3453" s="4">
        <v>0.27763173659828</v>
      </c>
      <c r="T3453" s="4">
        <f t="shared" si="3"/>
        <v>1249</v>
      </c>
      <c r="U3453" s="4">
        <f t="shared" si="4"/>
        <v>1301</v>
      </c>
    </row>
    <row r="3454" ht="15.75" customHeight="1">
      <c r="A3454" s="4" t="s">
        <v>4487</v>
      </c>
      <c r="B3454" s="4" t="s">
        <v>13</v>
      </c>
      <c r="I3454" s="4">
        <v>0.323</v>
      </c>
      <c r="J3454" s="4">
        <v>0.063</v>
      </c>
      <c r="K3454" s="6" t="b">
        <f t="shared" ref="K3454:M3454" si="3267">FALSE()</f>
        <v>0</v>
      </c>
      <c r="L3454" s="6" t="b">
        <f t="shared" si="3267"/>
        <v>0</v>
      </c>
      <c r="M3454" s="6" t="b">
        <f t="shared" si="3267"/>
        <v>0</v>
      </c>
      <c r="P3454" s="4">
        <v>0.279901885132819</v>
      </c>
      <c r="T3454" s="4" t="str">
        <f t="shared" si="3"/>
        <v/>
      </c>
      <c r="U3454" s="4">
        <f t="shared" si="4"/>
        <v>1289</v>
      </c>
    </row>
    <row r="3455" ht="15.75" customHeight="1">
      <c r="A3455" s="4" t="s">
        <v>853</v>
      </c>
      <c r="B3455" s="4" t="s">
        <v>13</v>
      </c>
      <c r="C3455" s="4">
        <v>0.155</v>
      </c>
      <c r="D3455" s="4">
        <v>0.019</v>
      </c>
      <c r="E3455" s="4">
        <v>0.023</v>
      </c>
      <c r="I3455" s="4">
        <v>0.384</v>
      </c>
      <c r="J3455" s="4">
        <v>0.037</v>
      </c>
      <c r="K3455" s="6" t="b">
        <f t="shared" ref="K3455:M3455" si="3268">FALSE()</f>
        <v>0</v>
      </c>
      <c r="L3455" s="6" t="b">
        <f t="shared" si="3268"/>
        <v>0</v>
      </c>
      <c r="M3455" s="6" t="b">
        <f t="shared" si="3268"/>
        <v>0</v>
      </c>
      <c r="N3455" s="4">
        <v>0.144100343973757</v>
      </c>
      <c r="P3455" s="4">
        <v>0.324977857195478</v>
      </c>
      <c r="T3455" s="4">
        <f t="shared" si="3"/>
        <v>1191</v>
      </c>
      <c r="U3455" s="4">
        <f t="shared" si="4"/>
        <v>1141</v>
      </c>
    </row>
    <row r="3456" ht="15.75" customHeight="1">
      <c r="A3456" s="4" t="s">
        <v>854</v>
      </c>
      <c r="B3456" s="4" t="s">
        <v>13</v>
      </c>
      <c r="C3456" s="4">
        <v>0.118</v>
      </c>
      <c r="D3456" s="4">
        <v>0.014</v>
      </c>
      <c r="E3456" s="4">
        <v>0.017</v>
      </c>
      <c r="I3456" s="4">
        <v>0.277</v>
      </c>
      <c r="J3456" s="4">
        <v>0.114</v>
      </c>
      <c r="K3456" s="6" t="b">
        <f t="shared" ref="K3456:M3456" si="3269">FALSE()</f>
        <v>0</v>
      </c>
      <c r="L3456" s="6" t="b">
        <f t="shared" si="3269"/>
        <v>0</v>
      </c>
      <c r="M3456" s="6" t="b">
        <f t="shared" si="3269"/>
        <v>0</v>
      </c>
      <c r="N3456" s="4">
        <v>0.111541374732907</v>
      </c>
      <c r="P3456" s="4">
        <v>0.244513577050402</v>
      </c>
      <c r="T3456" s="4">
        <f t="shared" si="3"/>
        <v>1234</v>
      </c>
      <c r="U3456" s="4">
        <f t="shared" si="4"/>
        <v>1532</v>
      </c>
    </row>
    <row r="3457" ht="15.75" customHeight="1">
      <c r="A3457" s="4" t="s">
        <v>4488</v>
      </c>
      <c r="B3457" s="4" t="s">
        <v>13</v>
      </c>
      <c r="C3457" s="4">
        <v>0.176</v>
      </c>
      <c r="D3457" s="4">
        <v>0.019</v>
      </c>
      <c r="E3457" s="4">
        <v>0.019</v>
      </c>
      <c r="K3457" s="6" t="b">
        <f t="shared" ref="K3457:M3457" si="3270">FALSE()</f>
        <v>0</v>
      </c>
      <c r="L3457" s="6" t="b">
        <f t="shared" si="3270"/>
        <v>0</v>
      </c>
      <c r="M3457" s="6" t="b">
        <f t="shared" si="3270"/>
        <v>0</v>
      </c>
      <c r="N3457" s="4">
        <v>0.162118849476435</v>
      </c>
      <c r="T3457" s="4">
        <f t="shared" si="3"/>
        <v>1177</v>
      </c>
      <c r="U3457" s="4" t="str">
        <f t="shared" si="4"/>
        <v/>
      </c>
    </row>
    <row r="3458" ht="15.75" customHeight="1">
      <c r="A3458" s="4" t="s">
        <v>856</v>
      </c>
      <c r="B3458" s="4" t="s">
        <v>13</v>
      </c>
      <c r="C3458" s="4">
        <v>0.132</v>
      </c>
      <c r="D3458" s="4">
        <v>0.019</v>
      </c>
      <c r="E3458" s="4">
        <v>0.019</v>
      </c>
      <c r="I3458" s="4">
        <v>0.357</v>
      </c>
      <c r="K3458" s="6" t="b">
        <f t="shared" ref="K3458:M3458" si="3271">FALSE()</f>
        <v>0</v>
      </c>
      <c r="L3458" s="6" t="b">
        <f t="shared" si="3271"/>
        <v>0</v>
      </c>
      <c r="M3458" s="6" t="b">
        <f t="shared" si="3271"/>
        <v>0</v>
      </c>
      <c r="N3458" s="4">
        <v>0.123985979780991</v>
      </c>
      <c r="P3458" s="4">
        <v>0.305276380852732</v>
      </c>
      <c r="T3458" s="4">
        <f t="shared" si="3"/>
        <v>1213</v>
      </c>
      <c r="U3458" s="4">
        <f t="shared" si="4"/>
        <v>1189</v>
      </c>
    </row>
    <row r="3459" ht="15.75" customHeight="1">
      <c r="A3459" s="4" t="s">
        <v>857</v>
      </c>
      <c r="B3459" s="4" t="s">
        <v>13</v>
      </c>
      <c r="C3459" s="4">
        <v>0.067</v>
      </c>
      <c r="D3459" s="4">
        <v>0.012</v>
      </c>
      <c r="E3459" s="4">
        <v>0.012</v>
      </c>
      <c r="I3459" s="4">
        <v>0.437</v>
      </c>
      <c r="K3459" s="6" t="b">
        <f t="shared" ref="K3459:M3459" si="3272">FALSE()</f>
        <v>0</v>
      </c>
      <c r="L3459" s="6" t="b">
        <f t="shared" si="3272"/>
        <v>0</v>
      </c>
      <c r="M3459" s="6" t="b">
        <f t="shared" si="3272"/>
        <v>0</v>
      </c>
      <c r="N3459" s="4">
        <v>0.0648509723196163</v>
      </c>
      <c r="P3459" s="4">
        <v>0.362557607096888</v>
      </c>
      <c r="T3459" s="4">
        <f t="shared" si="3"/>
        <v>1334</v>
      </c>
      <c r="U3459" s="4">
        <f t="shared" si="4"/>
        <v>1071</v>
      </c>
    </row>
    <row r="3460" ht="15.75" customHeight="1">
      <c r="A3460" s="4" t="s">
        <v>858</v>
      </c>
      <c r="B3460" s="4" t="s">
        <v>13</v>
      </c>
      <c r="C3460" s="4">
        <v>0.025</v>
      </c>
      <c r="D3460" s="4">
        <v>0.025</v>
      </c>
      <c r="E3460" s="4">
        <v>0.0</v>
      </c>
      <c r="I3460" s="4">
        <v>0.45</v>
      </c>
      <c r="J3460" s="4">
        <v>0.09</v>
      </c>
      <c r="K3460" s="6" t="b">
        <f t="shared" ref="K3460:M3460" si="3273">FALSE()</f>
        <v>0</v>
      </c>
      <c r="L3460" s="6" t="b">
        <f t="shared" si="3273"/>
        <v>0</v>
      </c>
      <c r="M3460" s="6" t="b">
        <f t="shared" si="3273"/>
        <v>0</v>
      </c>
      <c r="N3460" s="4">
        <v>0.0246926125903715</v>
      </c>
      <c r="P3460" s="4">
        <v>0.371563556432483</v>
      </c>
      <c r="T3460" s="4">
        <f t="shared" si="3"/>
        <v>1635</v>
      </c>
      <c r="U3460" s="4">
        <f t="shared" si="4"/>
        <v>1060</v>
      </c>
    </row>
    <row r="3461" ht="15.75" customHeight="1">
      <c r="A3461" s="4" t="s">
        <v>4489</v>
      </c>
      <c r="B3461" s="4" t="s">
        <v>13</v>
      </c>
      <c r="I3461" s="4">
        <v>0.129</v>
      </c>
      <c r="J3461" s="4">
        <v>0.062</v>
      </c>
      <c r="K3461" s="6" t="b">
        <f t="shared" ref="K3461:M3461" si="3274">FALSE()</f>
        <v>0</v>
      </c>
      <c r="L3461" s="6" t="b">
        <f t="shared" si="3274"/>
        <v>0</v>
      </c>
      <c r="M3461" s="6" t="b">
        <f t="shared" si="3274"/>
        <v>0</v>
      </c>
      <c r="P3461" s="4">
        <v>0.121332285167525</v>
      </c>
      <c r="T3461" s="4" t="str">
        <f t="shared" si="3"/>
        <v/>
      </c>
      <c r="U3461" s="4">
        <f t="shared" si="4"/>
        <v>3707</v>
      </c>
    </row>
    <row r="3462" ht="15.75" customHeight="1">
      <c r="A3462" s="4" t="s">
        <v>4490</v>
      </c>
      <c r="B3462" s="4" t="s">
        <v>13</v>
      </c>
      <c r="I3462" s="4">
        <v>0.179</v>
      </c>
      <c r="J3462" s="4">
        <v>0.087</v>
      </c>
      <c r="K3462" s="6" t="b">
        <f t="shared" ref="K3462:M3462" si="3275">FALSE()</f>
        <v>0</v>
      </c>
      <c r="L3462" s="6" t="b">
        <f t="shared" si="3275"/>
        <v>0</v>
      </c>
      <c r="M3462" s="6" t="b">
        <f t="shared" si="3275"/>
        <v>0</v>
      </c>
      <c r="P3462" s="4">
        <v>0.164666621555234</v>
      </c>
      <c r="T3462" s="4" t="str">
        <f t="shared" si="3"/>
        <v/>
      </c>
      <c r="U3462" s="4">
        <f t="shared" si="4"/>
        <v>2903</v>
      </c>
    </row>
    <row r="3463" ht="15.75" customHeight="1">
      <c r="A3463" s="4" t="s">
        <v>4491</v>
      </c>
      <c r="B3463" s="4" t="s">
        <v>13</v>
      </c>
      <c r="I3463" s="4">
        <v>0.252</v>
      </c>
      <c r="J3463" s="4">
        <v>0.1</v>
      </c>
      <c r="K3463" s="6" t="b">
        <f t="shared" ref="K3463:M3463" si="3276">FALSE()</f>
        <v>0</v>
      </c>
      <c r="L3463" s="6" t="b">
        <f t="shared" si="3276"/>
        <v>0</v>
      </c>
      <c r="M3463" s="6" t="b">
        <f t="shared" si="3276"/>
        <v>0</v>
      </c>
      <c r="P3463" s="4">
        <v>0.224742272677907</v>
      </c>
      <c r="T3463" s="4" t="str">
        <f t="shared" si="3"/>
        <v/>
      </c>
      <c r="U3463" s="4">
        <f t="shared" si="4"/>
        <v>1786</v>
      </c>
    </row>
    <row r="3464" ht="15.75" customHeight="1">
      <c r="A3464" s="4" t="s">
        <v>4492</v>
      </c>
      <c r="B3464" s="4" t="s">
        <v>13</v>
      </c>
      <c r="I3464" s="4">
        <v>0.474</v>
      </c>
      <c r="J3464" s="4">
        <v>0.184</v>
      </c>
      <c r="K3464" s="6" t="b">
        <f t="shared" ref="K3464:M3464" si="3277">FALSE()</f>
        <v>0</v>
      </c>
      <c r="L3464" s="6" t="b">
        <f t="shared" si="3277"/>
        <v>0</v>
      </c>
      <c r="M3464" s="6" t="b">
        <f t="shared" si="3277"/>
        <v>0</v>
      </c>
      <c r="P3464" s="4">
        <v>0.387979793767145</v>
      </c>
      <c r="T3464" s="4" t="str">
        <f t="shared" si="3"/>
        <v/>
      </c>
      <c r="U3464" s="4">
        <f t="shared" si="4"/>
        <v>1035</v>
      </c>
    </row>
    <row r="3465" ht="15.75" customHeight="1">
      <c r="A3465" s="4" t="s">
        <v>4493</v>
      </c>
      <c r="B3465" s="4" t="s">
        <v>13</v>
      </c>
      <c r="I3465" s="4">
        <v>0.52967</v>
      </c>
      <c r="J3465" s="4">
        <v>0.0027</v>
      </c>
      <c r="K3465" s="6" t="b">
        <f t="shared" ref="K3465:M3465" si="3278">FALSE()</f>
        <v>0</v>
      </c>
      <c r="L3465" s="6" t="b">
        <f t="shared" si="3278"/>
        <v>0</v>
      </c>
      <c r="M3465" s="6" t="b">
        <f t="shared" si="3278"/>
        <v>0</v>
      </c>
      <c r="P3465" s="4">
        <v>0.425052025866205</v>
      </c>
      <c r="T3465" s="4" t="str">
        <f t="shared" si="3"/>
        <v/>
      </c>
      <c r="U3465" s="4">
        <f t="shared" si="4"/>
        <v>993</v>
      </c>
    </row>
    <row r="3466" ht="15.75" customHeight="1">
      <c r="A3466" s="4" t="s">
        <v>4494</v>
      </c>
      <c r="B3466" s="4" t="s">
        <v>13</v>
      </c>
      <c r="I3466" s="4">
        <v>0.09</v>
      </c>
      <c r="J3466" s="4">
        <v>0.022</v>
      </c>
      <c r="K3466" s="6" t="b">
        <f t="shared" ref="K3466:M3466" si="3279">FALSE()</f>
        <v>0</v>
      </c>
      <c r="L3466" s="6" t="b">
        <f t="shared" si="3279"/>
        <v>0</v>
      </c>
      <c r="M3466" s="6" t="b">
        <f t="shared" si="3279"/>
        <v>0</v>
      </c>
      <c r="P3466" s="4">
        <v>0.0861776962410523</v>
      </c>
      <c r="T3466" s="4" t="str">
        <f t="shared" si="3"/>
        <v/>
      </c>
      <c r="U3466" s="4">
        <f t="shared" si="4"/>
        <v>4334</v>
      </c>
    </row>
    <row r="3467" ht="15.75" customHeight="1">
      <c r="A3467" s="4" t="s">
        <v>4495</v>
      </c>
      <c r="B3467" s="4" t="s">
        <v>13</v>
      </c>
      <c r="I3467" s="4">
        <v>0.107</v>
      </c>
      <c r="J3467" s="4">
        <v>0.026</v>
      </c>
      <c r="K3467" s="6" t="b">
        <f t="shared" ref="K3467:M3467" si="3280">FALSE()</f>
        <v>0</v>
      </c>
      <c r="L3467" s="6" t="b">
        <f t="shared" si="3280"/>
        <v>0</v>
      </c>
      <c r="M3467" s="6" t="b">
        <f t="shared" si="3280"/>
        <v>0</v>
      </c>
      <c r="P3467" s="4">
        <v>0.1016536537265</v>
      </c>
      <c r="T3467" s="4" t="str">
        <f t="shared" si="3"/>
        <v/>
      </c>
      <c r="U3467" s="4">
        <f t="shared" si="4"/>
        <v>4102</v>
      </c>
    </row>
    <row r="3468" ht="15.75" customHeight="1">
      <c r="A3468" s="4" t="s">
        <v>859</v>
      </c>
      <c r="B3468" s="4" t="s">
        <v>13</v>
      </c>
      <c r="C3468" s="4">
        <v>0.192</v>
      </c>
      <c r="D3468" s="4">
        <v>0.114</v>
      </c>
      <c r="E3468" s="4">
        <v>0.113</v>
      </c>
      <c r="I3468" s="4">
        <v>0.219</v>
      </c>
      <c r="J3468" s="4">
        <v>0.018</v>
      </c>
      <c r="K3468" s="6" t="b">
        <f t="shared" ref="K3468:M3468" si="3281">FALSE()</f>
        <v>0</v>
      </c>
      <c r="L3468" s="6" t="b">
        <f t="shared" si="3281"/>
        <v>0</v>
      </c>
      <c r="M3468" s="6" t="b">
        <f t="shared" si="3281"/>
        <v>0</v>
      </c>
      <c r="N3468" s="4">
        <v>0.175632568643158</v>
      </c>
      <c r="P3468" s="4">
        <v>0.198030850499134</v>
      </c>
      <c r="T3468" s="4">
        <f t="shared" si="3"/>
        <v>1159</v>
      </c>
      <c r="U3468" s="4">
        <f t="shared" si="4"/>
        <v>2281</v>
      </c>
    </row>
    <row r="3469" ht="15.75" customHeight="1">
      <c r="A3469" s="4" t="s">
        <v>860</v>
      </c>
      <c r="B3469" s="4" t="s">
        <v>13</v>
      </c>
      <c r="C3469" s="4">
        <v>0.177</v>
      </c>
      <c r="D3469" s="4">
        <v>0.053</v>
      </c>
      <c r="E3469" s="4">
        <v>0.051</v>
      </c>
      <c r="I3469" s="4">
        <v>0.277</v>
      </c>
      <c r="J3469" s="4">
        <v>0.0143</v>
      </c>
      <c r="K3469" s="6" t="b">
        <f t="shared" ref="K3469:M3469" si="3282">FALSE()</f>
        <v>0</v>
      </c>
      <c r="L3469" s="6" t="b">
        <f t="shared" si="3282"/>
        <v>0</v>
      </c>
      <c r="M3469" s="6" t="b">
        <f t="shared" si="3282"/>
        <v>0</v>
      </c>
      <c r="N3469" s="4">
        <v>0.16296882827814</v>
      </c>
      <c r="P3469" s="4">
        <v>0.244513577050402</v>
      </c>
      <c r="T3469" s="4">
        <f t="shared" si="3"/>
        <v>1175</v>
      </c>
      <c r="U3469" s="4">
        <f t="shared" si="4"/>
        <v>1533</v>
      </c>
    </row>
    <row r="3470" ht="15.75" customHeight="1">
      <c r="A3470" s="4" t="s">
        <v>4496</v>
      </c>
      <c r="B3470" s="4" t="s">
        <v>13</v>
      </c>
      <c r="I3470" s="4">
        <v>0.19</v>
      </c>
      <c r="J3470" s="4">
        <v>0.023</v>
      </c>
      <c r="K3470" s="6" t="b">
        <f t="shared" ref="K3470:M3470" si="3283">FALSE()</f>
        <v>0</v>
      </c>
      <c r="L3470" s="6" t="b">
        <f t="shared" si="3283"/>
        <v>0</v>
      </c>
      <c r="M3470" s="6" t="b">
        <f t="shared" si="3283"/>
        <v>0</v>
      </c>
      <c r="P3470" s="4">
        <v>0.173953307123438</v>
      </c>
      <c r="T3470" s="4" t="str">
        <f t="shared" si="3"/>
        <v/>
      </c>
      <c r="U3470" s="4">
        <f t="shared" si="4"/>
        <v>2739</v>
      </c>
    </row>
    <row r="3471" ht="15.75" customHeight="1">
      <c r="A3471" s="4" t="s">
        <v>4497</v>
      </c>
      <c r="B3471" s="4" t="s">
        <v>13</v>
      </c>
      <c r="I3471" s="4">
        <v>0.162</v>
      </c>
      <c r="J3471" s="4">
        <v>0.011</v>
      </c>
      <c r="K3471" s="6" t="b">
        <f t="shared" ref="K3471:M3471" si="3284">FALSE()</f>
        <v>0</v>
      </c>
      <c r="L3471" s="6" t="b">
        <f t="shared" si="3284"/>
        <v>0</v>
      </c>
      <c r="M3471" s="6" t="b">
        <f t="shared" si="3284"/>
        <v>0</v>
      </c>
      <c r="P3471" s="4">
        <v>0.15014265842972</v>
      </c>
      <c r="T3471" s="4" t="str">
        <f t="shared" si="3"/>
        <v/>
      </c>
      <c r="U3471" s="4">
        <f t="shared" si="4"/>
        <v>3152</v>
      </c>
    </row>
    <row r="3472" ht="15.75" customHeight="1">
      <c r="A3472" s="4" t="s">
        <v>4498</v>
      </c>
      <c r="B3472" s="4" t="s">
        <v>13</v>
      </c>
      <c r="I3472" s="4">
        <v>0.2</v>
      </c>
      <c r="J3472" s="4">
        <v>0.087</v>
      </c>
      <c r="K3472" s="6" t="b">
        <f t="shared" ref="K3472:M3472" si="3285">FALSE()</f>
        <v>0</v>
      </c>
      <c r="L3472" s="6" t="b">
        <f t="shared" si="3285"/>
        <v>0</v>
      </c>
      <c r="M3472" s="6" t="b">
        <f t="shared" si="3285"/>
        <v>0</v>
      </c>
      <c r="P3472" s="4">
        <v>0.182321556793955</v>
      </c>
      <c r="T3472" s="4" t="str">
        <f t="shared" si="3"/>
        <v/>
      </c>
      <c r="U3472" s="4">
        <f t="shared" si="4"/>
        <v>2587</v>
      </c>
    </row>
    <row r="3473" ht="15.75" customHeight="1">
      <c r="A3473" s="4" t="s">
        <v>4499</v>
      </c>
      <c r="B3473" s="4" t="s">
        <v>13</v>
      </c>
      <c r="I3473" s="4">
        <v>0.233</v>
      </c>
      <c r="J3473" s="4">
        <v>0.105</v>
      </c>
      <c r="K3473" s="6" t="b">
        <f t="shared" ref="K3473:M3473" si="3286">FALSE()</f>
        <v>0</v>
      </c>
      <c r="L3473" s="6" t="b">
        <f t="shared" si="3286"/>
        <v>0</v>
      </c>
      <c r="M3473" s="6" t="b">
        <f t="shared" si="3286"/>
        <v>0</v>
      </c>
      <c r="P3473" s="4">
        <v>0.209450224182207</v>
      </c>
      <c r="T3473" s="4" t="str">
        <f t="shared" si="3"/>
        <v/>
      </c>
      <c r="U3473" s="4">
        <f t="shared" si="4"/>
        <v>2058</v>
      </c>
    </row>
    <row r="3474" ht="15.75" customHeight="1">
      <c r="A3474" s="4" t="s">
        <v>4500</v>
      </c>
      <c r="B3474" s="4" t="s">
        <v>13</v>
      </c>
      <c r="I3474" s="4">
        <v>0.12</v>
      </c>
      <c r="J3474" s="4">
        <v>0.052</v>
      </c>
      <c r="K3474" s="6" t="b">
        <f t="shared" ref="K3474:M3474" si="3287">FALSE()</f>
        <v>0</v>
      </c>
      <c r="L3474" s="6" t="b">
        <f t="shared" si="3287"/>
        <v>0</v>
      </c>
      <c r="M3474" s="6" t="b">
        <f t="shared" si="3287"/>
        <v>0</v>
      </c>
      <c r="P3474" s="4">
        <v>0.113328685307003</v>
      </c>
      <c r="T3474" s="4" t="str">
        <f t="shared" si="3"/>
        <v/>
      </c>
      <c r="U3474" s="4">
        <f t="shared" si="4"/>
        <v>3867</v>
      </c>
    </row>
    <row r="3475" ht="15.75" customHeight="1">
      <c r="A3475" s="4" t="s">
        <v>4501</v>
      </c>
      <c r="B3475" s="4" t="s">
        <v>13</v>
      </c>
      <c r="I3475" s="4">
        <v>0.1</v>
      </c>
      <c r="J3475" s="4">
        <v>0.044</v>
      </c>
      <c r="K3475" s="6" t="b">
        <f t="shared" ref="K3475:M3475" si="3288">FALSE()</f>
        <v>0</v>
      </c>
      <c r="L3475" s="6" t="b">
        <f t="shared" si="3288"/>
        <v>0</v>
      </c>
      <c r="M3475" s="6" t="b">
        <f t="shared" si="3288"/>
        <v>0</v>
      </c>
      <c r="P3475" s="4">
        <v>0.0953101798043248</v>
      </c>
      <c r="T3475" s="4" t="str">
        <f t="shared" si="3"/>
        <v/>
      </c>
      <c r="U3475" s="4">
        <f t="shared" si="4"/>
        <v>4216</v>
      </c>
    </row>
    <row r="3476" ht="15.75" customHeight="1">
      <c r="A3476" s="4" t="s">
        <v>4502</v>
      </c>
      <c r="B3476" s="4" t="s">
        <v>13</v>
      </c>
      <c r="I3476" s="4">
        <v>0.111</v>
      </c>
      <c r="J3476" s="4">
        <v>0.022</v>
      </c>
      <c r="K3476" s="6" t="b">
        <f t="shared" ref="K3476:M3476" si="3289">FALSE()</f>
        <v>0</v>
      </c>
      <c r="L3476" s="6" t="b">
        <f t="shared" si="3289"/>
        <v>0</v>
      </c>
      <c r="M3476" s="6" t="b">
        <f t="shared" si="3289"/>
        <v>0</v>
      </c>
      <c r="P3476" s="4">
        <v>0.105260510657493</v>
      </c>
      <c r="T3476" s="4" t="str">
        <f t="shared" si="3"/>
        <v/>
      </c>
      <c r="U3476" s="4">
        <f t="shared" si="4"/>
        <v>4028</v>
      </c>
    </row>
    <row r="3477" ht="15.75" customHeight="1">
      <c r="A3477" s="4" t="s">
        <v>4503</v>
      </c>
      <c r="B3477" s="4" t="s">
        <v>13</v>
      </c>
      <c r="I3477" s="4">
        <v>0.122</v>
      </c>
      <c r="J3477" s="4">
        <v>0.024</v>
      </c>
      <c r="K3477" s="6" t="b">
        <f t="shared" ref="K3477:M3477" si="3290">FALSE()</f>
        <v>0</v>
      </c>
      <c r="L3477" s="6" t="b">
        <f t="shared" si="3290"/>
        <v>0</v>
      </c>
      <c r="M3477" s="6" t="b">
        <f t="shared" si="3290"/>
        <v>0</v>
      </c>
      <c r="P3477" s="4">
        <v>0.115112807100505</v>
      </c>
      <c r="T3477" s="4" t="str">
        <f t="shared" si="3"/>
        <v/>
      </c>
      <c r="U3477" s="4">
        <f t="shared" si="4"/>
        <v>3830</v>
      </c>
    </row>
    <row r="3478" ht="15.75" customHeight="1">
      <c r="A3478" s="4" t="s">
        <v>4504</v>
      </c>
      <c r="B3478" s="4" t="s">
        <v>13</v>
      </c>
      <c r="I3478" s="4">
        <v>0.119</v>
      </c>
      <c r="J3478" s="4">
        <v>0.024</v>
      </c>
      <c r="K3478" s="6" t="b">
        <f t="shared" ref="K3478:M3478" si="3291">FALSE()</f>
        <v>0</v>
      </c>
      <c r="L3478" s="6" t="b">
        <f t="shared" si="3291"/>
        <v>0</v>
      </c>
      <c r="M3478" s="6" t="b">
        <f t="shared" si="3291"/>
        <v>0</v>
      </c>
      <c r="P3478" s="4">
        <v>0.112435429329788</v>
      </c>
      <c r="T3478" s="4" t="str">
        <f t="shared" si="3"/>
        <v/>
      </c>
      <c r="U3478" s="4">
        <f t="shared" si="4"/>
        <v>3892</v>
      </c>
    </row>
    <row r="3479" ht="15.75" customHeight="1">
      <c r="A3479" s="4" t="s">
        <v>4505</v>
      </c>
      <c r="B3479" s="4" t="s">
        <v>13</v>
      </c>
      <c r="I3479" s="4">
        <v>0.158</v>
      </c>
      <c r="J3479" s="4">
        <v>0.038</v>
      </c>
      <c r="K3479" s="6" t="b">
        <f t="shared" ref="K3479:M3479" si="3292">FALSE()</f>
        <v>0</v>
      </c>
      <c r="L3479" s="6" t="b">
        <f t="shared" si="3292"/>
        <v>0</v>
      </c>
      <c r="M3479" s="6" t="b">
        <f t="shared" si="3292"/>
        <v>0</v>
      </c>
      <c r="P3479" s="4">
        <v>0.146694379150804</v>
      </c>
      <c r="T3479" s="4" t="str">
        <f t="shared" si="3"/>
        <v/>
      </c>
      <c r="U3479" s="4">
        <f t="shared" si="4"/>
        <v>3204</v>
      </c>
    </row>
    <row r="3480" ht="15.75" customHeight="1">
      <c r="A3480" s="4" t="s">
        <v>4506</v>
      </c>
      <c r="B3480" s="4" t="s">
        <v>13</v>
      </c>
      <c r="I3480" s="4">
        <v>0.208</v>
      </c>
      <c r="J3480" s="4">
        <v>0.095</v>
      </c>
      <c r="K3480" s="6" t="b">
        <f t="shared" ref="K3480:M3480" si="3293">FALSE()</f>
        <v>0</v>
      </c>
      <c r="L3480" s="6" t="b">
        <f t="shared" si="3293"/>
        <v>0</v>
      </c>
      <c r="M3480" s="6" t="b">
        <f t="shared" si="3293"/>
        <v>0</v>
      </c>
      <c r="P3480" s="4">
        <v>0.188966099512623</v>
      </c>
      <c r="T3480" s="4" t="str">
        <f t="shared" si="3"/>
        <v/>
      </c>
      <c r="U3480" s="4">
        <f t="shared" si="4"/>
        <v>2449</v>
      </c>
    </row>
    <row r="3481" ht="15.75" customHeight="1">
      <c r="A3481" s="4" t="s">
        <v>4507</v>
      </c>
      <c r="B3481" s="4" t="s">
        <v>13</v>
      </c>
      <c r="I3481" s="4">
        <v>0.291</v>
      </c>
      <c r="J3481" s="4">
        <v>0.133</v>
      </c>
      <c r="K3481" s="6" t="b">
        <f t="shared" ref="K3481:M3481" si="3294">FALSE()</f>
        <v>0</v>
      </c>
      <c r="L3481" s="6" t="b">
        <f t="shared" si="3294"/>
        <v>0</v>
      </c>
      <c r="M3481" s="6" t="b">
        <f t="shared" si="3294"/>
        <v>0</v>
      </c>
      <c r="P3481" s="4">
        <v>0.255417111864505</v>
      </c>
      <c r="T3481" s="4" t="str">
        <f t="shared" si="3"/>
        <v/>
      </c>
      <c r="U3481" s="4">
        <f t="shared" si="4"/>
        <v>1430</v>
      </c>
    </row>
    <row r="3482" ht="15.75" customHeight="1">
      <c r="A3482" s="4" t="s">
        <v>4508</v>
      </c>
      <c r="B3482" s="4" t="s">
        <v>13</v>
      </c>
      <c r="I3482" s="4">
        <v>0.149</v>
      </c>
      <c r="J3482" s="4">
        <v>0.071</v>
      </c>
      <c r="K3482" s="6" t="b">
        <f t="shared" ref="K3482:M3482" si="3295">FALSE()</f>
        <v>0</v>
      </c>
      <c r="L3482" s="6" t="b">
        <f t="shared" si="3295"/>
        <v>0</v>
      </c>
      <c r="M3482" s="6" t="b">
        <f t="shared" si="3295"/>
        <v>0</v>
      </c>
      <c r="P3482" s="4">
        <v>0.138891998866619</v>
      </c>
      <c r="T3482" s="4" t="str">
        <f t="shared" si="3"/>
        <v/>
      </c>
      <c r="U3482" s="4">
        <f t="shared" si="4"/>
        <v>3349</v>
      </c>
    </row>
    <row r="3483" ht="15.75" customHeight="1">
      <c r="A3483" s="4" t="s">
        <v>4509</v>
      </c>
      <c r="B3483" s="4" t="s">
        <v>13</v>
      </c>
      <c r="I3483" s="4">
        <v>0.254</v>
      </c>
      <c r="J3483" s="4">
        <v>0.121</v>
      </c>
      <c r="K3483" s="6" t="b">
        <f t="shared" ref="K3483:M3483" si="3296">FALSE()</f>
        <v>0</v>
      </c>
      <c r="L3483" s="6" t="b">
        <f t="shared" si="3296"/>
        <v>0</v>
      </c>
      <c r="M3483" s="6" t="b">
        <f t="shared" si="3296"/>
        <v>0</v>
      </c>
      <c r="P3483" s="4">
        <v>0.226338442210729</v>
      </c>
      <c r="T3483" s="4" t="str">
        <f t="shared" si="3"/>
        <v/>
      </c>
      <c r="U3483" s="4">
        <f t="shared" si="4"/>
        <v>1759</v>
      </c>
    </row>
    <row r="3484" ht="15.75" customHeight="1">
      <c r="A3484" s="4" t="s">
        <v>4510</v>
      </c>
      <c r="B3484" s="4" t="s">
        <v>13</v>
      </c>
      <c r="I3484" s="4">
        <v>0.238</v>
      </c>
      <c r="J3484" s="4">
        <v>0.113</v>
      </c>
      <c r="K3484" s="6" t="b">
        <f t="shared" ref="K3484:M3484" si="3297">FALSE()</f>
        <v>0</v>
      </c>
      <c r="L3484" s="6" t="b">
        <f t="shared" si="3297"/>
        <v>0</v>
      </c>
      <c r="M3484" s="6" t="b">
        <f t="shared" si="3297"/>
        <v>0</v>
      </c>
      <c r="P3484" s="4">
        <v>0.213497174262404</v>
      </c>
      <c r="T3484" s="4" t="str">
        <f t="shared" si="3"/>
        <v/>
      </c>
      <c r="U3484" s="4">
        <f t="shared" si="4"/>
        <v>1978</v>
      </c>
    </row>
    <row r="3485" ht="15.75" customHeight="1">
      <c r="A3485" s="4" t="s">
        <v>862</v>
      </c>
      <c r="B3485" s="4" t="s">
        <v>13</v>
      </c>
      <c r="C3485" s="4">
        <v>0.023</v>
      </c>
      <c r="D3485" s="4">
        <v>0.021</v>
      </c>
      <c r="E3485" s="4">
        <v>0.021</v>
      </c>
      <c r="F3485" s="4">
        <v>0.023</v>
      </c>
      <c r="G3485" s="4">
        <v>0.021</v>
      </c>
      <c r="H3485" s="4">
        <v>0.021</v>
      </c>
      <c r="I3485" s="4">
        <v>0.192</v>
      </c>
      <c r="J3485" s="4">
        <v>0.009</v>
      </c>
      <c r="K3485" s="6" t="b">
        <f t="shared" ref="K3485:M3485" si="3298">FALSE()</f>
        <v>0</v>
      </c>
      <c r="L3485" s="6" t="b">
        <f t="shared" si="3298"/>
        <v>0</v>
      </c>
      <c r="M3485" s="6" t="b">
        <f t="shared" si="3298"/>
        <v>0</v>
      </c>
      <c r="N3485" s="4">
        <v>0.0227394869694894</v>
      </c>
      <c r="O3485" s="4">
        <v>0.0227394869694894</v>
      </c>
      <c r="P3485" s="4">
        <v>0.175632568643158</v>
      </c>
      <c r="Q3485" s="4">
        <v>-0.613917710556669</v>
      </c>
      <c r="R3485" s="4">
        <v>-0.637873953629261</v>
      </c>
      <c r="S3485" s="4">
        <v>-1.18487007618967</v>
      </c>
      <c r="T3485" s="4">
        <f t="shared" si="3"/>
        <v>1669</v>
      </c>
      <c r="U3485" s="4">
        <f t="shared" si="4"/>
        <v>2716</v>
      </c>
    </row>
    <row r="3486" ht="15.75" customHeight="1">
      <c r="A3486" s="4" t="s">
        <v>863</v>
      </c>
      <c r="B3486" s="4" t="s">
        <v>13</v>
      </c>
      <c r="C3486" s="4">
        <v>0.42</v>
      </c>
      <c r="D3486" s="4">
        <v>0.05</v>
      </c>
      <c r="E3486" s="4">
        <v>0.05</v>
      </c>
      <c r="F3486" s="4">
        <v>0.013</v>
      </c>
      <c r="G3486" s="4">
        <v>0.003</v>
      </c>
      <c r="H3486" s="4">
        <v>0.003</v>
      </c>
      <c r="I3486" s="4">
        <v>1.034</v>
      </c>
      <c r="J3486" s="4">
        <v>0.017</v>
      </c>
      <c r="K3486" s="6" t="b">
        <f t="shared" ref="K3486:L3486" si="3299">FALSE()</f>
        <v>0</v>
      </c>
      <c r="L3486" s="6" t="b">
        <f t="shared" si="3299"/>
        <v>0</v>
      </c>
      <c r="M3486" s="6" t="b">
        <f>TRUE()</f>
        <v>1</v>
      </c>
      <c r="N3486" s="4">
        <v>0.350656871613169</v>
      </c>
      <c r="O3486" s="4">
        <v>0.0129162252665463</v>
      </c>
      <c r="P3486" s="4">
        <v>0.710004297626368</v>
      </c>
      <c r="Q3486" s="4">
        <v>-0.370073078285805</v>
      </c>
      <c r="R3486" s="4">
        <v>-0.64421832424969</v>
      </c>
      <c r="S3486" s="4">
        <v>0.390527822077885</v>
      </c>
      <c r="T3486" s="4">
        <f t="shared" si="3"/>
        <v>1000</v>
      </c>
      <c r="U3486" s="4">
        <f t="shared" si="4"/>
        <v>622</v>
      </c>
    </row>
    <row r="3487" ht="15.75" customHeight="1">
      <c r="A3487" s="4" t="s">
        <v>864</v>
      </c>
      <c r="B3487" s="4" t="s">
        <v>13</v>
      </c>
      <c r="C3487" s="4">
        <v>0.013</v>
      </c>
      <c r="D3487" s="4">
        <v>0.003</v>
      </c>
      <c r="E3487" s="4">
        <v>0.003</v>
      </c>
      <c r="F3487" s="4">
        <v>0.415</v>
      </c>
      <c r="G3487" s="4">
        <v>0.053</v>
      </c>
      <c r="H3487" s="4">
        <v>0.053</v>
      </c>
      <c r="I3487" s="4">
        <v>0.239</v>
      </c>
      <c r="J3487" s="4">
        <v>0.015</v>
      </c>
      <c r="K3487" s="6" t="b">
        <f t="shared" ref="K3487:M3487" si="3300">FALSE()</f>
        <v>0</v>
      </c>
      <c r="L3487" s="6" t="b">
        <f t="shared" si="3300"/>
        <v>0</v>
      </c>
      <c r="M3487" s="6" t="b">
        <f t="shared" si="3300"/>
        <v>0</v>
      </c>
      <c r="N3487" s="4">
        <v>0.0129162252665463</v>
      </c>
      <c r="O3487" s="4">
        <v>0.347129531095201</v>
      </c>
      <c r="P3487" s="4">
        <v>0.214304602647005</v>
      </c>
      <c r="Q3487" s="4">
        <v>-0.620059892729739</v>
      </c>
      <c r="R3487" s="4">
        <v>-0.389174625308426</v>
      </c>
      <c r="S3487" s="4">
        <v>-1.09693218875669</v>
      </c>
      <c r="T3487" s="4">
        <f t="shared" si="3"/>
        <v>1867</v>
      </c>
      <c r="U3487" s="4">
        <f t="shared" si="4"/>
        <v>1963</v>
      </c>
    </row>
    <row r="3488" ht="15.75" customHeight="1">
      <c r="A3488" s="4" t="s">
        <v>4511</v>
      </c>
      <c r="B3488" s="4" t="s">
        <v>13</v>
      </c>
      <c r="C3488" s="4">
        <v>0.0547</v>
      </c>
      <c r="D3488" s="4">
        <v>0.0041</v>
      </c>
      <c r="E3488" s="4">
        <v>0.0041</v>
      </c>
      <c r="K3488" s="6" t="b">
        <f t="shared" ref="K3488:M3488" si="3301">FALSE()</f>
        <v>0</v>
      </c>
      <c r="L3488" s="6" t="b">
        <f t="shared" si="3301"/>
        <v>0</v>
      </c>
      <c r="M3488" s="6" t="b">
        <f t="shared" si="3301"/>
        <v>0</v>
      </c>
      <c r="N3488" s="4">
        <v>0.0532563663004314</v>
      </c>
      <c r="T3488" s="4">
        <f t="shared" si="3"/>
        <v>1379</v>
      </c>
      <c r="U3488" s="4" t="str">
        <f t="shared" si="4"/>
        <v/>
      </c>
    </row>
    <row r="3489" ht="15.75" customHeight="1">
      <c r="A3489" s="4" t="s">
        <v>865</v>
      </c>
      <c r="B3489" s="4" t="s">
        <v>13</v>
      </c>
      <c r="C3489" s="4">
        <v>1.51</v>
      </c>
      <c r="D3489" s="4">
        <v>1.5099</v>
      </c>
      <c r="E3489" s="4">
        <v>0.0</v>
      </c>
      <c r="I3489" s="4">
        <v>0.321</v>
      </c>
      <c r="K3489" s="6" t="b">
        <f t="shared" ref="K3489:M3489" si="3302">FALSE()</f>
        <v>0</v>
      </c>
      <c r="L3489" s="6" t="b">
        <f t="shared" si="3302"/>
        <v>0</v>
      </c>
      <c r="M3489" s="6" t="b">
        <f t="shared" si="3302"/>
        <v>0</v>
      </c>
      <c r="N3489" s="4">
        <v>0.920282753143693</v>
      </c>
      <c r="P3489" s="4">
        <v>0.278389025540188</v>
      </c>
      <c r="T3489" s="4">
        <f t="shared" si="3"/>
        <v>508</v>
      </c>
      <c r="U3489" s="4">
        <f t="shared" si="4"/>
        <v>1298</v>
      </c>
    </row>
    <row r="3490" ht="15.75" customHeight="1">
      <c r="A3490" s="4" t="s">
        <v>866</v>
      </c>
      <c r="B3490" s="4" t="s">
        <v>13</v>
      </c>
      <c r="C3490" s="4">
        <v>1.36</v>
      </c>
      <c r="D3490" s="4">
        <v>1.3599</v>
      </c>
      <c r="E3490" s="4">
        <v>0.0</v>
      </c>
      <c r="I3490" s="4">
        <v>0.303</v>
      </c>
      <c r="K3490" s="6" t="b">
        <f t="shared" ref="K3490:M3490" si="3303">FALSE()</f>
        <v>0</v>
      </c>
      <c r="L3490" s="6" t="b">
        <f t="shared" si="3303"/>
        <v>0</v>
      </c>
      <c r="M3490" s="6" t="b">
        <f t="shared" si="3303"/>
        <v>0</v>
      </c>
      <c r="N3490" s="4">
        <v>0.858661619037519</v>
      </c>
      <c r="P3490" s="4">
        <v>0.264669298142708</v>
      </c>
      <c r="T3490" s="4">
        <f t="shared" si="3"/>
        <v>546</v>
      </c>
      <c r="U3490" s="4">
        <f t="shared" si="4"/>
        <v>1360</v>
      </c>
    </row>
    <row r="3491" ht="15.75" customHeight="1">
      <c r="A3491" s="4" t="s">
        <v>4512</v>
      </c>
      <c r="B3491" s="4" t="s">
        <v>13</v>
      </c>
      <c r="I3491" s="4">
        <v>0.201</v>
      </c>
      <c r="J3491" s="4">
        <v>0.109</v>
      </c>
      <c r="K3491" s="6" t="b">
        <f t="shared" ref="K3491:M3491" si="3304">FALSE()</f>
        <v>0</v>
      </c>
      <c r="L3491" s="6" t="b">
        <f t="shared" si="3304"/>
        <v>0</v>
      </c>
      <c r="M3491" s="6" t="b">
        <f t="shared" si="3304"/>
        <v>0</v>
      </c>
      <c r="P3491" s="4">
        <v>0.183154543097847</v>
      </c>
      <c r="T3491" s="4" t="str">
        <f t="shared" si="3"/>
        <v/>
      </c>
      <c r="U3491" s="4">
        <f t="shared" si="4"/>
        <v>2570</v>
      </c>
    </row>
    <row r="3492" ht="15.75" customHeight="1">
      <c r="A3492" s="4" t="s">
        <v>4513</v>
      </c>
      <c r="B3492" s="4" t="s">
        <v>13</v>
      </c>
      <c r="I3492" s="4">
        <v>0.241</v>
      </c>
      <c r="J3492" s="4">
        <v>0.124</v>
      </c>
      <c r="K3492" s="6" t="b">
        <f t="shared" ref="K3492:M3492" si="3305">FALSE()</f>
        <v>0</v>
      </c>
      <c r="L3492" s="6" t="b">
        <f t="shared" si="3305"/>
        <v>0</v>
      </c>
      <c r="M3492" s="6" t="b">
        <f t="shared" si="3305"/>
        <v>0</v>
      </c>
      <c r="P3492" s="4">
        <v>0.21591750622247</v>
      </c>
      <c r="T3492" s="4" t="str">
        <f t="shared" si="3"/>
        <v/>
      </c>
      <c r="U3492" s="4">
        <f t="shared" si="4"/>
        <v>1935</v>
      </c>
    </row>
    <row r="3493" ht="15.75" customHeight="1">
      <c r="A3493" s="4" t="s">
        <v>4514</v>
      </c>
      <c r="B3493" s="4" t="s">
        <v>13</v>
      </c>
      <c r="I3493" s="4">
        <v>0.193</v>
      </c>
      <c r="J3493" s="4">
        <v>0.084</v>
      </c>
      <c r="K3493" s="6" t="b">
        <f t="shared" ref="K3493:M3493" si="3306">FALSE()</f>
        <v>0</v>
      </c>
      <c r="L3493" s="6" t="b">
        <f t="shared" si="3306"/>
        <v>0</v>
      </c>
      <c r="M3493" s="6" t="b">
        <f t="shared" si="3306"/>
        <v>0</v>
      </c>
      <c r="P3493" s="4">
        <v>0.176471143115779</v>
      </c>
      <c r="T3493" s="4" t="str">
        <f t="shared" si="3"/>
        <v/>
      </c>
      <c r="U3493" s="4">
        <f t="shared" si="4"/>
        <v>2703</v>
      </c>
    </row>
    <row r="3494" ht="15.75" customHeight="1">
      <c r="A3494" s="4" t="s">
        <v>4515</v>
      </c>
      <c r="B3494" s="4" t="s">
        <v>13</v>
      </c>
      <c r="I3494" s="4">
        <v>0.168</v>
      </c>
      <c r="J3494" s="4">
        <v>0.073</v>
      </c>
      <c r="K3494" s="6" t="b">
        <f t="shared" ref="K3494:M3494" si="3307">FALSE()</f>
        <v>0</v>
      </c>
      <c r="L3494" s="6" t="b">
        <f t="shared" si="3307"/>
        <v>0</v>
      </c>
      <c r="M3494" s="6" t="b">
        <f t="shared" si="3307"/>
        <v>0</v>
      </c>
      <c r="P3494" s="4">
        <v>0.155292884406035</v>
      </c>
      <c r="T3494" s="4" t="str">
        <f t="shared" si="3"/>
        <v/>
      </c>
      <c r="U3494" s="4">
        <f t="shared" si="4"/>
        <v>3079</v>
      </c>
    </row>
    <row r="3495" ht="15.75" customHeight="1">
      <c r="A3495" s="4" t="s">
        <v>4516</v>
      </c>
      <c r="B3495" s="4" t="s">
        <v>13</v>
      </c>
      <c r="I3495" s="4">
        <v>0.118</v>
      </c>
      <c r="J3495" s="4">
        <v>0.012</v>
      </c>
      <c r="K3495" s="6" t="b">
        <f t="shared" ref="K3495:M3495" si="3308">FALSE()</f>
        <v>0</v>
      </c>
      <c r="L3495" s="6" t="b">
        <f t="shared" si="3308"/>
        <v>0</v>
      </c>
      <c r="M3495" s="6" t="b">
        <f t="shared" si="3308"/>
        <v>0</v>
      </c>
      <c r="P3495" s="4">
        <v>0.111541374732907</v>
      </c>
      <c r="T3495" s="4" t="str">
        <f t="shared" si="3"/>
        <v/>
      </c>
      <c r="U3495" s="4">
        <f t="shared" si="4"/>
        <v>3913</v>
      </c>
    </row>
    <row r="3496" ht="15.75" customHeight="1">
      <c r="A3496" s="4" t="s">
        <v>4517</v>
      </c>
      <c r="B3496" s="4" t="s">
        <v>13</v>
      </c>
      <c r="I3496" s="4">
        <v>0.131</v>
      </c>
      <c r="J3496" s="4">
        <v>0.013</v>
      </c>
      <c r="K3496" s="6" t="b">
        <f t="shared" ref="K3496:M3496" si="3309">FALSE()</f>
        <v>0</v>
      </c>
      <c r="L3496" s="6" t="b">
        <f t="shared" si="3309"/>
        <v>0</v>
      </c>
      <c r="M3496" s="6" t="b">
        <f t="shared" si="3309"/>
        <v>0</v>
      </c>
      <c r="P3496" s="4">
        <v>0.123102197133983</v>
      </c>
      <c r="T3496" s="4" t="str">
        <f t="shared" si="3"/>
        <v/>
      </c>
      <c r="U3496" s="4">
        <f t="shared" si="4"/>
        <v>3679</v>
      </c>
    </row>
    <row r="3497" ht="15.75" customHeight="1">
      <c r="A3497" s="4" t="s">
        <v>4518</v>
      </c>
      <c r="B3497" s="4" t="s">
        <v>13</v>
      </c>
      <c r="I3497" s="4">
        <v>0.199</v>
      </c>
      <c r="J3497" s="4">
        <v>0.019</v>
      </c>
      <c r="K3497" s="6" t="b">
        <f t="shared" ref="K3497:M3497" si="3310">FALSE()</f>
        <v>0</v>
      </c>
      <c r="L3497" s="6" t="b">
        <f t="shared" si="3310"/>
        <v>0</v>
      </c>
      <c r="M3497" s="6" t="b">
        <f t="shared" si="3310"/>
        <v>0</v>
      </c>
      <c r="P3497" s="4">
        <v>0.181487876045377</v>
      </c>
      <c r="T3497" s="4" t="str">
        <f t="shared" si="3"/>
        <v/>
      </c>
      <c r="U3497" s="4">
        <f t="shared" si="4"/>
        <v>2602</v>
      </c>
    </row>
    <row r="3498" ht="15.75" customHeight="1">
      <c r="A3498" s="4" t="s">
        <v>4519</v>
      </c>
      <c r="B3498" s="4" t="s">
        <v>13</v>
      </c>
      <c r="I3498" s="4">
        <v>0.238</v>
      </c>
      <c r="J3498" s="4">
        <v>0.031</v>
      </c>
      <c r="K3498" s="6" t="b">
        <f t="shared" ref="K3498:M3498" si="3311">FALSE()</f>
        <v>0</v>
      </c>
      <c r="L3498" s="6" t="b">
        <f t="shared" si="3311"/>
        <v>0</v>
      </c>
      <c r="M3498" s="6" t="b">
        <f t="shared" si="3311"/>
        <v>0</v>
      </c>
      <c r="P3498" s="4">
        <v>0.213497174262404</v>
      </c>
      <c r="T3498" s="4" t="str">
        <f t="shared" si="3"/>
        <v/>
      </c>
      <c r="U3498" s="4">
        <f t="shared" si="4"/>
        <v>1979</v>
      </c>
    </row>
    <row r="3499" ht="15.75" customHeight="1">
      <c r="A3499" s="4" t="s">
        <v>4520</v>
      </c>
      <c r="B3499" s="4" t="s">
        <v>13</v>
      </c>
      <c r="I3499" s="4">
        <v>0.21</v>
      </c>
      <c r="J3499" s="4">
        <v>0.02</v>
      </c>
      <c r="K3499" s="6" t="b">
        <f t="shared" ref="K3499:M3499" si="3312">FALSE()</f>
        <v>0</v>
      </c>
      <c r="L3499" s="6" t="b">
        <f t="shared" si="3312"/>
        <v>0</v>
      </c>
      <c r="M3499" s="6" t="b">
        <f t="shared" si="3312"/>
        <v>0</v>
      </c>
      <c r="P3499" s="4">
        <v>0.19062035960865</v>
      </c>
      <c r="T3499" s="4" t="str">
        <f t="shared" si="3"/>
        <v/>
      </c>
      <c r="U3499" s="4">
        <f t="shared" si="4"/>
        <v>2421</v>
      </c>
    </row>
    <row r="3500" ht="15.75" customHeight="1">
      <c r="A3500" s="4" t="s">
        <v>4521</v>
      </c>
      <c r="B3500" s="4" t="s">
        <v>13</v>
      </c>
      <c r="I3500" s="4">
        <v>0.274</v>
      </c>
      <c r="J3500" s="4">
        <v>0.116</v>
      </c>
      <c r="K3500" s="6" t="b">
        <f t="shared" ref="K3500:M3500" si="3313">FALSE()</f>
        <v>0</v>
      </c>
      <c r="L3500" s="6" t="b">
        <f t="shared" si="3313"/>
        <v>0</v>
      </c>
      <c r="M3500" s="6" t="b">
        <f t="shared" si="3313"/>
        <v>0</v>
      </c>
      <c r="P3500" s="4">
        <v>0.242161557149972</v>
      </c>
      <c r="T3500" s="4" t="str">
        <f t="shared" si="3"/>
        <v/>
      </c>
      <c r="U3500" s="4">
        <f t="shared" si="4"/>
        <v>1553</v>
      </c>
    </row>
    <row r="3501" ht="15.75" customHeight="1">
      <c r="A3501" s="4" t="s">
        <v>4522</v>
      </c>
      <c r="B3501" s="4" t="s">
        <v>13</v>
      </c>
      <c r="I3501" s="4">
        <v>0.342</v>
      </c>
      <c r="J3501" s="4">
        <v>0.145</v>
      </c>
      <c r="K3501" s="6" t="b">
        <f t="shared" ref="K3501:M3501" si="3314">FALSE()</f>
        <v>0</v>
      </c>
      <c r="L3501" s="6" t="b">
        <f t="shared" si="3314"/>
        <v>0</v>
      </c>
      <c r="M3501" s="6" t="b">
        <f t="shared" si="3314"/>
        <v>0</v>
      </c>
      <c r="P3501" s="4">
        <v>0.29416103854949</v>
      </c>
      <c r="T3501" s="4" t="str">
        <f t="shared" si="3"/>
        <v/>
      </c>
      <c r="U3501" s="4">
        <f t="shared" si="4"/>
        <v>1232</v>
      </c>
    </row>
    <row r="3502" ht="15.75" customHeight="1">
      <c r="A3502" s="4" t="s">
        <v>4523</v>
      </c>
      <c r="B3502" s="4" t="s">
        <v>13</v>
      </c>
      <c r="I3502" s="4">
        <v>0.158</v>
      </c>
      <c r="J3502" s="4">
        <v>0.074</v>
      </c>
      <c r="K3502" s="6" t="b">
        <f t="shared" ref="K3502:M3502" si="3315">FALSE()</f>
        <v>0</v>
      </c>
      <c r="L3502" s="6" t="b">
        <f t="shared" si="3315"/>
        <v>0</v>
      </c>
      <c r="M3502" s="6" t="b">
        <f t="shared" si="3315"/>
        <v>0</v>
      </c>
      <c r="P3502" s="4">
        <v>0.146694379150804</v>
      </c>
      <c r="T3502" s="4" t="str">
        <f t="shared" si="3"/>
        <v/>
      </c>
      <c r="U3502" s="4">
        <f t="shared" si="4"/>
        <v>3205</v>
      </c>
    </row>
    <row r="3503" ht="15.75" customHeight="1">
      <c r="A3503" s="4" t="s">
        <v>4524</v>
      </c>
      <c r="B3503" s="4" t="s">
        <v>13</v>
      </c>
      <c r="I3503" s="4">
        <v>0.242</v>
      </c>
      <c r="J3503" s="4">
        <v>0.113</v>
      </c>
      <c r="K3503" s="6" t="b">
        <f t="shared" ref="K3503:M3503" si="3316">FALSE()</f>
        <v>0</v>
      </c>
      <c r="L3503" s="6" t="b">
        <f t="shared" si="3316"/>
        <v>0</v>
      </c>
      <c r="M3503" s="6" t="b">
        <f t="shared" si="3316"/>
        <v>0</v>
      </c>
      <c r="P3503" s="4">
        <v>0.216722983511287</v>
      </c>
      <c r="T3503" s="4" t="str">
        <f t="shared" si="3"/>
        <v/>
      </c>
      <c r="U3503" s="4">
        <f t="shared" si="4"/>
        <v>1915</v>
      </c>
    </row>
    <row r="3504" ht="15.75" customHeight="1">
      <c r="A3504" s="4" t="s">
        <v>4525</v>
      </c>
      <c r="B3504" s="4" t="s">
        <v>13</v>
      </c>
      <c r="I3504" s="4">
        <v>0.109</v>
      </c>
      <c r="J3504" s="4">
        <v>0.057</v>
      </c>
      <c r="K3504" s="6" t="b">
        <f t="shared" ref="K3504:M3504" si="3317">FALSE()</f>
        <v>0</v>
      </c>
      <c r="L3504" s="6" t="b">
        <f t="shared" si="3317"/>
        <v>0</v>
      </c>
      <c r="M3504" s="6" t="b">
        <f t="shared" si="3317"/>
        <v>0</v>
      </c>
      <c r="P3504" s="4">
        <v>0.10345870836823</v>
      </c>
      <c r="T3504" s="4" t="str">
        <f t="shared" si="3"/>
        <v/>
      </c>
      <c r="U3504" s="4">
        <f t="shared" si="4"/>
        <v>4064</v>
      </c>
    </row>
    <row r="3505" ht="15.75" customHeight="1">
      <c r="A3505" s="4" t="s">
        <v>4526</v>
      </c>
      <c r="B3505" s="4" t="s">
        <v>13</v>
      </c>
      <c r="I3505" s="4">
        <v>0.104</v>
      </c>
      <c r="J3505" s="4">
        <v>0.055</v>
      </c>
      <c r="K3505" s="6" t="b">
        <f t="shared" ref="K3505:M3505" si="3318">FALSE()</f>
        <v>0</v>
      </c>
      <c r="L3505" s="6" t="b">
        <f t="shared" si="3318"/>
        <v>0</v>
      </c>
      <c r="M3505" s="6" t="b">
        <f t="shared" si="3318"/>
        <v>0</v>
      </c>
      <c r="P3505" s="4">
        <v>0.0989399478549035</v>
      </c>
      <c r="T3505" s="4" t="str">
        <f t="shared" si="3"/>
        <v/>
      </c>
      <c r="U3505" s="4">
        <f t="shared" si="4"/>
        <v>4155</v>
      </c>
    </row>
    <row r="3506" ht="15.75" customHeight="1">
      <c r="A3506" s="4" t="s">
        <v>4527</v>
      </c>
      <c r="B3506" s="4" t="s">
        <v>13</v>
      </c>
      <c r="I3506" s="4">
        <v>0.121</v>
      </c>
      <c r="J3506" s="4">
        <v>0.064</v>
      </c>
      <c r="K3506" s="6" t="b">
        <f t="shared" ref="K3506:M3506" si="3319">FALSE()</f>
        <v>0</v>
      </c>
      <c r="L3506" s="6" t="b">
        <f t="shared" si="3319"/>
        <v>0</v>
      </c>
      <c r="M3506" s="6" t="b">
        <f t="shared" si="3319"/>
        <v>0</v>
      </c>
      <c r="P3506" s="4">
        <v>0.114221144090023</v>
      </c>
      <c r="T3506" s="4" t="str">
        <f t="shared" si="3"/>
        <v/>
      </c>
      <c r="U3506" s="4">
        <f t="shared" si="4"/>
        <v>3847</v>
      </c>
    </row>
    <row r="3507" ht="15.75" customHeight="1">
      <c r="A3507" s="4" t="s">
        <v>4528</v>
      </c>
      <c r="B3507" s="4" t="s">
        <v>13</v>
      </c>
      <c r="I3507" s="4">
        <v>0.144</v>
      </c>
      <c r="J3507" s="4">
        <v>0.024</v>
      </c>
      <c r="K3507" s="6" t="b">
        <f t="shared" ref="K3507:M3507" si="3320">FALSE()</f>
        <v>0</v>
      </c>
      <c r="L3507" s="6" t="b">
        <f t="shared" si="3320"/>
        <v>0</v>
      </c>
      <c r="M3507" s="6" t="b">
        <f t="shared" si="3320"/>
        <v>0</v>
      </c>
      <c r="P3507" s="4">
        <v>0.134530892957606</v>
      </c>
      <c r="T3507" s="4" t="str">
        <f t="shared" si="3"/>
        <v/>
      </c>
      <c r="U3507" s="4">
        <f t="shared" si="4"/>
        <v>3446</v>
      </c>
    </row>
    <row r="3508" ht="15.75" customHeight="1">
      <c r="A3508" s="4" t="s">
        <v>4529</v>
      </c>
      <c r="B3508" s="4" t="s">
        <v>13</v>
      </c>
      <c r="I3508" s="4">
        <v>0.178</v>
      </c>
      <c r="J3508" s="4">
        <v>0.029</v>
      </c>
      <c r="K3508" s="6" t="b">
        <f t="shared" ref="K3508:M3508" si="3321">FALSE()</f>
        <v>0</v>
      </c>
      <c r="L3508" s="6" t="b">
        <f t="shared" si="3321"/>
        <v>0</v>
      </c>
      <c r="M3508" s="6" t="b">
        <f t="shared" si="3321"/>
        <v>0</v>
      </c>
      <c r="P3508" s="4">
        <v>0.163818085229395</v>
      </c>
      <c r="T3508" s="4" t="str">
        <f t="shared" si="3"/>
        <v/>
      </c>
      <c r="U3508" s="4">
        <f t="shared" si="4"/>
        <v>2927</v>
      </c>
    </row>
    <row r="3509" ht="15.75" customHeight="1">
      <c r="A3509" s="4" t="s">
        <v>4530</v>
      </c>
      <c r="B3509" s="4" t="s">
        <v>13</v>
      </c>
      <c r="I3509" s="4">
        <v>0.186</v>
      </c>
      <c r="J3509" s="4">
        <v>0.029</v>
      </c>
      <c r="K3509" s="6" t="b">
        <f t="shared" ref="K3509:M3509" si="3322">FALSE()</f>
        <v>0</v>
      </c>
      <c r="L3509" s="6" t="b">
        <f t="shared" si="3322"/>
        <v>0</v>
      </c>
      <c r="M3509" s="6" t="b">
        <f t="shared" si="3322"/>
        <v>0</v>
      </c>
      <c r="P3509" s="4">
        <v>0.170586300575534</v>
      </c>
      <c r="T3509" s="4" t="str">
        <f t="shared" si="3"/>
        <v/>
      </c>
      <c r="U3509" s="4">
        <f t="shared" si="4"/>
        <v>2806</v>
      </c>
    </row>
    <row r="3510" ht="15.75" customHeight="1">
      <c r="A3510" s="4" t="s">
        <v>4531</v>
      </c>
      <c r="B3510" s="4" t="s">
        <v>13</v>
      </c>
      <c r="I3510" s="4">
        <v>0.136</v>
      </c>
      <c r="J3510" s="4">
        <v>0.022</v>
      </c>
      <c r="K3510" s="6" t="b">
        <f t="shared" ref="K3510:M3510" si="3323">FALSE()</f>
        <v>0</v>
      </c>
      <c r="L3510" s="6" t="b">
        <f t="shared" si="3323"/>
        <v>0</v>
      </c>
      <c r="M3510" s="6" t="b">
        <f t="shared" si="3323"/>
        <v>0</v>
      </c>
      <c r="P3510" s="4">
        <v>0.12751332029896</v>
      </c>
      <c r="T3510" s="4" t="str">
        <f t="shared" si="3"/>
        <v/>
      </c>
      <c r="U3510" s="4">
        <f t="shared" si="4"/>
        <v>3586</v>
      </c>
    </row>
    <row r="3511" ht="15.75" customHeight="1">
      <c r="A3511" s="4" t="s">
        <v>4532</v>
      </c>
      <c r="B3511" s="4" t="s">
        <v>13</v>
      </c>
      <c r="I3511" s="4">
        <v>0.161</v>
      </c>
      <c r="J3511" s="4">
        <v>0.027</v>
      </c>
      <c r="K3511" s="6" t="b">
        <f t="shared" ref="K3511:M3511" si="3324">FALSE()</f>
        <v>0</v>
      </c>
      <c r="L3511" s="6" t="b">
        <f t="shared" si="3324"/>
        <v>0</v>
      </c>
      <c r="M3511" s="6" t="b">
        <f t="shared" si="3324"/>
        <v>0</v>
      </c>
      <c r="P3511" s="4">
        <v>0.149281702715754</v>
      </c>
      <c r="T3511" s="4" t="str">
        <f t="shared" si="3"/>
        <v/>
      </c>
      <c r="U3511" s="4">
        <f t="shared" si="4"/>
        <v>3168</v>
      </c>
    </row>
    <row r="3512" ht="15.75" customHeight="1">
      <c r="A3512" s="4" t="s">
        <v>4533</v>
      </c>
      <c r="B3512" s="4" t="s">
        <v>13</v>
      </c>
      <c r="I3512" s="4">
        <v>0.256</v>
      </c>
      <c r="J3512" s="4">
        <v>0.046</v>
      </c>
      <c r="K3512" s="6" t="b">
        <f t="shared" ref="K3512:M3512" si="3325">FALSE()</f>
        <v>0</v>
      </c>
      <c r="L3512" s="6" t="b">
        <f t="shared" si="3325"/>
        <v>0</v>
      </c>
      <c r="M3512" s="6" t="b">
        <f t="shared" si="3325"/>
        <v>0</v>
      </c>
      <c r="P3512" s="4">
        <v>0.227932068046007</v>
      </c>
      <c r="T3512" s="4" t="str">
        <f t="shared" si="3"/>
        <v/>
      </c>
      <c r="U3512" s="4">
        <f t="shared" si="4"/>
        <v>1732</v>
      </c>
    </row>
    <row r="3513" ht="15.75" customHeight="1">
      <c r="A3513" s="4" t="s">
        <v>4534</v>
      </c>
      <c r="B3513" s="4" t="s">
        <v>13</v>
      </c>
      <c r="I3513" s="4">
        <v>0.583</v>
      </c>
      <c r="J3513" s="4">
        <v>0.105</v>
      </c>
      <c r="K3513" s="6" t="b">
        <f t="shared" ref="K3513:M3513" si="3326">FALSE()</f>
        <v>0</v>
      </c>
      <c r="L3513" s="6" t="b">
        <f t="shared" si="3326"/>
        <v>0</v>
      </c>
      <c r="M3513" s="6" t="b">
        <f t="shared" si="3326"/>
        <v>0</v>
      </c>
      <c r="P3513" s="4">
        <v>0.459321780898875</v>
      </c>
      <c r="T3513" s="4" t="str">
        <f t="shared" si="3"/>
        <v/>
      </c>
      <c r="U3513" s="4">
        <f t="shared" si="4"/>
        <v>952</v>
      </c>
    </row>
    <row r="3514" ht="15.75" customHeight="1">
      <c r="A3514" s="4" t="s">
        <v>4535</v>
      </c>
      <c r="B3514" s="4" t="s">
        <v>13</v>
      </c>
      <c r="I3514" s="4">
        <v>0.175</v>
      </c>
      <c r="J3514" s="4">
        <v>0.009</v>
      </c>
      <c r="K3514" s="6" t="b">
        <f t="shared" ref="K3514:M3514" si="3327">FALSE()</f>
        <v>0</v>
      </c>
      <c r="L3514" s="6" t="b">
        <f t="shared" si="3327"/>
        <v>0</v>
      </c>
      <c r="M3514" s="6" t="b">
        <f t="shared" si="3327"/>
        <v>0</v>
      </c>
      <c r="P3514" s="4">
        <v>0.161268147596122</v>
      </c>
      <c r="T3514" s="4" t="str">
        <f t="shared" si="3"/>
        <v/>
      </c>
      <c r="U3514" s="4">
        <f t="shared" si="4"/>
        <v>2977</v>
      </c>
    </row>
    <row r="3515" ht="15.75" customHeight="1">
      <c r="A3515" s="4" t="s">
        <v>4536</v>
      </c>
      <c r="B3515" s="4" t="s">
        <v>13</v>
      </c>
      <c r="I3515" s="4">
        <v>0.172</v>
      </c>
      <c r="J3515" s="4">
        <v>0.02</v>
      </c>
      <c r="K3515" s="6" t="b">
        <f t="shared" ref="K3515:M3515" si="3328">FALSE()</f>
        <v>0</v>
      </c>
      <c r="L3515" s="6" t="b">
        <f t="shared" si="3328"/>
        <v>0</v>
      </c>
      <c r="M3515" s="6" t="b">
        <f t="shared" si="3328"/>
        <v>0</v>
      </c>
      <c r="P3515" s="4">
        <v>0.158711691154821</v>
      </c>
      <c r="T3515" s="4" t="str">
        <f t="shared" si="3"/>
        <v/>
      </c>
      <c r="U3515" s="4">
        <f t="shared" si="4"/>
        <v>3018</v>
      </c>
    </row>
    <row r="3516" ht="15.75" customHeight="1">
      <c r="A3516" s="4" t="s">
        <v>4537</v>
      </c>
      <c r="B3516" s="4" t="s">
        <v>13</v>
      </c>
      <c r="I3516" s="4">
        <v>0.223</v>
      </c>
      <c r="J3516" s="4">
        <v>0.018</v>
      </c>
      <c r="K3516" s="6" t="b">
        <f t="shared" ref="K3516:M3516" si="3329">FALSE()</f>
        <v>0</v>
      </c>
      <c r="L3516" s="6" t="b">
        <f t="shared" si="3329"/>
        <v>0</v>
      </c>
      <c r="M3516" s="6" t="b">
        <f t="shared" si="3329"/>
        <v>0</v>
      </c>
      <c r="P3516" s="4">
        <v>0.201306856705035</v>
      </c>
      <c r="T3516" s="4" t="str">
        <f t="shared" si="3"/>
        <v/>
      </c>
      <c r="U3516" s="4">
        <f t="shared" si="4"/>
        <v>2216</v>
      </c>
    </row>
    <row r="3517" ht="15.75" customHeight="1">
      <c r="A3517" s="4" t="s">
        <v>4538</v>
      </c>
      <c r="B3517" s="4" t="s">
        <v>13</v>
      </c>
      <c r="I3517" s="4">
        <v>0.118</v>
      </c>
      <c r="J3517" s="4">
        <v>0.024</v>
      </c>
      <c r="K3517" s="6" t="b">
        <f t="shared" ref="K3517:M3517" si="3330">FALSE()</f>
        <v>0</v>
      </c>
      <c r="L3517" s="6" t="b">
        <f t="shared" si="3330"/>
        <v>0</v>
      </c>
      <c r="M3517" s="6" t="b">
        <f t="shared" si="3330"/>
        <v>0</v>
      </c>
      <c r="P3517" s="4">
        <v>0.111541374732907</v>
      </c>
      <c r="T3517" s="4" t="str">
        <f t="shared" si="3"/>
        <v/>
      </c>
      <c r="U3517" s="4">
        <f t="shared" si="4"/>
        <v>3914</v>
      </c>
    </row>
    <row r="3518" ht="15.75" customHeight="1">
      <c r="A3518" s="4" t="s">
        <v>4539</v>
      </c>
      <c r="B3518" s="4" t="s">
        <v>13</v>
      </c>
      <c r="I3518" s="4">
        <v>0.236</v>
      </c>
      <c r="J3518" s="4">
        <v>0.056</v>
      </c>
      <c r="K3518" s="6" t="b">
        <f t="shared" ref="K3518:M3518" si="3331">FALSE()</f>
        <v>0</v>
      </c>
      <c r="L3518" s="6" t="b">
        <f t="shared" si="3331"/>
        <v>0</v>
      </c>
      <c r="M3518" s="6" t="b">
        <f t="shared" si="3331"/>
        <v>0</v>
      </c>
      <c r="P3518" s="4">
        <v>0.211880359035499</v>
      </c>
      <c r="T3518" s="4" t="str">
        <f t="shared" si="3"/>
        <v/>
      </c>
      <c r="U3518" s="4">
        <f t="shared" si="4"/>
        <v>2017</v>
      </c>
    </row>
    <row r="3519" ht="15.75" customHeight="1">
      <c r="A3519" s="4" t="s">
        <v>4540</v>
      </c>
      <c r="B3519" s="4" t="s">
        <v>13</v>
      </c>
      <c r="I3519" s="4">
        <v>0.166</v>
      </c>
      <c r="J3519" s="4">
        <v>0.034</v>
      </c>
      <c r="K3519" s="6" t="b">
        <f t="shared" ref="K3519:M3519" si="3332">FALSE()</f>
        <v>0</v>
      </c>
      <c r="L3519" s="6" t="b">
        <f t="shared" si="3332"/>
        <v>0</v>
      </c>
      <c r="M3519" s="6" t="b">
        <f t="shared" si="3332"/>
        <v>0</v>
      </c>
      <c r="P3519" s="4">
        <v>0.153579087928301</v>
      </c>
      <c r="T3519" s="4" t="str">
        <f t="shared" si="3"/>
        <v/>
      </c>
      <c r="U3519" s="4">
        <f t="shared" si="4"/>
        <v>3099</v>
      </c>
    </row>
    <row r="3520" ht="15.75" customHeight="1">
      <c r="A3520" s="4" t="s">
        <v>4541</v>
      </c>
      <c r="B3520" s="4" t="s">
        <v>13</v>
      </c>
      <c r="I3520" s="4">
        <v>0.167</v>
      </c>
      <c r="J3520" s="4">
        <v>0.035</v>
      </c>
      <c r="K3520" s="6" t="b">
        <f t="shared" ref="K3520:M3520" si="3333">FALSE()</f>
        <v>0</v>
      </c>
      <c r="L3520" s="6" t="b">
        <f t="shared" si="3333"/>
        <v>0</v>
      </c>
      <c r="M3520" s="6" t="b">
        <f t="shared" si="3333"/>
        <v>0</v>
      </c>
      <c r="P3520" s="4">
        <v>0.154436353304419</v>
      </c>
      <c r="T3520" s="4" t="str">
        <f t="shared" si="3"/>
        <v/>
      </c>
      <c r="U3520" s="4">
        <f t="shared" si="4"/>
        <v>3090</v>
      </c>
    </row>
    <row r="3521" ht="15.75" customHeight="1">
      <c r="A3521" s="4" t="s">
        <v>867</v>
      </c>
      <c r="B3521" s="4" t="s">
        <v>13</v>
      </c>
      <c r="C3521" s="4">
        <v>0.01573</v>
      </c>
      <c r="D3521" s="4">
        <v>0.00409</v>
      </c>
      <c r="E3521" s="4">
        <v>0.00472</v>
      </c>
      <c r="I3521" s="4">
        <v>0.227</v>
      </c>
      <c r="J3521" s="4">
        <v>0.011</v>
      </c>
      <c r="K3521" s="6" t="b">
        <f t="shared" ref="K3521:M3521" si="3334">FALSE()</f>
        <v>0</v>
      </c>
      <c r="L3521" s="6" t="b">
        <f t="shared" si="3334"/>
        <v>0</v>
      </c>
      <c r="M3521" s="6" t="b">
        <f t="shared" si="3334"/>
        <v>0</v>
      </c>
      <c r="N3521" s="4">
        <v>0.0156075658075288</v>
      </c>
      <c r="P3521" s="4">
        <v>0.204572165728774</v>
      </c>
      <c r="T3521" s="4">
        <f t="shared" si="3"/>
        <v>1813</v>
      </c>
      <c r="U3521" s="4">
        <f t="shared" si="4"/>
        <v>2159</v>
      </c>
    </row>
    <row r="3522" ht="15.75" customHeight="1">
      <c r="A3522" s="4" t="s">
        <v>869</v>
      </c>
      <c r="B3522" s="4" t="s">
        <v>13</v>
      </c>
      <c r="C3522" s="4">
        <v>0.01416</v>
      </c>
      <c r="D3522" s="4">
        <v>0.00346</v>
      </c>
      <c r="E3522" s="4">
        <v>0.00346</v>
      </c>
      <c r="I3522" s="4">
        <v>0.209</v>
      </c>
      <c r="J3522" s="4">
        <v>0.01</v>
      </c>
      <c r="K3522" s="6" t="b">
        <f t="shared" ref="K3522:M3522" si="3335">FALSE()</f>
        <v>0</v>
      </c>
      <c r="L3522" s="6" t="b">
        <f t="shared" si="3335"/>
        <v>0</v>
      </c>
      <c r="M3522" s="6" t="b">
        <f t="shared" si="3335"/>
        <v>0</v>
      </c>
      <c r="N3522" s="4">
        <v>0.0140606836483341</v>
      </c>
      <c r="P3522" s="4">
        <v>0.189793571632656</v>
      </c>
      <c r="T3522" s="4">
        <f t="shared" si="3"/>
        <v>1845</v>
      </c>
      <c r="U3522" s="4">
        <f t="shared" si="4"/>
        <v>2438</v>
      </c>
    </row>
    <row r="3523" ht="15.75" customHeight="1">
      <c r="A3523" s="4" t="s">
        <v>4542</v>
      </c>
      <c r="B3523" s="4" t="s">
        <v>13</v>
      </c>
      <c r="I3523" s="4">
        <v>0.149</v>
      </c>
      <c r="J3523" s="4">
        <v>0.068</v>
      </c>
      <c r="K3523" s="6" t="b">
        <f t="shared" ref="K3523:M3523" si="3336">FALSE()</f>
        <v>0</v>
      </c>
      <c r="L3523" s="6" t="b">
        <f t="shared" si="3336"/>
        <v>0</v>
      </c>
      <c r="M3523" s="6" t="b">
        <f t="shared" si="3336"/>
        <v>0</v>
      </c>
      <c r="P3523" s="4">
        <v>0.138891998866619</v>
      </c>
      <c r="T3523" s="4" t="str">
        <f t="shared" si="3"/>
        <v/>
      </c>
      <c r="U3523" s="4">
        <f t="shared" si="4"/>
        <v>3350</v>
      </c>
    </row>
    <row r="3524" ht="15.75" customHeight="1">
      <c r="A3524" s="4" t="s">
        <v>4543</v>
      </c>
      <c r="B3524" s="4" t="s">
        <v>13</v>
      </c>
      <c r="I3524" s="4">
        <v>0.201</v>
      </c>
      <c r="J3524" s="4">
        <v>0.093</v>
      </c>
      <c r="K3524" s="6" t="b">
        <f t="shared" ref="K3524:M3524" si="3337">FALSE()</f>
        <v>0</v>
      </c>
      <c r="L3524" s="6" t="b">
        <f t="shared" si="3337"/>
        <v>0</v>
      </c>
      <c r="M3524" s="6" t="b">
        <f t="shared" si="3337"/>
        <v>0</v>
      </c>
      <c r="P3524" s="4">
        <v>0.183154543097847</v>
      </c>
      <c r="T3524" s="4" t="str">
        <f t="shared" si="3"/>
        <v/>
      </c>
      <c r="U3524" s="4">
        <f t="shared" si="4"/>
        <v>2571</v>
      </c>
    </row>
    <row r="3525" ht="15.75" customHeight="1">
      <c r="A3525" s="4" t="s">
        <v>4544</v>
      </c>
      <c r="B3525" s="4" t="s">
        <v>13</v>
      </c>
      <c r="I3525" s="4">
        <v>0.12</v>
      </c>
      <c r="J3525" s="4">
        <v>0.064</v>
      </c>
      <c r="K3525" s="6" t="b">
        <f t="shared" ref="K3525:M3525" si="3338">FALSE()</f>
        <v>0</v>
      </c>
      <c r="L3525" s="6" t="b">
        <f t="shared" si="3338"/>
        <v>0</v>
      </c>
      <c r="M3525" s="6" t="b">
        <f t="shared" si="3338"/>
        <v>0</v>
      </c>
      <c r="P3525" s="4">
        <v>0.113328685307003</v>
      </c>
      <c r="T3525" s="4" t="str">
        <f t="shared" si="3"/>
        <v/>
      </c>
      <c r="U3525" s="4">
        <f t="shared" si="4"/>
        <v>3868</v>
      </c>
    </row>
    <row r="3526" ht="15.75" customHeight="1">
      <c r="A3526" s="4" t="s">
        <v>4545</v>
      </c>
      <c r="B3526" s="4" t="s">
        <v>13</v>
      </c>
      <c r="I3526" s="4">
        <v>0.12</v>
      </c>
      <c r="J3526" s="4">
        <v>0.064</v>
      </c>
      <c r="K3526" s="6" t="b">
        <f t="shared" ref="K3526:M3526" si="3339">FALSE()</f>
        <v>0</v>
      </c>
      <c r="L3526" s="6" t="b">
        <f t="shared" si="3339"/>
        <v>0</v>
      </c>
      <c r="M3526" s="6" t="b">
        <f t="shared" si="3339"/>
        <v>0</v>
      </c>
      <c r="P3526" s="4">
        <v>0.113328685307003</v>
      </c>
      <c r="T3526" s="4" t="str">
        <f t="shared" si="3"/>
        <v/>
      </c>
      <c r="U3526" s="4">
        <f t="shared" si="4"/>
        <v>3869</v>
      </c>
    </row>
    <row r="3527" ht="15.75" customHeight="1">
      <c r="A3527" s="4" t="s">
        <v>4546</v>
      </c>
      <c r="B3527" s="4" t="s">
        <v>13</v>
      </c>
      <c r="I3527" s="4">
        <v>0.156</v>
      </c>
      <c r="J3527" s="4">
        <v>0.084</v>
      </c>
      <c r="K3527" s="6" t="b">
        <f t="shared" ref="K3527:M3527" si="3340">FALSE()</f>
        <v>0</v>
      </c>
      <c r="L3527" s="6" t="b">
        <f t="shared" si="3340"/>
        <v>0</v>
      </c>
      <c r="M3527" s="6" t="b">
        <f t="shared" si="3340"/>
        <v>0</v>
      </c>
      <c r="P3527" s="4">
        <v>0.144965770250186</v>
      </c>
      <c r="T3527" s="4" t="str">
        <f t="shared" si="3"/>
        <v/>
      </c>
      <c r="U3527" s="4">
        <f t="shared" si="4"/>
        <v>3232</v>
      </c>
    </row>
    <row r="3528" ht="15.75" customHeight="1">
      <c r="A3528" s="4" t="s">
        <v>4547</v>
      </c>
      <c r="B3528" s="4" t="s">
        <v>13</v>
      </c>
      <c r="I3528" s="4">
        <v>0.362</v>
      </c>
      <c r="J3528" s="4">
        <v>0.076</v>
      </c>
      <c r="K3528" s="6" t="b">
        <f t="shared" ref="K3528:M3528" si="3341">FALSE()</f>
        <v>0</v>
      </c>
      <c r="L3528" s="6" t="b">
        <f t="shared" si="3341"/>
        <v>0</v>
      </c>
      <c r="M3528" s="6" t="b">
        <f t="shared" si="3341"/>
        <v>0</v>
      </c>
      <c r="P3528" s="4">
        <v>0.308954207727321</v>
      </c>
      <c r="T3528" s="4" t="str">
        <f t="shared" si="3"/>
        <v/>
      </c>
      <c r="U3528" s="4">
        <f t="shared" si="4"/>
        <v>1182</v>
      </c>
    </row>
    <row r="3529" ht="15.75" customHeight="1">
      <c r="A3529" s="4" t="s">
        <v>4548</v>
      </c>
      <c r="B3529" s="4" t="s">
        <v>13</v>
      </c>
      <c r="I3529" s="4">
        <v>1.111</v>
      </c>
      <c r="J3529" s="4">
        <v>0.227</v>
      </c>
      <c r="K3529" s="6" t="b">
        <f t="shared" ref="K3529:L3529" si="3342">FALSE()</f>
        <v>0</v>
      </c>
      <c r="L3529" s="6" t="b">
        <f t="shared" si="3342"/>
        <v>0</v>
      </c>
      <c r="M3529" s="6" t="b">
        <f>TRUE()</f>
        <v>1</v>
      </c>
      <c r="P3529" s="4">
        <v>0.747161768866184</v>
      </c>
      <c r="T3529" s="4" t="str">
        <f t="shared" si="3"/>
        <v/>
      </c>
      <c r="U3529" s="4">
        <f t="shared" si="4"/>
        <v>499</v>
      </c>
    </row>
    <row r="3530" ht="15.75" customHeight="1">
      <c r="A3530" s="4" t="s">
        <v>4549</v>
      </c>
      <c r="B3530" s="4" t="s">
        <v>13</v>
      </c>
      <c r="I3530" s="4">
        <v>0.079</v>
      </c>
      <c r="J3530" s="4">
        <v>0.004</v>
      </c>
      <c r="K3530" s="6" t="b">
        <f t="shared" ref="K3530:M3530" si="3343">FALSE()</f>
        <v>0</v>
      </c>
      <c r="L3530" s="6" t="b">
        <f t="shared" si="3343"/>
        <v>0</v>
      </c>
      <c r="M3530" s="6" t="b">
        <f t="shared" si="3343"/>
        <v>0</v>
      </c>
      <c r="P3530" s="4">
        <v>0.0760346862759976</v>
      </c>
      <c r="T3530" s="4" t="str">
        <f t="shared" si="3"/>
        <v/>
      </c>
      <c r="U3530" s="4">
        <f t="shared" si="4"/>
        <v>4425</v>
      </c>
    </row>
    <row r="3531" ht="15.75" customHeight="1">
      <c r="A3531" s="4" t="s">
        <v>4550</v>
      </c>
      <c r="B3531" s="4" t="s">
        <v>13</v>
      </c>
      <c r="I3531" s="4">
        <v>0.102</v>
      </c>
      <c r="J3531" s="4">
        <v>0.008</v>
      </c>
      <c r="K3531" s="6" t="b">
        <f t="shared" ref="K3531:M3531" si="3344">FALSE()</f>
        <v>0</v>
      </c>
      <c r="L3531" s="6" t="b">
        <f t="shared" si="3344"/>
        <v>0</v>
      </c>
      <c r="M3531" s="6" t="b">
        <f t="shared" si="3344"/>
        <v>0</v>
      </c>
      <c r="P3531" s="4">
        <v>0.0971267107307227</v>
      </c>
      <c r="T3531" s="4" t="str">
        <f t="shared" si="3"/>
        <v/>
      </c>
      <c r="U3531" s="4">
        <f t="shared" si="4"/>
        <v>4191</v>
      </c>
    </row>
    <row r="3532" ht="15.75" customHeight="1">
      <c r="A3532" s="4" t="s">
        <v>4551</v>
      </c>
      <c r="B3532" s="4" t="s">
        <v>13</v>
      </c>
      <c r="I3532" s="4">
        <v>0.255</v>
      </c>
      <c r="J3532" s="4">
        <v>0.019</v>
      </c>
      <c r="K3532" s="6" t="b">
        <f t="shared" ref="K3532:M3532" si="3345">FALSE()</f>
        <v>0</v>
      </c>
      <c r="L3532" s="6" t="b">
        <f t="shared" si="3345"/>
        <v>0</v>
      </c>
      <c r="M3532" s="6" t="b">
        <f t="shared" si="3345"/>
        <v>0</v>
      </c>
      <c r="P3532" s="4">
        <v>0.227135572583747</v>
      </c>
      <c r="T3532" s="4" t="str">
        <f t="shared" si="3"/>
        <v/>
      </c>
      <c r="U3532" s="4">
        <f t="shared" si="4"/>
        <v>1752</v>
      </c>
    </row>
    <row r="3533" ht="15.75" customHeight="1">
      <c r="A3533" s="4" t="s">
        <v>4552</v>
      </c>
      <c r="B3533" s="4" t="s">
        <v>13</v>
      </c>
      <c r="I3533" s="4">
        <v>0.194</v>
      </c>
      <c r="J3533" s="4">
        <v>0.013</v>
      </c>
      <c r="K3533" s="6" t="b">
        <f t="shared" ref="K3533:M3533" si="3346">FALSE()</f>
        <v>0</v>
      </c>
      <c r="L3533" s="6" t="b">
        <f t="shared" si="3346"/>
        <v>0</v>
      </c>
      <c r="M3533" s="6" t="b">
        <f t="shared" si="3346"/>
        <v>0</v>
      </c>
      <c r="P3533" s="4">
        <v>0.17730901497041</v>
      </c>
      <c r="T3533" s="4" t="str">
        <f t="shared" si="3"/>
        <v/>
      </c>
      <c r="U3533" s="4">
        <f t="shared" si="4"/>
        <v>2689</v>
      </c>
    </row>
    <row r="3534" ht="15.75" customHeight="1">
      <c r="A3534" s="4" t="s">
        <v>4553</v>
      </c>
      <c r="B3534" s="4" t="s">
        <v>13</v>
      </c>
      <c r="I3534" s="4">
        <v>0.245</v>
      </c>
      <c r="J3534" s="4">
        <v>0.019</v>
      </c>
      <c r="K3534" s="6" t="b">
        <f t="shared" ref="K3534:M3534" si="3347">FALSE()</f>
        <v>0</v>
      </c>
      <c r="L3534" s="6" t="b">
        <f t="shared" si="3347"/>
        <v>0</v>
      </c>
      <c r="M3534" s="6" t="b">
        <f t="shared" si="3347"/>
        <v>0</v>
      </c>
      <c r="P3534" s="4">
        <v>0.219135529916671</v>
      </c>
      <c r="T3534" s="4" t="str">
        <f t="shared" si="3"/>
        <v/>
      </c>
      <c r="U3534" s="4">
        <f t="shared" si="4"/>
        <v>1875</v>
      </c>
    </row>
    <row r="3535" ht="15.75" customHeight="1">
      <c r="A3535" s="4" t="s">
        <v>4554</v>
      </c>
      <c r="B3535" s="4" t="s">
        <v>13</v>
      </c>
      <c r="I3535" s="4">
        <v>0.107</v>
      </c>
      <c r="J3535" s="4">
        <v>0.003</v>
      </c>
      <c r="K3535" s="6" t="b">
        <f t="shared" ref="K3535:M3535" si="3348">FALSE()</f>
        <v>0</v>
      </c>
      <c r="L3535" s="6" t="b">
        <f t="shared" si="3348"/>
        <v>0</v>
      </c>
      <c r="M3535" s="6" t="b">
        <f t="shared" si="3348"/>
        <v>0</v>
      </c>
      <c r="P3535" s="4">
        <v>0.1016536537265</v>
      </c>
      <c r="T3535" s="4" t="str">
        <f t="shared" si="3"/>
        <v/>
      </c>
      <c r="U3535" s="4">
        <f t="shared" si="4"/>
        <v>4103</v>
      </c>
    </row>
    <row r="3536" ht="15.75" customHeight="1">
      <c r="A3536" s="4" t="s">
        <v>870</v>
      </c>
      <c r="B3536" s="4" t="s">
        <v>13</v>
      </c>
      <c r="C3536" s="4">
        <v>0.033</v>
      </c>
      <c r="D3536" s="4">
        <v>0.006</v>
      </c>
      <c r="E3536" s="4">
        <v>0.008</v>
      </c>
      <c r="I3536" s="4">
        <v>0.321</v>
      </c>
      <c r="J3536" s="4">
        <v>0.032</v>
      </c>
      <c r="K3536" s="6" t="b">
        <f t="shared" ref="K3536:M3536" si="3349">FALSE()</f>
        <v>0</v>
      </c>
      <c r="L3536" s="6" t="b">
        <f t="shared" si="3349"/>
        <v>0</v>
      </c>
      <c r="M3536" s="6" t="b">
        <f t="shared" si="3349"/>
        <v>0</v>
      </c>
      <c r="N3536" s="4">
        <v>0.0324671901375014</v>
      </c>
      <c r="P3536" s="4">
        <v>0.278389025540188</v>
      </c>
      <c r="T3536" s="4">
        <f t="shared" si="3"/>
        <v>1515</v>
      </c>
      <c r="U3536" s="4">
        <f t="shared" si="4"/>
        <v>1299</v>
      </c>
    </row>
    <row r="3537" ht="15.75" customHeight="1">
      <c r="A3537" s="4" t="s">
        <v>871</v>
      </c>
      <c r="B3537" s="4" t="s">
        <v>13</v>
      </c>
      <c r="C3537" s="4">
        <v>0.019</v>
      </c>
      <c r="D3537" s="4">
        <v>0.007</v>
      </c>
      <c r="E3537" s="4">
        <v>0.008</v>
      </c>
      <c r="I3537" s="4">
        <v>0.294</v>
      </c>
      <c r="J3537" s="4">
        <v>0.029</v>
      </c>
      <c r="K3537" s="6" t="b">
        <f t="shared" ref="K3537:M3537" si="3350">FALSE()</f>
        <v>0</v>
      </c>
      <c r="L3537" s="6" t="b">
        <f t="shared" si="3350"/>
        <v>0</v>
      </c>
      <c r="M3537" s="6" t="b">
        <f t="shared" si="3350"/>
        <v>0</v>
      </c>
      <c r="N3537" s="4">
        <v>0.0188217542405877</v>
      </c>
      <c r="P3537" s="4">
        <v>0.257738196078709</v>
      </c>
      <c r="T3537" s="4">
        <f t="shared" si="3"/>
        <v>1753</v>
      </c>
      <c r="U3537" s="4">
        <f t="shared" si="4"/>
        <v>1413</v>
      </c>
    </row>
    <row r="3538" ht="15.75" customHeight="1">
      <c r="A3538" s="4" t="s">
        <v>4555</v>
      </c>
      <c r="B3538" s="4" t="s">
        <v>13</v>
      </c>
      <c r="I3538" s="4">
        <v>0.242</v>
      </c>
      <c r="J3538" s="4">
        <v>0.037</v>
      </c>
      <c r="K3538" s="6" t="b">
        <f t="shared" ref="K3538:M3538" si="3351">FALSE()</f>
        <v>0</v>
      </c>
      <c r="L3538" s="6" t="b">
        <f t="shared" si="3351"/>
        <v>0</v>
      </c>
      <c r="M3538" s="6" t="b">
        <f t="shared" si="3351"/>
        <v>0</v>
      </c>
      <c r="P3538" s="4">
        <v>0.216722983511287</v>
      </c>
      <c r="T3538" s="4" t="str">
        <f t="shared" si="3"/>
        <v/>
      </c>
      <c r="U3538" s="4">
        <f t="shared" si="4"/>
        <v>1916</v>
      </c>
    </row>
    <row r="3539" ht="15.75" customHeight="1">
      <c r="A3539" s="4" t="s">
        <v>4556</v>
      </c>
      <c r="B3539" s="4" t="s">
        <v>13</v>
      </c>
      <c r="I3539" s="4">
        <v>0.16</v>
      </c>
      <c r="K3539" s="6" t="b">
        <f t="shared" ref="K3539:M3539" si="3352">FALSE()</f>
        <v>0</v>
      </c>
      <c r="L3539" s="6" t="b">
        <f t="shared" si="3352"/>
        <v>0</v>
      </c>
      <c r="M3539" s="6" t="b">
        <f t="shared" si="3352"/>
        <v>0</v>
      </c>
      <c r="P3539" s="4">
        <v>0.148420005118273</v>
      </c>
      <c r="T3539" s="4" t="str">
        <f t="shared" si="3"/>
        <v/>
      </c>
      <c r="U3539" s="4">
        <f t="shared" si="4"/>
        <v>3178</v>
      </c>
    </row>
    <row r="3540" ht="15.75" customHeight="1">
      <c r="A3540" s="4" t="s">
        <v>4557</v>
      </c>
      <c r="B3540" s="4" t="s">
        <v>13</v>
      </c>
      <c r="I3540" s="4">
        <v>0.136</v>
      </c>
      <c r="J3540" s="4">
        <v>0.009</v>
      </c>
      <c r="K3540" s="6" t="b">
        <f t="shared" ref="K3540:M3540" si="3353">FALSE()</f>
        <v>0</v>
      </c>
      <c r="L3540" s="6" t="b">
        <f t="shared" si="3353"/>
        <v>0</v>
      </c>
      <c r="M3540" s="6" t="b">
        <f t="shared" si="3353"/>
        <v>0</v>
      </c>
      <c r="P3540" s="4">
        <v>0.12751332029896</v>
      </c>
      <c r="T3540" s="4" t="str">
        <f t="shared" si="3"/>
        <v/>
      </c>
      <c r="U3540" s="4">
        <f t="shared" si="4"/>
        <v>3587</v>
      </c>
    </row>
    <row r="3541" ht="15.75" customHeight="1">
      <c r="A3541" s="4" t="s">
        <v>4558</v>
      </c>
      <c r="B3541" s="4" t="s">
        <v>13</v>
      </c>
      <c r="I3541" s="4">
        <v>0.21</v>
      </c>
      <c r="J3541" s="4">
        <v>0.017</v>
      </c>
      <c r="K3541" s="6" t="b">
        <f t="shared" ref="K3541:M3541" si="3354">FALSE()</f>
        <v>0</v>
      </c>
      <c r="L3541" s="6" t="b">
        <f t="shared" si="3354"/>
        <v>0</v>
      </c>
      <c r="M3541" s="6" t="b">
        <f t="shared" si="3354"/>
        <v>0</v>
      </c>
      <c r="P3541" s="4">
        <v>0.19062035960865</v>
      </c>
      <c r="T3541" s="4" t="str">
        <f t="shared" si="3"/>
        <v/>
      </c>
      <c r="U3541" s="4">
        <f t="shared" si="4"/>
        <v>2422</v>
      </c>
    </row>
    <row r="3542" ht="15.75" customHeight="1">
      <c r="A3542" s="4" t="s">
        <v>4559</v>
      </c>
      <c r="B3542" s="4" t="s">
        <v>13</v>
      </c>
      <c r="I3542" s="4">
        <v>0.22</v>
      </c>
      <c r="J3542" s="4">
        <v>0.021</v>
      </c>
      <c r="K3542" s="6" t="b">
        <f t="shared" ref="K3542:M3542" si="3355">FALSE()</f>
        <v>0</v>
      </c>
      <c r="L3542" s="6" t="b">
        <f t="shared" si="3355"/>
        <v>0</v>
      </c>
      <c r="M3542" s="6" t="b">
        <f t="shared" si="3355"/>
        <v>0</v>
      </c>
      <c r="P3542" s="4">
        <v>0.198850858745165</v>
      </c>
      <c r="T3542" s="4" t="str">
        <f t="shared" si="3"/>
        <v/>
      </c>
      <c r="U3542" s="4">
        <f t="shared" si="4"/>
        <v>2265</v>
      </c>
    </row>
    <row r="3543" ht="15.75" customHeight="1">
      <c r="A3543" s="4" t="s">
        <v>4560</v>
      </c>
      <c r="B3543" s="4" t="s">
        <v>13</v>
      </c>
      <c r="I3543" s="4">
        <v>0.203</v>
      </c>
      <c r="J3543" s="4">
        <v>0.013</v>
      </c>
      <c r="K3543" s="6" t="b">
        <f t="shared" ref="K3543:M3543" si="3356">FALSE()</f>
        <v>0</v>
      </c>
      <c r="L3543" s="6" t="b">
        <f t="shared" si="3356"/>
        <v>0</v>
      </c>
      <c r="M3543" s="6" t="b">
        <f t="shared" si="3356"/>
        <v>0</v>
      </c>
      <c r="P3543" s="4">
        <v>0.184818436992542</v>
      </c>
      <c r="T3543" s="4" t="str">
        <f t="shared" si="3"/>
        <v/>
      </c>
      <c r="U3543" s="4">
        <f t="shared" si="4"/>
        <v>2532</v>
      </c>
    </row>
    <row r="3544" ht="15.75" customHeight="1">
      <c r="A3544" s="4" t="s">
        <v>872</v>
      </c>
      <c r="B3544" s="4" t="s">
        <v>13</v>
      </c>
      <c r="C3544" s="4">
        <v>0.02341</v>
      </c>
      <c r="D3544" s="4">
        <v>0.00274</v>
      </c>
      <c r="E3544" s="4">
        <v>0.00286</v>
      </c>
      <c r="I3544" s="4">
        <v>0.217</v>
      </c>
      <c r="J3544" s="4">
        <v>0.008</v>
      </c>
      <c r="K3544" s="6" t="b">
        <f t="shared" ref="K3544:M3544" si="3357">FALSE()</f>
        <v>0</v>
      </c>
      <c r="L3544" s="6" t="b">
        <f t="shared" si="3357"/>
        <v>0</v>
      </c>
      <c r="M3544" s="6" t="b">
        <f t="shared" si="3357"/>
        <v>0</v>
      </c>
      <c r="N3544" s="4">
        <v>0.0231401886915156</v>
      </c>
      <c r="P3544" s="4">
        <v>0.19638881400539</v>
      </c>
      <c r="T3544" s="4">
        <f t="shared" si="3"/>
        <v>1658</v>
      </c>
      <c r="U3544" s="4">
        <f t="shared" si="4"/>
        <v>2305</v>
      </c>
    </row>
    <row r="3545" ht="15.75" customHeight="1">
      <c r="A3545" s="4" t="s">
        <v>873</v>
      </c>
      <c r="B3545" s="4" t="s">
        <v>13</v>
      </c>
      <c r="C3545" s="4">
        <v>0.01145</v>
      </c>
      <c r="D3545" s="4">
        <v>0.00182</v>
      </c>
      <c r="E3545" s="4">
        <v>0.00205</v>
      </c>
      <c r="I3545" s="4">
        <v>0.196</v>
      </c>
      <c r="J3545" s="4">
        <v>0.006</v>
      </c>
      <c r="K3545" s="6" t="b">
        <f t="shared" ref="K3545:M3545" si="3358">FALSE()</f>
        <v>0</v>
      </c>
      <c r="L3545" s="6" t="b">
        <f t="shared" si="3358"/>
        <v>0</v>
      </c>
      <c r="M3545" s="6" t="b">
        <f t="shared" si="3358"/>
        <v>0</v>
      </c>
      <c r="N3545" s="4">
        <v>0.0113849448665635</v>
      </c>
      <c r="P3545" s="4">
        <v>0.17898265552844</v>
      </c>
      <c r="T3545" s="4">
        <f t="shared" si="3"/>
        <v>1909</v>
      </c>
      <c r="U3545" s="4">
        <f t="shared" si="4"/>
        <v>2656</v>
      </c>
    </row>
    <row r="3546" ht="15.75" customHeight="1">
      <c r="A3546" s="4" t="s">
        <v>4561</v>
      </c>
      <c r="B3546" s="4" t="s">
        <v>13</v>
      </c>
      <c r="I3546" s="4">
        <v>0.189</v>
      </c>
      <c r="J3546" s="4">
        <v>0.091</v>
      </c>
      <c r="K3546" s="6" t="b">
        <f t="shared" ref="K3546:M3546" si="3359">FALSE()</f>
        <v>0</v>
      </c>
      <c r="L3546" s="6" t="b">
        <f t="shared" si="3359"/>
        <v>0</v>
      </c>
      <c r="M3546" s="6" t="b">
        <f t="shared" si="3359"/>
        <v>0</v>
      </c>
      <c r="P3546" s="4">
        <v>0.173112617708645</v>
      </c>
      <c r="T3546" s="4" t="str">
        <f t="shared" si="3"/>
        <v/>
      </c>
      <c r="U3546" s="4">
        <f t="shared" si="4"/>
        <v>2757</v>
      </c>
    </row>
    <row r="3547" ht="15.75" customHeight="1">
      <c r="A3547" s="4" t="s">
        <v>4562</v>
      </c>
      <c r="B3547" s="4" t="s">
        <v>13</v>
      </c>
      <c r="I3547" s="4">
        <v>0.193</v>
      </c>
      <c r="J3547" s="4">
        <v>0.093</v>
      </c>
      <c r="K3547" s="6" t="b">
        <f t="shared" ref="K3547:M3547" si="3360">FALSE()</f>
        <v>0</v>
      </c>
      <c r="L3547" s="6" t="b">
        <f t="shared" si="3360"/>
        <v>0</v>
      </c>
      <c r="M3547" s="6" t="b">
        <f t="shared" si="3360"/>
        <v>0</v>
      </c>
      <c r="P3547" s="4">
        <v>0.176471143115779</v>
      </c>
      <c r="T3547" s="4" t="str">
        <f t="shared" si="3"/>
        <v/>
      </c>
      <c r="U3547" s="4">
        <f t="shared" si="4"/>
        <v>2704</v>
      </c>
    </row>
    <row r="3548" ht="15.75" customHeight="1">
      <c r="A3548" s="4" t="s">
        <v>4563</v>
      </c>
      <c r="B3548" s="4" t="s">
        <v>13</v>
      </c>
      <c r="I3548" s="4">
        <v>0.139</v>
      </c>
      <c r="J3548" s="4">
        <v>0.012</v>
      </c>
      <c r="K3548" s="6" t="b">
        <f t="shared" ref="K3548:M3548" si="3361">FALSE()</f>
        <v>0</v>
      </c>
      <c r="L3548" s="6" t="b">
        <f t="shared" si="3361"/>
        <v>0</v>
      </c>
      <c r="M3548" s="6" t="b">
        <f t="shared" si="3361"/>
        <v>0</v>
      </c>
      <c r="P3548" s="4">
        <v>0.130150684465045</v>
      </c>
      <c r="T3548" s="4" t="str">
        <f t="shared" si="3"/>
        <v/>
      </c>
      <c r="U3548" s="4">
        <f t="shared" si="4"/>
        <v>3527</v>
      </c>
    </row>
    <row r="3549" ht="15.75" customHeight="1">
      <c r="A3549" s="4" t="s">
        <v>4564</v>
      </c>
      <c r="B3549" s="4" t="s">
        <v>13</v>
      </c>
      <c r="I3549" s="4">
        <v>0.224</v>
      </c>
      <c r="J3549" s="4">
        <v>0.016</v>
      </c>
      <c r="K3549" s="6" t="b">
        <f t="shared" ref="K3549:M3549" si="3362">FALSE()</f>
        <v>0</v>
      </c>
      <c r="L3549" s="6" t="b">
        <f t="shared" si="3362"/>
        <v>0</v>
      </c>
      <c r="M3549" s="6" t="b">
        <f t="shared" si="3362"/>
        <v>0</v>
      </c>
      <c r="P3549" s="4">
        <v>0.202124184090134</v>
      </c>
      <c r="T3549" s="4" t="str">
        <f t="shared" si="3"/>
        <v/>
      </c>
      <c r="U3549" s="4">
        <f t="shared" si="4"/>
        <v>2199</v>
      </c>
    </row>
    <row r="3550" ht="15.75" customHeight="1">
      <c r="A3550" s="4" t="s">
        <v>875</v>
      </c>
      <c r="B3550" s="4" t="s">
        <v>13</v>
      </c>
      <c r="C3550" s="4">
        <v>0.036</v>
      </c>
      <c r="D3550" s="4">
        <v>0.004</v>
      </c>
      <c r="E3550" s="4">
        <v>0.004</v>
      </c>
      <c r="I3550" s="4">
        <v>0.348</v>
      </c>
      <c r="J3550" s="4">
        <v>0.018</v>
      </c>
      <c r="K3550" s="6" t="b">
        <f t="shared" ref="K3550:M3550" si="3363">FALSE()</f>
        <v>0</v>
      </c>
      <c r="L3550" s="6" t="b">
        <f t="shared" si="3363"/>
        <v>0</v>
      </c>
      <c r="M3550" s="6" t="b">
        <f t="shared" si="3363"/>
        <v>0</v>
      </c>
      <c r="N3550" s="4">
        <v>0.0353671438372913</v>
      </c>
      <c r="P3550" s="4">
        <v>0.298622012490115</v>
      </c>
      <c r="T3550" s="4">
        <f t="shared" si="3"/>
        <v>1480</v>
      </c>
      <c r="U3550" s="4">
        <f t="shared" si="4"/>
        <v>1214</v>
      </c>
    </row>
    <row r="3551" ht="15.75" customHeight="1">
      <c r="A3551" s="4" t="s">
        <v>876</v>
      </c>
      <c r="B3551" s="4" t="s">
        <v>13</v>
      </c>
      <c r="C3551" s="4">
        <v>2.01</v>
      </c>
      <c r="D3551" s="4">
        <v>0.16</v>
      </c>
      <c r="E3551" s="4">
        <v>0.16</v>
      </c>
      <c r="I3551" s="4">
        <v>1.097</v>
      </c>
      <c r="J3551" s="4">
        <v>0.036</v>
      </c>
      <c r="K3551" s="6" t="b">
        <f t="shared" ref="K3551:L3551" si="3364">FALSE()</f>
        <v>0</v>
      </c>
      <c r="L3551" s="6" t="b">
        <f t="shared" si="3364"/>
        <v>0</v>
      </c>
      <c r="M3551" s="6" t="b">
        <f t="shared" ref="M3551:M3552" si="3366">TRUE()</f>
        <v>1</v>
      </c>
      <c r="N3551" s="4">
        <v>1.10194007876078</v>
      </c>
      <c r="P3551" s="4">
        <v>0.740507751919783</v>
      </c>
      <c r="T3551" s="4">
        <f t="shared" si="3"/>
        <v>436</v>
      </c>
      <c r="U3551" s="4">
        <f t="shared" si="4"/>
        <v>521</v>
      </c>
    </row>
    <row r="3552" ht="15.75" customHeight="1">
      <c r="A3552" s="4" t="s">
        <v>877</v>
      </c>
      <c r="B3552" s="4" t="s">
        <v>13</v>
      </c>
      <c r="C3552" s="4">
        <v>0.073</v>
      </c>
      <c r="D3552" s="4">
        <v>0.008</v>
      </c>
      <c r="E3552" s="4">
        <v>0.008</v>
      </c>
      <c r="I3552" s="4">
        <v>0.785</v>
      </c>
      <c r="J3552" s="4">
        <v>0.045</v>
      </c>
      <c r="K3552" s="6" t="b">
        <f t="shared" ref="K3552:L3552" si="3365">FALSE()</f>
        <v>0</v>
      </c>
      <c r="L3552" s="6" t="b">
        <f t="shared" si="3365"/>
        <v>0</v>
      </c>
      <c r="M3552" s="6" t="b">
        <f t="shared" si="3366"/>
        <v>1</v>
      </c>
      <c r="N3552" s="4">
        <v>0.0704584636485614</v>
      </c>
      <c r="P3552" s="4">
        <v>0.579418415231602</v>
      </c>
      <c r="T3552" s="4">
        <f t="shared" si="3"/>
        <v>1318</v>
      </c>
      <c r="U3552" s="4">
        <f t="shared" si="4"/>
        <v>848</v>
      </c>
    </row>
    <row r="3553" ht="15.75" customHeight="1">
      <c r="A3553" s="4" t="s">
        <v>4565</v>
      </c>
      <c r="B3553" s="4" t="s">
        <v>13</v>
      </c>
      <c r="I3553" s="4">
        <v>0.106</v>
      </c>
      <c r="J3553" s="4">
        <v>0.05</v>
      </c>
      <c r="K3553" s="6" t="b">
        <f t="shared" ref="K3553:M3553" si="3367">FALSE()</f>
        <v>0</v>
      </c>
      <c r="L3553" s="6" t="b">
        <f t="shared" si="3367"/>
        <v>0</v>
      </c>
      <c r="M3553" s="6" t="b">
        <f t="shared" si="3367"/>
        <v>0</v>
      </c>
      <c r="P3553" s="4">
        <v>0.100749903100143</v>
      </c>
      <c r="T3553" s="4" t="str">
        <f t="shared" si="3"/>
        <v/>
      </c>
      <c r="U3553" s="4">
        <f t="shared" si="4"/>
        <v>4123</v>
      </c>
    </row>
    <row r="3554" ht="15.75" customHeight="1">
      <c r="A3554" s="4" t="s">
        <v>4566</v>
      </c>
      <c r="B3554" s="4" t="s">
        <v>13</v>
      </c>
      <c r="I3554" s="4">
        <v>0.302</v>
      </c>
      <c r="J3554" s="4">
        <v>0.141</v>
      </c>
      <c r="K3554" s="6" t="b">
        <f t="shared" ref="K3554:M3554" si="3368">FALSE()</f>
        <v>0</v>
      </c>
      <c r="L3554" s="6" t="b">
        <f t="shared" si="3368"/>
        <v>0</v>
      </c>
      <c r="M3554" s="6" t="b">
        <f t="shared" si="3368"/>
        <v>0</v>
      </c>
      <c r="P3554" s="4">
        <v>0.263901543786378</v>
      </c>
      <c r="T3554" s="4" t="str">
        <f t="shared" si="3"/>
        <v/>
      </c>
      <c r="U3554" s="4">
        <f t="shared" si="4"/>
        <v>1367</v>
      </c>
    </row>
    <row r="3555" ht="15.75" customHeight="1">
      <c r="A3555" s="4" t="s">
        <v>4567</v>
      </c>
      <c r="B3555" s="4" t="s">
        <v>13</v>
      </c>
      <c r="I3555" s="4">
        <v>0.22</v>
      </c>
      <c r="J3555" s="4">
        <v>0.103</v>
      </c>
      <c r="K3555" s="6" t="b">
        <f t="shared" ref="K3555:M3555" si="3369">FALSE()</f>
        <v>0</v>
      </c>
      <c r="L3555" s="6" t="b">
        <f t="shared" si="3369"/>
        <v>0</v>
      </c>
      <c r="M3555" s="6" t="b">
        <f t="shared" si="3369"/>
        <v>0</v>
      </c>
      <c r="P3555" s="4">
        <v>0.198850858745165</v>
      </c>
      <c r="T3555" s="4" t="str">
        <f t="shared" si="3"/>
        <v/>
      </c>
      <c r="U3555" s="4">
        <f t="shared" si="4"/>
        <v>2266</v>
      </c>
    </row>
    <row r="3556" ht="15.75" customHeight="1">
      <c r="A3556" s="4" t="s">
        <v>4568</v>
      </c>
      <c r="B3556" s="4" t="s">
        <v>13</v>
      </c>
      <c r="I3556" s="4">
        <v>0.152</v>
      </c>
      <c r="J3556" s="4">
        <v>0.029</v>
      </c>
      <c r="K3556" s="6" t="b">
        <f t="shared" ref="K3556:M3556" si="3370">FALSE()</f>
        <v>0</v>
      </c>
      <c r="L3556" s="6" t="b">
        <f t="shared" si="3370"/>
        <v>0</v>
      </c>
      <c r="M3556" s="6" t="b">
        <f t="shared" si="3370"/>
        <v>0</v>
      </c>
      <c r="P3556" s="4">
        <v>0.1414995622737</v>
      </c>
      <c r="T3556" s="4" t="str">
        <f t="shared" si="3"/>
        <v/>
      </c>
      <c r="U3556" s="4">
        <f t="shared" si="4"/>
        <v>3298</v>
      </c>
    </row>
    <row r="3557" ht="15.75" customHeight="1">
      <c r="A3557" s="4" t="s">
        <v>4569</v>
      </c>
      <c r="B3557" s="4" t="s">
        <v>13</v>
      </c>
      <c r="I3557" s="4">
        <v>0.128</v>
      </c>
      <c r="J3557" s="4">
        <v>0.025</v>
      </c>
      <c r="K3557" s="6" t="b">
        <f t="shared" ref="K3557:M3557" si="3371">FALSE()</f>
        <v>0</v>
      </c>
      <c r="L3557" s="6" t="b">
        <f t="shared" si="3371"/>
        <v>0</v>
      </c>
      <c r="M3557" s="6" t="b">
        <f t="shared" si="3371"/>
        <v>0</v>
      </c>
      <c r="P3557" s="4">
        <v>0.120446153075867</v>
      </c>
      <c r="T3557" s="4" t="str">
        <f t="shared" si="3"/>
        <v/>
      </c>
      <c r="U3557" s="4">
        <f t="shared" si="4"/>
        <v>3731</v>
      </c>
    </row>
    <row r="3558" ht="15.75" customHeight="1">
      <c r="A3558" s="4" t="s">
        <v>4570</v>
      </c>
      <c r="B3558" s="4" t="s">
        <v>13</v>
      </c>
      <c r="I3558" s="4">
        <v>0.115</v>
      </c>
      <c r="J3558" s="4">
        <v>0.022</v>
      </c>
      <c r="K3558" s="6" t="b">
        <f t="shared" ref="K3558:M3558" si="3372">FALSE()</f>
        <v>0</v>
      </c>
      <c r="L3558" s="6" t="b">
        <f t="shared" si="3372"/>
        <v>0</v>
      </c>
      <c r="M3558" s="6" t="b">
        <f t="shared" si="3372"/>
        <v>0</v>
      </c>
      <c r="P3558" s="4">
        <v>0.108854404912082</v>
      </c>
      <c r="T3558" s="4" t="str">
        <f t="shared" si="3"/>
        <v/>
      </c>
      <c r="U3558" s="4">
        <f t="shared" si="4"/>
        <v>3971</v>
      </c>
    </row>
    <row r="3559" ht="15.75" customHeight="1">
      <c r="A3559" s="4" t="s">
        <v>4571</v>
      </c>
      <c r="B3559" s="4" t="s">
        <v>13</v>
      </c>
      <c r="I3559" s="4">
        <v>0.281</v>
      </c>
      <c r="J3559" s="4">
        <v>0.054</v>
      </c>
      <c r="K3559" s="6" t="b">
        <f t="shared" ref="K3559:M3559" si="3373">FALSE()</f>
        <v>0</v>
      </c>
      <c r="L3559" s="6" t="b">
        <f t="shared" si="3373"/>
        <v>0</v>
      </c>
      <c r="M3559" s="6" t="b">
        <f t="shared" si="3373"/>
        <v>0</v>
      </c>
      <c r="P3559" s="4">
        <v>0.247641022914597</v>
      </c>
      <c r="T3559" s="4" t="str">
        <f t="shared" si="3"/>
        <v/>
      </c>
      <c r="U3559" s="4">
        <f t="shared" si="4"/>
        <v>1498</v>
      </c>
    </row>
    <row r="3560" ht="15.75" customHeight="1">
      <c r="A3560" s="4" t="s">
        <v>4572</v>
      </c>
      <c r="B3560" s="4" t="s">
        <v>13</v>
      </c>
      <c r="I3560" s="4">
        <v>0.226</v>
      </c>
      <c r="J3560" s="4">
        <v>0.028</v>
      </c>
      <c r="K3560" s="6" t="b">
        <f t="shared" ref="K3560:M3560" si="3374">FALSE()</f>
        <v>0</v>
      </c>
      <c r="L3560" s="6" t="b">
        <f t="shared" si="3374"/>
        <v>0</v>
      </c>
      <c r="M3560" s="6" t="b">
        <f t="shared" si="3374"/>
        <v>0</v>
      </c>
      <c r="P3560" s="4">
        <v>0.20375683751402</v>
      </c>
      <c r="T3560" s="4" t="str">
        <f t="shared" si="3"/>
        <v/>
      </c>
      <c r="U3560" s="4">
        <f t="shared" si="4"/>
        <v>2176</v>
      </c>
    </row>
    <row r="3561" ht="15.75" customHeight="1">
      <c r="A3561" s="4" t="s">
        <v>4573</v>
      </c>
      <c r="B3561" s="4" t="s">
        <v>13</v>
      </c>
      <c r="I3561" s="4">
        <v>0.229</v>
      </c>
      <c r="J3561" s="4">
        <v>0.037</v>
      </c>
      <c r="K3561" s="6" t="b">
        <f t="shared" ref="K3561:M3561" si="3375">FALSE()</f>
        <v>0</v>
      </c>
      <c r="L3561" s="6" t="b">
        <f t="shared" si="3375"/>
        <v>0</v>
      </c>
      <c r="M3561" s="6" t="b">
        <f t="shared" si="3375"/>
        <v>0</v>
      </c>
      <c r="P3561" s="4">
        <v>0.206200830583898</v>
      </c>
      <c r="T3561" s="4" t="str">
        <f t="shared" si="3"/>
        <v/>
      </c>
      <c r="U3561" s="4">
        <f t="shared" si="4"/>
        <v>2128</v>
      </c>
    </row>
    <row r="3562" ht="15.75" customHeight="1">
      <c r="A3562" s="4" t="s">
        <v>4574</v>
      </c>
      <c r="B3562" s="4" t="s">
        <v>13</v>
      </c>
      <c r="I3562" s="4">
        <v>0.074</v>
      </c>
      <c r="J3562" s="4">
        <v>0.011</v>
      </c>
      <c r="K3562" s="6" t="b">
        <f t="shared" ref="K3562:M3562" si="3376">FALSE()</f>
        <v>0</v>
      </c>
      <c r="L3562" s="6" t="b">
        <f t="shared" si="3376"/>
        <v>0</v>
      </c>
      <c r="M3562" s="6" t="b">
        <f t="shared" si="3376"/>
        <v>0</v>
      </c>
      <c r="P3562" s="4">
        <v>0.0713899960866729</v>
      </c>
      <c r="T3562" s="4" t="str">
        <f t="shared" si="3"/>
        <v/>
      </c>
      <c r="U3562" s="4">
        <f t="shared" si="4"/>
        <v>4462</v>
      </c>
    </row>
    <row r="3563" ht="15.75" customHeight="1">
      <c r="A3563" s="4" t="s">
        <v>4575</v>
      </c>
      <c r="B3563" s="4" t="s">
        <v>13</v>
      </c>
      <c r="I3563" s="4">
        <v>0.259</v>
      </c>
      <c r="J3563" s="4">
        <v>0.038</v>
      </c>
      <c r="K3563" s="6" t="b">
        <f t="shared" ref="K3563:M3563" si="3377">FALSE()</f>
        <v>0</v>
      </c>
      <c r="L3563" s="6" t="b">
        <f t="shared" si="3377"/>
        <v>0</v>
      </c>
      <c r="M3563" s="6" t="b">
        <f t="shared" si="3377"/>
        <v>0</v>
      </c>
      <c r="P3563" s="4">
        <v>0.23031775506221</v>
      </c>
      <c r="T3563" s="4" t="str">
        <f t="shared" si="3"/>
        <v/>
      </c>
      <c r="U3563" s="4">
        <f t="shared" si="4"/>
        <v>1699</v>
      </c>
    </row>
    <row r="3564" ht="15.75" customHeight="1">
      <c r="A3564" s="4" t="s">
        <v>4576</v>
      </c>
      <c r="B3564" s="4" t="s">
        <v>13</v>
      </c>
      <c r="I3564" s="4">
        <v>0.336</v>
      </c>
      <c r="J3564" s="4">
        <v>0.07</v>
      </c>
      <c r="K3564" s="6" t="b">
        <f t="shared" ref="K3564:M3564" si="3378">FALSE()</f>
        <v>0</v>
      </c>
      <c r="L3564" s="6" t="b">
        <f t="shared" si="3378"/>
        <v>0</v>
      </c>
      <c r="M3564" s="6" t="b">
        <f t="shared" si="3378"/>
        <v>0</v>
      </c>
      <c r="P3564" s="4">
        <v>0.289680075114454</v>
      </c>
      <c r="T3564" s="4" t="str">
        <f t="shared" si="3"/>
        <v/>
      </c>
      <c r="U3564" s="4">
        <f t="shared" si="4"/>
        <v>1244</v>
      </c>
    </row>
    <row r="3565" ht="15.75" customHeight="1">
      <c r="A3565" s="4" t="s">
        <v>4577</v>
      </c>
      <c r="B3565" s="4" t="s">
        <v>13</v>
      </c>
      <c r="I3565" s="4">
        <v>0.37</v>
      </c>
      <c r="J3565" s="4">
        <v>0.086</v>
      </c>
      <c r="K3565" s="6" t="b">
        <f t="shared" ref="K3565:M3565" si="3379">FALSE()</f>
        <v>0</v>
      </c>
      <c r="L3565" s="6" t="b">
        <f t="shared" si="3379"/>
        <v>0</v>
      </c>
      <c r="M3565" s="6" t="b">
        <f t="shared" si="3379"/>
        <v>0</v>
      </c>
      <c r="P3565" s="4">
        <v>0.314810739840034</v>
      </c>
      <c r="T3565" s="4" t="str">
        <f t="shared" si="3"/>
        <v/>
      </c>
      <c r="U3565" s="4">
        <f t="shared" si="4"/>
        <v>1162</v>
      </c>
    </row>
    <row r="3566" ht="15.75" customHeight="1">
      <c r="A3566" s="4" t="s">
        <v>4578</v>
      </c>
      <c r="B3566" s="4" t="s">
        <v>13</v>
      </c>
      <c r="I3566" s="4">
        <v>0.095</v>
      </c>
      <c r="J3566" s="4">
        <v>0.01</v>
      </c>
      <c r="K3566" s="6" t="b">
        <f t="shared" ref="K3566:M3566" si="3380">FALSE()</f>
        <v>0</v>
      </c>
      <c r="L3566" s="6" t="b">
        <f t="shared" si="3380"/>
        <v>0</v>
      </c>
      <c r="M3566" s="6" t="b">
        <f t="shared" si="3380"/>
        <v>0</v>
      </c>
      <c r="P3566" s="4">
        <v>0.0907543632684641</v>
      </c>
      <c r="T3566" s="4" t="str">
        <f t="shared" si="3"/>
        <v/>
      </c>
      <c r="U3566" s="4">
        <f t="shared" si="4"/>
        <v>4282</v>
      </c>
    </row>
    <row r="3567" ht="15.75" customHeight="1">
      <c r="A3567" s="4" t="s">
        <v>4579</v>
      </c>
      <c r="B3567" s="4" t="s">
        <v>13</v>
      </c>
      <c r="I3567" s="4">
        <v>0.103</v>
      </c>
      <c r="J3567" s="4">
        <v>0.011</v>
      </c>
      <c r="K3567" s="6" t="b">
        <f t="shared" ref="K3567:M3567" si="3381">FALSE()</f>
        <v>0</v>
      </c>
      <c r="L3567" s="6" t="b">
        <f t="shared" si="3381"/>
        <v>0</v>
      </c>
      <c r="M3567" s="6" t="b">
        <f t="shared" si="3381"/>
        <v>0</v>
      </c>
      <c r="P3567" s="4">
        <v>0.0980337402713654</v>
      </c>
      <c r="T3567" s="4" t="str">
        <f t="shared" si="3"/>
        <v/>
      </c>
      <c r="U3567" s="4">
        <f t="shared" si="4"/>
        <v>4179</v>
      </c>
    </row>
    <row r="3568" ht="15.75" customHeight="1">
      <c r="A3568" s="4" t="s">
        <v>4580</v>
      </c>
      <c r="B3568" s="4" t="s">
        <v>13</v>
      </c>
      <c r="I3568" s="4">
        <v>0.186</v>
      </c>
      <c r="J3568" s="4">
        <v>0.086</v>
      </c>
      <c r="K3568" s="6" t="b">
        <f t="shared" ref="K3568:M3568" si="3382">FALSE()</f>
        <v>0</v>
      </c>
      <c r="L3568" s="6" t="b">
        <f t="shared" si="3382"/>
        <v>0</v>
      </c>
      <c r="M3568" s="6" t="b">
        <f t="shared" si="3382"/>
        <v>0</v>
      </c>
      <c r="P3568" s="4">
        <v>0.170586300575534</v>
      </c>
      <c r="T3568" s="4" t="str">
        <f t="shared" si="3"/>
        <v/>
      </c>
      <c r="U3568" s="4">
        <f t="shared" si="4"/>
        <v>2807</v>
      </c>
    </row>
    <row r="3569" ht="15.75" customHeight="1">
      <c r="A3569" s="4" t="s">
        <v>4581</v>
      </c>
      <c r="B3569" s="4" t="s">
        <v>13</v>
      </c>
      <c r="I3569" s="4">
        <v>0.153</v>
      </c>
      <c r="J3569" s="4">
        <v>0.07</v>
      </c>
      <c r="K3569" s="6" t="b">
        <f t="shared" ref="K3569:M3569" si="3383">FALSE()</f>
        <v>0</v>
      </c>
      <c r="L3569" s="6" t="b">
        <f t="shared" si="3383"/>
        <v>0</v>
      </c>
      <c r="M3569" s="6" t="b">
        <f t="shared" si="3383"/>
        <v>0</v>
      </c>
      <c r="P3569" s="4">
        <v>0.142367241286922</v>
      </c>
      <c r="T3569" s="4" t="str">
        <f t="shared" si="3"/>
        <v/>
      </c>
      <c r="U3569" s="4">
        <f t="shared" si="4"/>
        <v>3278</v>
      </c>
    </row>
    <row r="3570" ht="15.75" customHeight="1">
      <c r="A3570" s="4" t="s">
        <v>4582</v>
      </c>
      <c r="B3570" s="4" t="s">
        <v>13</v>
      </c>
      <c r="I3570" s="4">
        <v>0.42</v>
      </c>
      <c r="J3570" s="4">
        <v>0.074</v>
      </c>
      <c r="K3570" s="6" t="b">
        <f t="shared" ref="K3570:M3570" si="3384">FALSE()</f>
        <v>0</v>
      </c>
      <c r="L3570" s="6" t="b">
        <f t="shared" si="3384"/>
        <v>0</v>
      </c>
      <c r="M3570" s="6" t="b">
        <f t="shared" si="3384"/>
        <v>0</v>
      </c>
      <c r="P3570" s="4">
        <v>0.350656871613169</v>
      </c>
      <c r="T3570" s="4" t="str">
        <f t="shared" si="3"/>
        <v/>
      </c>
      <c r="U3570" s="4">
        <f t="shared" si="4"/>
        <v>1093</v>
      </c>
    </row>
    <row r="3571" ht="15.75" customHeight="1">
      <c r="A3571" s="4" t="s">
        <v>4583</v>
      </c>
      <c r="B3571" s="4" t="s">
        <v>13</v>
      </c>
      <c r="I3571" s="4">
        <v>0.328</v>
      </c>
      <c r="J3571" s="4">
        <v>0.058</v>
      </c>
      <c r="K3571" s="6" t="b">
        <f t="shared" ref="K3571:M3571" si="3385">FALSE()</f>
        <v>0</v>
      </c>
      <c r="L3571" s="6" t="b">
        <f t="shared" si="3385"/>
        <v>0</v>
      </c>
      <c r="M3571" s="6" t="b">
        <f t="shared" si="3385"/>
        <v>0</v>
      </c>
      <c r="P3571" s="4">
        <v>0.283674051054242</v>
      </c>
      <c r="T3571" s="4" t="str">
        <f t="shared" si="3"/>
        <v/>
      </c>
      <c r="U3571" s="4">
        <f t="shared" si="4"/>
        <v>1265</v>
      </c>
    </row>
    <row r="3572" ht="15.75" customHeight="1">
      <c r="A3572" s="4" t="s">
        <v>4584</v>
      </c>
      <c r="B3572" s="4" t="s">
        <v>13</v>
      </c>
      <c r="I3572" s="4">
        <v>0.145</v>
      </c>
      <c r="J3572" s="4">
        <v>0.021</v>
      </c>
      <c r="K3572" s="6" t="b">
        <f t="shared" ref="K3572:M3572" si="3386">FALSE()</f>
        <v>0</v>
      </c>
      <c r="L3572" s="6" t="b">
        <f t="shared" si="3386"/>
        <v>0</v>
      </c>
      <c r="M3572" s="6" t="b">
        <f t="shared" si="3386"/>
        <v>0</v>
      </c>
      <c r="P3572" s="4">
        <v>0.135404637006203</v>
      </c>
      <c r="T3572" s="4" t="str">
        <f t="shared" si="3"/>
        <v/>
      </c>
      <c r="U3572" s="4">
        <f t="shared" si="4"/>
        <v>3419</v>
      </c>
    </row>
    <row r="3573" ht="15.75" customHeight="1">
      <c r="A3573" s="4" t="s">
        <v>4585</v>
      </c>
      <c r="B3573" s="4" t="s">
        <v>13</v>
      </c>
      <c r="I3573" s="4">
        <v>0.235</v>
      </c>
      <c r="J3573" s="4">
        <v>0.033</v>
      </c>
      <c r="K3573" s="6" t="b">
        <f t="shared" ref="K3573:M3573" si="3387">FALSE()</f>
        <v>0</v>
      </c>
      <c r="L3573" s="6" t="b">
        <f t="shared" si="3387"/>
        <v>0</v>
      </c>
      <c r="M3573" s="6" t="b">
        <f t="shared" si="3387"/>
        <v>0</v>
      </c>
      <c r="P3573" s="4">
        <v>0.211070970079941</v>
      </c>
      <c r="T3573" s="4" t="str">
        <f t="shared" si="3"/>
        <v/>
      </c>
      <c r="U3573" s="4">
        <f t="shared" si="4"/>
        <v>2033</v>
      </c>
    </row>
    <row r="3574" ht="15.75" customHeight="1">
      <c r="A3574" s="4" t="s">
        <v>4586</v>
      </c>
      <c r="B3574" s="4" t="s">
        <v>13</v>
      </c>
      <c r="I3574" s="4">
        <v>0.204</v>
      </c>
      <c r="J3574" s="4">
        <v>0.031</v>
      </c>
      <c r="K3574" s="6" t="b">
        <f t="shared" ref="K3574:M3574" si="3388">FALSE()</f>
        <v>0</v>
      </c>
      <c r="L3574" s="6" t="b">
        <f t="shared" si="3388"/>
        <v>0</v>
      </c>
      <c r="M3574" s="6" t="b">
        <f t="shared" si="3388"/>
        <v>0</v>
      </c>
      <c r="P3574" s="4">
        <v>0.185649346886629</v>
      </c>
      <c r="T3574" s="4" t="str">
        <f t="shared" si="3"/>
        <v/>
      </c>
      <c r="U3574" s="4">
        <f t="shared" si="4"/>
        <v>2512</v>
      </c>
    </row>
    <row r="3575" ht="15.75" customHeight="1">
      <c r="A3575" s="4" t="s">
        <v>4587</v>
      </c>
      <c r="B3575" s="4" t="s">
        <v>13</v>
      </c>
      <c r="I3575" s="4">
        <v>0.491</v>
      </c>
      <c r="J3575" s="4">
        <v>0.098</v>
      </c>
      <c r="K3575" s="6" t="b">
        <f t="shared" ref="K3575:M3575" si="3389">FALSE()</f>
        <v>0</v>
      </c>
      <c r="L3575" s="6" t="b">
        <f t="shared" si="3389"/>
        <v>0</v>
      </c>
      <c r="M3575" s="6" t="b">
        <f t="shared" si="3389"/>
        <v>0</v>
      </c>
      <c r="P3575" s="4">
        <v>0.399447035782601</v>
      </c>
      <c r="T3575" s="4" t="str">
        <f t="shared" si="3"/>
        <v/>
      </c>
      <c r="U3575" s="4">
        <f t="shared" si="4"/>
        <v>1019</v>
      </c>
    </row>
    <row r="3576" ht="15.75" customHeight="1">
      <c r="A3576" s="4" t="s">
        <v>878</v>
      </c>
      <c r="B3576" s="4" t="s">
        <v>13</v>
      </c>
      <c r="C3576" s="4">
        <v>4.7</v>
      </c>
      <c r="D3576" s="4">
        <v>4.699</v>
      </c>
      <c r="E3576" s="4">
        <v>0.0</v>
      </c>
      <c r="I3576" s="4">
        <v>0.473</v>
      </c>
      <c r="J3576" s="4">
        <v>0.098</v>
      </c>
      <c r="K3576" s="6" t="b">
        <f t="shared" ref="K3576:K3577" si="3391">TRUE()</f>
        <v>1</v>
      </c>
      <c r="L3576" s="6" t="b">
        <f t="shared" ref="L3576:M3576" si="3390">FALSE()</f>
        <v>0</v>
      </c>
      <c r="M3576" s="6" t="b">
        <f t="shared" si="3390"/>
        <v>0</v>
      </c>
      <c r="N3576" s="4">
        <v>1.74046617484051</v>
      </c>
      <c r="P3576" s="4">
        <v>0.387301137480493</v>
      </c>
      <c r="T3576" s="4">
        <f t="shared" si="3"/>
        <v>224</v>
      </c>
      <c r="U3576" s="4">
        <f t="shared" si="4"/>
        <v>1036</v>
      </c>
    </row>
    <row r="3577" ht="15.75" customHeight="1">
      <c r="A3577" s="4" t="s">
        <v>879</v>
      </c>
      <c r="B3577" s="4" t="s">
        <v>13</v>
      </c>
      <c r="C3577" s="4">
        <v>6.8</v>
      </c>
      <c r="D3577" s="4">
        <v>6.7999</v>
      </c>
      <c r="E3577" s="4">
        <v>0.0</v>
      </c>
      <c r="I3577" s="4">
        <v>0.348</v>
      </c>
      <c r="J3577" s="4">
        <v>0.071</v>
      </c>
      <c r="K3577" s="6" t="b">
        <f t="shared" si="3391"/>
        <v>1</v>
      </c>
      <c r="L3577" s="6" t="b">
        <f t="shared" ref="L3577:M3577" si="3392">FALSE()</f>
        <v>0</v>
      </c>
      <c r="M3577" s="6" t="b">
        <f t="shared" si="3392"/>
        <v>0</v>
      </c>
      <c r="N3577" s="4">
        <v>2.05412373369555</v>
      </c>
      <c r="P3577" s="4">
        <v>0.298622012490115</v>
      </c>
      <c r="T3577" s="4">
        <f t="shared" si="3"/>
        <v>137</v>
      </c>
      <c r="U3577" s="4">
        <f t="shared" si="4"/>
        <v>1215</v>
      </c>
    </row>
    <row r="3578" ht="15.75" customHeight="1">
      <c r="A3578" s="4" t="s">
        <v>4588</v>
      </c>
      <c r="B3578" s="4" t="s">
        <v>13</v>
      </c>
      <c r="I3578" s="4">
        <v>0.102</v>
      </c>
      <c r="J3578" s="4">
        <v>0.048</v>
      </c>
      <c r="K3578" s="6" t="b">
        <f t="shared" ref="K3578:M3578" si="3393">FALSE()</f>
        <v>0</v>
      </c>
      <c r="L3578" s="6" t="b">
        <f t="shared" si="3393"/>
        <v>0</v>
      </c>
      <c r="M3578" s="6" t="b">
        <f t="shared" si="3393"/>
        <v>0</v>
      </c>
      <c r="P3578" s="4">
        <v>0.0971267107307227</v>
      </c>
      <c r="T3578" s="4" t="str">
        <f t="shared" si="3"/>
        <v/>
      </c>
      <c r="U3578" s="4">
        <f t="shared" si="4"/>
        <v>4192</v>
      </c>
    </row>
    <row r="3579" ht="15.75" customHeight="1">
      <c r="A3579" s="4" t="s">
        <v>4589</v>
      </c>
      <c r="B3579" s="4" t="s">
        <v>13</v>
      </c>
      <c r="I3579" s="4">
        <v>0.122</v>
      </c>
      <c r="J3579" s="4">
        <v>0.057</v>
      </c>
      <c r="K3579" s="6" t="b">
        <f t="shared" ref="K3579:M3579" si="3394">FALSE()</f>
        <v>0</v>
      </c>
      <c r="L3579" s="6" t="b">
        <f t="shared" si="3394"/>
        <v>0</v>
      </c>
      <c r="M3579" s="6" t="b">
        <f t="shared" si="3394"/>
        <v>0</v>
      </c>
      <c r="P3579" s="4">
        <v>0.115112807100505</v>
      </c>
      <c r="T3579" s="4" t="str">
        <f t="shared" si="3"/>
        <v/>
      </c>
      <c r="U3579" s="4">
        <f t="shared" si="4"/>
        <v>3831</v>
      </c>
    </row>
    <row r="3580" ht="15.75" customHeight="1">
      <c r="A3580" s="4" t="s">
        <v>4590</v>
      </c>
      <c r="B3580" s="4" t="s">
        <v>13</v>
      </c>
      <c r="I3580" s="4">
        <v>0.158</v>
      </c>
      <c r="J3580" s="4">
        <v>0.03</v>
      </c>
      <c r="K3580" s="6" t="b">
        <f t="shared" ref="K3580:M3580" si="3395">FALSE()</f>
        <v>0</v>
      </c>
      <c r="L3580" s="6" t="b">
        <f t="shared" si="3395"/>
        <v>0</v>
      </c>
      <c r="M3580" s="6" t="b">
        <f t="shared" si="3395"/>
        <v>0</v>
      </c>
      <c r="P3580" s="4">
        <v>0.146694379150804</v>
      </c>
      <c r="T3580" s="4" t="str">
        <f t="shared" si="3"/>
        <v/>
      </c>
      <c r="U3580" s="4">
        <f t="shared" si="4"/>
        <v>3206</v>
      </c>
    </row>
    <row r="3581" ht="15.75" customHeight="1">
      <c r="A3581" s="4" t="s">
        <v>4591</v>
      </c>
      <c r="B3581" s="4" t="s">
        <v>13</v>
      </c>
      <c r="I3581" s="4">
        <v>0.207</v>
      </c>
      <c r="J3581" s="4">
        <v>0.04</v>
      </c>
      <c r="K3581" s="6" t="b">
        <f t="shared" ref="K3581:M3581" si="3396">FALSE()</f>
        <v>0</v>
      </c>
      <c r="L3581" s="6" t="b">
        <f t="shared" si="3396"/>
        <v>0</v>
      </c>
      <c r="M3581" s="6" t="b">
        <f t="shared" si="3396"/>
        <v>0</v>
      </c>
      <c r="P3581" s="4">
        <v>0.188137942115394</v>
      </c>
      <c r="T3581" s="4" t="str">
        <f t="shared" si="3"/>
        <v/>
      </c>
      <c r="U3581" s="4">
        <f t="shared" si="4"/>
        <v>2468</v>
      </c>
    </row>
    <row r="3582" ht="15.75" customHeight="1">
      <c r="A3582" s="4" t="s">
        <v>4592</v>
      </c>
      <c r="B3582" s="4" t="s">
        <v>13</v>
      </c>
      <c r="I3582" s="4">
        <v>0.09</v>
      </c>
      <c r="J3582" s="4">
        <v>0.01</v>
      </c>
      <c r="K3582" s="6" t="b">
        <f t="shared" ref="K3582:M3582" si="3397">FALSE()</f>
        <v>0</v>
      </c>
      <c r="L3582" s="6" t="b">
        <f t="shared" si="3397"/>
        <v>0</v>
      </c>
      <c r="M3582" s="6" t="b">
        <f t="shared" si="3397"/>
        <v>0</v>
      </c>
      <c r="P3582" s="4">
        <v>0.0861776962410523</v>
      </c>
      <c r="T3582" s="4" t="str">
        <f t="shared" si="3"/>
        <v/>
      </c>
      <c r="U3582" s="4">
        <f t="shared" si="4"/>
        <v>4335</v>
      </c>
    </row>
    <row r="3583" ht="15.75" customHeight="1">
      <c r="A3583" s="4" t="s">
        <v>4593</v>
      </c>
      <c r="B3583" s="4" t="s">
        <v>13</v>
      </c>
      <c r="I3583" s="4">
        <v>0.149</v>
      </c>
      <c r="J3583" s="4">
        <v>0.016</v>
      </c>
      <c r="K3583" s="6" t="b">
        <f t="shared" ref="K3583:M3583" si="3398">FALSE()</f>
        <v>0</v>
      </c>
      <c r="L3583" s="6" t="b">
        <f t="shared" si="3398"/>
        <v>0</v>
      </c>
      <c r="M3583" s="6" t="b">
        <f t="shared" si="3398"/>
        <v>0</v>
      </c>
      <c r="P3583" s="4">
        <v>0.138891998866619</v>
      </c>
      <c r="T3583" s="4" t="str">
        <f t="shared" si="3"/>
        <v/>
      </c>
      <c r="U3583" s="4">
        <f t="shared" si="4"/>
        <v>3351</v>
      </c>
    </row>
    <row r="3584" ht="15.75" customHeight="1">
      <c r="A3584" s="4" t="s">
        <v>4594</v>
      </c>
      <c r="B3584" s="4" t="s">
        <v>13</v>
      </c>
      <c r="I3584" s="4">
        <v>0.128</v>
      </c>
      <c r="J3584" s="4">
        <v>0.025</v>
      </c>
      <c r="K3584" s="6" t="b">
        <f t="shared" ref="K3584:M3584" si="3399">FALSE()</f>
        <v>0</v>
      </c>
      <c r="L3584" s="6" t="b">
        <f t="shared" si="3399"/>
        <v>0</v>
      </c>
      <c r="M3584" s="6" t="b">
        <f t="shared" si="3399"/>
        <v>0</v>
      </c>
      <c r="P3584" s="4">
        <v>0.120446153075867</v>
      </c>
      <c r="T3584" s="4" t="str">
        <f t="shared" si="3"/>
        <v/>
      </c>
      <c r="U3584" s="4">
        <f t="shared" si="4"/>
        <v>3732</v>
      </c>
    </row>
    <row r="3585" ht="15.75" customHeight="1">
      <c r="A3585" s="4" t="s">
        <v>4595</v>
      </c>
      <c r="B3585" s="4" t="s">
        <v>13</v>
      </c>
      <c r="I3585" s="4">
        <v>0.145</v>
      </c>
      <c r="J3585" s="4">
        <v>0.029</v>
      </c>
      <c r="K3585" s="6" t="b">
        <f t="shared" ref="K3585:M3585" si="3400">FALSE()</f>
        <v>0</v>
      </c>
      <c r="L3585" s="6" t="b">
        <f t="shared" si="3400"/>
        <v>0</v>
      </c>
      <c r="M3585" s="6" t="b">
        <f t="shared" si="3400"/>
        <v>0</v>
      </c>
      <c r="P3585" s="4">
        <v>0.135404637006203</v>
      </c>
      <c r="T3585" s="4" t="str">
        <f t="shared" si="3"/>
        <v/>
      </c>
      <c r="U3585" s="4">
        <f t="shared" si="4"/>
        <v>3420</v>
      </c>
    </row>
    <row r="3586" ht="15.75" customHeight="1">
      <c r="A3586" s="4" t="s">
        <v>4596</v>
      </c>
      <c r="B3586" s="4" t="s">
        <v>13</v>
      </c>
      <c r="I3586" s="4">
        <v>0.102</v>
      </c>
      <c r="J3586" s="4">
        <v>0.01</v>
      </c>
      <c r="K3586" s="6" t="b">
        <f t="shared" ref="K3586:M3586" si="3401">FALSE()</f>
        <v>0</v>
      </c>
      <c r="L3586" s="6" t="b">
        <f t="shared" si="3401"/>
        <v>0</v>
      </c>
      <c r="M3586" s="6" t="b">
        <f t="shared" si="3401"/>
        <v>0</v>
      </c>
      <c r="P3586" s="4">
        <v>0.0971267107307227</v>
      </c>
      <c r="T3586" s="4" t="str">
        <f t="shared" si="3"/>
        <v/>
      </c>
      <c r="U3586" s="4">
        <f t="shared" si="4"/>
        <v>4193</v>
      </c>
    </row>
    <row r="3587" ht="15.75" customHeight="1">
      <c r="A3587" s="4" t="s">
        <v>4597</v>
      </c>
      <c r="B3587" s="4" t="s">
        <v>13</v>
      </c>
      <c r="I3587" s="4">
        <v>0.281</v>
      </c>
      <c r="J3587" s="4">
        <v>0.029</v>
      </c>
      <c r="K3587" s="6" t="b">
        <f t="shared" ref="K3587:M3587" si="3402">FALSE()</f>
        <v>0</v>
      </c>
      <c r="L3587" s="6" t="b">
        <f t="shared" si="3402"/>
        <v>0</v>
      </c>
      <c r="M3587" s="6" t="b">
        <f t="shared" si="3402"/>
        <v>0</v>
      </c>
      <c r="P3587" s="4">
        <v>0.247641022914597</v>
      </c>
      <c r="T3587" s="4" t="str">
        <f t="shared" si="3"/>
        <v/>
      </c>
      <c r="U3587" s="4">
        <f t="shared" si="4"/>
        <v>1499</v>
      </c>
    </row>
    <row r="3588" ht="15.75" customHeight="1">
      <c r="A3588" s="4" t="s">
        <v>881</v>
      </c>
      <c r="B3588" s="4" t="s">
        <v>13</v>
      </c>
      <c r="C3588" s="4">
        <v>0.00702</v>
      </c>
      <c r="D3588" s="4">
        <v>0.00264</v>
      </c>
      <c r="E3588" s="4">
        <v>0.0016</v>
      </c>
      <c r="F3588" s="4">
        <v>2.23</v>
      </c>
      <c r="G3588" s="4">
        <v>0.84</v>
      </c>
      <c r="H3588" s="4">
        <v>0.5</v>
      </c>
      <c r="I3588" s="4">
        <v>0.1008</v>
      </c>
      <c r="J3588" s="4">
        <v>0.0045</v>
      </c>
      <c r="K3588" s="6" t="b">
        <f t="shared" ref="K3588:M3588" si="3403">FALSE()</f>
        <v>0</v>
      </c>
      <c r="L3588" s="6" t="b">
        <f t="shared" si="3403"/>
        <v>0</v>
      </c>
      <c r="M3588" s="6" t="b">
        <f t="shared" si="3403"/>
        <v>0</v>
      </c>
      <c r="N3588" s="4">
        <v>0.0069954745123864</v>
      </c>
      <c r="O3588" s="4">
        <v>1.17248213723457</v>
      </c>
      <c r="P3588" s="4">
        <v>0.0960371881969421</v>
      </c>
      <c r="Q3588" s="4">
        <v>-0.623732917669234</v>
      </c>
      <c r="R3588" s="4">
        <v>0.76232864229952</v>
      </c>
      <c r="S3588" s="4">
        <v>-1.3555069981873</v>
      </c>
      <c r="T3588" s="4">
        <f t="shared" si="3"/>
        <v>1985</v>
      </c>
      <c r="U3588" s="4">
        <f t="shared" si="4"/>
        <v>4207</v>
      </c>
    </row>
    <row r="3589" ht="15.75" customHeight="1">
      <c r="A3589" s="4" t="s">
        <v>4598</v>
      </c>
      <c r="B3589" s="4" t="s">
        <v>13</v>
      </c>
      <c r="I3589" s="4">
        <v>0.18182</v>
      </c>
      <c r="K3589" s="6" t="b">
        <f t="shared" ref="K3589:M3589" si="3404">FALSE()</f>
        <v>0</v>
      </c>
      <c r="L3589" s="6" t="b">
        <f t="shared" si="3404"/>
        <v>0</v>
      </c>
      <c r="M3589" s="6" t="b">
        <f t="shared" si="3404"/>
        <v>0</v>
      </c>
      <c r="P3589" s="4">
        <v>0.167055623123521</v>
      </c>
      <c r="T3589" s="4" t="str">
        <f t="shared" si="3"/>
        <v/>
      </c>
      <c r="U3589" s="4">
        <f t="shared" si="4"/>
        <v>2871</v>
      </c>
    </row>
    <row r="3590" ht="15.75" customHeight="1">
      <c r="A3590" s="4" t="s">
        <v>4599</v>
      </c>
      <c r="B3590" s="4" t="s">
        <v>13</v>
      </c>
      <c r="I3590" s="4">
        <v>0.26</v>
      </c>
      <c r="J3590" s="4">
        <v>0.128</v>
      </c>
      <c r="K3590" s="6" t="b">
        <f t="shared" ref="K3590:M3590" si="3405">FALSE()</f>
        <v>0</v>
      </c>
      <c r="L3590" s="6" t="b">
        <f t="shared" si="3405"/>
        <v>0</v>
      </c>
      <c r="M3590" s="6" t="b">
        <f t="shared" si="3405"/>
        <v>0</v>
      </c>
      <c r="P3590" s="4">
        <v>0.231111720963387</v>
      </c>
      <c r="T3590" s="4" t="str">
        <f t="shared" si="3"/>
        <v/>
      </c>
      <c r="U3590" s="4">
        <f t="shared" si="4"/>
        <v>1684</v>
      </c>
    </row>
    <row r="3591" ht="15.75" customHeight="1">
      <c r="A3591" s="4" t="s">
        <v>4600</v>
      </c>
      <c r="B3591" s="4" t="s">
        <v>13</v>
      </c>
      <c r="I3591" s="4">
        <v>0.227</v>
      </c>
      <c r="J3591" s="4">
        <v>0.112</v>
      </c>
      <c r="K3591" s="6" t="b">
        <f t="shared" ref="K3591:M3591" si="3406">FALSE()</f>
        <v>0</v>
      </c>
      <c r="L3591" s="6" t="b">
        <f t="shared" si="3406"/>
        <v>0</v>
      </c>
      <c r="M3591" s="6" t="b">
        <f t="shared" si="3406"/>
        <v>0</v>
      </c>
      <c r="P3591" s="4">
        <v>0.204572165728774</v>
      </c>
      <c r="T3591" s="4" t="str">
        <f t="shared" si="3"/>
        <v/>
      </c>
      <c r="U3591" s="4">
        <f t="shared" si="4"/>
        <v>2160</v>
      </c>
    </row>
    <row r="3592" ht="15.75" customHeight="1">
      <c r="A3592" s="4" t="s">
        <v>4601</v>
      </c>
      <c r="B3592" s="4" t="s">
        <v>13</v>
      </c>
      <c r="I3592" s="4">
        <v>0.249</v>
      </c>
      <c r="J3592" s="4">
        <v>0.124</v>
      </c>
      <c r="K3592" s="6" t="b">
        <f t="shared" ref="K3592:M3592" si="3407">FALSE()</f>
        <v>0</v>
      </c>
      <c r="L3592" s="6" t="b">
        <f t="shared" si="3407"/>
        <v>0</v>
      </c>
      <c r="M3592" s="6" t="b">
        <f t="shared" si="3407"/>
        <v>0</v>
      </c>
      <c r="P3592" s="4">
        <v>0.222343231143441</v>
      </c>
      <c r="T3592" s="4" t="str">
        <f t="shared" si="3"/>
        <v/>
      </c>
      <c r="U3592" s="4">
        <f t="shared" si="4"/>
        <v>1823</v>
      </c>
    </row>
    <row r="3593" ht="15.75" customHeight="1">
      <c r="A3593" s="4" t="s">
        <v>4602</v>
      </c>
      <c r="B3593" s="4" t="s">
        <v>13</v>
      </c>
      <c r="I3593" s="4">
        <v>0.136</v>
      </c>
      <c r="J3593" s="4">
        <v>0.014</v>
      </c>
      <c r="K3593" s="6" t="b">
        <f t="shared" ref="K3593:M3593" si="3408">FALSE()</f>
        <v>0</v>
      </c>
      <c r="L3593" s="6" t="b">
        <f t="shared" si="3408"/>
        <v>0</v>
      </c>
      <c r="M3593" s="6" t="b">
        <f t="shared" si="3408"/>
        <v>0</v>
      </c>
      <c r="P3593" s="4">
        <v>0.12751332029896</v>
      </c>
      <c r="T3593" s="4" t="str">
        <f t="shared" si="3"/>
        <v/>
      </c>
      <c r="U3593" s="4">
        <f t="shared" si="4"/>
        <v>3588</v>
      </c>
    </row>
    <row r="3594" ht="15.75" customHeight="1">
      <c r="A3594" s="4" t="s">
        <v>4603</v>
      </c>
      <c r="B3594" s="4" t="s">
        <v>13</v>
      </c>
      <c r="I3594" s="4">
        <v>0.125</v>
      </c>
      <c r="J3594" s="4">
        <v>0.009</v>
      </c>
      <c r="K3594" s="6" t="b">
        <f t="shared" ref="K3594:M3594" si="3409">FALSE()</f>
        <v>0</v>
      </c>
      <c r="L3594" s="6" t="b">
        <f t="shared" si="3409"/>
        <v>0</v>
      </c>
      <c r="M3594" s="6" t="b">
        <f t="shared" si="3409"/>
        <v>0</v>
      </c>
      <c r="P3594" s="4">
        <v>0.117783035656383</v>
      </c>
      <c r="T3594" s="4" t="str">
        <f t="shared" si="3"/>
        <v/>
      </c>
      <c r="U3594" s="4">
        <f t="shared" si="4"/>
        <v>3788</v>
      </c>
    </row>
    <row r="3595" ht="15.75" customHeight="1">
      <c r="A3595" s="4" t="s">
        <v>4604</v>
      </c>
      <c r="B3595" s="4" t="s">
        <v>13</v>
      </c>
      <c r="I3595" s="4">
        <v>0.108</v>
      </c>
      <c r="J3595" s="4">
        <v>0.008</v>
      </c>
      <c r="K3595" s="6" t="b">
        <f t="shared" ref="K3595:M3595" si="3410">FALSE()</f>
        <v>0</v>
      </c>
      <c r="L3595" s="6" t="b">
        <f t="shared" si="3410"/>
        <v>0</v>
      </c>
      <c r="M3595" s="6" t="b">
        <f t="shared" si="3410"/>
        <v>0</v>
      </c>
      <c r="P3595" s="4">
        <v>0.102556588325092</v>
      </c>
      <c r="T3595" s="4" t="str">
        <f t="shared" si="3"/>
        <v/>
      </c>
      <c r="U3595" s="4">
        <f t="shared" si="4"/>
        <v>4083</v>
      </c>
    </row>
    <row r="3596" ht="15.75" customHeight="1">
      <c r="A3596" s="4" t="s">
        <v>4605</v>
      </c>
      <c r="B3596" s="4" t="s">
        <v>13</v>
      </c>
      <c r="I3596" s="4">
        <v>0.099</v>
      </c>
      <c r="J3596" s="4">
        <v>0.004</v>
      </c>
      <c r="K3596" s="6" t="b">
        <f t="shared" ref="K3596:M3596" si="3411">FALSE()</f>
        <v>0</v>
      </c>
      <c r="L3596" s="6" t="b">
        <f t="shared" si="3411"/>
        <v>0</v>
      </c>
      <c r="M3596" s="6" t="b">
        <f t="shared" si="3411"/>
        <v>0</v>
      </c>
      <c r="P3596" s="4">
        <v>0.0944006754214843</v>
      </c>
      <c r="T3596" s="4" t="str">
        <f t="shared" si="3"/>
        <v/>
      </c>
      <c r="U3596" s="4">
        <f t="shared" si="4"/>
        <v>4236</v>
      </c>
    </row>
    <row r="3597" ht="15.75" customHeight="1">
      <c r="A3597" s="4" t="s">
        <v>4606</v>
      </c>
      <c r="B3597" s="4" t="s">
        <v>13</v>
      </c>
      <c r="I3597" s="4">
        <v>0.092</v>
      </c>
      <c r="J3597" s="4">
        <v>0.004</v>
      </c>
      <c r="K3597" s="6" t="b">
        <f t="shared" ref="K3597:M3597" si="3412">FALSE()</f>
        <v>0</v>
      </c>
      <c r="L3597" s="6" t="b">
        <f t="shared" si="3412"/>
        <v>0</v>
      </c>
      <c r="M3597" s="6" t="b">
        <f t="shared" si="3412"/>
        <v>0</v>
      </c>
      <c r="P3597" s="4">
        <v>0.0880108773227133</v>
      </c>
      <c r="T3597" s="4" t="str">
        <f t="shared" si="3"/>
        <v/>
      </c>
      <c r="U3597" s="4">
        <f t="shared" si="4"/>
        <v>4310</v>
      </c>
    </row>
    <row r="3598" ht="15.75" customHeight="1">
      <c r="A3598" s="4" t="s">
        <v>4607</v>
      </c>
      <c r="B3598" s="4" t="s">
        <v>13</v>
      </c>
      <c r="I3598" s="4">
        <v>0.154</v>
      </c>
      <c r="J3598" s="4">
        <v>0.009</v>
      </c>
      <c r="K3598" s="6" t="b">
        <f t="shared" ref="K3598:M3598" si="3413">FALSE()</f>
        <v>0</v>
      </c>
      <c r="L3598" s="6" t="b">
        <f t="shared" si="3413"/>
        <v>0</v>
      </c>
      <c r="M3598" s="6" t="b">
        <f t="shared" si="3413"/>
        <v>0</v>
      </c>
      <c r="P3598" s="4">
        <v>0.143234168085908</v>
      </c>
      <c r="T3598" s="4" t="str">
        <f t="shared" si="3"/>
        <v/>
      </c>
      <c r="U3598" s="4">
        <f t="shared" si="4"/>
        <v>3264</v>
      </c>
    </row>
    <row r="3599" ht="15.75" customHeight="1">
      <c r="A3599" s="4" t="s">
        <v>882</v>
      </c>
      <c r="B3599" s="4" t="s">
        <v>13</v>
      </c>
      <c r="C3599" s="4">
        <v>0.09</v>
      </c>
      <c r="D3599" s="4">
        <v>0.039</v>
      </c>
      <c r="E3599" s="4">
        <v>0.041</v>
      </c>
      <c r="I3599" s="4">
        <v>0.205</v>
      </c>
      <c r="J3599" s="4">
        <v>0.021</v>
      </c>
      <c r="K3599" s="6" t="b">
        <f t="shared" ref="K3599:M3599" si="3414">FALSE()</f>
        <v>0</v>
      </c>
      <c r="L3599" s="6" t="b">
        <f t="shared" si="3414"/>
        <v>0</v>
      </c>
      <c r="M3599" s="6" t="b">
        <f t="shared" si="3414"/>
        <v>0</v>
      </c>
      <c r="N3599" s="4">
        <v>0.0861776962410523</v>
      </c>
      <c r="P3599" s="4">
        <v>0.186479566942618</v>
      </c>
      <c r="T3599" s="4">
        <f t="shared" si="3"/>
        <v>1281</v>
      </c>
      <c r="U3599" s="4">
        <f t="shared" si="4"/>
        <v>2495</v>
      </c>
    </row>
    <row r="3600" ht="15.75" customHeight="1">
      <c r="A3600" s="4" t="s">
        <v>883</v>
      </c>
      <c r="B3600" s="4" t="s">
        <v>13</v>
      </c>
      <c r="C3600" s="4">
        <v>0.124</v>
      </c>
      <c r="D3600" s="4">
        <v>0.04</v>
      </c>
      <c r="E3600" s="4">
        <v>0.043</v>
      </c>
      <c r="I3600" s="4">
        <v>0.482</v>
      </c>
      <c r="J3600" s="4">
        <v>0.048</v>
      </c>
      <c r="K3600" s="6" t="b">
        <f t="shared" ref="K3600:M3600" si="3415">FALSE()</f>
        <v>0</v>
      </c>
      <c r="L3600" s="6" t="b">
        <f t="shared" si="3415"/>
        <v>0</v>
      </c>
      <c r="M3600" s="6" t="b">
        <f t="shared" si="3415"/>
        <v>0</v>
      </c>
      <c r="N3600" s="4">
        <v>0.116893751471499</v>
      </c>
      <c r="P3600" s="4">
        <v>0.393392526873895</v>
      </c>
      <c r="T3600" s="4">
        <f t="shared" si="3"/>
        <v>1223</v>
      </c>
      <c r="U3600" s="4">
        <f t="shared" si="4"/>
        <v>1027</v>
      </c>
    </row>
    <row r="3601" ht="15.75" customHeight="1">
      <c r="A3601" s="4" t="s">
        <v>4608</v>
      </c>
      <c r="B3601" s="4" t="s">
        <v>13</v>
      </c>
      <c r="I3601" s="4">
        <v>0.125</v>
      </c>
      <c r="J3601" s="4">
        <v>0.022</v>
      </c>
      <c r="K3601" s="6" t="b">
        <f t="shared" ref="K3601:M3601" si="3416">FALSE()</f>
        <v>0</v>
      </c>
      <c r="L3601" s="6" t="b">
        <f t="shared" si="3416"/>
        <v>0</v>
      </c>
      <c r="M3601" s="6" t="b">
        <f t="shared" si="3416"/>
        <v>0</v>
      </c>
      <c r="P3601" s="4">
        <v>0.117783035656383</v>
      </c>
      <c r="T3601" s="4" t="str">
        <f t="shared" si="3"/>
        <v/>
      </c>
      <c r="U3601" s="4">
        <f t="shared" si="4"/>
        <v>3789</v>
      </c>
    </row>
    <row r="3602" ht="15.75" customHeight="1">
      <c r="A3602" s="4" t="s">
        <v>4609</v>
      </c>
      <c r="B3602" s="4" t="s">
        <v>13</v>
      </c>
      <c r="I3602" s="4">
        <v>0.172</v>
      </c>
      <c r="J3602" s="4">
        <v>0.026</v>
      </c>
      <c r="K3602" s="6" t="b">
        <f t="shared" ref="K3602:M3602" si="3417">FALSE()</f>
        <v>0</v>
      </c>
      <c r="L3602" s="6" t="b">
        <f t="shared" si="3417"/>
        <v>0</v>
      </c>
      <c r="M3602" s="6" t="b">
        <f t="shared" si="3417"/>
        <v>0</v>
      </c>
      <c r="P3602" s="4">
        <v>0.158711691154821</v>
      </c>
      <c r="T3602" s="4" t="str">
        <f t="shared" si="3"/>
        <v/>
      </c>
      <c r="U3602" s="4">
        <f t="shared" si="4"/>
        <v>3019</v>
      </c>
    </row>
    <row r="3603" ht="15.75" customHeight="1">
      <c r="A3603" s="4" t="s">
        <v>884</v>
      </c>
      <c r="B3603" s="4" t="s">
        <v>13</v>
      </c>
      <c r="C3603" s="4">
        <v>4.1</v>
      </c>
      <c r="D3603" s="4">
        <v>4.05</v>
      </c>
      <c r="E3603" s="4">
        <v>0.0</v>
      </c>
      <c r="I3603" s="4">
        <v>0.196</v>
      </c>
      <c r="J3603" s="4">
        <v>0.018</v>
      </c>
      <c r="K3603" s="6" t="b">
        <f>TRUE()</f>
        <v>1</v>
      </c>
      <c r="L3603" s="6" t="b">
        <f t="shared" ref="L3603:M3603" si="3418">FALSE()</f>
        <v>0</v>
      </c>
      <c r="M3603" s="6" t="b">
        <f t="shared" si="3418"/>
        <v>0</v>
      </c>
      <c r="N3603" s="4">
        <v>1.62924053973028</v>
      </c>
      <c r="P3603" s="4">
        <v>0.17898265552844</v>
      </c>
      <c r="T3603" s="4">
        <f t="shared" si="3"/>
        <v>252</v>
      </c>
      <c r="U3603" s="4">
        <f t="shared" si="4"/>
        <v>2657</v>
      </c>
    </row>
    <row r="3604" ht="15.75" customHeight="1">
      <c r="A3604" s="4" t="s">
        <v>885</v>
      </c>
      <c r="B3604" s="4" t="s">
        <v>13</v>
      </c>
      <c r="C3604" s="4">
        <v>0.5</v>
      </c>
      <c r="D3604" s="4">
        <v>0.499</v>
      </c>
      <c r="E3604" s="4">
        <v>0.0</v>
      </c>
      <c r="I3604" s="4">
        <v>0.178</v>
      </c>
      <c r="J3604" s="4">
        <v>0.018</v>
      </c>
      <c r="K3604" s="6" t="b">
        <f t="shared" ref="K3604:M3604" si="3419">FALSE()</f>
        <v>0</v>
      </c>
      <c r="L3604" s="6" t="b">
        <f t="shared" si="3419"/>
        <v>0</v>
      </c>
      <c r="M3604" s="6" t="b">
        <f t="shared" si="3419"/>
        <v>0</v>
      </c>
      <c r="N3604" s="4">
        <v>0.405465108108164</v>
      </c>
      <c r="P3604" s="4">
        <v>0.163818085229395</v>
      </c>
      <c r="T3604" s="4">
        <f t="shared" si="3"/>
        <v>958</v>
      </c>
      <c r="U3604" s="4">
        <f t="shared" si="4"/>
        <v>2928</v>
      </c>
    </row>
    <row r="3605" ht="15.75" customHeight="1">
      <c r="A3605" s="4" t="s">
        <v>4610</v>
      </c>
      <c r="B3605" s="4" t="s">
        <v>13</v>
      </c>
      <c r="I3605" s="4">
        <v>0.241</v>
      </c>
      <c r="J3605" s="4">
        <v>0.018</v>
      </c>
      <c r="K3605" s="6" t="b">
        <f t="shared" ref="K3605:M3605" si="3420">FALSE()</f>
        <v>0</v>
      </c>
      <c r="L3605" s="6" t="b">
        <f t="shared" si="3420"/>
        <v>0</v>
      </c>
      <c r="M3605" s="6" t="b">
        <f t="shared" si="3420"/>
        <v>0</v>
      </c>
      <c r="P3605" s="4">
        <v>0.21591750622247</v>
      </c>
      <c r="T3605" s="4" t="str">
        <f t="shared" si="3"/>
        <v/>
      </c>
      <c r="U3605" s="4">
        <f t="shared" si="4"/>
        <v>1936</v>
      </c>
    </row>
    <row r="3606" ht="15.75" customHeight="1">
      <c r="A3606" s="4" t="s">
        <v>4611</v>
      </c>
      <c r="B3606" s="4" t="s">
        <v>13</v>
      </c>
      <c r="I3606" s="4">
        <v>0.134</v>
      </c>
      <c r="J3606" s="4">
        <v>0.009</v>
      </c>
      <c r="K3606" s="6" t="b">
        <f t="shared" ref="K3606:M3606" si="3421">FALSE()</f>
        <v>0</v>
      </c>
      <c r="L3606" s="6" t="b">
        <f t="shared" si="3421"/>
        <v>0</v>
      </c>
      <c r="M3606" s="6" t="b">
        <f t="shared" si="3421"/>
        <v>0</v>
      </c>
      <c r="P3606" s="4">
        <v>0.12575120530556</v>
      </c>
      <c r="T3606" s="4" t="str">
        <f t="shared" si="3"/>
        <v/>
      </c>
      <c r="U3606" s="4">
        <f t="shared" si="4"/>
        <v>3633</v>
      </c>
    </row>
    <row r="3607" ht="15.75" customHeight="1">
      <c r="A3607" s="4" t="s">
        <v>4612</v>
      </c>
      <c r="B3607" s="4" t="s">
        <v>13</v>
      </c>
      <c r="I3607" s="4">
        <v>0.073</v>
      </c>
      <c r="J3607" s="4">
        <v>0.006</v>
      </c>
      <c r="K3607" s="6" t="b">
        <f t="shared" ref="K3607:M3607" si="3422">FALSE()</f>
        <v>0</v>
      </c>
      <c r="L3607" s="6" t="b">
        <f t="shared" si="3422"/>
        <v>0</v>
      </c>
      <c r="M3607" s="6" t="b">
        <f t="shared" si="3422"/>
        <v>0</v>
      </c>
      <c r="P3607" s="4">
        <v>0.0704584636485614</v>
      </c>
      <c r="T3607" s="4" t="str">
        <f t="shared" si="3"/>
        <v/>
      </c>
      <c r="U3607" s="4">
        <f t="shared" si="4"/>
        <v>4468</v>
      </c>
    </row>
    <row r="3608" ht="15.75" customHeight="1">
      <c r="A3608" s="4" t="s">
        <v>4613</v>
      </c>
      <c r="B3608" s="4" t="s">
        <v>13</v>
      </c>
      <c r="I3608" s="4">
        <v>0.12</v>
      </c>
      <c r="J3608" s="4">
        <v>0.047</v>
      </c>
      <c r="K3608" s="6" t="b">
        <f t="shared" ref="K3608:M3608" si="3423">FALSE()</f>
        <v>0</v>
      </c>
      <c r="L3608" s="6" t="b">
        <f t="shared" si="3423"/>
        <v>0</v>
      </c>
      <c r="M3608" s="6" t="b">
        <f t="shared" si="3423"/>
        <v>0</v>
      </c>
      <c r="P3608" s="4">
        <v>0.113328685307003</v>
      </c>
      <c r="T3608" s="4" t="str">
        <f t="shared" si="3"/>
        <v/>
      </c>
      <c r="U3608" s="4">
        <f t="shared" si="4"/>
        <v>3870</v>
      </c>
    </row>
    <row r="3609" ht="15.75" customHeight="1">
      <c r="A3609" s="4" t="s">
        <v>4614</v>
      </c>
      <c r="B3609" s="4" t="s">
        <v>13</v>
      </c>
      <c r="I3609" s="4">
        <v>0.174</v>
      </c>
      <c r="J3609" s="4">
        <v>0.064</v>
      </c>
      <c r="K3609" s="6" t="b">
        <f t="shared" ref="K3609:M3609" si="3424">FALSE()</f>
        <v>0</v>
      </c>
      <c r="L3609" s="6" t="b">
        <f t="shared" si="3424"/>
        <v>0</v>
      </c>
      <c r="M3609" s="6" t="b">
        <f t="shared" si="3424"/>
        <v>0</v>
      </c>
      <c r="P3609" s="4">
        <v>0.160416721405905</v>
      </c>
      <c r="T3609" s="4" t="str">
        <f t="shared" si="3"/>
        <v/>
      </c>
      <c r="U3609" s="4">
        <f t="shared" si="4"/>
        <v>2992</v>
      </c>
    </row>
    <row r="3610" ht="15.75" customHeight="1">
      <c r="A3610" s="4" t="s">
        <v>4615</v>
      </c>
      <c r="B3610" s="4" t="s">
        <v>13</v>
      </c>
      <c r="I3610" s="4">
        <v>0.162</v>
      </c>
      <c r="J3610" s="4">
        <v>0.017</v>
      </c>
      <c r="K3610" s="6" t="b">
        <f t="shared" ref="K3610:M3610" si="3425">FALSE()</f>
        <v>0</v>
      </c>
      <c r="L3610" s="6" t="b">
        <f t="shared" si="3425"/>
        <v>0</v>
      </c>
      <c r="M3610" s="6" t="b">
        <f t="shared" si="3425"/>
        <v>0</v>
      </c>
      <c r="P3610" s="4">
        <v>0.15014265842972</v>
      </c>
      <c r="T3610" s="4" t="str">
        <f t="shared" si="3"/>
        <v/>
      </c>
      <c r="U3610" s="4">
        <f t="shared" si="4"/>
        <v>3153</v>
      </c>
    </row>
    <row r="3611" ht="15.75" customHeight="1">
      <c r="A3611" s="4" t="s">
        <v>4616</v>
      </c>
      <c r="B3611" s="4" t="s">
        <v>13</v>
      </c>
      <c r="I3611" s="4">
        <v>0.164</v>
      </c>
      <c r="J3611" s="4">
        <v>0.017</v>
      </c>
      <c r="K3611" s="6" t="b">
        <f t="shared" ref="K3611:M3611" si="3426">FALSE()</f>
        <v>0</v>
      </c>
      <c r="L3611" s="6" t="b">
        <f t="shared" si="3426"/>
        <v>0</v>
      </c>
      <c r="M3611" s="6" t="b">
        <f t="shared" si="3426"/>
        <v>0</v>
      </c>
      <c r="P3611" s="4">
        <v>0.151862349309246</v>
      </c>
      <c r="T3611" s="4" t="str">
        <f t="shared" si="3"/>
        <v/>
      </c>
      <c r="U3611" s="4">
        <f t="shared" si="4"/>
        <v>3127</v>
      </c>
    </row>
    <row r="3612" ht="15.75" customHeight="1">
      <c r="A3612" s="4" t="s">
        <v>4617</v>
      </c>
      <c r="B3612" s="4" t="s">
        <v>13</v>
      </c>
      <c r="I3612" s="4">
        <v>0.146</v>
      </c>
      <c r="J3612" s="4">
        <v>0.015</v>
      </c>
      <c r="K3612" s="6" t="b">
        <f t="shared" ref="K3612:M3612" si="3427">FALSE()</f>
        <v>0</v>
      </c>
      <c r="L3612" s="6" t="b">
        <f t="shared" si="3427"/>
        <v>0</v>
      </c>
      <c r="M3612" s="6" t="b">
        <f t="shared" si="3427"/>
        <v>0</v>
      </c>
      <c r="P3612" s="4">
        <v>0.136277618292548</v>
      </c>
      <c r="T3612" s="4" t="str">
        <f t="shared" si="3"/>
        <v/>
      </c>
      <c r="U3612" s="4">
        <f t="shared" si="4"/>
        <v>3398</v>
      </c>
    </row>
    <row r="3613" ht="15.75" customHeight="1">
      <c r="A3613" s="4" t="s">
        <v>4618</v>
      </c>
      <c r="B3613" s="4" t="s">
        <v>13</v>
      </c>
      <c r="I3613" s="4">
        <v>0.104</v>
      </c>
      <c r="J3613" s="4">
        <v>0.007</v>
      </c>
      <c r="K3613" s="6" t="b">
        <f t="shared" ref="K3613:M3613" si="3428">FALSE()</f>
        <v>0</v>
      </c>
      <c r="L3613" s="6" t="b">
        <f t="shared" si="3428"/>
        <v>0</v>
      </c>
      <c r="M3613" s="6" t="b">
        <f t="shared" si="3428"/>
        <v>0</v>
      </c>
      <c r="P3613" s="4">
        <v>0.0989399478549035</v>
      </c>
      <c r="T3613" s="4" t="str">
        <f t="shared" si="3"/>
        <v/>
      </c>
      <c r="U3613" s="4">
        <f t="shared" si="4"/>
        <v>4156</v>
      </c>
    </row>
    <row r="3614" ht="15.75" customHeight="1">
      <c r="A3614" s="4" t="s">
        <v>4619</v>
      </c>
      <c r="B3614" s="4" t="s">
        <v>13</v>
      </c>
      <c r="I3614" s="4">
        <v>0.097</v>
      </c>
      <c r="J3614" s="4">
        <v>0.007</v>
      </c>
      <c r="K3614" s="6" t="b">
        <f t="shared" ref="K3614:M3614" si="3429">FALSE()</f>
        <v>0</v>
      </c>
      <c r="L3614" s="6" t="b">
        <f t="shared" si="3429"/>
        <v>0</v>
      </c>
      <c r="M3614" s="6" t="b">
        <f t="shared" si="3429"/>
        <v>0</v>
      </c>
      <c r="P3614" s="4">
        <v>0.0925791812930932</v>
      </c>
      <c r="T3614" s="4" t="str">
        <f t="shared" si="3"/>
        <v/>
      </c>
      <c r="U3614" s="4">
        <f t="shared" si="4"/>
        <v>4261</v>
      </c>
    </row>
    <row r="3615" ht="15.75" customHeight="1">
      <c r="A3615" s="4" t="s">
        <v>4620</v>
      </c>
      <c r="B3615" s="4" t="s">
        <v>13</v>
      </c>
      <c r="I3615" s="4">
        <v>0.105</v>
      </c>
      <c r="J3615" s="4">
        <v>0.007</v>
      </c>
      <c r="K3615" s="6" t="b">
        <f t="shared" ref="K3615:M3615" si="3430">FALSE()</f>
        <v>0</v>
      </c>
      <c r="L3615" s="6" t="b">
        <f t="shared" si="3430"/>
        <v>0</v>
      </c>
      <c r="M3615" s="6" t="b">
        <f t="shared" si="3430"/>
        <v>0</v>
      </c>
      <c r="P3615" s="4">
        <v>0.0998453349697161</v>
      </c>
      <c r="T3615" s="4" t="str">
        <f t="shared" si="3"/>
        <v/>
      </c>
      <c r="U3615" s="4">
        <f t="shared" si="4"/>
        <v>4146</v>
      </c>
    </row>
    <row r="3616" ht="15.75" customHeight="1">
      <c r="A3616" s="4" t="s">
        <v>4621</v>
      </c>
      <c r="B3616" s="4" t="s">
        <v>13</v>
      </c>
      <c r="I3616" s="4">
        <v>0.1195</v>
      </c>
      <c r="J3616" s="4">
        <v>0.0054</v>
      </c>
      <c r="K3616" s="6" t="b">
        <f t="shared" ref="K3616:M3616" si="3431">FALSE()</f>
        <v>0</v>
      </c>
      <c r="L3616" s="6" t="b">
        <f t="shared" si="3431"/>
        <v>0</v>
      </c>
      <c r="M3616" s="6" t="b">
        <f t="shared" si="3431"/>
        <v>0</v>
      </c>
      <c r="P3616" s="4">
        <v>0.112882157056672</v>
      </c>
      <c r="T3616" s="4" t="str">
        <f t="shared" si="3"/>
        <v/>
      </c>
      <c r="U3616" s="4">
        <f t="shared" si="4"/>
        <v>3877</v>
      </c>
    </row>
    <row r="3617" ht="15.75" customHeight="1">
      <c r="A3617" s="4" t="s">
        <v>4622</v>
      </c>
      <c r="B3617" s="4" t="s">
        <v>13</v>
      </c>
      <c r="I3617" s="4">
        <v>0.1035</v>
      </c>
      <c r="J3617" s="4">
        <v>0.0054</v>
      </c>
      <c r="K3617" s="6" t="b">
        <f t="shared" ref="K3617:M3617" si="3432">FALSE()</f>
        <v>0</v>
      </c>
      <c r="L3617" s="6" t="b">
        <f t="shared" si="3432"/>
        <v>0</v>
      </c>
      <c r="M3617" s="6" t="b">
        <f t="shared" si="3432"/>
        <v>0</v>
      </c>
      <c r="P3617" s="4">
        <v>0.098486946714654</v>
      </c>
      <c r="T3617" s="4" t="str">
        <f t="shared" si="3"/>
        <v/>
      </c>
      <c r="U3617" s="4">
        <f t="shared" si="4"/>
        <v>4163</v>
      </c>
    </row>
    <row r="3618" ht="15.75" customHeight="1">
      <c r="A3618" s="4" t="s">
        <v>4623</v>
      </c>
      <c r="B3618" s="4" t="s">
        <v>13</v>
      </c>
      <c r="I3618" s="4">
        <v>0.1</v>
      </c>
      <c r="J3618" s="4">
        <v>0.019</v>
      </c>
      <c r="K3618" s="6" t="b">
        <f t="shared" ref="K3618:M3618" si="3433">FALSE()</f>
        <v>0</v>
      </c>
      <c r="L3618" s="6" t="b">
        <f t="shared" si="3433"/>
        <v>0</v>
      </c>
      <c r="M3618" s="6" t="b">
        <f t="shared" si="3433"/>
        <v>0</v>
      </c>
      <c r="P3618" s="4">
        <v>0.0953101798043248</v>
      </c>
      <c r="T3618" s="4" t="str">
        <f t="shared" si="3"/>
        <v/>
      </c>
      <c r="U3618" s="4">
        <f t="shared" si="4"/>
        <v>4217</v>
      </c>
    </row>
    <row r="3619" ht="15.75" customHeight="1">
      <c r="A3619" s="4" t="s">
        <v>4624</v>
      </c>
      <c r="B3619" s="4" t="s">
        <v>13</v>
      </c>
      <c r="I3619" s="4">
        <v>0.128</v>
      </c>
      <c r="J3619" s="4">
        <v>0.023</v>
      </c>
      <c r="K3619" s="6" t="b">
        <f t="shared" ref="K3619:M3619" si="3434">FALSE()</f>
        <v>0</v>
      </c>
      <c r="L3619" s="6" t="b">
        <f t="shared" si="3434"/>
        <v>0</v>
      </c>
      <c r="M3619" s="6" t="b">
        <f t="shared" si="3434"/>
        <v>0</v>
      </c>
      <c r="P3619" s="4">
        <v>0.120446153075867</v>
      </c>
      <c r="T3619" s="4" t="str">
        <f t="shared" si="3"/>
        <v/>
      </c>
      <c r="U3619" s="4">
        <f t="shared" si="4"/>
        <v>3733</v>
      </c>
    </row>
    <row r="3620" ht="15.75" customHeight="1">
      <c r="A3620" s="4" t="s">
        <v>4625</v>
      </c>
      <c r="B3620" s="4" t="s">
        <v>13</v>
      </c>
      <c r="I3620" s="4">
        <v>0.126</v>
      </c>
      <c r="J3620" s="4">
        <v>0.023</v>
      </c>
      <c r="K3620" s="6" t="b">
        <f t="shared" ref="K3620:M3620" si="3435">FALSE()</f>
        <v>0</v>
      </c>
      <c r="L3620" s="6" t="b">
        <f t="shared" si="3435"/>
        <v>0</v>
      </c>
      <c r="M3620" s="6" t="b">
        <f t="shared" si="3435"/>
        <v>0</v>
      </c>
      <c r="P3620" s="4">
        <v>0.118671529717499</v>
      </c>
      <c r="T3620" s="4" t="str">
        <f t="shared" si="3"/>
        <v/>
      </c>
      <c r="U3620" s="4">
        <f t="shared" si="4"/>
        <v>3770</v>
      </c>
    </row>
    <row r="3621" ht="15.75" customHeight="1">
      <c r="A3621" s="4" t="s">
        <v>4626</v>
      </c>
      <c r="B3621" s="4" t="s">
        <v>13</v>
      </c>
      <c r="I3621" s="4">
        <v>0.302</v>
      </c>
      <c r="J3621" s="4">
        <v>0.06</v>
      </c>
      <c r="K3621" s="6" t="b">
        <f t="shared" ref="K3621:M3621" si="3436">FALSE()</f>
        <v>0</v>
      </c>
      <c r="L3621" s="6" t="b">
        <f t="shared" si="3436"/>
        <v>0</v>
      </c>
      <c r="M3621" s="6" t="b">
        <f t="shared" si="3436"/>
        <v>0</v>
      </c>
      <c r="P3621" s="4">
        <v>0.263901543786378</v>
      </c>
      <c r="T3621" s="4" t="str">
        <f t="shared" si="3"/>
        <v/>
      </c>
      <c r="U3621" s="4">
        <f t="shared" si="4"/>
        <v>1368</v>
      </c>
    </row>
    <row r="3622" ht="15.75" customHeight="1">
      <c r="A3622" s="4" t="s">
        <v>4627</v>
      </c>
      <c r="B3622" s="4" t="s">
        <v>13</v>
      </c>
      <c r="I3622" s="4">
        <v>0.274</v>
      </c>
      <c r="J3622" s="4">
        <v>0.059</v>
      </c>
      <c r="K3622" s="6" t="b">
        <f t="shared" ref="K3622:M3622" si="3437">FALSE()</f>
        <v>0</v>
      </c>
      <c r="L3622" s="6" t="b">
        <f t="shared" si="3437"/>
        <v>0</v>
      </c>
      <c r="M3622" s="6" t="b">
        <f t="shared" si="3437"/>
        <v>0</v>
      </c>
      <c r="P3622" s="4">
        <v>0.242161557149972</v>
      </c>
      <c r="T3622" s="4" t="str">
        <f t="shared" si="3"/>
        <v/>
      </c>
      <c r="U3622" s="4">
        <f t="shared" si="4"/>
        <v>1554</v>
      </c>
    </row>
    <row r="3623" ht="15.75" customHeight="1">
      <c r="A3623" s="4" t="s">
        <v>4628</v>
      </c>
      <c r="B3623" s="4" t="s">
        <v>13</v>
      </c>
      <c r="I3623" s="4">
        <v>0.091</v>
      </c>
      <c r="J3623" s="4">
        <v>0.017</v>
      </c>
      <c r="K3623" s="6" t="b">
        <f t="shared" ref="K3623:M3623" si="3438">FALSE()</f>
        <v>0</v>
      </c>
      <c r="L3623" s="6" t="b">
        <f t="shared" si="3438"/>
        <v>0</v>
      </c>
      <c r="M3623" s="6" t="b">
        <f t="shared" si="3438"/>
        <v>0</v>
      </c>
      <c r="P3623" s="4">
        <v>0.0870947068509337</v>
      </c>
      <c r="T3623" s="4" t="str">
        <f t="shared" si="3"/>
        <v/>
      </c>
      <c r="U3623" s="4">
        <f t="shared" si="4"/>
        <v>4323</v>
      </c>
    </row>
    <row r="3624" ht="15.75" customHeight="1">
      <c r="A3624" s="4" t="s">
        <v>4629</v>
      </c>
      <c r="B3624" s="4" t="s">
        <v>13</v>
      </c>
      <c r="I3624" s="4">
        <v>0.187</v>
      </c>
      <c r="J3624" s="4">
        <v>0.033</v>
      </c>
      <c r="K3624" s="6" t="b">
        <f t="shared" ref="K3624:M3624" si="3439">FALSE()</f>
        <v>0</v>
      </c>
      <c r="L3624" s="6" t="b">
        <f t="shared" si="3439"/>
        <v>0</v>
      </c>
      <c r="M3624" s="6" t="b">
        <f t="shared" si="3439"/>
        <v>0</v>
      </c>
      <c r="P3624" s="4">
        <v>0.171429115627531</v>
      </c>
      <c r="T3624" s="4" t="str">
        <f t="shared" si="3"/>
        <v/>
      </c>
      <c r="U3624" s="4">
        <f t="shared" si="4"/>
        <v>2788</v>
      </c>
    </row>
    <row r="3625" ht="15.75" customHeight="1">
      <c r="A3625" s="4" t="s">
        <v>4630</v>
      </c>
      <c r="B3625" s="4" t="s">
        <v>13</v>
      </c>
      <c r="I3625" s="4">
        <v>0.211</v>
      </c>
      <c r="J3625" s="4">
        <v>0.043</v>
      </c>
      <c r="K3625" s="6" t="b">
        <f t="shared" ref="K3625:M3625" si="3440">FALSE()</f>
        <v>0</v>
      </c>
      <c r="L3625" s="6" t="b">
        <f t="shared" si="3440"/>
        <v>0</v>
      </c>
      <c r="M3625" s="6" t="b">
        <f t="shared" si="3440"/>
        <v>0</v>
      </c>
      <c r="P3625" s="4">
        <v>0.191446464570955</v>
      </c>
      <c r="T3625" s="4" t="str">
        <f t="shared" si="3"/>
        <v/>
      </c>
      <c r="U3625" s="4">
        <f t="shared" si="4"/>
        <v>2400</v>
      </c>
    </row>
    <row r="3626" ht="15.75" customHeight="1">
      <c r="A3626" s="4" t="s">
        <v>4631</v>
      </c>
      <c r="B3626" s="4" t="s">
        <v>13</v>
      </c>
      <c r="I3626" s="4">
        <v>0.137</v>
      </c>
      <c r="J3626" s="4">
        <v>0.038</v>
      </c>
      <c r="K3626" s="6" t="b">
        <f t="shared" ref="K3626:M3626" si="3441">FALSE()</f>
        <v>0</v>
      </c>
      <c r="L3626" s="6" t="b">
        <f t="shared" si="3441"/>
        <v>0</v>
      </c>
      <c r="M3626" s="6" t="b">
        <f t="shared" si="3441"/>
        <v>0</v>
      </c>
      <c r="P3626" s="4">
        <v>0.128393214768399</v>
      </c>
      <c r="T3626" s="4" t="str">
        <f t="shared" si="3"/>
        <v/>
      </c>
      <c r="U3626" s="4">
        <f t="shared" si="4"/>
        <v>3563</v>
      </c>
    </row>
    <row r="3627" ht="15.75" customHeight="1">
      <c r="A3627" s="4" t="s">
        <v>4632</v>
      </c>
      <c r="B3627" s="4" t="s">
        <v>13</v>
      </c>
      <c r="I3627" s="4">
        <v>0.183</v>
      </c>
      <c r="J3627" s="4">
        <v>0.051</v>
      </c>
      <c r="K3627" s="6" t="b">
        <f t="shared" ref="K3627:M3627" si="3442">FALSE()</f>
        <v>0</v>
      </c>
      <c r="L3627" s="6" t="b">
        <f t="shared" si="3442"/>
        <v>0</v>
      </c>
      <c r="M3627" s="6" t="b">
        <f t="shared" si="3442"/>
        <v>0</v>
      </c>
      <c r="P3627" s="4">
        <v>0.16805358499625</v>
      </c>
      <c r="T3627" s="4" t="str">
        <f t="shared" si="3"/>
        <v/>
      </c>
      <c r="U3627" s="4">
        <f t="shared" si="4"/>
        <v>2853</v>
      </c>
    </row>
    <row r="3628" ht="15.75" customHeight="1">
      <c r="A3628" s="4" t="s">
        <v>886</v>
      </c>
      <c r="B3628" s="4" t="s">
        <v>13</v>
      </c>
      <c r="C3628" s="4">
        <v>0.0963</v>
      </c>
      <c r="D3628" s="4">
        <v>0.0664</v>
      </c>
      <c r="E3628" s="4">
        <v>0.0761</v>
      </c>
      <c r="I3628" s="4">
        <v>0.218</v>
      </c>
      <c r="J3628" s="4">
        <v>0.012</v>
      </c>
      <c r="K3628" s="6" t="b">
        <f t="shared" ref="K3628:M3628" si="3443">FALSE()</f>
        <v>0</v>
      </c>
      <c r="L3628" s="6" t="b">
        <f t="shared" si="3443"/>
        <v>0</v>
      </c>
      <c r="M3628" s="6" t="b">
        <f t="shared" si="3443"/>
        <v>0</v>
      </c>
      <c r="N3628" s="4">
        <v>0.0919408736983572</v>
      </c>
      <c r="P3628" s="4">
        <v>0.197210169287705</v>
      </c>
      <c r="T3628" s="4">
        <f t="shared" si="3"/>
        <v>1267</v>
      </c>
      <c r="U3628" s="4">
        <f t="shared" si="4"/>
        <v>2293</v>
      </c>
    </row>
    <row r="3629" ht="15.75" customHeight="1">
      <c r="A3629" s="4" t="s">
        <v>4633</v>
      </c>
      <c r="B3629" s="4" t="s">
        <v>13</v>
      </c>
      <c r="I3629" s="4">
        <v>0.209</v>
      </c>
      <c r="J3629" s="4">
        <v>0.011</v>
      </c>
      <c r="K3629" s="6" t="b">
        <f t="shared" ref="K3629:M3629" si="3444">FALSE()</f>
        <v>0</v>
      </c>
      <c r="L3629" s="6" t="b">
        <f t="shared" si="3444"/>
        <v>0</v>
      </c>
      <c r="M3629" s="6" t="b">
        <f t="shared" si="3444"/>
        <v>0</v>
      </c>
      <c r="P3629" s="4">
        <v>0.189793571632656</v>
      </c>
      <c r="T3629" s="4" t="str">
        <f t="shared" si="3"/>
        <v/>
      </c>
      <c r="U3629" s="4">
        <f t="shared" si="4"/>
        <v>2439</v>
      </c>
    </row>
    <row r="3630" ht="15.75" customHeight="1">
      <c r="A3630" s="4" t="s">
        <v>4634</v>
      </c>
      <c r="B3630" s="4" t="s">
        <v>13</v>
      </c>
      <c r="I3630" s="4">
        <v>0.268</v>
      </c>
      <c r="J3630" s="4">
        <v>0.025</v>
      </c>
      <c r="K3630" s="6" t="b">
        <f t="shared" ref="K3630:M3630" si="3445">FALSE()</f>
        <v>0</v>
      </c>
      <c r="L3630" s="6" t="b">
        <f t="shared" si="3445"/>
        <v>0</v>
      </c>
      <c r="M3630" s="6" t="b">
        <f t="shared" si="3445"/>
        <v>0</v>
      </c>
      <c r="P3630" s="4">
        <v>0.237440856015034</v>
      </c>
      <c r="T3630" s="4" t="str">
        <f t="shared" si="3"/>
        <v/>
      </c>
      <c r="U3630" s="4">
        <f t="shared" si="4"/>
        <v>1613</v>
      </c>
    </row>
    <row r="3631" ht="15.75" customHeight="1">
      <c r="A3631" s="4" t="s">
        <v>888</v>
      </c>
      <c r="B3631" s="4" t="s">
        <v>13</v>
      </c>
      <c r="C3631" s="4">
        <v>0.027</v>
      </c>
      <c r="D3631" s="4">
        <v>0.02</v>
      </c>
      <c r="E3631" s="4">
        <v>0.023</v>
      </c>
      <c r="I3631" s="4">
        <v>0.139</v>
      </c>
      <c r="J3631" s="4">
        <v>0.006</v>
      </c>
      <c r="K3631" s="6" t="b">
        <f t="shared" ref="K3631:M3631" si="3446">FALSE()</f>
        <v>0</v>
      </c>
      <c r="L3631" s="6" t="b">
        <f t="shared" si="3446"/>
        <v>0</v>
      </c>
      <c r="M3631" s="6" t="b">
        <f t="shared" si="3446"/>
        <v>0</v>
      </c>
      <c r="N3631" s="4">
        <v>0.0266419309464211</v>
      </c>
      <c r="P3631" s="4">
        <v>0.130150684465045</v>
      </c>
      <c r="T3631" s="4">
        <f t="shared" si="3"/>
        <v>1604</v>
      </c>
      <c r="U3631" s="4">
        <f t="shared" si="4"/>
        <v>3528</v>
      </c>
    </row>
    <row r="3632" ht="15.75" customHeight="1">
      <c r="A3632" s="4" t="s">
        <v>4635</v>
      </c>
      <c r="B3632" s="4" t="s">
        <v>13</v>
      </c>
      <c r="I3632" s="4">
        <v>0.127</v>
      </c>
      <c r="J3632" s="4">
        <v>0.059</v>
      </c>
      <c r="K3632" s="6" t="b">
        <f t="shared" ref="K3632:M3632" si="3447">FALSE()</f>
        <v>0</v>
      </c>
      <c r="L3632" s="6" t="b">
        <f t="shared" si="3447"/>
        <v>0</v>
      </c>
      <c r="M3632" s="6" t="b">
        <f t="shared" si="3447"/>
        <v>0</v>
      </c>
      <c r="P3632" s="4">
        <v>0.119559235057639</v>
      </c>
      <c r="T3632" s="4" t="str">
        <f t="shared" si="3"/>
        <v/>
      </c>
      <c r="U3632" s="4">
        <f t="shared" si="4"/>
        <v>3749</v>
      </c>
    </row>
    <row r="3633" ht="15.75" customHeight="1">
      <c r="A3633" s="4" t="s">
        <v>4636</v>
      </c>
      <c r="B3633" s="4" t="s">
        <v>13</v>
      </c>
      <c r="I3633" s="4">
        <v>0.103</v>
      </c>
      <c r="J3633" s="4">
        <v>0.046</v>
      </c>
      <c r="K3633" s="6" t="b">
        <f t="shared" ref="K3633:M3633" si="3448">FALSE()</f>
        <v>0</v>
      </c>
      <c r="L3633" s="6" t="b">
        <f t="shared" si="3448"/>
        <v>0</v>
      </c>
      <c r="M3633" s="6" t="b">
        <f t="shared" si="3448"/>
        <v>0</v>
      </c>
      <c r="P3633" s="4">
        <v>0.0980337402713654</v>
      </c>
      <c r="T3633" s="4" t="str">
        <f t="shared" si="3"/>
        <v/>
      </c>
      <c r="U3633" s="4">
        <f t="shared" si="4"/>
        <v>4180</v>
      </c>
    </row>
    <row r="3634" ht="15.75" customHeight="1">
      <c r="A3634" s="4" t="s">
        <v>4637</v>
      </c>
      <c r="B3634" s="4" t="s">
        <v>13</v>
      </c>
      <c r="I3634" s="4">
        <v>0.104</v>
      </c>
      <c r="J3634" s="4">
        <v>0.047</v>
      </c>
      <c r="K3634" s="6" t="b">
        <f t="shared" ref="K3634:M3634" si="3449">FALSE()</f>
        <v>0</v>
      </c>
      <c r="L3634" s="6" t="b">
        <f t="shared" si="3449"/>
        <v>0</v>
      </c>
      <c r="M3634" s="6" t="b">
        <f t="shared" si="3449"/>
        <v>0</v>
      </c>
      <c r="P3634" s="4">
        <v>0.0989399478549035</v>
      </c>
      <c r="T3634" s="4" t="str">
        <f t="shared" si="3"/>
        <v/>
      </c>
      <c r="U3634" s="4">
        <f t="shared" si="4"/>
        <v>4157</v>
      </c>
    </row>
    <row r="3635" ht="15.75" customHeight="1">
      <c r="A3635" s="4" t="s">
        <v>4638</v>
      </c>
      <c r="B3635" s="4" t="s">
        <v>13</v>
      </c>
      <c r="I3635" s="4">
        <v>0.155</v>
      </c>
      <c r="J3635" s="4">
        <v>0.016</v>
      </c>
      <c r="K3635" s="6" t="b">
        <f t="shared" ref="K3635:M3635" si="3450">FALSE()</f>
        <v>0</v>
      </c>
      <c r="L3635" s="6" t="b">
        <f t="shared" si="3450"/>
        <v>0</v>
      </c>
      <c r="M3635" s="6" t="b">
        <f t="shared" si="3450"/>
        <v>0</v>
      </c>
      <c r="P3635" s="4">
        <v>0.144100343973757</v>
      </c>
      <c r="T3635" s="4" t="str">
        <f t="shared" si="3"/>
        <v/>
      </c>
      <c r="U3635" s="4">
        <f t="shared" si="4"/>
        <v>3243</v>
      </c>
    </row>
    <row r="3636" ht="15.75" customHeight="1">
      <c r="A3636" s="4" t="s">
        <v>4639</v>
      </c>
      <c r="B3636" s="4" t="s">
        <v>13</v>
      </c>
      <c r="I3636" s="4">
        <v>0.285</v>
      </c>
      <c r="J3636" s="4">
        <v>0.027</v>
      </c>
      <c r="K3636" s="6" t="b">
        <f t="shared" ref="K3636:M3636" si="3451">FALSE()</f>
        <v>0</v>
      </c>
      <c r="L3636" s="6" t="b">
        <f t="shared" si="3451"/>
        <v>0</v>
      </c>
      <c r="M3636" s="6" t="b">
        <f t="shared" si="3451"/>
        <v>0</v>
      </c>
      <c r="P3636" s="4">
        <v>0.250758718347183</v>
      </c>
      <c r="T3636" s="4" t="str">
        <f t="shared" si="3"/>
        <v/>
      </c>
      <c r="U3636" s="4">
        <f t="shared" si="4"/>
        <v>1470</v>
      </c>
    </row>
    <row r="3637" ht="15.75" customHeight="1">
      <c r="A3637" s="4" t="s">
        <v>4640</v>
      </c>
      <c r="B3637" s="4" t="s">
        <v>13</v>
      </c>
      <c r="I3637" s="4">
        <v>0.477</v>
      </c>
      <c r="J3637" s="4">
        <v>0.044</v>
      </c>
      <c r="K3637" s="6" t="b">
        <f t="shared" ref="K3637:M3637" si="3452">FALSE()</f>
        <v>0</v>
      </c>
      <c r="L3637" s="6" t="b">
        <f t="shared" si="3452"/>
        <v>0</v>
      </c>
      <c r="M3637" s="6" t="b">
        <f t="shared" si="3452"/>
        <v>0</v>
      </c>
      <c r="P3637" s="4">
        <v>0.390013003549243</v>
      </c>
      <c r="T3637" s="4" t="str">
        <f t="shared" si="3"/>
        <v/>
      </c>
      <c r="U3637" s="4">
        <f t="shared" si="4"/>
        <v>1030</v>
      </c>
    </row>
    <row r="3638" ht="15.75" customHeight="1">
      <c r="A3638" s="4" t="s">
        <v>4641</v>
      </c>
      <c r="B3638" s="4" t="s">
        <v>13</v>
      </c>
      <c r="I3638" s="4">
        <v>0.359</v>
      </c>
      <c r="J3638" s="4">
        <v>0.034</v>
      </c>
      <c r="K3638" s="6" t="b">
        <f t="shared" ref="K3638:M3638" si="3453">FALSE()</f>
        <v>0</v>
      </c>
      <c r="L3638" s="6" t="b">
        <f t="shared" si="3453"/>
        <v>0</v>
      </c>
      <c r="M3638" s="6" t="b">
        <f t="shared" si="3453"/>
        <v>0</v>
      </c>
      <c r="P3638" s="4">
        <v>0.306749135169007</v>
      </c>
      <c r="T3638" s="4" t="str">
        <f t="shared" si="3"/>
        <v/>
      </c>
      <c r="U3638" s="4">
        <f t="shared" si="4"/>
        <v>1186</v>
      </c>
    </row>
    <row r="3639" ht="15.75" customHeight="1">
      <c r="A3639" s="4" t="s">
        <v>4642</v>
      </c>
      <c r="B3639" s="4" t="s">
        <v>13</v>
      </c>
      <c r="I3639" s="4">
        <v>0.398</v>
      </c>
      <c r="J3639" s="4">
        <v>0.037</v>
      </c>
      <c r="K3639" s="6" t="b">
        <f t="shared" ref="K3639:M3639" si="3454">FALSE()</f>
        <v>0</v>
      </c>
      <c r="L3639" s="6" t="b">
        <f t="shared" si="3454"/>
        <v>0</v>
      </c>
      <c r="M3639" s="6" t="b">
        <f t="shared" si="3454"/>
        <v>0</v>
      </c>
      <c r="P3639" s="4">
        <v>0.335042643811619</v>
      </c>
      <c r="T3639" s="4" t="str">
        <f t="shared" si="3"/>
        <v/>
      </c>
      <c r="U3639" s="4">
        <f t="shared" si="4"/>
        <v>1122</v>
      </c>
    </row>
    <row r="3640" ht="15.75" customHeight="1">
      <c r="A3640" s="4" t="s">
        <v>4643</v>
      </c>
      <c r="B3640" s="4" t="s">
        <v>13</v>
      </c>
      <c r="I3640" s="4">
        <v>0.226</v>
      </c>
      <c r="J3640" s="4">
        <v>0.054</v>
      </c>
      <c r="K3640" s="6" t="b">
        <f t="shared" ref="K3640:M3640" si="3455">FALSE()</f>
        <v>0</v>
      </c>
      <c r="L3640" s="6" t="b">
        <f t="shared" si="3455"/>
        <v>0</v>
      </c>
      <c r="M3640" s="6" t="b">
        <f t="shared" si="3455"/>
        <v>0</v>
      </c>
      <c r="P3640" s="4">
        <v>0.20375683751402</v>
      </c>
      <c r="T3640" s="4" t="str">
        <f t="shared" si="3"/>
        <v/>
      </c>
      <c r="U3640" s="4">
        <f t="shared" si="4"/>
        <v>2177</v>
      </c>
    </row>
    <row r="3641" ht="15.75" customHeight="1">
      <c r="A3641" s="4" t="s">
        <v>4644</v>
      </c>
      <c r="B3641" s="4" t="s">
        <v>13</v>
      </c>
      <c r="I3641" s="4">
        <v>0.301</v>
      </c>
      <c r="J3641" s="4">
        <v>0.069</v>
      </c>
      <c r="K3641" s="6" t="b">
        <f t="shared" ref="K3641:M3641" si="3456">FALSE()</f>
        <v>0</v>
      </c>
      <c r="L3641" s="6" t="b">
        <f t="shared" si="3456"/>
        <v>0</v>
      </c>
      <c r="M3641" s="6" t="b">
        <f t="shared" si="3456"/>
        <v>0</v>
      </c>
      <c r="P3641" s="4">
        <v>0.263133199530368</v>
      </c>
      <c r="T3641" s="4" t="str">
        <f t="shared" si="3"/>
        <v/>
      </c>
      <c r="U3641" s="4">
        <f t="shared" si="4"/>
        <v>1378</v>
      </c>
    </row>
    <row r="3642" ht="15.75" customHeight="1">
      <c r="A3642" s="4" t="s">
        <v>4645</v>
      </c>
      <c r="B3642" s="4" t="s">
        <v>13</v>
      </c>
      <c r="I3642" s="4">
        <v>0.105</v>
      </c>
      <c r="J3642" s="4">
        <v>0.055</v>
      </c>
      <c r="K3642" s="6" t="b">
        <f t="shared" ref="K3642:M3642" si="3457">FALSE()</f>
        <v>0</v>
      </c>
      <c r="L3642" s="6" t="b">
        <f t="shared" si="3457"/>
        <v>0</v>
      </c>
      <c r="M3642" s="6" t="b">
        <f t="shared" si="3457"/>
        <v>0</v>
      </c>
      <c r="P3642" s="4">
        <v>0.0998453349697161</v>
      </c>
      <c r="T3642" s="4" t="str">
        <f t="shared" si="3"/>
        <v/>
      </c>
      <c r="U3642" s="4">
        <f t="shared" si="4"/>
        <v>4147</v>
      </c>
    </row>
    <row r="3643" ht="15.75" customHeight="1">
      <c r="A3643" s="4" t="s">
        <v>4646</v>
      </c>
      <c r="B3643" s="4" t="s">
        <v>13</v>
      </c>
      <c r="I3643" s="4">
        <v>0.152</v>
      </c>
      <c r="J3643" s="4">
        <v>0.077</v>
      </c>
      <c r="K3643" s="6" t="b">
        <f t="shared" ref="K3643:M3643" si="3458">FALSE()</f>
        <v>0</v>
      </c>
      <c r="L3643" s="6" t="b">
        <f t="shared" si="3458"/>
        <v>0</v>
      </c>
      <c r="M3643" s="6" t="b">
        <f t="shared" si="3458"/>
        <v>0</v>
      </c>
      <c r="P3643" s="4">
        <v>0.1414995622737</v>
      </c>
      <c r="T3643" s="4" t="str">
        <f t="shared" si="3"/>
        <v/>
      </c>
      <c r="U3643" s="4">
        <f t="shared" si="4"/>
        <v>3299</v>
      </c>
    </row>
    <row r="3644" ht="15.75" customHeight="1">
      <c r="A3644" s="4" t="s">
        <v>4647</v>
      </c>
      <c r="B3644" s="4" t="s">
        <v>13</v>
      </c>
      <c r="I3644" s="4">
        <v>0.165</v>
      </c>
      <c r="J3644" s="4">
        <v>0.084</v>
      </c>
      <c r="K3644" s="6" t="b">
        <f t="shared" ref="K3644:M3644" si="3459">FALSE()</f>
        <v>0</v>
      </c>
      <c r="L3644" s="6" t="b">
        <f t="shared" si="3459"/>
        <v>0</v>
      </c>
      <c r="M3644" s="6" t="b">
        <f t="shared" si="3459"/>
        <v>0</v>
      </c>
      <c r="P3644" s="4">
        <v>0.152721087017664</v>
      </c>
      <c r="T3644" s="4" t="str">
        <f t="shared" si="3"/>
        <v/>
      </c>
      <c r="U3644" s="4">
        <f t="shared" si="4"/>
        <v>3108</v>
      </c>
    </row>
    <row r="3645" ht="15.75" customHeight="1">
      <c r="A3645" s="4" t="s">
        <v>4648</v>
      </c>
      <c r="B3645" s="4" t="s">
        <v>13</v>
      </c>
      <c r="I3645" s="4">
        <v>0.178</v>
      </c>
      <c r="J3645" s="4">
        <v>0.092</v>
      </c>
      <c r="K3645" s="6" t="b">
        <f t="shared" ref="K3645:M3645" si="3460">FALSE()</f>
        <v>0</v>
      </c>
      <c r="L3645" s="6" t="b">
        <f t="shared" si="3460"/>
        <v>0</v>
      </c>
      <c r="M3645" s="6" t="b">
        <f t="shared" si="3460"/>
        <v>0</v>
      </c>
      <c r="P3645" s="4">
        <v>0.163818085229395</v>
      </c>
      <c r="T3645" s="4" t="str">
        <f t="shared" si="3"/>
        <v/>
      </c>
      <c r="U3645" s="4">
        <f t="shared" si="4"/>
        <v>2929</v>
      </c>
    </row>
    <row r="3646" ht="15.75" customHeight="1">
      <c r="A3646" s="4" t="s">
        <v>4649</v>
      </c>
      <c r="B3646" s="4" t="s">
        <v>13</v>
      </c>
      <c r="I3646" s="4">
        <v>0.201</v>
      </c>
      <c r="J3646" s="4">
        <v>0.036</v>
      </c>
      <c r="K3646" s="6" t="b">
        <f t="shared" ref="K3646:M3646" si="3461">FALSE()</f>
        <v>0</v>
      </c>
      <c r="L3646" s="6" t="b">
        <f t="shared" si="3461"/>
        <v>0</v>
      </c>
      <c r="M3646" s="6" t="b">
        <f t="shared" si="3461"/>
        <v>0</v>
      </c>
      <c r="P3646" s="4">
        <v>0.183154543097847</v>
      </c>
      <c r="T3646" s="4" t="str">
        <f t="shared" si="3"/>
        <v/>
      </c>
      <c r="U3646" s="4">
        <f t="shared" si="4"/>
        <v>2572</v>
      </c>
    </row>
    <row r="3647" ht="15.75" customHeight="1">
      <c r="A3647" s="4" t="s">
        <v>4650</v>
      </c>
      <c r="B3647" s="4" t="s">
        <v>13</v>
      </c>
      <c r="I3647" s="4">
        <v>0.175</v>
      </c>
      <c r="J3647" s="4">
        <v>0.031</v>
      </c>
      <c r="K3647" s="6" t="b">
        <f t="shared" ref="K3647:M3647" si="3462">FALSE()</f>
        <v>0</v>
      </c>
      <c r="L3647" s="6" t="b">
        <f t="shared" si="3462"/>
        <v>0</v>
      </c>
      <c r="M3647" s="6" t="b">
        <f t="shared" si="3462"/>
        <v>0</v>
      </c>
      <c r="P3647" s="4">
        <v>0.161268147596122</v>
      </c>
      <c r="T3647" s="4" t="str">
        <f t="shared" si="3"/>
        <v/>
      </c>
      <c r="U3647" s="4">
        <f t="shared" si="4"/>
        <v>2978</v>
      </c>
    </row>
    <row r="3648" ht="15.75" customHeight="1">
      <c r="A3648" s="4" t="s">
        <v>4651</v>
      </c>
      <c r="B3648" s="4" t="s">
        <v>13</v>
      </c>
      <c r="I3648" s="4">
        <v>0.222</v>
      </c>
      <c r="J3648" s="4">
        <v>0.043</v>
      </c>
      <c r="K3648" s="6" t="b">
        <f t="shared" ref="K3648:M3648" si="3463">FALSE()</f>
        <v>0</v>
      </c>
      <c r="L3648" s="6" t="b">
        <f t="shared" si="3463"/>
        <v>0</v>
      </c>
      <c r="M3648" s="6" t="b">
        <f t="shared" si="3463"/>
        <v>0</v>
      </c>
      <c r="P3648" s="4">
        <v>0.200488860749404</v>
      </c>
      <c r="T3648" s="4" t="str">
        <f t="shared" si="3"/>
        <v/>
      </c>
      <c r="U3648" s="4">
        <f t="shared" si="4"/>
        <v>2234</v>
      </c>
    </row>
    <row r="3649" ht="15.75" customHeight="1">
      <c r="A3649" s="4" t="s">
        <v>4652</v>
      </c>
      <c r="B3649" s="4" t="s">
        <v>13</v>
      </c>
      <c r="I3649" s="4">
        <v>0.079</v>
      </c>
      <c r="J3649" s="4">
        <v>0.005</v>
      </c>
      <c r="K3649" s="6" t="b">
        <f t="shared" ref="K3649:M3649" si="3464">FALSE()</f>
        <v>0</v>
      </c>
      <c r="L3649" s="6" t="b">
        <f t="shared" si="3464"/>
        <v>0</v>
      </c>
      <c r="M3649" s="6" t="b">
        <f t="shared" si="3464"/>
        <v>0</v>
      </c>
      <c r="P3649" s="4">
        <v>0.0760346862759976</v>
      </c>
      <c r="T3649" s="4" t="str">
        <f t="shared" si="3"/>
        <v/>
      </c>
      <c r="U3649" s="4">
        <f t="shared" si="4"/>
        <v>4426</v>
      </c>
    </row>
    <row r="3650" ht="15.75" customHeight="1">
      <c r="A3650" s="4" t="s">
        <v>4653</v>
      </c>
      <c r="B3650" s="4" t="s">
        <v>13</v>
      </c>
      <c r="I3650" s="4">
        <v>0.215</v>
      </c>
      <c r="J3650" s="4">
        <v>0.045</v>
      </c>
      <c r="K3650" s="6" t="b">
        <f t="shared" ref="K3650:M3650" si="3465">FALSE()</f>
        <v>0</v>
      </c>
      <c r="L3650" s="6" t="b">
        <f t="shared" si="3465"/>
        <v>0</v>
      </c>
      <c r="M3650" s="6" t="b">
        <f t="shared" si="3465"/>
        <v>0</v>
      </c>
      <c r="P3650" s="4">
        <v>0.194744076792512</v>
      </c>
      <c r="T3650" s="4" t="str">
        <f t="shared" si="3"/>
        <v/>
      </c>
      <c r="U3650" s="4">
        <f t="shared" si="4"/>
        <v>2340</v>
      </c>
    </row>
    <row r="3651" ht="15.75" customHeight="1">
      <c r="A3651" s="4" t="s">
        <v>4654</v>
      </c>
      <c r="B3651" s="4" t="s">
        <v>13</v>
      </c>
      <c r="I3651" s="4">
        <v>0.18</v>
      </c>
      <c r="J3651" s="4">
        <v>0.034</v>
      </c>
      <c r="K3651" s="6" t="b">
        <f t="shared" ref="K3651:M3651" si="3466">FALSE()</f>
        <v>0</v>
      </c>
      <c r="L3651" s="6" t="b">
        <f t="shared" si="3466"/>
        <v>0</v>
      </c>
      <c r="M3651" s="6" t="b">
        <f t="shared" si="3466"/>
        <v>0</v>
      </c>
      <c r="P3651" s="4">
        <v>0.165514438477573</v>
      </c>
      <c r="T3651" s="4" t="str">
        <f t="shared" si="3"/>
        <v/>
      </c>
      <c r="U3651" s="4">
        <f t="shared" si="4"/>
        <v>2888</v>
      </c>
    </row>
    <row r="3652" ht="15.75" customHeight="1">
      <c r="A3652" s="4" t="s">
        <v>4655</v>
      </c>
      <c r="B3652" s="4" t="s">
        <v>13</v>
      </c>
      <c r="I3652" s="4">
        <v>0.233</v>
      </c>
      <c r="J3652" s="4">
        <v>0.109</v>
      </c>
      <c r="K3652" s="6" t="b">
        <f t="shared" ref="K3652:M3652" si="3467">FALSE()</f>
        <v>0</v>
      </c>
      <c r="L3652" s="6" t="b">
        <f t="shared" si="3467"/>
        <v>0</v>
      </c>
      <c r="M3652" s="6" t="b">
        <f t="shared" si="3467"/>
        <v>0</v>
      </c>
      <c r="P3652" s="4">
        <v>0.209450224182207</v>
      </c>
      <c r="T3652" s="4" t="str">
        <f t="shared" si="3"/>
        <v/>
      </c>
      <c r="U3652" s="4">
        <f t="shared" si="4"/>
        <v>2059</v>
      </c>
    </row>
    <row r="3653" ht="15.75" customHeight="1">
      <c r="A3653" s="4" t="s">
        <v>4656</v>
      </c>
      <c r="B3653" s="4" t="s">
        <v>13</v>
      </c>
      <c r="I3653" s="4">
        <v>0.263</v>
      </c>
      <c r="J3653" s="4">
        <v>0.123</v>
      </c>
      <c r="K3653" s="6" t="b">
        <f t="shared" ref="K3653:M3653" si="3468">FALSE()</f>
        <v>0</v>
      </c>
      <c r="L3653" s="6" t="b">
        <f t="shared" si="3468"/>
        <v>0</v>
      </c>
      <c r="M3653" s="6" t="b">
        <f t="shared" si="3468"/>
        <v>0</v>
      </c>
      <c r="P3653" s="4">
        <v>0.233489843368354</v>
      </c>
      <c r="T3653" s="4" t="str">
        <f t="shared" si="3"/>
        <v/>
      </c>
      <c r="U3653" s="4">
        <f t="shared" si="4"/>
        <v>1646</v>
      </c>
    </row>
    <row r="3654" ht="15.75" customHeight="1">
      <c r="A3654" s="4" t="s">
        <v>4657</v>
      </c>
      <c r="B3654" s="4" t="s">
        <v>13</v>
      </c>
      <c r="I3654" s="4">
        <v>0.066</v>
      </c>
      <c r="J3654" s="4">
        <v>0.005</v>
      </c>
      <c r="K3654" s="6" t="b">
        <f t="shared" ref="K3654:M3654" si="3469">FALSE()</f>
        <v>0</v>
      </c>
      <c r="L3654" s="6" t="b">
        <f t="shared" si="3469"/>
        <v>0</v>
      </c>
      <c r="M3654" s="6" t="b">
        <f t="shared" si="3469"/>
        <v>0</v>
      </c>
      <c r="P3654" s="4">
        <v>0.0639133257436528</v>
      </c>
      <c r="T3654" s="4" t="str">
        <f t="shared" si="3"/>
        <v/>
      </c>
      <c r="U3654" s="4">
        <f t="shared" si="4"/>
        <v>4512</v>
      </c>
    </row>
    <row r="3655" ht="15.75" customHeight="1">
      <c r="A3655" s="4" t="s">
        <v>4658</v>
      </c>
      <c r="B3655" s="4" t="s">
        <v>13</v>
      </c>
      <c r="I3655" s="4">
        <v>0.107</v>
      </c>
      <c r="J3655" s="4">
        <v>0.006</v>
      </c>
      <c r="K3655" s="6" t="b">
        <f t="shared" ref="K3655:M3655" si="3470">FALSE()</f>
        <v>0</v>
      </c>
      <c r="L3655" s="6" t="b">
        <f t="shared" si="3470"/>
        <v>0</v>
      </c>
      <c r="M3655" s="6" t="b">
        <f t="shared" si="3470"/>
        <v>0</v>
      </c>
      <c r="P3655" s="4">
        <v>0.1016536537265</v>
      </c>
      <c r="T3655" s="4" t="str">
        <f t="shared" si="3"/>
        <v/>
      </c>
      <c r="U3655" s="4">
        <f t="shared" si="4"/>
        <v>4104</v>
      </c>
    </row>
    <row r="3656" ht="15.75" customHeight="1">
      <c r="A3656" s="4" t="s">
        <v>4659</v>
      </c>
      <c r="B3656" s="4" t="s">
        <v>13</v>
      </c>
      <c r="I3656" s="4">
        <v>0.237</v>
      </c>
      <c r="J3656" s="4">
        <v>0.111</v>
      </c>
      <c r="K3656" s="6" t="b">
        <f t="shared" ref="K3656:M3656" si="3471">FALSE()</f>
        <v>0</v>
      </c>
      <c r="L3656" s="6" t="b">
        <f t="shared" si="3471"/>
        <v>0</v>
      </c>
      <c r="M3656" s="6" t="b">
        <f t="shared" si="3471"/>
        <v>0</v>
      </c>
      <c r="P3656" s="4">
        <v>0.212689093410351</v>
      </c>
      <c r="T3656" s="4" t="str">
        <f t="shared" si="3"/>
        <v/>
      </c>
      <c r="U3656" s="4">
        <f t="shared" si="4"/>
        <v>1995</v>
      </c>
    </row>
    <row r="3657" ht="15.75" customHeight="1">
      <c r="A3657" s="4" t="s">
        <v>4660</v>
      </c>
      <c r="B3657" s="4" t="s">
        <v>13</v>
      </c>
      <c r="I3657" s="4">
        <v>0.274</v>
      </c>
      <c r="J3657" s="4">
        <v>0.13</v>
      </c>
      <c r="K3657" s="6" t="b">
        <f t="shared" ref="K3657:M3657" si="3472">FALSE()</f>
        <v>0</v>
      </c>
      <c r="L3657" s="6" t="b">
        <f t="shared" si="3472"/>
        <v>0</v>
      </c>
      <c r="M3657" s="6" t="b">
        <f t="shared" si="3472"/>
        <v>0</v>
      </c>
      <c r="P3657" s="4">
        <v>0.242161557149972</v>
      </c>
      <c r="T3657" s="4" t="str">
        <f t="shared" si="3"/>
        <v/>
      </c>
      <c r="U3657" s="4">
        <f t="shared" si="4"/>
        <v>1555</v>
      </c>
    </row>
    <row r="3658" ht="15.75" customHeight="1">
      <c r="A3658" s="4" t="s">
        <v>4661</v>
      </c>
      <c r="B3658" s="4" t="s">
        <v>13</v>
      </c>
      <c r="I3658" s="4">
        <v>0.176</v>
      </c>
      <c r="J3658" s="4">
        <v>0.084</v>
      </c>
      <c r="K3658" s="6" t="b">
        <f t="shared" ref="K3658:M3658" si="3473">FALSE()</f>
        <v>0</v>
      </c>
      <c r="L3658" s="6" t="b">
        <f t="shared" si="3473"/>
        <v>0</v>
      </c>
      <c r="M3658" s="6" t="b">
        <f t="shared" si="3473"/>
        <v>0</v>
      </c>
      <c r="P3658" s="4">
        <v>0.162118849476435</v>
      </c>
      <c r="T3658" s="4" t="str">
        <f t="shared" si="3"/>
        <v/>
      </c>
      <c r="U3658" s="4">
        <f t="shared" si="4"/>
        <v>2960</v>
      </c>
    </row>
    <row r="3659" ht="15.75" customHeight="1">
      <c r="A3659" s="4" t="s">
        <v>4662</v>
      </c>
      <c r="B3659" s="4" t="s">
        <v>13</v>
      </c>
      <c r="I3659" s="4">
        <v>0.156</v>
      </c>
      <c r="J3659" s="4">
        <v>0.075</v>
      </c>
      <c r="K3659" s="6" t="b">
        <f t="shared" ref="K3659:M3659" si="3474">FALSE()</f>
        <v>0</v>
      </c>
      <c r="L3659" s="6" t="b">
        <f t="shared" si="3474"/>
        <v>0</v>
      </c>
      <c r="M3659" s="6" t="b">
        <f t="shared" si="3474"/>
        <v>0</v>
      </c>
      <c r="P3659" s="4">
        <v>0.144965770250186</v>
      </c>
      <c r="T3659" s="4" t="str">
        <f t="shared" si="3"/>
        <v/>
      </c>
      <c r="U3659" s="4">
        <f t="shared" si="4"/>
        <v>3233</v>
      </c>
    </row>
    <row r="3660" ht="15.75" customHeight="1">
      <c r="A3660" s="4" t="s">
        <v>4663</v>
      </c>
      <c r="B3660" s="4" t="s">
        <v>13</v>
      </c>
      <c r="I3660" s="4">
        <v>0.136</v>
      </c>
      <c r="J3660" s="4">
        <v>0.026</v>
      </c>
      <c r="K3660" s="6" t="b">
        <f t="shared" ref="K3660:M3660" si="3475">FALSE()</f>
        <v>0</v>
      </c>
      <c r="L3660" s="6" t="b">
        <f t="shared" si="3475"/>
        <v>0</v>
      </c>
      <c r="M3660" s="6" t="b">
        <f t="shared" si="3475"/>
        <v>0</v>
      </c>
      <c r="P3660" s="4">
        <v>0.12751332029896</v>
      </c>
      <c r="T3660" s="4" t="str">
        <f t="shared" si="3"/>
        <v/>
      </c>
      <c r="U3660" s="4">
        <f t="shared" si="4"/>
        <v>3589</v>
      </c>
    </row>
    <row r="3661" ht="15.75" customHeight="1">
      <c r="A3661" s="4" t="s">
        <v>4664</v>
      </c>
      <c r="B3661" s="4" t="s">
        <v>13</v>
      </c>
      <c r="I3661" s="4">
        <v>0.119</v>
      </c>
      <c r="J3661" s="4">
        <v>0.022</v>
      </c>
      <c r="K3661" s="6" t="b">
        <f t="shared" ref="K3661:M3661" si="3476">FALSE()</f>
        <v>0</v>
      </c>
      <c r="L3661" s="6" t="b">
        <f t="shared" si="3476"/>
        <v>0</v>
      </c>
      <c r="M3661" s="6" t="b">
        <f t="shared" si="3476"/>
        <v>0</v>
      </c>
      <c r="P3661" s="4">
        <v>0.112435429329788</v>
      </c>
      <c r="T3661" s="4" t="str">
        <f t="shared" si="3"/>
        <v/>
      </c>
      <c r="U3661" s="4">
        <f t="shared" si="4"/>
        <v>3893</v>
      </c>
    </row>
    <row r="3662" ht="15.75" customHeight="1">
      <c r="A3662" s="4" t="s">
        <v>4665</v>
      </c>
      <c r="B3662" s="4" t="s">
        <v>13</v>
      </c>
      <c r="I3662" s="4">
        <v>0.17</v>
      </c>
      <c r="J3662" s="4">
        <v>0.064</v>
      </c>
      <c r="K3662" s="6" t="b">
        <f t="shared" ref="K3662:M3662" si="3477">FALSE()</f>
        <v>0</v>
      </c>
      <c r="L3662" s="6" t="b">
        <f t="shared" si="3477"/>
        <v>0</v>
      </c>
      <c r="M3662" s="6" t="b">
        <f t="shared" si="3477"/>
        <v>0</v>
      </c>
      <c r="P3662" s="4">
        <v>0.157003748809665</v>
      </c>
      <c r="T3662" s="4" t="str">
        <f t="shared" si="3"/>
        <v/>
      </c>
      <c r="U3662" s="4">
        <f t="shared" si="4"/>
        <v>3049</v>
      </c>
    </row>
    <row r="3663" ht="15.75" customHeight="1">
      <c r="A3663" s="4" t="s">
        <v>4666</v>
      </c>
      <c r="B3663" s="4" t="s">
        <v>13</v>
      </c>
      <c r="I3663" s="4">
        <v>0.175</v>
      </c>
      <c r="J3663" s="4">
        <v>0.066</v>
      </c>
      <c r="K3663" s="6" t="b">
        <f t="shared" ref="K3663:M3663" si="3478">FALSE()</f>
        <v>0</v>
      </c>
      <c r="L3663" s="6" t="b">
        <f t="shared" si="3478"/>
        <v>0</v>
      </c>
      <c r="M3663" s="6" t="b">
        <f t="shared" si="3478"/>
        <v>0</v>
      </c>
      <c r="P3663" s="4">
        <v>0.161268147596122</v>
      </c>
      <c r="T3663" s="4" t="str">
        <f t="shared" si="3"/>
        <v/>
      </c>
      <c r="U3663" s="4">
        <f t="shared" si="4"/>
        <v>2979</v>
      </c>
    </row>
    <row r="3664" ht="15.75" customHeight="1">
      <c r="A3664" s="4" t="s">
        <v>889</v>
      </c>
      <c r="B3664" s="4" t="s">
        <v>13</v>
      </c>
      <c r="C3664" s="4">
        <v>0.22</v>
      </c>
      <c r="D3664" s="4">
        <v>0.011</v>
      </c>
      <c r="E3664" s="4">
        <v>0.011</v>
      </c>
      <c r="I3664" s="4">
        <v>0.7637</v>
      </c>
      <c r="J3664" s="4">
        <v>0.0134</v>
      </c>
      <c r="K3664" s="6" t="b">
        <f t="shared" ref="K3664:L3664" si="3479">FALSE()</f>
        <v>0</v>
      </c>
      <c r="L3664" s="6" t="b">
        <f t="shared" si="3479"/>
        <v>0</v>
      </c>
      <c r="M3664" s="6" t="b">
        <f>TRUE()</f>
        <v>1</v>
      </c>
      <c r="N3664" s="4">
        <v>0.198850858745165</v>
      </c>
      <c r="P3664" s="4">
        <v>0.567413875094182</v>
      </c>
      <c r="T3664" s="4">
        <f t="shared" si="3"/>
        <v>1134</v>
      </c>
      <c r="U3664" s="4">
        <f t="shared" si="4"/>
        <v>866</v>
      </c>
    </row>
    <row r="3665" ht="15.75" customHeight="1">
      <c r="A3665" s="4" t="s">
        <v>4667</v>
      </c>
      <c r="B3665" s="4" t="s">
        <v>13</v>
      </c>
      <c r="I3665" s="4">
        <v>0.165</v>
      </c>
      <c r="J3665" s="4">
        <v>0.034</v>
      </c>
      <c r="K3665" s="6" t="b">
        <f t="shared" ref="K3665:M3665" si="3480">FALSE()</f>
        <v>0</v>
      </c>
      <c r="L3665" s="6" t="b">
        <f t="shared" si="3480"/>
        <v>0</v>
      </c>
      <c r="M3665" s="6" t="b">
        <f t="shared" si="3480"/>
        <v>0</v>
      </c>
      <c r="P3665" s="4">
        <v>0.152721087017664</v>
      </c>
      <c r="T3665" s="4" t="str">
        <f t="shared" si="3"/>
        <v/>
      </c>
      <c r="U3665" s="4">
        <f t="shared" si="4"/>
        <v>3109</v>
      </c>
    </row>
    <row r="3666" ht="15.75" customHeight="1">
      <c r="A3666" s="4" t="s">
        <v>890</v>
      </c>
      <c r="B3666" s="4" t="s">
        <v>13</v>
      </c>
      <c r="C3666" s="4">
        <v>0.019</v>
      </c>
      <c r="D3666" s="4">
        <v>0.01</v>
      </c>
      <c r="E3666" s="4">
        <v>0.01</v>
      </c>
      <c r="I3666" s="4">
        <v>0.277</v>
      </c>
      <c r="J3666" s="4">
        <v>0.125</v>
      </c>
      <c r="K3666" s="6" t="b">
        <f t="shared" ref="K3666:M3666" si="3481">FALSE()</f>
        <v>0</v>
      </c>
      <c r="L3666" s="6" t="b">
        <f t="shared" si="3481"/>
        <v>0</v>
      </c>
      <c r="M3666" s="6" t="b">
        <f t="shared" si="3481"/>
        <v>0</v>
      </c>
      <c r="N3666" s="4">
        <v>0.0188217542405877</v>
      </c>
      <c r="P3666" s="4">
        <v>0.244513577050402</v>
      </c>
      <c r="T3666" s="4">
        <f t="shared" si="3"/>
        <v>1754</v>
      </c>
      <c r="U3666" s="4">
        <f t="shared" si="4"/>
        <v>1534</v>
      </c>
    </row>
    <row r="3667" ht="15.75" customHeight="1">
      <c r="A3667" s="4" t="s">
        <v>891</v>
      </c>
      <c r="B3667" s="4" t="s">
        <v>13</v>
      </c>
      <c r="C3667" s="4">
        <v>0.047</v>
      </c>
      <c r="D3667" s="4">
        <v>0.015</v>
      </c>
      <c r="E3667" s="4">
        <v>0.017</v>
      </c>
      <c r="I3667" s="4">
        <v>0.25</v>
      </c>
      <c r="J3667" s="4">
        <v>0.092</v>
      </c>
      <c r="K3667" s="6" t="b">
        <f t="shared" ref="K3667:M3667" si="3482">FALSE()</f>
        <v>0</v>
      </c>
      <c r="L3667" s="6" t="b">
        <f t="shared" si="3482"/>
        <v>0</v>
      </c>
      <c r="M3667" s="6" t="b">
        <f t="shared" si="3482"/>
        <v>0</v>
      </c>
      <c r="N3667" s="4">
        <v>0.0459289318883998</v>
      </c>
      <c r="P3667" s="4">
        <v>0.22314355131421</v>
      </c>
      <c r="T3667" s="4">
        <f t="shared" si="3"/>
        <v>1417</v>
      </c>
      <c r="U3667" s="4">
        <f t="shared" si="4"/>
        <v>1810</v>
      </c>
    </row>
    <row r="3668" ht="15.75" customHeight="1">
      <c r="A3668" s="4" t="s">
        <v>4668</v>
      </c>
      <c r="B3668" s="4" t="s">
        <v>13</v>
      </c>
      <c r="I3668" s="4">
        <v>0.273</v>
      </c>
      <c r="J3668" s="4">
        <v>0.138</v>
      </c>
      <c r="K3668" s="6" t="b">
        <f t="shared" ref="K3668:M3668" si="3483">FALSE()</f>
        <v>0</v>
      </c>
      <c r="L3668" s="6" t="b">
        <f t="shared" si="3483"/>
        <v>0</v>
      </c>
      <c r="M3668" s="6" t="b">
        <f t="shared" si="3483"/>
        <v>0</v>
      </c>
      <c r="P3668" s="4">
        <v>0.241376319575269</v>
      </c>
      <c r="T3668" s="4" t="str">
        <f t="shared" si="3"/>
        <v/>
      </c>
      <c r="U3668" s="4">
        <f t="shared" si="4"/>
        <v>1562</v>
      </c>
    </row>
    <row r="3669" ht="15.75" customHeight="1">
      <c r="A3669" s="4" t="s">
        <v>4669</v>
      </c>
      <c r="B3669" s="4" t="s">
        <v>13</v>
      </c>
      <c r="I3669" s="4">
        <v>0.285</v>
      </c>
      <c r="J3669" s="4">
        <v>0.138</v>
      </c>
      <c r="K3669" s="6" t="b">
        <f t="shared" ref="K3669:M3669" si="3484">FALSE()</f>
        <v>0</v>
      </c>
      <c r="L3669" s="6" t="b">
        <f t="shared" si="3484"/>
        <v>0</v>
      </c>
      <c r="M3669" s="6" t="b">
        <f t="shared" si="3484"/>
        <v>0</v>
      </c>
      <c r="P3669" s="4">
        <v>0.250758718347183</v>
      </c>
      <c r="T3669" s="4" t="str">
        <f t="shared" si="3"/>
        <v/>
      </c>
      <c r="U3669" s="4">
        <f t="shared" si="4"/>
        <v>1471</v>
      </c>
    </row>
    <row r="3670" ht="15.75" customHeight="1">
      <c r="A3670" s="4" t="s">
        <v>4670</v>
      </c>
      <c r="B3670" s="4" t="s">
        <v>13</v>
      </c>
      <c r="I3670" s="4">
        <v>0.243</v>
      </c>
      <c r="J3670" s="4">
        <v>0.027</v>
      </c>
      <c r="K3670" s="6" t="b">
        <f t="shared" ref="K3670:M3670" si="3485">FALSE()</f>
        <v>0</v>
      </c>
      <c r="L3670" s="6" t="b">
        <f t="shared" si="3485"/>
        <v>0</v>
      </c>
      <c r="M3670" s="6" t="b">
        <f t="shared" si="3485"/>
        <v>0</v>
      </c>
      <c r="P3670" s="4">
        <v>0.217527812528574</v>
      </c>
      <c r="T3670" s="4" t="str">
        <f t="shared" si="3"/>
        <v/>
      </c>
      <c r="U3670" s="4">
        <f t="shared" si="4"/>
        <v>1903</v>
      </c>
    </row>
    <row r="3671" ht="15.75" customHeight="1">
      <c r="A3671" s="4" t="s">
        <v>4671</v>
      </c>
      <c r="B3671" s="4" t="s">
        <v>13</v>
      </c>
      <c r="I3671" s="4">
        <v>0.077</v>
      </c>
      <c r="J3671" s="4">
        <v>0.007</v>
      </c>
      <c r="K3671" s="6" t="b">
        <f t="shared" ref="K3671:M3671" si="3486">FALSE()</f>
        <v>0</v>
      </c>
      <c r="L3671" s="6" t="b">
        <f t="shared" si="3486"/>
        <v>0</v>
      </c>
      <c r="M3671" s="6" t="b">
        <f t="shared" si="3486"/>
        <v>0</v>
      </c>
      <c r="P3671" s="4">
        <v>0.0741793981742515</v>
      </c>
      <c r="T3671" s="4" t="str">
        <f t="shared" si="3"/>
        <v/>
      </c>
      <c r="U3671" s="4">
        <f t="shared" si="4"/>
        <v>4444</v>
      </c>
    </row>
    <row r="3672" ht="15.75" customHeight="1">
      <c r="A3672" s="4" t="s">
        <v>4672</v>
      </c>
      <c r="B3672" s="4" t="s">
        <v>13</v>
      </c>
      <c r="I3672" s="4">
        <v>0.111</v>
      </c>
      <c r="J3672" s="4">
        <v>0.009</v>
      </c>
      <c r="K3672" s="6" t="b">
        <f t="shared" ref="K3672:M3672" si="3487">FALSE()</f>
        <v>0</v>
      </c>
      <c r="L3672" s="6" t="b">
        <f t="shared" si="3487"/>
        <v>0</v>
      </c>
      <c r="M3672" s="6" t="b">
        <f t="shared" si="3487"/>
        <v>0</v>
      </c>
      <c r="P3672" s="4">
        <v>0.105260510657493</v>
      </c>
      <c r="T3672" s="4" t="str">
        <f t="shared" si="3"/>
        <v/>
      </c>
      <c r="U3672" s="4">
        <f t="shared" si="4"/>
        <v>4029</v>
      </c>
    </row>
    <row r="3673" ht="15.75" customHeight="1">
      <c r="A3673" s="4" t="s">
        <v>4673</v>
      </c>
      <c r="B3673" s="4" t="s">
        <v>13</v>
      </c>
      <c r="I3673" s="4">
        <v>0.071925</v>
      </c>
      <c r="K3673" s="6" t="b">
        <f t="shared" ref="K3673:M3673" si="3488">FALSE()</f>
        <v>0</v>
      </c>
      <c r="L3673" s="6" t="b">
        <f t="shared" si="3488"/>
        <v>0</v>
      </c>
      <c r="M3673" s="6" t="b">
        <f t="shared" si="3488"/>
        <v>0</v>
      </c>
      <c r="P3673" s="4">
        <v>0.0694560975145401</v>
      </c>
      <c r="T3673" s="4" t="str">
        <f t="shared" si="3"/>
        <v/>
      </c>
      <c r="U3673" s="4">
        <f t="shared" si="4"/>
        <v>4475</v>
      </c>
    </row>
    <row r="3674" ht="15.75" customHeight="1">
      <c r="A3674" s="4" t="s">
        <v>4674</v>
      </c>
      <c r="B3674" s="4" t="s">
        <v>13</v>
      </c>
      <c r="I3674" s="4">
        <v>0.0937</v>
      </c>
      <c r="J3674" s="4">
        <v>0.0062</v>
      </c>
      <c r="K3674" s="6" t="b">
        <f t="shared" ref="K3674:M3674" si="3489">FALSE()</f>
        <v>0</v>
      </c>
      <c r="L3674" s="6" t="b">
        <f t="shared" si="3489"/>
        <v>0</v>
      </c>
      <c r="M3674" s="6" t="b">
        <f t="shared" si="3489"/>
        <v>0</v>
      </c>
      <c r="P3674" s="4">
        <v>0.089566443359043</v>
      </c>
      <c r="T3674" s="4" t="str">
        <f t="shared" si="3"/>
        <v/>
      </c>
      <c r="U3674" s="4">
        <f t="shared" si="4"/>
        <v>4292</v>
      </c>
    </row>
    <row r="3675" ht="15.75" customHeight="1">
      <c r="A3675" s="4" t="s">
        <v>4675</v>
      </c>
      <c r="B3675" s="4" t="s">
        <v>13</v>
      </c>
      <c r="I3675" s="4">
        <v>0.161</v>
      </c>
      <c r="J3675" s="4">
        <v>0.0116</v>
      </c>
      <c r="K3675" s="6" t="b">
        <f t="shared" ref="K3675:M3675" si="3490">FALSE()</f>
        <v>0</v>
      </c>
      <c r="L3675" s="6" t="b">
        <f t="shared" si="3490"/>
        <v>0</v>
      </c>
      <c r="M3675" s="6" t="b">
        <f t="shared" si="3490"/>
        <v>0</v>
      </c>
      <c r="P3675" s="4">
        <v>0.149281702715754</v>
      </c>
      <c r="T3675" s="4" t="str">
        <f t="shared" si="3"/>
        <v/>
      </c>
      <c r="U3675" s="4">
        <f t="shared" si="4"/>
        <v>3169</v>
      </c>
    </row>
    <row r="3676" ht="15.75" customHeight="1">
      <c r="A3676" s="4" t="s">
        <v>4676</v>
      </c>
      <c r="B3676" s="4" t="s">
        <v>13</v>
      </c>
      <c r="I3676" s="4">
        <v>0.164</v>
      </c>
      <c r="J3676" s="4">
        <v>0.052</v>
      </c>
      <c r="K3676" s="6" t="b">
        <f t="shared" ref="K3676:M3676" si="3491">FALSE()</f>
        <v>0</v>
      </c>
      <c r="L3676" s="6" t="b">
        <f t="shared" si="3491"/>
        <v>0</v>
      </c>
      <c r="M3676" s="6" t="b">
        <f t="shared" si="3491"/>
        <v>0</v>
      </c>
      <c r="P3676" s="4">
        <v>0.151862349309246</v>
      </c>
      <c r="T3676" s="4" t="str">
        <f t="shared" si="3"/>
        <v/>
      </c>
      <c r="U3676" s="4">
        <f t="shared" si="4"/>
        <v>3128</v>
      </c>
    </row>
    <row r="3677" ht="15.75" customHeight="1">
      <c r="A3677" s="4" t="s">
        <v>4677</v>
      </c>
      <c r="B3677" s="4" t="s">
        <v>13</v>
      </c>
      <c r="I3677" s="4">
        <v>0.117</v>
      </c>
      <c r="J3677" s="4">
        <v>0.037</v>
      </c>
      <c r="K3677" s="6" t="b">
        <f t="shared" ref="K3677:M3677" si="3492">FALSE()</f>
        <v>0</v>
      </c>
      <c r="L3677" s="6" t="b">
        <f t="shared" si="3492"/>
        <v>0</v>
      </c>
      <c r="M3677" s="6" t="b">
        <f t="shared" si="3492"/>
        <v>0</v>
      </c>
      <c r="P3677" s="4">
        <v>0.110646520087064</v>
      </c>
      <c r="T3677" s="4" t="str">
        <f t="shared" si="3"/>
        <v/>
      </c>
      <c r="U3677" s="4">
        <f t="shared" si="4"/>
        <v>3935</v>
      </c>
    </row>
    <row r="3678" ht="15.75" customHeight="1">
      <c r="A3678" s="4" t="s">
        <v>4678</v>
      </c>
      <c r="B3678" s="4" t="s">
        <v>13</v>
      </c>
      <c r="I3678" s="4">
        <v>0.111</v>
      </c>
      <c r="J3678" s="4">
        <v>0.036</v>
      </c>
      <c r="K3678" s="6" t="b">
        <f t="shared" ref="K3678:M3678" si="3493">FALSE()</f>
        <v>0</v>
      </c>
      <c r="L3678" s="6" t="b">
        <f t="shared" si="3493"/>
        <v>0</v>
      </c>
      <c r="M3678" s="6" t="b">
        <f t="shared" si="3493"/>
        <v>0</v>
      </c>
      <c r="P3678" s="4">
        <v>0.105260510657493</v>
      </c>
      <c r="T3678" s="4" t="str">
        <f t="shared" si="3"/>
        <v/>
      </c>
      <c r="U3678" s="4">
        <f t="shared" si="4"/>
        <v>4030</v>
      </c>
    </row>
    <row r="3679" ht="15.75" customHeight="1">
      <c r="A3679" s="4" t="s">
        <v>4679</v>
      </c>
      <c r="B3679" s="4" t="s">
        <v>13</v>
      </c>
      <c r="I3679" s="4">
        <v>0.13</v>
      </c>
      <c r="J3679" s="4">
        <v>0.059</v>
      </c>
      <c r="K3679" s="6" t="b">
        <f t="shared" ref="K3679:M3679" si="3494">FALSE()</f>
        <v>0</v>
      </c>
      <c r="L3679" s="6" t="b">
        <f t="shared" si="3494"/>
        <v>0</v>
      </c>
      <c r="M3679" s="6" t="b">
        <f t="shared" si="3494"/>
        <v>0</v>
      </c>
      <c r="P3679" s="4">
        <v>0.122217632724249</v>
      </c>
      <c r="T3679" s="4" t="str">
        <f t="shared" si="3"/>
        <v/>
      </c>
      <c r="U3679" s="4">
        <f t="shared" si="4"/>
        <v>3695</v>
      </c>
    </row>
    <row r="3680" ht="15.75" customHeight="1">
      <c r="A3680" s="4" t="s">
        <v>4680</v>
      </c>
      <c r="B3680" s="4" t="s">
        <v>13</v>
      </c>
      <c r="I3680" s="4">
        <v>0.242</v>
      </c>
      <c r="J3680" s="4">
        <v>0.109</v>
      </c>
      <c r="K3680" s="6" t="b">
        <f t="shared" ref="K3680:M3680" si="3495">FALSE()</f>
        <v>0</v>
      </c>
      <c r="L3680" s="6" t="b">
        <f t="shared" si="3495"/>
        <v>0</v>
      </c>
      <c r="M3680" s="6" t="b">
        <f t="shared" si="3495"/>
        <v>0</v>
      </c>
      <c r="P3680" s="4">
        <v>0.216722983511287</v>
      </c>
      <c r="T3680" s="4" t="str">
        <f t="shared" si="3"/>
        <v/>
      </c>
      <c r="U3680" s="4">
        <f t="shared" si="4"/>
        <v>1917</v>
      </c>
    </row>
    <row r="3681" ht="15.75" customHeight="1">
      <c r="A3681" s="4" t="s">
        <v>4681</v>
      </c>
      <c r="B3681" s="4" t="s">
        <v>13</v>
      </c>
      <c r="I3681" s="4">
        <v>0.14</v>
      </c>
      <c r="J3681" s="4">
        <v>0.026</v>
      </c>
      <c r="K3681" s="6" t="b">
        <f t="shared" ref="K3681:M3681" si="3496">FALSE()</f>
        <v>0</v>
      </c>
      <c r="L3681" s="6" t="b">
        <f t="shared" si="3496"/>
        <v>0</v>
      </c>
      <c r="M3681" s="6" t="b">
        <f t="shared" si="3496"/>
        <v>0</v>
      </c>
      <c r="P3681" s="4">
        <v>0.131028262406404</v>
      </c>
      <c r="T3681" s="4" t="str">
        <f t="shared" si="3"/>
        <v/>
      </c>
      <c r="U3681" s="4">
        <f t="shared" si="4"/>
        <v>3508</v>
      </c>
    </row>
    <row r="3682" ht="15.75" customHeight="1">
      <c r="A3682" s="4" t="s">
        <v>4682</v>
      </c>
      <c r="B3682" s="4" t="s">
        <v>13</v>
      </c>
      <c r="I3682" s="4">
        <v>0.161</v>
      </c>
      <c r="J3682" s="4">
        <v>0.029</v>
      </c>
      <c r="K3682" s="6" t="b">
        <f t="shared" ref="K3682:M3682" si="3497">FALSE()</f>
        <v>0</v>
      </c>
      <c r="L3682" s="6" t="b">
        <f t="shared" si="3497"/>
        <v>0</v>
      </c>
      <c r="M3682" s="6" t="b">
        <f t="shared" si="3497"/>
        <v>0</v>
      </c>
      <c r="P3682" s="4">
        <v>0.149281702715754</v>
      </c>
      <c r="T3682" s="4" t="str">
        <f t="shared" si="3"/>
        <v/>
      </c>
      <c r="U3682" s="4">
        <f t="shared" si="4"/>
        <v>3170</v>
      </c>
    </row>
    <row r="3683" ht="15.75" customHeight="1">
      <c r="A3683" s="4" t="s">
        <v>4683</v>
      </c>
      <c r="B3683" s="4" t="s">
        <v>13</v>
      </c>
      <c r="I3683" s="4">
        <v>0.164</v>
      </c>
      <c r="J3683" s="4">
        <v>0.096</v>
      </c>
      <c r="K3683" s="6" t="b">
        <f t="shared" ref="K3683:M3683" si="3498">FALSE()</f>
        <v>0</v>
      </c>
      <c r="L3683" s="6" t="b">
        <f t="shared" si="3498"/>
        <v>0</v>
      </c>
      <c r="M3683" s="6" t="b">
        <f t="shared" si="3498"/>
        <v>0</v>
      </c>
      <c r="P3683" s="4">
        <v>0.151862349309246</v>
      </c>
      <c r="T3683" s="4" t="str">
        <f t="shared" si="3"/>
        <v/>
      </c>
      <c r="U3683" s="4">
        <f t="shared" si="4"/>
        <v>3129</v>
      </c>
    </row>
    <row r="3684" ht="15.75" customHeight="1">
      <c r="A3684" s="4" t="s">
        <v>4684</v>
      </c>
      <c r="B3684" s="4" t="s">
        <v>13</v>
      </c>
      <c r="I3684" s="4">
        <v>0.238</v>
      </c>
      <c r="J3684" s="4">
        <v>0.14</v>
      </c>
      <c r="K3684" s="6" t="b">
        <f t="shared" ref="K3684:M3684" si="3499">FALSE()</f>
        <v>0</v>
      </c>
      <c r="L3684" s="6" t="b">
        <f t="shared" si="3499"/>
        <v>0</v>
      </c>
      <c r="M3684" s="6" t="b">
        <f t="shared" si="3499"/>
        <v>0</v>
      </c>
      <c r="P3684" s="4">
        <v>0.213497174262404</v>
      </c>
      <c r="T3684" s="4" t="str">
        <f t="shared" si="3"/>
        <v/>
      </c>
      <c r="U3684" s="4">
        <f t="shared" si="4"/>
        <v>1980</v>
      </c>
    </row>
    <row r="3685" ht="15.75" customHeight="1">
      <c r="A3685" s="4" t="s">
        <v>4685</v>
      </c>
      <c r="B3685" s="4" t="s">
        <v>13</v>
      </c>
      <c r="I3685" s="4">
        <v>0.306</v>
      </c>
      <c r="J3685" s="4">
        <v>0.182</v>
      </c>
      <c r="K3685" s="6" t="b">
        <f t="shared" ref="K3685:M3685" si="3500">FALSE()</f>
        <v>0</v>
      </c>
      <c r="L3685" s="6" t="b">
        <f t="shared" si="3500"/>
        <v>0</v>
      </c>
      <c r="M3685" s="6" t="b">
        <f t="shared" si="3500"/>
        <v>0</v>
      </c>
      <c r="P3685" s="4">
        <v>0.266969030854239</v>
      </c>
      <c r="T3685" s="4" t="str">
        <f t="shared" si="3"/>
        <v/>
      </c>
      <c r="U3685" s="4">
        <f t="shared" si="4"/>
        <v>1348</v>
      </c>
    </row>
    <row r="3686" ht="15.75" customHeight="1">
      <c r="A3686" s="4" t="s">
        <v>4686</v>
      </c>
      <c r="B3686" s="4" t="s">
        <v>13</v>
      </c>
      <c r="I3686" s="4">
        <v>0.243</v>
      </c>
      <c r="J3686" s="4">
        <v>0.121</v>
      </c>
      <c r="K3686" s="6" t="b">
        <f t="shared" ref="K3686:M3686" si="3501">FALSE()</f>
        <v>0</v>
      </c>
      <c r="L3686" s="6" t="b">
        <f t="shared" si="3501"/>
        <v>0</v>
      </c>
      <c r="M3686" s="6" t="b">
        <f t="shared" si="3501"/>
        <v>0</v>
      </c>
      <c r="P3686" s="4">
        <v>0.217527812528574</v>
      </c>
      <c r="T3686" s="4" t="str">
        <f t="shared" si="3"/>
        <v/>
      </c>
      <c r="U3686" s="4">
        <f t="shared" si="4"/>
        <v>1904</v>
      </c>
    </row>
    <row r="3687" ht="15.75" customHeight="1">
      <c r="A3687" s="4" t="s">
        <v>4687</v>
      </c>
      <c r="B3687" s="4" t="s">
        <v>13</v>
      </c>
      <c r="I3687" s="4">
        <v>0.254</v>
      </c>
      <c r="J3687" s="4">
        <v>0.128</v>
      </c>
      <c r="K3687" s="6" t="b">
        <f t="shared" ref="K3687:M3687" si="3502">FALSE()</f>
        <v>0</v>
      </c>
      <c r="L3687" s="6" t="b">
        <f t="shared" si="3502"/>
        <v>0</v>
      </c>
      <c r="M3687" s="6" t="b">
        <f t="shared" si="3502"/>
        <v>0</v>
      </c>
      <c r="P3687" s="4">
        <v>0.226338442210729</v>
      </c>
      <c r="T3687" s="4" t="str">
        <f t="shared" si="3"/>
        <v/>
      </c>
      <c r="U3687" s="4">
        <f t="shared" si="4"/>
        <v>1760</v>
      </c>
    </row>
    <row r="3688" ht="15.75" customHeight="1">
      <c r="A3688" s="4" t="s">
        <v>4688</v>
      </c>
      <c r="B3688" s="4" t="s">
        <v>13</v>
      </c>
      <c r="I3688" s="4">
        <v>0.315</v>
      </c>
      <c r="J3688" s="4">
        <v>0.146</v>
      </c>
      <c r="K3688" s="6" t="b">
        <f t="shared" ref="K3688:M3688" si="3503">FALSE()</f>
        <v>0</v>
      </c>
      <c r="L3688" s="6" t="b">
        <f t="shared" si="3503"/>
        <v>0</v>
      </c>
      <c r="M3688" s="6" t="b">
        <f t="shared" si="3503"/>
        <v>0</v>
      </c>
      <c r="P3688" s="4">
        <v>0.273836665629728</v>
      </c>
      <c r="T3688" s="4" t="str">
        <f t="shared" si="3"/>
        <v/>
      </c>
      <c r="U3688" s="4">
        <f t="shared" si="4"/>
        <v>1321</v>
      </c>
    </row>
    <row r="3689" ht="15.75" customHeight="1">
      <c r="A3689" s="4" t="s">
        <v>4689</v>
      </c>
      <c r="B3689" s="4" t="s">
        <v>13</v>
      </c>
      <c r="I3689" s="4">
        <v>0.384</v>
      </c>
      <c r="J3689" s="4">
        <v>0.178</v>
      </c>
      <c r="K3689" s="6" t="b">
        <f t="shared" ref="K3689:M3689" si="3504">FALSE()</f>
        <v>0</v>
      </c>
      <c r="L3689" s="6" t="b">
        <f t="shared" si="3504"/>
        <v>0</v>
      </c>
      <c r="M3689" s="6" t="b">
        <f t="shared" si="3504"/>
        <v>0</v>
      </c>
      <c r="P3689" s="4">
        <v>0.324977857195478</v>
      </c>
      <c r="T3689" s="4" t="str">
        <f t="shared" si="3"/>
        <v/>
      </c>
      <c r="U3689" s="4">
        <f t="shared" si="4"/>
        <v>1142</v>
      </c>
    </row>
    <row r="3690" ht="15.75" customHeight="1">
      <c r="A3690" s="4" t="s">
        <v>4690</v>
      </c>
      <c r="B3690" s="4" t="s">
        <v>13</v>
      </c>
      <c r="I3690" s="4">
        <v>0.358</v>
      </c>
      <c r="J3690" s="4">
        <v>0.17</v>
      </c>
      <c r="K3690" s="6" t="b">
        <f t="shared" ref="K3690:M3690" si="3505">FALSE()</f>
        <v>0</v>
      </c>
      <c r="L3690" s="6" t="b">
        <f t="shared" si="3505"/>
        <v>0</v>
      </c>
      <c r="M3690" s="6" t="b">
        <f t="shared" si="3505"/>
        <v>0</v>
      </c>
      <c r="P3690" s="4">
        <v>0.306013029136504</v>
      </c>
      <c r="T3690" s="4" t="str">
        <f t="shared" si="3"/>
        <v/>
      </c>
      <c r="U3690" s="4">
        <f t="shared" si="4"/>
        <v>1188</v>
      </c>
    </row>
    <row r="3691" ht="15.75" customHeight="1">
      <c r="A3691" s="4" t="s">
        <v>892</v>
      </c>
      <c r="B3691" s="4" t="s">
        <v>13</v>
      </c>
      <c r="C3691" s="4">
        <v>0.1268</v>
      </c>
      <c r="D3691" s="4">
        <v>0.0201</v>
      </c>
      <c r="E3691" s="4">
        <v>0.0201</v>
      </c>
      <c r="I3691" s="4">
        <v>0.728</v>
      </c>
      <c r="J3691" s="4">
        <v>0.0134</v>
      </c>
      <c r="K3691" s="6" t="b">
        <f t="shared" ref="K3691:M3691" si="3506">FALSE()</f>
        <v>0</v>
      </c>
      <c r="L3691" s="6" t="b">
        <f t="shared" si="3506"/>
        <v>0</v>
      </c>
      <c r="M3691" s="6" t="b">
        <f t="shared" si="3506"/>
        <v>0</v>
      </c>
      <c r="N3691" s="4">
        <v>0.11938175702008</v>
      </c>
      <c r="P3691" s="4">
        <v>0.546964670381864</v>
      </c>
      <c r="T3691" s="4">
        <f t="shared" si="3"/>
        <v>1220</v>
      </c>
      <c r="U3691" s="4">
        <f t="shared" si="4"/>
        <v>887</v>
      </c>
    </row>
    <row r="3692" ht="15.75" customHeight="1">
      <c r="A3692" s="4" t="s">
        <v>4691</v>
      </c>
      <c r="B3692" s="4" t="s">
        <v>13</v>
      </c>
      <c r="I3692" s="4">
        <v>0.147</v>
      </c>
      <c r="J3692" s="4">
        <v>0.07</v>
      </c>
      <c r="K3692" s="6" t="b">
        <f t="shared" ref="K3692:M3692" si="3507">FALSE()</f>
        <v>0</v>
      </c>
      <c r="L3692" s="6" t="b">
        <f t="shared" si="3507"/>
        <v>0</v>
      </c>
      <c r="M3692" s="6" t="b">
        <f t="shared" si="3507"/>
        <v>0</v>
      </c>
      <c r="P3692" s="4">
        <v>0.137149838147234</v>
      </c>
      <c r="T3692" s="4" t="str">
        <f t="shared" si="3"/>
        <v/>
      </c>
      <c r="U3692" s="4">
        <f t="shared" si="4"/>
        <v>3379</v>
      </c>
    </row>
    <row r="3693" ht="15.75" customHeight="1">
      <c r="A3693" s="4" t="s">
        <v>4692</v>
      </c>
      <c r="B3693" s="4" t="s">
        <v>13</v>
      </c>
      <c r="I3693" s="4">
        <v>0.187</v>
      </c>
      <c r="J3693" s="4">
        <v>0.089</v>
      </c>
      <c r="K3693" s="6" t="b">
        <f t="shared" ref="K3693:M3693" si="3508">FALSE()</f>
        <v>0</v>
      </c>
      <c r="L3693" s="6" t="b">
        <f t="shared" si="3508"/>
        <v>0</v>
      </c>
      <c r="M3693" s="6" t="b">
        <f t="shared" si="3508"/>
        <v>0</v>
      </c>
      <c r="P3693" s="4">
        <v>0.171429115627531</v>
      </c>
      <c r="T3693" s="4" t="str">
        <f t="shared" si="3"/>
        <v/>
      </c>
      <c r="U3693" s="4">
        <f t="shared" si="4"/>
        <v>2789</v>
      </c>
    </row>
    <row r="3694" ht="15.75" customHeight="1">
      <c r="A3694" s="4" t="s">
        <v>4693</v>
      </c>
      <c r="B3694" s="4" t="s">
        <v>13</v>
      </c>
      <c r="I3694" s="4">
        <v>0.129</v>
      </c>
      <c r="J3694" s="4">
        <v>0.025</v>
      </c>
      <c r="K3694" s="6" t="b">
        <f t="shared" ref="K3694:M3694" si="3509">FALSE()</f>
        <v>0</v>
      </c>
      <c r="L3694" s="6" t="b">
        <f t="shared" si="3509"/>
        <v>0</v>
      </c>
      <c r="M3694" s="6" t="b">
        <f t="shared" si="3509"/>
        <v>0</v>
      </c>
      <c r="P3694" s="4">
        <v>0.121332285167525</v>
      </c>
      <c r="T3694" s="4" t="str">
        <f t="shared" si="3"/>
        <v/>
      </c>
      <c r="U3694" s="4">
        <f t="shared" si="4"/>
        <v>3708</v>
      </c>
    </row>
    <row r="3695" ht="15.75" customHeight="1">
      <c r="A3695" s="4" t="s">
        <v>4694</v>
      </c>
      <c r="B3695" s="4" t="s">
        <v>13</v>
      </c>
      <c r="I3695" s="4">
        <v>0.225</v>
      </c>
      <c r="J3695" s="4">
        <v>0.043</v>
      </c>
      <c r="K3695" s="6" t="b">
        <f t="shared" ref="K3695:M3695" si="3510">FALSE()</f>
        <v>0</v>
      </c>
      <c r="L3695" s="6" t="b">
        <f t="shared" si="3510"/>
        <v>0</v>
      </c>
      <c r="M3695" s="6" t="b">
        <f t="shared" si="3510"/>
        <v>0</v>
      </c>
      <c r="P3695" s="4">
        <v>0.20294084399669</v>
      </c>
      <c r="T3695" s="4" t="str">
        <f t="shared" si="3"/>
        <v/>
      </c>
      <c r="U3695" s="4">
        <f t="shared" si="4"/>
        <v>2187</v>
      </c>
    </row>
    <row r="3696" ht="15.75" customHeight="1">
      <c r="A3696" s="4" t="s">
        <v>4695</v>
      </c>
      <c r="B3696" s="4" t="s">
        <v>13</v>
      </c>
      <c r="I3696" s="4">
        <v>0.079</v>
      </c>
      <c r="J3696" s="4">
        <v>0.034</v>
      </c>
      <c r="K3696" s="6" t="b">
        <f t="shared" ref="K3696:M3696" si="3511">FALSE()</f>
        <v>0</v>
      </c>
      <c r="L3696" s="6" t="b">
        <f t="shared" si="3511"/>
        <v>0</v>
      </c>
      <c r="M3696" s="6" t="b">
        <f t="shared" si="3511"/>
        <v>0</v>
      </c>
      <c r="P3696" s="4">
        <v>0.0760346862759976</v>
      </c>
      <c r="T3696" s="4" t="str">
        <f t="shared" si="3"/>
        <v/>
      </c>
      <c r="U3696" s="4">
        <f t="shared" si="4"/>
        <v>4427</v>
      </c>
    </row>
    <row r="3697" ht="15.75" customHeight="1">
      <c r="A3697" s="4" t="s">
        <v>4696</v>
      </c>
      <c r="B3697" s="4" t="s">
        <v>13</v>
      </c>
      <c r="I3697" s="4">
        <v>0.129</v>
      </c>
      <c r="J3697" s="4">
        <v>0.054</v>
      </c>
      <c r="K3697" s="6" t="b">
        <f t="shared" ref="K3697:M3697" si="3512">FALSE()</f>
        <v>0</v>
      </c>
      <c r="L3697" s="6" t="b">
        <f t="shared" si="3512"/>
        <v>0</v>
      </c>
      <c r="M3697" s="6" t="b">
        <f t="shared" si="3512"/>
        <v>0</v>
      </c>
      <c r="P3697" s="4">
        <v>0.121332285167525</v>
      </c>
      <c r="T3697" s="4" t="str">
        <f t="shared" si="3"/>
        <v/>
      </c>
      <c r="U3697" s="4">
        <f t="shared" si="4"/>
        <v>3709</v>
      </c>
    </row>
    <row r="3698" ht="15.75" customHeight="1">
      <c r="A3698" s="4" t="s">
        <v>4697</v>
      </c>
      <c r="B3698" s="4" t="s">
        <v>13</v>
      </c>
      <c r="I3698" s="4">
        <v>0.103</v>
      </c>
      <c r="J3698" s="4">
        <v>0.017</v>
      </c>
      <c r="K3698" s="6" t="b">
        <f t="shared" ref="K3698:M3698" si="3513">FALSE()</f>
        <v>0</v>
      </c>
      <c r="L3698" s="6" t="b">
        <f t="shared" si="3513"/>
        <v>0</v>
      </c>
      <c r="M3698" s="6" t="b">
        <f t="shared" si="3513"/>
        <v>0</v>
      </c>
      <c r="P3698" s="4">
        <v>0.0980337402713654</v>
      </c>
      <c r="T3698" s="4" t="str">
        <f t="shared" si="3"/>
        <v/>
      </c>
      <c r="U3698" s="4">
        <f t="shared" si="4"/>
        <v>4181</v>
      </c>
    </row>
    <row r="3699" ht="15.75" customHeight="1">
      <c r="A3699" s="4" t="s">
        <v>4698</v>
      </c>
      <c r="B3699" s="4" t="s">
        <v>13</v>
      </c>
      <c r="I3699" s="4">
        <v>0.151</v>
      </c>
      <c r="J3699" s="4">
        <v>0.024</v>
      </c>
      <c r="K3699" s="6" t="b">
        <f t="shared" ref="K3699:M3699" si="3514">FALSE()</f>
        <v>0</v>
      </c>
      <c r="L3699" s="6" t="b">
        <f t="shared" si="3514"/>
        <v>0</v>
      </c>
      <c r="M3699" s="6" t="b">
        <f t="shared" si="3514"/>
        <v>0</v>
      </c>
      <c r="P3699" s="4">
        <v>0.140631129739746</v>
      </c>
      <c r="T3699" s="4" t="str">
        <f t="shared" si="3"/>
        <v/>
      </c>
      <c r="U3699" s="4">
        <f t="shared" si="4"/>
        <v>3309</v>
      </c>
    </row>
    <row r="3700" ht="15.75" customHeight="1">
      <c r="A3700" s="4" t="s">
        <v>4699</v>
      </c>
      <c r="B3700" s="4" t="s">
        <v>13</v>
      </c>
      <c r="I3700" s="4">
        <v>0.183</v>
      </c>
      <c r="J3700" s="4">
        <v>0.036</v>
      </c>
      <c r="K3700" s="6" t="b">
        <f t="shared" ref="K3700:M3700" si="3515">FALSE()</f>
        <v>0</v>
      </c>
      <c r="L3700" s="6" t="b">
        <f t="shared" si="3515"/>
        <v>0</v>
      </c>
      <c r="M3700" s="6" t="b">
        <f t="shared" si="3515"/>
        <v>0</v>
      </c>
      <c r="P3700" s="4">
        <v>0.16805358499625</v>
      </c>
      <c r="T3700" s="4" t="str">
        <f t="shared" si="3"/>
        <v/>
      </c>
      <c r="U3700" s="4">
        <f t="shared" si="4"/>
        <v>2854</v>
      </c>
    </row>
    <row r="3701" ht="15.75" customHeight="1">
      <c r="A3701" s="4" t="s">
        <v>4700</v>
      </c>
      <c r="B3701" s="4" t="s">
        <v>13</v>
      </c>
      <c r="I3701" s="4">
        <v>0.138</v>
      </c>
      <c r="J3701" s="4">
        <v>0.033</v>
      </c>
      <c r="K3701" s="6" t="b">
        <f t="shared" ref="K3701:M3701" si="3516">FALSE()</f>
        <v>0</v>
      </c>
      <c r="L3701" s="6" t="b">
        <f t="shared" si="3516"/>
        <v>0</v>
      </c>
      <c r="M3701" s="6" t="b">
        <f t="shared" si="3516"/>
        <v>0</v>
      </c>
      <c r="P3701" s="4">
        <v>0.129272335704139</v>
      </c>
      <c r="T3701" s="4" t="str">
        <f t="shared" si="3"/>
        <v/>
      </c>
      <c r="U3701" s="4">
        <f t="shared" si="4"/>
        <v>3549</v>
      </c>
    </row>
    <row r="3702" ht="15.75" customHeight="1">
      <c r="A3702" s="4" t="s">
        <v>4701</v>
      </c>
      <c r="B3702" s="4" t="s">
        <v>13</v>
      </c>
      <c r="I3702" s="4">
        <v>0.192</v>
      </c>
      <c r="J3702" s="4">
        <v>0.037</v>
      </c>
      <c r="K3702" s="6" t="b">
        <f t="shared" ref="K3702:M3702" si="3517">FALSE()</f>
        <v>0</v>
      </c>
      <c r="L3702" s="6" t="b">
        <f t="shared" si="3517"/>
        <v>0</v>
      </c>
      <c r="M3702" s="6" t="b">
        <f t="shared" si="3517"/>
        <v>0</v>
      </c>
      <c r="P3702" s="4">
        <v>0.175632568643158</v>
      </c>
      <c r="T3702" s="4" t="str">
        <f t="shared" si="3"/>
        <v/>
      </c>
      <c r="U3702" s="4">
        <f t="shared" si="4"/>
        <v>2717</v>
      </c>
    </row>
    <row r="3703" ht="15.75" customHeight="1">
      <c r="A3703" s="4" t="s">
        <v>4702</v>
      </c>
      <c r="B3703" s="4" t="s">
        <v>13</v>
      </c>
      <c r="I3703" s="4">
        <v>0.182</v>
      </c>
      <c r="J3703" s="4">
        <v>0.087</v>
      </c>
      <c r="K3703" s="6" t="b">
        <f t="shared" ref="K3703:M3703" si="3518">FALSE()</f>
        <v>0</v>
      </c>
      <c r="L3703" s="6" t="b">
        <f t="shared" si="3518"/>
        <v>0</v>
      </c>
      <c r="M3703" s="6" t="b">
        <f t="shared" si="3518"/>
        <v>0</v>
      </c>
      <c r="P3703" s="4">
        <v>0.167207918983906</v>
      </c>
      <c r="T3703" s="4" t="str">
        <f t="shared" si="3"/>
        <v/>
      </c>
      <c r="U3703" s="4">
        <f t="shared" si="4"/>
        <v>2867</v>
      </c>
    </row>
    <row r="3704" ht="15.75" customHeight="1">
      <c r="A3704" s="4" t="s">
        <v>4703</v>
      </c>
      <c r="B3704" s="4" t="s">
        <v>13</v>
      </c>
      <c r="I3704" s="4">
        <v>0.146</v>
      </c>
      <c r="J3704" s="4">
        <v>0.069</v>
      </c>
      <c r="K3704" s="6" t="b">
        <f t="shared" ref="K3704:M3704" si="3519">FALSE()</f>
        <v>0</v>
      </c>
      <c r="L3704" s="6" t="b">
        <f t="shared" si="3519"/>
        <v>0</v>
      </c>
      <c r="M3704" s="6" t="b">
        <f t="shared" si="3519"/>
        <v>0</v>
      </c>
      <c r="P3704" s="4">
        <v>0.136277618292548</v>
      </c>
      <c r="T3704" s="4" t="str">
        <f t="shared" si="3"/>
        <v/>
      </c>
      <c r="U3704" s="4">
        <f t="shared" si="4"/>
        <v>3399</v>
      </c>
    </row>
    <row r="3705" ht="15.75" customHeight="1">
      <c r="A3705" s="4" t="s">
        <v>4704</v>
      </c>
      <c r="B3705" s="4" t="s">
        <v>13</v>
      </c>
      <c r="I3705" s="4">
        <v>0.13</v>
      </c>
      <c r="J3705" s="4">
        <v>0.059</v>
      </c>
      <c r="K3705" s="6" t="b">
        <f t="shared" ref="K3705:M3705" si="3520">FALSE()</f>
        <v>0</v>
      </c>
      <c r="L3705" s="6" t="b">
        <f t="shared" si="3520"/>
        <v>0</v>
      </c>
      <c r="M3705" s="6" t="b">
        <f t="shared" si="3520"/>
        <v>0</v>
      </c>
      <c r="P3705" s="4">
        <v>0.122217632724249</v>
      </c>
      <c r="T3705" s="4" t="str">
        <f t="shared" si="3"/>
        <v/>
      </c>
      <c r="U3705" s="4">
        <f t="shared" si="4"/>
        <v>3696</v>
      </c>
    </row>
    <row r="3706" ht="15.75" customHeight="1">
      <c r="A3706" s="4" t="s">
        <v>4705</v>
      </c>
      <c r="B3706" s="4" t="s">
        <v>13</v>
      </c>
      <c r="I3706" s="4">
        <v>0.16</v>
      </c>
      <c r="J3706" s="4">
        <v>0.072</v>
      </c>
      <c r="K3706" s="6" t="b">
        <f t="shared" ref="K3706:M3706" si="3521">FALSE()</f>
        <v>0</v>
      </c>
      <c r="L3706" s="6" t="b">
        <f t="shared" si="3521"/>
        <v>0</v>
      </c>
      <c r="M3706" s="6" t="b">
        <f t="shared" si="3521"/>
        <v>0</v>
      </c>
      <c r="P3706" s="4">
        <v>0.148420005118273</v>
      </c>
      <c r="T3706" s="4" t="str">
        <f t="shared" si="3"/>
        <v/>
      </c>
      <c r="U3706" s="4">
        <f t="shared" si="4"/>
        <v>3179</v>
      </c>
    </row>
    <row r="3707" ht="15.75" customHeight="1">
      <c r="A3707" s="4" t="s">
        <v>4706</v>
      </c>
      <c r="B3707" s="4" t="s">
        <v>13</v>
      </c>
      <c r="I3707" s="4">
        <v>0.116</v>
      </c>
      <c r="J3707" s="4">
        <v>0.014</v>
      </c>
      <c r="K3707" s="6" t="b">
        <f t="shared" ref="K3707:M3707" si="3522">FALSE()</f>
        <v>0</v>
      </c>
      <c r="L3707" s="6" t="b">
        <f t="shared" si="3522"/>
        <v>0</v>
      </c>
      <c r="M3707" s="6" t="b">
        <f t="shared" si="3522"/>
        <v>0</v>
      </c>
      <c r="P3707" s="4">
        <v>0.109750863959119</v>
      </c>
      <c r="T3707" s="4" t="str">
        <f t="shared" si="3"/>
        <v/>
      </c>
      <c r="U3707" s="4">
        <f t="shared" si="4"/>
        <v>3956</v>
      </c>
    </row>
    <row r="3708" ht="15.75" customHeight="1">
      <c r="A3708" s="4" t="s">
        <v>4707</v>
      </c>
      <c r="B3708" s="4" t="s">
        <v>13</v>
      </c>
      <c r="I3708" s="4">
        <v>0.107</v>
      </c>
      <c r="J3708" s="4">
        <v>0.014</v>
      </c>
      <c r="K3708" s="6" t="b">
        <f t="shared" ref="K3708:M3708" si="3523">FALSE()</f>
        <v>0</v>
      </c>
      <c r="L3708" s="6" t="b">
        <f t="shared" si="3523"/>
        <v>0</v>
      </c>
      <c r="M3708" s="6" t="b">
        <f t="shared" si="3523"/>
        <v>0</v>
      </c>
      <c r="P3708" s="4">
        <v>0.1016536537265</v>
      </c>
      <c r="T3708" s="4" t="str">
        <f t="shared" si="3"/>
        <v/>
      </c>
      <c r="U3708" s="4">
        <f t="shared" si="4"/>
        <v>4105</v>
      </c>
    </row>
    <row r="3709" ht="15.75" customHeight="1">
      <c r="A3709" s="4" t="s">
        <v>4708</v>
      </c>
      <c r="B3709" s="4" t="s">
        <v>13</v>
      </c>
      <c r="I3709" s="4">
        <v>0.291</v>
      </c>
      <c r="J3709" s="4">
        <v>0.081</v>
      </c>
      <c r="K3709" s="6" t="b">
        <f t="shared" ref="K3709:M3709" si="3524">FALSE()</f>
        <v>0</v>
      </c>
      <c r="L3709" s="6" t="b">
        <f t="shared" si="3524"/>
        <v>0</v>
      </c>
      <c r="M3709" s="6" t="b">
        <f t="shared" si="3524"/>
        <v>0</v>
      </c>
      <c r="P3709" s="4">
        <v>0.255417111864505</v>
      </c>
      <c r="T3709" s="4" t="str">
        <f t="shared" si="3"/>
        <v/>
      </c>
      <c r="U3709" s="4">
        <f t="shared" si="4"/>
        <v>1431</v>
      </c>
    </row>
    <row r="3710" ht="15.75" customHeight="1">
      <c r="A3710" s="4" t="s">
        <v>4709</v>
      </c>
      <c r="B3710" s="4" t="s">
        <v>13</v>
      </c>
      <c r="I3710" s="4">
        <v>0.346</v>
      </c>
      <c r="J3710" s="4">
        <v>0.096</v>
      </c>
      <c r="K3710" s="6" t="b">
        <f t="shared" ref="K3710:M3710" si="3525">FALSE()</f>
        <v>0</v>
      </c>
      <c r="L3710" s="6" t="b">
        <f t="shared" si="3525"/>
        <v>0</v>
      </c>
      <c r="M3710" s="6" t="b">
        <f t="shared" si="3525"/>
        <v>0</v>
      </c>
      <c r="P3710" s="4">
        <v>0.297137231222536</v>
      </c>
      <c r="T3710" s="4" t="str">
        <f t="shared" si="3"/>
        <v/>
      </c>
      <c r="U3710" s="4">
        <f t="shared" si="4"/>
        <v>1222</v>
      </c>
    </row>
    <row r="3711" ht="15.75" customHeight="1">
      <c r="A3711" s="4" t="s">
        <v>4710</v>
      </c>
      <c r="B3711" s="4" t="s">
        <v>13</v>
      </c>
      <c r="I3711" s="4">
        <v>0.101</v>
      </c>
      <c r="J3711" s="4">
        <v>0.005</v>
      </c>
      <c r="K3711" s="6" t="b">
        <f t="shared" ref="K3711:M3711" si="3526">FALSE()</f>
        <v>0</v>
      </c>
      <c r="L3711" s="6" t="b">
        <f t="shared" si="3526"/>
        <v>0</v>
      </c>
      <c r="M3711" s="6" t="b">
        <f t="shared" si="3526"/>
        <v>0</v>
      </c>
      <c r="P3711" s="4">
        <v>0.0962188577405429</v>
      </c>
      <c r="T3711" s="4" t="str">
        <f t="shared" si="3"/>
        <v/>
      </c>
      <c r="U3711" s="4">
        <f t="shared" si="4"/>
        <v>4202</v>
      </c>
    </row>
    <row r="3712" ht="15.75" customHeight="1">
      <c r="A3712" s="4" t="s">
        <v>4711</v>
      </c>
      <c r="B3712" s="4" t="s">
        <v>13</v>
      </c>
      <c r="I3712" s="4">
        <v>0.126</v>
      </c>
      <c r="J3712" s="4">
        <v>0.005</v>
      </c>
      <c r="K3712" s="6" t="b">
        <f t="shared" ref="K3712:M3712" si="3527">FALSE()</f>
        <v>0</v>
      </c>
      <c r="L3712" s="6" t="b">
        <f t="shared" si="3527"/>
        <v>0</v>
      </c>
      <c r="M3712" s="6" t="b">
        <f t="shared" si="3527"/>
        <v>0</v>
      </c>
      <c r="P3712" s="4">
        <v>0.118671529717499</v>
      </c>
      <c r="T3712" s="4" t="str">
        <f t="shared" si="3"/>
        <v/>
      </c>
      <c r="U3712" s="4">
        <f t="shared" si="4"/>
        <v>3771</v>
      </c>
    </row>
    <row r="3713" ht="15.75" customHeight="1">
      <c r="A3713" s="4" t="s">
        <v>894</v>
      </c>
      <c r="B3713" s="4" t="s">
        <v>13</v>
      </c>
      <c r="C3713" s="4">
        <v>0.01205</v>
      </c>
      <c r="D3713" s="4">
        <v>3.1E-4</v>
      </c>
      <c r="E3713" s="4">
        <v>3.5E-4</v>
      </c>
      <c r="I3713" s="4">
        <v>0.134</v>
      </c>
      <c r="J3713" s="4">
        <v>0.004</v>
      </c>
      <c r="K3713" s="6" t="b">
        <f t="shared" ref="K3713:M3713" si="3528">FALSE()</f>
        <v>0</v>
      </c>
      <c r="L3713" s="6" t="b">
        <f t="shared" si="3528"/>
        <v>0</v>
      </c>
      <c r="M3713" s="6" t="b">
        <f t="shared" si="3528"/>
        <v>0</v>
      </c>
      <c r="N3713" s="4">
        <v>0.011977976759407</v>
      </c>
      <c r="P3713" s="4">
        <v>0.12575120530556</v>
      </c>
      <c r="T3713" s="4">
        <f t="shared" si="3"/>
        <v>1896</v>
      </c>
      <c r="U3713" s="4">
        <f t="shared" si="4"/>
        <v>3634</v>
      </c>
    </row>
    <row r="3714" ht="15.75" customHeight="1">
      <c r="A3714" s="4" t="s">
        <v>895</v>
      </c>
      <c r="B3714" s="4" t="s">
        <v>13</v>
      </c>
      <c r="C3714" s="4">
        <v>0.02243</v>
      </c>
      <c r="D3714" s="4">
        <v>5.7E-4</v>
      </c>
      <c r="E3714" s="4">
        <v>5.7E-4</v>
      </c>
      <c r="I3714" s="4">
        <v>0.328</v>
      </c>
      <c r="J3714" s="4">
        <v>0.008</v>
      </c>
      <c r="K3714" s="6" t="b">
        <f t="shared" ref="K3714:M3714" si="3529">FALSE()</f>
        <v>0</v>
      </c>
      <c r="L3714" s="6" t="b">
        <f t="shared" si="3529"/>
        <v>0</v>
      </c>
      <c r="M3714" s="6" t="b">
        <f t="shared" si="3529"/>
        <v>0</v>
      </c>
      <c r="N3714" s="4">
        <v>0.0221821469336487</v>
      </c>
      <c r="P3714" s="4">
        <v>0.283674051054242</v>
      </c>
      <c r="T3714" s="4">
        <f t="shared" si="3"/>
        <v>1678</v>
      </c>
      <c r="U3714" s="4">
        <f t="shared" si="4"/>
        <v>1266</v>
      </c>
    </row>
    <row r="3715" ht="15.75" customHeight="1">
      <c r="A3715" s="4" t="s">
        <v>4712</v>
      </c>
      <c r="B3715" s="4" t="s">
        <v>13</v>
      </c>
      <c r="I3715" s="4">
        <v>0.142</v>
      </c>
      <c r="J3715" s="4">
        <v>0.07</v>
      </c>
      <c r="K3715" s="6" t="b">
        <f t="shared" ref="K3715:M3715" si="3530">FALSE()</f>
        <v>0</v>
      </c>
      <c r="L3715" s="6" t="b">
        <f t="shared" si="3530"/>
        <v>0</v>
      </c>
      <c r="M3715" s="6" t="b">
        <f t="shared" si="3530"/>
        <v>0</v>
      </c>
      <c r="P3715" s="4">
        <v>0.132781111233818</v>
      </c>
      <c r="T3715" s="4" t="str">
        <f t="shared" si="3"/>
        <v/>
      </c>
      <c r="U3715" s="4">
        <f t="shared" si="4"/>
        <v>3477</v>
      </c>
    </row>
    <row r="3716" ht="15.75" customHeight="1">
      <c r="A3716" s="4" t="s">
        <v>4713</v>
      </c>
      <c r="B3716" s="4" t="s">
        <v>13</v>
      </c>
      <c r="I3716" s="4">
        <v>0.17</v>
      </c>
      <c r="J3716" s="4">
        <v>0.079</v>
      </c>
      <c r="K3716" s="6" t="b">
        <f t="shared" ref="K3716:M3716" si="3531">FALSE()</f>
        <v>0</v>
      </c>
      <c r="L3716" s="6" t="b">
        <f t="shared" si="3531"/>
        <v>0</v>
      </c>
      <c r="M3716" s="6" t="b">
        <f t="shared" si="3531"/>
        <v>0</v>
      </c>
      <c r="P3716" s="4">
        <v>0.157003748809665</v>
      </c>
      <c r="T3716" s="4" t="str">
        <f t="shared" si="3"/>
        <v/>
      </c>
      <c r="U3716" s="4">
        <f t="shared" si="4"/>
        <v>3050</v>
      </c>
    </row>
    <row r="3717" ht="15.75" customHeight="1">
      <c r="A3717" s="4" t="s">
        <v>4714</v>
      </c>
      <c r="B3717" s="4" t="s">
        <v>13</v>
      </c>
      <c r="I3717" s="4">
        <v>0.169</v>
      </c>
      <c r="J3717" s="4">
        <v>0.046</v>
      </c>
      <c r="K3717" s="6" t="b">
        <f t="shared" ref="K3717:M3717" si="3532">FALSE()</f>
        <v>0</v>
      </c>
      <c r="L3717" s="6" t="b">
        <f t="shared" si="3532"/>
        <v>0</v>
      </c>
      <c r="M3717" s="6" t="b">
        <f t="shared" si="3532"/>
        <v>0</v>
      </c>
      <c r="P3717" s="4">
        <v>0.156148682489931</v>
      </c>
      <c r="T3717" s="4" t="str">
        <f t="shared" si="3"/>
        <v/>
      </c>
      <c r="U3717" s="4">
        <f t="shared" si="4"/>
        <v>3065</v>
      </c>
    </row>
    <row r="3718" ht="15.75" customHeight="1">
      <c r="A3718" s="4" t="s">
        <v>4715</v>
      </c>
      <c r="B3718" s="4" t="s">
        <v>13</v>
      </c>
      <c r="I3718" s="4">
        <v>0.159</v>
      </c>
      <c r="J3718" s="4">
        <v>0.04</v>
      </c>
      <c r="K3718" s="6" t="b">
        <f t="shared" ref="K3718:M3718" si="3533">FALSE()</f>
        <v>0</v>
      </c>
      <c r="L3718" s="6" t="b">
        <f t="shared" si="3533"/>
        <v>0</v>
      </c>
      <c r="M3718" s="6" t="b">
        <f t="shared" si="3533"/>
        <v>0</v>
      </c>
      <c r="P3718" s="4">
        <v>0.147557564357615</v>
      </c>
      <c r="T3718" s="4" t="str">
        <f t="shared" si="3"/>
        <v/>
      </c>
      <c r="U3718" s="4">
        <f t="shared" si="4"/>
        <v>3191</v>
      </c>
    </row>
    <row r="3719" ht="15.75" customHeight="1">
      <c r="A3719" s="4" t="s">
        <v>4716</v>
      </c>
      <c r="B3719" s="4" t="s">
        <v>13</v>
      </c>
      <c r="I3719" s="4">
        <v>0.121</v>
      </c>
      <c r="J3719" s="4">
        <v>0.053</v>
      </c>
      <c r="K3719" s="6" t="b">
        <f t="shared" ref="K3719:M3719" si="3534">FALSE()</f>
        <v>0</v>
      </c>
      <c r="L3719" s="6" t="b">
        <f t="shared" si="3534"/>
        <v>0</v>
      </c>
      <c r="M3719" s="6" t="b">
        <f t="shared" si="3534"/>
        <v>0</v>
      </c>
      <c r="P3719" s="4">
        <v>0.114221144090023</v>
      </c>
      <c r="T3719" s="4" t="str">
        <f t="shared" si="3"/>
        <v/>
      </c>
      <c r="U3719" s="4">
        <f t="shared" si="4"/>
        <v>3848</v>
      </c>
    </row>
    <row r="3720" ht="15.75" customHeight="1">
      <c r="A3720" s="4" t="s">
        <v>4717</v>
      </c>
      <c r="B3720" s="4" t="s">
        <v>13</v>
      </c>
      <c r="I3720" s="4">
        <v>0.186</v>
      </c>
      <c r="J3720" s="4">
        <v>0.08</v>
      </c>
      <c r="K3720" s="6" t="b">
        <f t="shared" ref="K3720:M3720" si="3535">FALSE()</f>
        <v>0</v>
      </c>
      <c r="L3720" s="6" t="b">
        <f t="shared" si="3535"/>
        <v>0</v>
      </c>
      <c r="M3720" s="6" t="b">
        <f t="shared" si="3535"/>
        <v>0</v>
      </c>
      <c r="P3720" s="4">
        <v>0.170586300575534</v>
      </c>
      <c r="T3720" s="4" t="str">
        <f t="shared" si="3"/>
        <v/>
      </c>
      <c r="U3720" s="4">
        <f t="shared" si="4"/>
        <v>2808</v>
      </c>
    </row>
    <row r="3721" ht="15.75" customHeight="1">
      <c r="A3721" s="4" t="s">
        <v>4718</v>
      </c>
      <c r="B3721" s="4" t="s">
        <v>13</v>
      </c>
      <c r="I3721" s="4">
        <v>0.151</v>
      </c>
      <c r="J3721" s="4">
        <v>0.065</v>
      </c>
      <c r="K3721" s="6" t="b">
        <f t="shared" ref="K3721:M3721" si="3536">FALSE()</f>
        <v>0</v>
      </c>
      <c r="L3721" s="6" t="b">
        <f t="shared" si="3536"/>
        <v>0</v>
      </c>
      <c r="M3721" s="6" t="b">
        <f t="shared" si="3536"/>
        <v>0</v>
      </c>
      <c r="P3721" s="4">
        <v>0.140631129739746</v>
      </c>
      <c r="T3721" s="4" t="str">
        <f t="shared" si="3"/>
        <v/>
      </c>
      <c r="U3721" s="4">
        <f t="shared" si="4"/>
        <v>3310</v>
      </c>
    </row>
    <row r="3722" ht="15.75" customHeight="1">
      <c r="A3722" s="4" t="s">
        <v>4719</v>
      </c>
      <c r="B3722" s="4" t="s">
        <v>13</v>
      </c>
      <c r="I3722" s="4">
        <v>0.121</v>
      </c>
      <c r="J3722" s="4">
        <v>0.06</v>
      </c>
      <c r="K3722" s="6" t="b">
        <f t="shared" ref="K3722:M3722" si="3537">FALSE()</f>
        <v>0</v>
      </c>
      <c r="L3722" s="6" t="b">
        <f t="shared" si="3537"/>
        <v>0</v>
      </c>
      <c r="M3722" s="6" t="b">
        <f t="shared" si="3537"/>
        <v>0</v>
      </c>
      <c r="P3722" s="4">
        <v>0.114221144090023</v>
      </c>
      <c r="T3722" s="4" t="str">
        <f t="shared" si="3"/>
        <v/>
      </c>
      <c r="U3722" s="4">
        <f t="shared" si="4"/>
        <v>3849</v>
      </c>
    </row>
    <row r="3723" ht="15.75" customHeight="1">
      <c r="A3723" s="4" t="s">
        <v>4720</v>
      </c>
      <c r="B3723" s="4" t="s">
        <v>13</v>
      </c>
      <c r="I3723" s="4">
        <v>0.111</v>
      </c>
      <c r="J3723" s="4">
        <v>0.055</v>
      </c>
      <c r="K3723" s="6" t="b">
        <f t="shared" ref="K3723:M3723" si="3538">FALSE()</f>
        <v>0</v>
      </c>
      <c r="L3723" s="6" t="b">
        <f t="shared" si="3538"/>
        <v>0</v>
      </c>
      <c r="M3723" s="6" t="b">
        <f t="shared" si="3538"/>
        <v>0</v>
      </c>
      <c r="P3723" s="4">
        <v>0.105260510657493</v>
      </c>
      <c r="T3723" s="4" t="str">
        <f t="shared" si="3"/>
        <v/>
      </c>
      <c r="U3723" s="4">
        <f t="shared" si="4"/>
        <v>4031</v>
      </c>
    </row>
    <row r="3724" ht="15.75" customHeight="1">
      <c r="A3724" s="4" t="s">
        <v>4721</v>
      </c>
      <c r="B3724" s="4" t="s">
        <v>13</v>
      </c>
      <c r="I3724" s="4">
        <v>0.092</v>
      </c>
      <c r="J3724" s="4">
        <v>0.048</v>
      </c>
      <c r="K3724" s="6" t="b">
        <f t="shared" ref="K3724:M3724" si="3539">FALSE()</f>
        <v>0</v>
      </c>
      <c r="L3724" s="6" t="b">
        <f t="shared" si="3539"/>
        <v>0</v>
      </c>
      <c r="M3724" s="6" t="b">
        <f t="shared" si="3539"/>
        <v>0</v>
      </c>
      <c r="P3724" s="4">
        <v>0.0880108773227133</v>
      </c>
      <c r="T3724" s="4" t="str">
        <f t="shared" si="3"/>
        <v/>
      </c>
      <c r="U3724" s="4">
        <f t="shared" si="4"/>
        <v>4311</v>
      </c>
    </row>
    <row r="3725" ht="15.75" customHeight="1">
      <c r="A3725" s="4" t="s">
        <v>4722</v>
      </c>
      <c r="B3725" s="4" t="s">
        <v>13</v>
      </c>
      <c r="I3725" s="4">
        <v>0.098</v>
      </c>
      <c r="J3725" s="4">
        <v>0.051</v>
      </c>
      <c r="K3725" s="6" t="b">
        <f t="shared" ref="K3725:M3725" si="3540">FALSE()</f>
        <v>0</v>
      </c>
      <c r="L3725" s="6" t="b">
        <f t="shared" si="3540"/>
        <v>0</v>
      </c>
      <c r="M3725" s="6" t="b">
        <f t="shared" si="3540"/>
        <v>0</v>
      </c>
      <c r="P3725" s="4">
        <v>0.0934903430873388</v>
      </c>
      <c r="T3725" s="4" t="str">
        <f t="shared" si="3"/>
        <v/>
      </c>
      <c r="U3725" s="4">
        <f t="shared" si="4"/>
        <v>4248</v>
      </c>
    </row>
    <row r="3726" ht="15.75" customHeight="1">
      <c r="A3726" s="4" t="s">
        <v>4723</v>
      </c>
      <c r="B3726" s="4" t="s">
        <v>13</v>
      </c>
      <c r="I3726" s="4">
        <v>0.117</v>
      </c>
      <c r="J3726" s="4">
        <v>0.062</v>
      </c>
      <c r="K3726" s="6" t="b">
        <f t="shared" ref="K3726:M3726" si="3541">FALSE()</f>
        <v>0</v>
      </c>
      <c r="L3726" s="6" t="b">
        <f t="shared" si="3541"/>
        <v>0</v>
      </c>
      <c r="M3726" s="6" t="b">
        <f t="shared" si="3541"/>
        <v>0</v>
      </c>
      <c r="P3726" s="4">
        <v>0.110646520087064</v>
      </c>
      <c r="T3726" s="4" t="str">
        <f t="shared" si="3"/>
        <v/>
      </c>
      <c r="U3726" s="4">
        <f t="shared" si="4"/>
        <v>3936</v>
      </c>
    </row>
    <row r="3727" ht="15.75" customHeight="1">
      <c r="A3727" s="4" t="s">
        <v>4724</v>
      </c>
      <c r="B3727" s="4" t="s">
        <v>13</v>
      </c>
      <c r="I3727" s="4">
        <v>0.129</v>
      </c>
      <c r="J3727" s="4">
        <v>0.045</v>
      </c>
      <c r="K3727" s="6" t="b">
        <f t="shared" ref="K3727:M3727" si="3542">FALSE()</f>
        <v>0</v>
      </c>
      <c r="L3727" s="6" t="b">
        <f t="shared" si="3542"/>
        <v>0</v>
      </c>
      <c r="M3727" s="6" t="b">
        <f t="shared" si="3542"/>
        <v>0</v>
      </c>
      <c r="P3727" s="4">
        <v>0.121332285167525</v>
      </c>
      <c r="T3727" s="4" t="str">
        <f t="shared" si="3"/>
        <v/>
      </c>
      <c r="U3727" s="4">
        <f t="shared" si="4"/>
        <v>3710</v>
      </c>
    </row>
    <row r="3728" ht="15.75" customHeight="1">
      <c r="A3728" s="4" t="s">
        <v>4725</v>
      </c>
      <c r="B3728" s="4" t="s">
        <v>13</v>
      </c>
      <c r="I3728" s="4">
        <v>0.236</v>
      </c>
      <c r="J3728" s="4">
        <v>0.086</v>
      </c>
      <c r="K3728" s="6" t="b">
        <f t="shared" ref="K3728:M3728" si="3543">FALSE()</f>
        <v>0</v>
      </c>
      <c r="L3728" s="6" t="b">
        <f t="shared" si="3543"/>
        <v>0</v>
      </c>
      <c r="M3728" s="6" t="b">
        <f t="shared" si="3543"/>
        <v>0</v>
      </c>
      <c r="P3728" s="4">
        <v>0.211880359035499</v>
      </c>
      <c r="T3728" s="4" t="str">
        <f t="shared" si="3"/>
        <v/>
      </c>
      <c r="U3728" s="4">
        <f t="shared" si="4"/>
        <v>2018</v>
      </c>
    </row>
    <row r="3729" ht="15.75" customHeight="1">
      <c r="A3729" s="4" t="s">
        <v>4726</v>
      </c>
      <c r="B3729" s="4" t="s">
        <v>13</v>
      </c>
      <c r="I3729" s="4">
        <v>0.095</v>
      </c>
      <c r="J3729" s="4">
        <v>0.02</v>
      </c>
      <c r="K3729" s="6" t="b">
        <f t="shared" ref="K3729:M3729" si="3544">FALSE()</f>
        <v>0</v>
      </c>
      <c r="L3729" s="6" t="b">
        <f t="shared" si="3544"/>
        <v>0</v>
      </c>
      <c r="M3729" s="6" t="b">
        <f t="shared" si="3544"/>
        <v>0</v>
      </c>
      <c r="P3729" s="4">
        <v>0.0907543632684641</v>
      </c>
      <c r="T3729" s="4" t="str">
        <f t="shared" si="3"/>
        <v/>
      </c>
      <c r="U3729" s="4">
        <f t="shared" si="4"/>
        <v>4283</v>
      </c>
    </row>
    <row r="3730" ht="15.75" customHeight="1">
      <c r="A3730" s="4" t="s">
        <v>4727</v>
      </c>
      <c r="B3730" s="4" t="s">
        <v>13</v>
      </c>
      <c r="I3730" s="4">
        <v>0.16</v>
      </c>
      <c r="J3730" s="4">
        <v>0.032</v>
      </c>
      <c r="K3730" s="6" t="b">
        <f t="shared" ref="K3730:M3730" si="3545">FALSE()</f>
        <v>0</v>
      </c>
      <c r="L3730" s="6" t="b">
        <f t="shared" si="3545"/>
        <v>0</v>
      </c>
      <c r="M3730" s="6" t="b">
        <f t="shared" si="3545"/>
        <v>0</v>
      </c>
      <c r="P3730" s="4">
        <v>0.148420005118273</v>
      </c>
      <c r="T3730" s="4" t="str">
        <f t="shared" si="3"/>
        <v/>
      </c>
      <c r="U3730" s="4">
        <f t="shared" si="4"/>
        <v>3180</v>
      </c>
    </row>
    <row r="3731" ht="15.75" customHeight="1">
      <c r="A3731" s="4" t="s">
        <v>4728</v>
      </c>
      <c r="B3731" s="4" t="s">
        <v>13</v>
      </c>
      <c r="I3731" s="4">
        <v>0.124</v>
      </c>
      <c r="J3731" s="4">
        <v>0.024</v>
      </c>
      <c r="K3731" s="6" t="b">
        <f t="shared" ref="K3731:M3731" si="3546">FALSE()</f>
        <v>0</v>
      </c>
      <c r="L3731" s="6" t="b">
        <f t="shared" si="3546"/>
        <v>0</v>
      </c>
      <c r="M3731" s="6" t="b">
        <f t="shared" si="3546"/>
        <v>0</v>
      </c>
      <c r="P3731" s="4">
        <v>0.116893751471499</v>
      </c>
      <c r="T3731" s="4" t="str">
        <f t="shared" si="3"/>
        <v/>
      </c>
      <c r="U3731" s="4">
        <f t="shared" si="4"/>
        <v>3803</v>
      </c>
    </row>
    <row r="3732" ht="15.75" customHeight="1">
      <c r="A3732" s="4" t="s">
        <v>4729</v>
      </c>
      <c r="B3732" s="4" t="s">
        <v>13</v>
      </c>
      <c r="I3732" s="4">
        <v>0.184</v>
      </c>
      <c r="J3732" s="4">
        <v>0.035</v>
      </c>
      <c r="K3732" s="6" t="b">
        <f t="shared" ref="K3732:M3732" si="3547">FALSE()</f>
        <v>0</v>
      </c>
      <c r="L3732" s="6" t="b">
        <f t="shared" si="3547"/>
        <v>0</v>
      </c>
      <c r="M3732" s="6" t="b">
        <f t="shared" si="3547"/>
        <v>0</v>
      </c>
      <c r="P3732" s="4">
        <v>0.168898536461814</v>
      </c>
      <c r="T3732" s="4" t="str">
        <f t="shared" si="3"/>
        <v/>
      </c>
      <c r="U3732" s="4">
        <f t="shared" si="4"/>
        <v>2838</v>
      </c>
    </row>
    <row r="3733" ht="15.75" customHeight="1">
      <c r="A3733" s="4" t="s">
        <v>4730</v>
      </c>
      <c r="B3733" s="4" t="s">
        <v>13</v>
      </c>
      <c r="I3733" s="4">
        <v>0.067</v>
      </c>
      <c r="J3733" s="4">
        <v>0.013</v>
      </c>
      <c r="K3733" s="6" t="b">
        <f t="shared" ref="K3733:M3733" si="3548">FALSE()</f>
        <v>0</v>
      </c>
      <c r="L3733" s="6" t="b">
        <f t="shared" si="3548"/>
        <v>0</v>
      </c>
      <c r="M3733" s="6" t="b">
        <f t="shared" si="3548"/>
        <v>0</v>
      </c>
      <c r="P3733" s="4">
        <v>0.0648509723196163</v>
      </c>
      <c r="T3733" s="4" t="str">
        <f t="shared" si="3"/>
        <v/>
      </c>
      <c r="U3733" s="4">
        <f t="shared" si="4"/>
        <v>4507</v>
      </c>
    </row>
    <row r="3734" ht="15.75" customHeight="1">
      <c r="A3734" s="4" t="s">
        <v>4731</v>
      </c>
      <c r="B3734" s="4" t="s">
        <v>13</v>
      </c>
      <c r="I3734" s="4">
        <v>0.062</v>
      </c>
      <c r="J3734" s="4">
        <v>0.004</v>
      </c>
      <c r="K3734" s="6" t="b">
        <f t="shared" ref="K3734:M3734" si="3549">FALSE()</f>
        <v>0</v>
      </c>
      <c r="L3734" s="6" t="b">
        <f t="shared" si="3549"/>
        <v>0</v>
      </c>
      <c r="M3734" s="6" t="b">
        <f t="shared" si="3549"/>
        <v>0</v>
      </c>
      <c r="P3734" s="4">
        <v>0.060153922819747</v>
      </c>
      <c r="T3734" s="4" t="str">
        <f t="shared" si="3"/>
        <v/>
      </c>
      <c r="U3734" s="4">
        <f t="shared" si="4"/>
        <v>4530</v>
      </c>
    </row>
    <row r="3735" ht="15.75" customHeight="1">
      <c r="A3735" s="4" t="s">
        <v>4732</v>
      </c>
      <c r="B3735" s="4" t="s">
        <v>13</v>
      </c>
      <c r="I3735" s="4">
        <v>0.148</v>
      </c>
      <c r="J3735" s="4">
        <v>0.028</v>
      </c>
      <c r="K3735" s="6" t="b">
        <f t="shared" ref="K3735:M3735" si="3550">FALSE()</f>
        <v>0</v>
      </c>
      <c r="L3735" s="6" t="b">
        <f t="shared" si="3550"/>
        <v>0</v>
      </c>
      <c r="M3735" s="6" t="b">
        <f t="shared" si="3550"/>
        <v>0</v>
      </c>
      <c r="P3735" s="4">
        <v>0.138021297897375</v>
      </c>
      <c r="T3735" s="4" t="str">
        <f t="shared" si="3"/>
        <v/>
      </c>
      <c r="U3735" s="4">
        <f t="shared" si="4"/>
        <v>3366</v>
      </c>
    </row>
    <row r="3736" ht="15.75" customHeight="1">
      <c r="A3736" s="4" t="s">
        <v>4733</v>
      </c>
      <c r="B3736" s="4" t="s">
        <v>13</v>
      </c>
      <c r="I3736" s="4">
        <v>0.204</v>
      </c>
      <c r="J3736" s="4">
        <v>0.038</v>
      </c>
      <c r="K3736" s="6" t="b">
        <f t="shared" ref="K3736:M3736" si="3551">FALSE()</f>
        <v>0</v>
      </c>
      <c r="L3736" s="6" t="b">
        <f t="shared" si="3551"/>
        <v>0</v>
      </c>
      <c r="M3736" s="6" t="b">
        <f t="shared" si="3551"/>
        <v>0</v>
      </c>
      <c r="P3736" s="4">
        <v>0.185649346886629</v>
      </c>
      <c r="T3736" s="4" t="str">
        <f t="shared" si="3"/>
        <v/>
      </c>
      <c r="U3736" s="4">
        <f t="shared" si="4"/>
        <v>2513</v>
      </c>
    </row>
    <row r="3737" ht="15.75" customHeight="1">
      <c r="A3737" s="4" t="s">
        <v>896</v>
      </c>
      <c r="B3737" s="4" t="s">
        <v>13</v>
      </c>
      <c r="C3737" s="4">
        <v>0.01</v>
      </c>
      <c r="D3737" s="4">
        <v>0.01</v>
      </c>
      <c r="E3737" s="4">
        <v>0.01</v>
      </c>
      <c r="I3737" s="4">
        <v>0.026</v>
      </c>
      <c r="J3737" s="4">
        <v>0.003</v>
      </c>
      <c r="K3737" s="6" t="b">
        <f t="shared" ref="K3737:M3737" si="3552">FALSE()</f>
        <v>0</v>
      </c>
      <c r="L3737" s="6" t="b">
        <f t="shared" si="3552"/>
        <v>0</v>
      </c>
      <c r="M3737" s="6" t="b">
        <f t="shared" si="3552"/>
        <v>0</v>
      </c>
      <c r="N3737" s="4">
        <v>0.009950330853168</v>
      </c>
      <c r="P3737" s="4">
        <v>0.0256677467485777</v>
      </c>
      <c r="T3737" s="4">
        <f t="shared" si="3"/>
        <v>1941</v>
      </c>
      <c r="U3737" s="4">
        <f t="shared" si="4"/>
        <v>4567</v>
      </c>
    </row>
    <row r="3738" ht="15.75" customHeight="1">
      <c r="A3738" s="4" t="s">
        <v>897</v>
      </c>
      <c r="B3738" s="4" t="s">
        <v>13</v>
      </c>
      <c r="C3738" s="4">
        <v>0.03776</v>
      </c>
      <c r="I3738" s="4">
        <v>0.067</v>
      </c>
      <c r="J3738" s="4">
        <v>0.003</v>
      </c>
      <c r="K3738" s="6" t="b">
        <f t="shared" ref="K3738:M3738" si="3553">FALSE()</f>
        <v>0</v>
      </c>
      <c r="L3738" s="6" t="b">
        <f t="shared" si="3553"/>
        <v>0</v>
      </c>
      <c r="M3738" s="6" t="b">
        <f t="shared" si="3553"/>
        <v>0</v>
      </c>
      <c r="N3738" s="4">
        <v>0.0370645441368161</v>
      </c>
      <c r="P3738" s="4">
        <v>0.0648509723196163</v>
      </c>
      <c r="T3738" s="4">
        <f t="shared" si="3"/>
        <v>1470</v>
      </c>
      <c r="U3738" s="4">
        <f t="shared" si="4"/>
        <v>4508</v>
      </c>
    </row>
    <row r="3739" ht="15.75" customHeight="1">
      <c r="A3739" s="4" t="s">
        <v>898</v>
      </c>
      <c r="B3739" s="4" t="s">
        <v>13</v>
      </c>
      <c r="C3739" s="4">
        <v>0.017</v>
      </c>
      <c r="D3739" s="4">
        <v>0.0044</v>
      </c>
      <c r="E3739" s="4">
        <v>0.0044</v>
      </c>
      <c r="I3739" s="4">
        <v>0.173</v>
      </c>
      <c r="J3739" s="4">
        <v>0.005</v>
      </c>
      <c r="K3739" s="6" t="b">
        <f t="shared" ref="K3739:M3739" si="3554">FALSE()</f>
        <v>0</v>
      </c>
      <c r="L3739" s="6" t="b">
        <f t="shared" si="3554"/>
        <v>0</v>
      </c>
      <c r="M3739" s="6" t="b">
        <f t="shared" si="3554"/>
        <v>0</v>
      </c>
      <c r="N3739" s="4">
        <v>0.0168571170664229</v>
      </c>
      <c r="P3739" s="4">
        <v>0.159564569671338</v>
      </c>
      <c r="T3739" s="4">
        <f t="shared" si="3"/>
        <v>1788</v>
      </c>
      <c r="U3739" s="4">
        <f t="shared" si="4"/>
        <v>3006</v>
      </c>
    </row>
    <row r="3740" ht="15.75" customHeight="1">
      <c r="A3740" s="4" t="s">
        <v>4734</v>
      </c>
      <c r="B3740" s="4" t="s">
        <v>13</v>
      </c>
      <c r="D3740" s="4">
        <v>1.7</v>
      </c>
      <c r="E3740" s="4">
        <v>1.7</v>
      </c>
      <c r="F3740" s="4">
        <v>8.1</v>
      </c>
      <c r="G3740" s="4">
        <v>1.7</v>
      </c>
      <c r="H3740" s="4">
        <v>1.7</v>
      </c>
      <c r="K3740" s="6" t="b">
        <f t="shared" ref="K3740:K3827" si="3555">FALSE()</f>
        <v>0</v>
      </c>
      <c r="L3740" s="6" t="b">
        <f>TRUE()</f>
        <v>1</v>
      </c>
      <c r="M3740" s="6" t="b">
        <f>FALSE()</f>
        <v>0</v>
      </c>
      <c r="O3740" s="4">
        <v>2.2082744135228</v>
      </c>
      <c r="T3740" s="4" t="str">
        <f t="shared" si="3"/>
        <v/>
      </c>
      <c r="U3740" s="4" t="str">
        <f t="shared" si="4"/>
        <v/>
      </c>
    </row>
    <row r="3741" ht="15.75" customHeight="1">
      <c r="A3741" s="4" t="s">
        <v>4735</v>
      </c>
      <c r="B3741" s="4" t="s">
        <v>13</v>
      </c>
      <c r="I3741" s="4">
        <v>0.106</v>
      </c>
      <c r="J3741" s="4">
        <v>0.021</v>
      </c>
      <c r="K3741" s="6" t="b">
        <f t="shared" si="3555"/>
        <v>0</v>
      </c>
      <c r="L3741" s="6" t="b">
        <f t="shared" ref="L3741:M3741" si="3556">FALSE()</f>
        <v>0</v>
      </c>
      <c r="M3741" s="6" t="b">
        <f t="shared" si="3556"/>
        <v>0</v>
      </c>
      <c r="P3741" s="4">
        <v>0.100749903100143</v>
      </c>
      <c r="T3741" s="4" t="str">
        <f t="shared" si="3"/>
        <v/>
      </c>
      <c r="U3741" s="4">
        <f t="shared" si="4"/>
        <v>4124</v>
      </c>
    </row>
    <row r="3742" ht="15.75" customHeight="1">
      <c r="A3742" s="4" t="s">
        <v>4736</v>
      </c>
      <c r="B3742" s="4" t="s">
        <v>13</v>
      </c>
      <c r="I3742" s="4">
        <v>0.113</v>
      </c>
      <c r="J3742" s="4">
        <v>0.025</v>
      </c>
      <c r="K3742" s="6" t="b">
        <f t="shared" si="3555"/>
        <v>0</v>
      </c>
      <c r="L3742" s="6" t="b">
        <f t="shared" ref="L3742:M3742" si="3557">FALSE()</f>
        <v>0</v>
      </c>
      <c r="M3742" s="6" t="b">
        <f t="shared" si="3557"/>
        <v>0</v>
      </c>
      <c r="P3742" s="4">
        <v>0.107059072293408</v>
      </c>
      <c r="T3742" s="4" t="str">
        <f t="shared" si="3"/>
        <v/>
      </c>
      <c r="U3742" s="4">
        <f t="shared" si="4"/>
        <v>3995</v>
      </c>
    </row>
    <row r="3743" ht="15.75" customHeight="1">
      <c r="A3743" s="4" t="s">
        <v>4737</v>
      </c>
      <c r="B3743" s="4" t="s">
        <v>13</v>
      </c>
      <c r="I3743" s="4">
        <v>0.088</v>
      </c>
      <c r="J3743" s="4">
        <v>0.02</v>
      </c>
      <c r="K3743" s="6" t="b">
        <f t="shared" si="3555"/>
        <v>0</v>
      </c>
      <c r="L3743" s="6" t="b">
        <f t="shared" ref="L3743:M3743" si="3558">FALSE()</f>
        <v>0</v>
      </c>
      <c r="M3743" s="6" t="b">
        <f t="shared" si="3558"/>
        <v>0</v>
      </c>
      <c r="P3743" s="4">
        <v>0.0843411484337508</v>
      </c>
      <c r="T3743" s="4" t="str">
        <f t="shared" si="3"/>
        <v/>
      </c>
      <c r="U3743" s="4">
        <f t="shared" si="4"/>
        <v>4351</v>
      </c>
    </row>
    <row r="3744" ht="15.75" customHeight="1">
      <c r="A3744" s="4" t="s">
        <v>4738</v>
      </c>
      <c r="B3744" s="4" t="s">
        <v>13</v>
      </c>
      <c r="I3744" s="4">
        <v>0.1</v>
      </c>
      <c r="J3744" s="4">
        <v>0.022</v>
      </c>
      <c r="K3744" s="6" t="b">
        <f t="shared" si="3555"/>
        <v>0</v>
      </c>
      <c r="L3744" s="6" t="b">
        <f t="shared" ref="L3744:M3744" si="3559">FALSE()</f>
        <v>0</v>
      </c>
      <c r="M3744" s="6" t="b">
        <f t="shared" si="3559"/>
        <v>0</v>
      </c>
      <c r="P3744" s="4">
        <v>0.0953101798043248</v>
      </c>
      <c r="T3744" s="4" t="str">
        <f t="shared" si="3"/>
        <v/>
      </c>
      <c r="U3744" s="4">
        <f t="shared" si="4"/>
        <v>4218</v>
      </c>
    </row>
    <row r="3745" ht="15.75" customHeight="1">
      <c r="A3745" s="4" t="s">
        <v>4739</v>
      </c>
      <c r="B3745" s="4" t="s">
        <v>13</v>
      </c>
      <c r="I3745" s="4">
        <v>0.095165</v>
      </c>
      <c r="K3745" s="6" t="b">
        <f t="shared" si="3555"/>
        <v>0</v>
      </c>
      <c r="L3745" s="6" t="b">
        <f t="shared" ref="L3745:M3745" si="3560">FALSE()</f>
        <v>0</v>
      </c>
      <c r="M3745" s="6" t="b">
        <f t="shared" si="3560"/>
        <v>0</v>
      </c>
      <c r="P3745" s="4">
        <v>0.090905036848137</v>
      </c>
      <c r="T3745" s="4" t="str">
        <f t="shared" si="3"/>
        <v/>
      </c>
      <c r="U3745" s="4">
        <f t="shared" si="4"/>
        <v>4271</v>
      </c>
    </row>
    <row r="3746" ht="15.75" customHeight="1">
      <c r="A3746" s="4" t="s">
        <v>4740</v>
      </c>
      <c r="B3746" s="4" t="s">
        <v>13</v>
      </c>
      <c r="I3746" s="4">
        <v>0.118</v>
      </c>
      <c r="J3746" s="4">
        <v>0.056</v>
      </c>
      <c r="K3746" s="6" t="b">
        <f t="shared" si="3555"/>
        <v>0</v>
      </c>
      <c r="L3746" s="6" t="b">
        <f t="shared" ref="L3746:M3746" si="3561">FALSE()</f>
        <v>0</v>
      </c>
      <c r="M3746" s="6" t="b">
        <f t="shared" si="3561"/>
        <v>0</v>
      </c>
      <c r="P3746" s="4">
        <v>0.111541374732907</v>
      </c>
      <c r="T3746" s="4" t="str">
        <f t="shared" si="3"/>
        <v/>
      </c>
      <c r="U3746" s="4">
        <f t="shared" si="4"/>
        <v>3915</v>
      </c>
    </row>
    <row r="3747" ht="15.75" customHeight="1">
      <c r="A3747" s="4" t="s">
        <v>4741</v>
      </c>
      <c r="B3747" s="4" t="s">
        <v>13</v>
      </c>
      <c r="I3747" s="4">
        <v>0.142</v>
      </c>
      <c r="J3747" s="4">
        <v>0.069</v>
      </c>
      <c r="K3747" s="6" t="b">
        <f t="shared" si="3555"/>
        <v>0</v>
      </c>
      <c r="L3747" s="6" t="b">
        <f t="shared" ref="L3747:M3747" si="3562">FALSE()</f>
        <v>0</v>
      </c>
      <c r="M3747" s="6" t="b">
        <f t="shared" si="3562"/>
        <v>0</v>
      </c>
      <c r="P3747" s="4">
        <v>0.132781111233818</v>
      </c>
      <c r="T3747" s="4" t="str">
        <f t="shared" si="3"/>
        <v/>
      </c>
      <c r="U3747" s="4">
        <f t="shared" si="4"/>
        <v>3478</v>
      </c>
    </row>
    <row r="3748" ht="15.75" customHeight="1">
      <c r="A3748" s="4" t="s">
        <v>4742</v>
      </c>
      <c r="B3748" s="4" t="s">
        <v>13</v>
      </c>
      <c r="I3748" s="4">
        <v>0.118</v>
      </c>
      <c r="J3748" s="4">
        <v>0.046</v>
      </c>
      <c r="K3748" s="6" t="b">
        <f t="shared" si="3555"/>
        <v>0</v>
      </c>
      <c r="L3748" s="6" t="b">
        <f t="shared" ref="L3748:M3748" si="3563">FALSE()</f>
        <v>0</v>
      </c>
      <c r="M3748" s="6" t="b">
        <f t="shared" si="3563"/>
        <v>0</v>
      </c>
      <c r="P3748" s="4">
        <v>0.111541374732907</v>
      </c>
      <c r="T3748" s="4" t="str">
        <f t="shared" si="3"/>
        <v/>
      </c>
      <c r="U3748" s="4">
        <f t="shared" si="4"/>
        <v>3916</v>
      </c>
    </row>
    <row r="3749" ht="15.75" customHeight="1">
      <c r="A3749" s="4" t="s">
        <v>4743</v>
      </c>
      <c r="B3749" s="4" t="s">
        <v>13</v>
      </c>
      <c r="I3749" s="4">
        <v>0.111</v>
      </c>
      <c r="J3749" s="4">
        <v>0.044</v>
      </c>
      <c r="K3749" s="6" t="b">
        <f t="shared" si="3555"/>
        <v>0</v>
      </c>
      <c r="L3749" s="6" t="b">
        <f t="shared" ref="L3749:M3749" si="3564">FALSE()</f>
        <v>0</v>
      </c>
      <c r="M3749" s="6" t="b">
        <f t="shared" si="3564"/>
        <v>0</v>
      </c>
      <c r="P3749" s="4">
        <v>0.105260510657493</v>
      </c>
      <c r="T3749" s="4" t="str">
        <f t="shared" si="3"/>
        <v/>
      </c>
      <c r="U3749" s="4">
        <f t="shared" si="4"/>
        <v>4032</v>
      </c>
    </row>
    <row r="3750" ht="15.75" customHeight="1">
      <c r="A3750" s="4" t="s">
        <v>4744</v>
      </c>
      <c r="B3750" s="4" t="s">
        <v>13</v>
      </c>
      <c r="I3750" s="4">
        <v>0.1</v>
      </c>
      <c r="J3750" s="4">
        <v>0.029</v>
      </c>
      <c r="K3750" s="6" t="b">
        <f t="shared" si="3555"/>
        <v>0</v>
      </c>
      <c r="L3750" s="6" t="b">
        <f t="shared" ref="L3750:M3750" si="3565">FALSE()</f>
        <v>0</v>
      </c>
      <c r="M3750" s="6" t="b">
        <f t="shared" si="3565"/>
        <v>0</v>
      </c>
      <c r="P3750" s="4">
        <v>0.0953101798043248</v>
      </c>
      <c r="T3750" s="4" t="str">
        <f t="shared" si="3"/>
        <v/>
      </c>
      <c r="U3750" s="4">
        <f t="shared" si="4"/>
        <v>4219</v>
      </c>
    </row>
    <row r="3751" ht="15.75" customHeight="1">
      <c r="A3751" s="4" t="s">
        <v>4745</v>
      </c>
      <c r="B3751" s="4" t="s">
        <v>13</v>
      </c>
      <c r="I3751" s="4">
        <v>0.101</v>
      </c>
      <c r="J3751" s="4">
        <v>0.029</v>
      </c>
      <c r="K3751" s="6" t="b">
        <f t="shared" si="3555"/>
        <v>0</v>
      </c>
      <c r="L3751" s="6" t="b">
        <f t="shared" ref="L3751:M3751" si="3566">FALSE()</f>
        <v>0</v>
      </c>
      <c r="M3751" s="6" t="b">
        <f t="shared" si="3566"/>
        <v>0</v>
      </c>
      <c r="P3751" s="4">
        <v>0.0962188577405429</v>
      </c>
      <c r="T3751" s="4" t="str">
        <f t="shared" si="3"/>
        <v/>
      </c>
      <c r="U3751" s="4">
        <f t="shared" si="4"/>
        <v>4203</v>
      </c>
    </row>
    <row r="3752" ht="15.75" customHeight="1">
      <c r="A3752" s="4" t="s">
        <v>4746</v>
      </c>
      <c r="B3752" s="4" t="s">
        <v>13</v>
      </c>
      <c r="I3752" s="4">
        <v>0.20635</v>
      </c>
      <c r="J3752" s="4">
        <v>0.01445</v>
      </c>
      <c r="K3752" s="6" t="b">
        <f t="shared" si="3555"/>
        <v>0</v>
      </c>
      <c r="L3752" s="6" t="b">
        <f t="shared" ref="L3752:M3752" si="3567">FALSE()</f>
        <v>0</v>
      </c>
      <c r="M3752" s="6" t="b">
        <f t="shared" si="3567"/>
        <v>0</v>
      </c>
      <c r="P3752" s="4">
        <v>0.187599271789319</v>
      </c>
      <c r="T3752" s="4" t="str">
        <f t="shared" si="3"/>
        <v/>
      </c>
      <c r="U3752" s="4">
        <f t="shared" si="4"/>
        <v>2475</v>
      </c>
    </row>
    <row r="3753" ht="15.75" customHeight="1">
      <c r="A3753" s="4" t="s">
        <v>4747</v>
      </c>
      <c r="B3753" s="4" t="s">
        <v>13</v>
      </c>
      <c r="I3753" s="4">
        <v>0.21064</v>
      </c>
      <c r="J3753" s="4">
        <v>0.01303</v>
      </c>
      <c r="K3753" s="6" t="b">
        <f t="shared" si="3555"/>
        <v>0</v>
      </c>
      <c r="L3753" s="6" t="b">
        <f t="shared" ref="L3753:M3753" si="3568">FALSE()</f>
        <v>0</v>
      </c>
      <c r="M3753" s="6" t="b">
        <f t="shared" si="3568"/>
        <v>0</v>
      </c>
      <c r="P3753" s="4">
        <v>0.191149145396634</v>
      </c>
      <c r="T3753" s="4" t="str">
        <f t="shared" si="3"/>
        <v/>
      </c>
      <c r="U3753" s="4">
        <f t="shared" si="4"/>
        <v>2408</v>
      </c>
    </row>
    <row r="3754" ht="15.75" customHeight="1">
      <c r="A3754" s="4" t="s">
        <v>4748</v>
      </c>
      <c r="B3754" s="4" t="s">
        <v>13</v>
      </c>
      <c r="I3754" s="4">
        <v>0.21617</v>
      </c>
      <c r="J3754" s="4">
        <v>0.01436</v>
      </c>
      <c r="K3754" s="6" t="b">
        <f t="shared" si="3555"/>
        <v>0</v>
      </c>
      <c r="L3754" s="6" t="b">
        <f t="shared" ref="L3754:M3754" si="3569">FALSE()</f>
        <v>0</v>
      </c>
      <c r="M3754" s="6" t="b">
        <f t="shared" si="3569"/>
        <v>0</v>
      </c>
      <c r="P3754" s="4">
        <v>0.195706576404077</v>
      </c>
      <c r="T3754" s="4" t="str">
        <f t="shared" si="3"/>
        <v/>
      </c>
      <c r="U3754" s="4">
        <f t="shared" si="4"/>
        <v>2313</v>
      </c>
    </row>
    <row r="3755" ht="15.75" customHeight="1">
      <c r="A3755" s="4" t="s">
        <v>4749</v>
      </c>
      <c r="B3755" s="4" t="s">
        <v>13</v>
      </c>
      <c r="I3755" s="4">
        <v>0.13338</v>
      </c>
      <c r="J3755" s="4">
        <v>0.018</v>
      </c>
      <c r="K3755" s="6" t="b">
        <f t="shared" si="3555"/>
        <v>0</v>
      </c>
      <c r="L3755" s="6" t="b">
        <f t="shared" ref="L3755:M3755" si="3570">FALSE()</f>
        <v>0</v>
      </c>
      <c r="M3755" s="6" t="b">
        <f t="shared" si="3570"/>
        <v>0</v>
      </c>
      <c r="P3755" s="4">
        <v>0.125204318576867</v>
      </c>
      <c r="T3755" s="4" t="str">
        <f t="shared" si="3"/>
        <v/>
      </c>
      <c r="U3755" s="4">
        <f t="shared" si="4"/>
        <v>3640</v>
      </c>
    </row>
    <row r="3756" ht="15.75" customHeight="1">
      <c r="A3756" s="4" t="s">
        <v>4750</v>
      </c>
      <c r="B3756" s="4" t="s">
        <v>13</v>
      </c>
      <c r="I3756" s="4">
        <v>0.17183</v>
      </c>
      <c r="J3756" s="4">
        <v>0.017</v>
      </c>
      <c r="K3756" s="6" t="b">
        <f t="shared" si="3555"/>
        <v>0</v>
      </c>
      <c r="L3756" s="6" t="b">
        <f t="shared" ref="L3756:M3756" si="3571">FALSE()</f>
        <v>0</v>
      </c>
      <c r="M3756" s="6" t="b">
        <f t="shared" si="3571"/>
        <v>0</v>
      </c>
      <c r="P3756" s="4">
        <v>0.15856662943934</v>
      </c>
      <c r="T3756" s="4" t="str">
        <f t="shared" si="3"/>
        <v/>
      </c>
      <c r="U3756" s="4">
        <f t="shared" si="4"/>
        <v>3023</v>
      </c>
    </row>
    <row r="3757" ht="15.75" customHeight="1">
      <c r="A3757" s="4" t="s">
        <v>4751</v>
      </c>
      <c r="B3757" s="4" t="s">
        <v>13</v>
      </c>
      <c r="I3757" s="4">
        <v>0.092</v>
      </c>
      <c r="J3757" s="4">
        <v>0.021</v>
      </c>
      <c r="K3757" s="6" t="b">
        <f t="shared" si="3555"/>
        <v>0</v>
      </c>
      <c r="L3757" s="6" t="b">
        <f t="shared" ref="L3757:M3757" si="3572">FALSE()</f>
        <v>0</v>
      </c>
      <c r="M3757" s="6" t="b">
        <f t="shared" si="3572"/>
        <v>0</v>
      </c>
      <c r="P3757" s="4">
        <v>0.0880108773227133</v>
      </c>
      <c r="T3757" s="4" t="str">
        <f t="shared" si="3"/>
        <v/>
      </c>
      <c r="U3757" s="4">
        <f t="shared" si="4"/>
        <v>4312</v>
      </c>
    </row>
    <row r="3758" ht="15.75" customHeight="1">
      <c r="A3758" s="4" t="s">
        <v>4752</v>
      </c>
      <c r="B3758" s="4" t="s">
        <v>13</v>
      </c>
      <c r="I3758" s="4">
        <v>0.079</v>
      </c>
      <c r="J3758" s="4">
        <v>0.02</v>
      </c>
      <c r="K3758" s="6" t="b">
        <f t="shared" si="3555"/>
        <v>0</v>
      </c>
      <c r="L3758" s="6" t="b">
        <f t="shared" ref="L3758:M3758" si="3573">FALSE()</f>
        <v>0</v>
      </c>
      <c r="M3758" s="6" t="b">
        <f t="shared" si="3573"/>
        <v>0</v>
      </c>
      <c r="P3758" s="4">
        <v>0.0760346862759976</v>
      </c>
      <c r="T3758" s="4" t="str">
        <f t="shared" si="3"/>
        <v/>
      </c>
      <c r="U3758" s="4">
        <f t="shared" si="4"/>
        <v>4428</v>
      </c>
    </row>
    <row r="3759" ht="15.75" customHeight="1">
      <c r="A3759" s="4" t="s">
        <v>4753</v>
      </c>
      <c r="B3759" s="4" t="s">
        <v>13</v>
      </c>
      <c r="I3759" s="4">
        <v>0.072</v>
      </c>
      <c r="J3759" s="4">
        <v>0.009</v>
      </c>
      <c r="K3759" s="6" t="b">
        <f t="shared" si="3555"/>
        <v>0</v>
      </c>
      <c r="L3759" s="6" t="b">
        <f t="shared" ref="L3759:M3759" si="3574">FALSE()</f>
        <v>0</v>
      </c>
      <c r="M3759" s="6" t="b">
        <f t="shared" si="3574"/>
        <v>0</v>
      </c>
      <c r="P3759" s="4">
        <v>0.0695260626486102</v>
      </c>
      <c r="T3759" s="4" t="str">
        <f t="shared" si="3"/>
        <v/>
      </c>
      <c r="U3759" s="4">
        <f t="shared" si="4"/>
        <v>4474</v>
      </c>
    </row>
    <row r="3760" ht="15.75" customHeight="1">
      <c r="A3760" s="4" t="s">
        <v>4754</v>
      </c>
      <c r="B3760" s="4" t="s">
        <v>13</v>
      </c>
      <c r="I3760" s="4">
        <v>0.077</v>
      </c>
      <c r="J3760" s="4">
        <v>0.01</v>
      </c>
      <c r="K3760" s="6" t="b">
        <f t="shared" si="3555"/>
        <v>0</v>
      </c>
      <c r="L3760" s="6" t="b">
        <f t="shared" ref="L3760:M3760" si="3575">FALSE()</f>
        <v>0</v>
      </c>
      <c r="M3760" s="6" t="b">
        <f t="shared" si="3575"/>
        <v>0</v>
      </c>
      <c r="P3760" s="4">
        <v>0.0741793981742515</v>
      </c>
      <c r="T3760" s="4" t="str">
        <f t="shared" si="3"/>
        <v/>
      </c>
      <c r="U3760" s="4">
        <f t="shared" si="4"/>
        <v>4445</v>
      </c>
    </row>
    <row r="3761" ht="15.75" customHeight="1">
      <c r="A3761" s="4" t="s">
        <v>4755</v>
      </c>
      <c r="B3761" s="4" t="s">
        <v>13</v>
      </c>
      <c r="I3761" s="4">
        <v>0.135</v>
      </c>
      <c r="J3761" s="4">
        <v>0.069</v>
      </c>
      <c r="K3761" s="6" t="b">
        <f t="shared" si="3555"/>
        <v>0</v>
      </c>
      <c r="L3761" s="6" t="b">
        <f t="shared" ref="L3761:M3761" si="3576">FALSE()</f>
        <v>0</v>
      </c>
      <c r="M3761" s="6" t="b">
        <f t="shared" si="3576"/>
        <v>0</v>
      </c>
      <c r="P3761" s="4">
        <v>0.126632650933366</v>
      </c>
      <c r="T3761" s="4" t="str">
        <f t="shared" si="3"/>
        <v/>
      </c>
      <c r="U3761" s="4">
        <f t="shared" si="4"/>
        <v>3617</v>
      </c>
    </row>
    <row r="3762" ht="15.75" customHeight="1">
      <c r="A3762" s="4" t="s">
        <v>4756</v>
      </c>
      <c r="B3762" s="4" t="s">
        <v>13</v>
      </c>
      <c r="I3762" s="4">
        <v>0.13</v>
      </c>
      <c r="J3762" s="4">
        <v>0.067</v>
      </c>
      <c r="K3762" s="6" t="b">
        <f t="shared" si="3555"/>
        <v>0</v>
      </c>
      <c r="L3762" s="6" t="b">
        <f t="shared" ref="L3762:M3762" si="3577">FALSE()</f>
        <v>0</v>
      </c>
      <c r="M3762" s="6" t="b">
        <f t="shared" si="3577"/>
        <v>0</v>
      </c>
      <c r="P3762" s="4">
        <v>0.122217632724249</v>
      </c>
      <c r="T3762" s="4" t="str">
        <f t="shared" si="3"/>
        <v/>
      </c>
      <c r="U3762" s="4">
        <f t="shared" si="4"/>
        <v>3697</v>
      </c>
    </row>
    <row r="3763" ht="15.75" customHeight="1">
      <c r="A3763" s="4" t="s">
        <v>899</v>
      </c>
      <c r="B3763" s="4" t="s">
        <v>13</v>
      </c>
      <c r="C3763" s="4">
        <v>0.38</v>
      </c>
      <c r="D3763" s="4">
        <v>0.38</v>
      </c>
      <c r="E3763" s="4">
        <v>0.0</v>
      </c>
      <c r="I3763" s="4">
        <v>0.39</v>
      </c>
      <c r="J3763" s="4">
        <v>0.01</v>
      </c>
      <c r="K3763" s="6" t="b">
        <f t="shared" si="3555"/>
        <v>0</v>
      </c>
      <c r="L3763" s="6" t="b">
        <f t="shared" ref="L3763:M3763" si="3578">FALSE()</f>
        <v>0</v>
      </c>
      <c r="M3763" s="6" t="b">
        <f t="shared" si="3578"/>
        <v>0</v>
      </c>
      <c r="N3763" s="4">
        <v>0.322083499169113</v>
      </c>
      <c r="P3763" s="4">
        <v>0.3293037471426</v>
      </c>
      <c r="T3763" s="4">
        <f t="shared" si="3"/>
        <v>1027</v>
      </c>
      <c r="U3763" s="4">
        <f t="shared" si="4"/>
        <v>1129</v>
      </c>
    </row>
    <row r="3764" ht="15.75" customHeight="1">
      <c r="A3764" s="4" t="s">
        <v>4757</v>
      </c>
      <c r="B3764" s="4" t="s">
        <v>13</v>
      </c>
      <c r="I3764" s="4">
        <v>0.0651</v>
      </c>
      <c r="J3764" s="4">
        <v>0.0036</v>
      </c>
      <c r="K3764" s="6" t="b">
        <f t="shared" si="3555"/>
        <v>0</v>
      </c>
      <c r="L3764" s="6" t="b">
        <f t="shared" ref="L3764:M3764" si="3579">FALSE()</f>
        <v>0</v>
      </c>
      <c r="M3764" s="6" t="b">
        <f t="shared" si="3579"/>
        <v>0</v>
      </c>
      <c r="P3764" s="4">
        <v>0.0630686914669829</v>
      </c>
      <c r="T3764" s="4" t="str">
        <f t="shared" si="3"/>
        <v/>
      </c>
      <c r="U3764" s="4">
        <f t="shared" si="4"/>
        <v>4516</v>
      </c>
    </row>
    <row r="3765" ht="15.75" customHeight="1">
      <c r="A3765" s="4" t="s">
        <v>4758</v>
      </c>
      <c r="B3765" s="4" t="s">
        <v>13</v>
      </c>
      <c r="I3765" s="4">
        <v>0.071</v>
      </c>
      <c r="J3765" s="4">
        <v>0.0036</v>
      </c>
      <c r="K3765" s="6" t="b">
        <f t="shared" si="3555"/>
        <v>0</v>
      </c>
      <c r="L3765" s="6" t="b">
        <f t="shared" ref="L3765:M3765" si="3580">FALSE()</f>
        <v>0</v>
      </c>
      <c r="M3765" s="6" t="b">
        <f t="shared" si="3580"/>
        <v>0</v>
      </c>
      <c r="P3765" s="4">
        <v>0.0685927914656117</v>
      </c>
      <c r="T3765" s="4" t="str">
        <f t="shared" si="3"/>
        <v/>
      </c>
      <c r="U3765" s="4">
        <f t="shared" si="4"/>
        <v>4484</v>
      </c>
    </row>
    <row r="3766" ht="15.75" customHeight="1">
      <c r="A3766" s="4" t="s">
        <v>4759</v>
      </c>
      <c r="B3766" s="4" t="s">
        <v>13</v>
      </c>
      <c r="I3766" s="4">
        <v>0.02543</v>
      </c>
      <c r="J3766" s="4">
        <v>0.0062</v>
      </c>
      <c r="K3766" s="6" t="b">
        <f t="shared" si="3555"/>
        <v>0</v>
      </c>
      <c r="L3766" s="6" t="b">
        <f t="shared" ref="L3766:M3766" si="3581">FALSE()</f>
        <v>0</v>
      </c>
      <c r="M3766" s="6" t="b">
        <f t="shared" si="3581"/>
        <v>0</v>
      </c>
      <c r="P3766" s="4">
        <v>0.0251120368148548</v>
      </c>
      <c r="T3766" s="4" t="str">
        <f t="shared" si="3"/>
        <v/>
      </c>
      <c r="U3766" s="4">
        <f t="shared" si="4"/>
        <v>4568</v>
      </c>
    </row>
    <row r="3767" ht="15.75" customHeight="1">
      <c r="A3767" s="4" t="s">
        <v>901</v>
      </c>
      <c r="B3767" s="4" t="s">
        <v>13</v>
      </c>
      <c r="C3767" s="4">
        <v>1.416</v>
      </c>
      <c r="D3767" s="4">
        <v>1.413</v>
      </c>
      <c r="E3767" s="4">
        <v>0.0</v>
      </c>
      <c r="I3767" s="4">
        <v>0.316</v>
      </c>
      <c r="J3767" s="4">
        <v>0.077</v>
      </c>
      <c r="K3767" s="6" t="b">
        <f t="shared" si="3555"/>
        <v>0</v>
      </c>
      <c r="L3767" s="6" t="b">
        <f t="shared" ref="L3767:M3767" si="3582">FALSE()</f>
        <v>0</v>
      </c>
      <c r="M3767" s="6" t="b">
        <f t="shared" si="3582"/>
        <v>0</v>
      </c>
      <c r="N3767" s="4">
        <v>0.882113280072569</v>
      </c>
      <c r="P3767" s="4">
        <v>0.274596832903126</v>
      </c>
      <c r="T3767" s="4">
        <f t="shared" si="3"/>
        <v>533</v>
      </c>
      <c r="U3767" s="4">
        <f t="shared" si="4"/>
        <v>1315</v>
      </c>
    </row>
    <row r="3768" ht="15.75" customHeight="1">
      <c r="A3768" s="4" t="s">
        <v>4760</v>
      </c>
      <c r="B3768" s="4" t="s">
        <v>13</v>
      </c>
      <c r="I3768" s="4">
        <v>0.089</v>
      </c>
      <c r="J3768" s="4">
        <v>0.019</v>
      </c>
      <c r="K3768" s="6" t="b">
        <f t="shared" si="3555"/>
        <v>0</v>
      </c>
      <c r="L3768" s="6" t="b">
        <f t="shared" ref="L3768:M3768" si="3583">FALSE()</f>
        <v>0</v>
      </c>
      <c r="M3768" s="6" t="b">
        <f t="shared" si="3583"/>
        <v>0</v>
      </c>
      <c r="P3768" s="4">
        <v>0.0852598439508234</v>
      </c>
      <c r="T3768" s="4" t="str">
        <f t="shared" si="3"/>
        <v/>
      </c>
      <c r="U3768" s="4">
        <f t="shared" si="4"/>
        <v>4342</v>
      </c>
    </row>
    <row r="3769" ht="15.75" customHeight="1">
      <c r="A3769" s="4" t="s">
        <v>4761</v>
      </c>
      <c r="B3769" s="4" t="s">
        <v>13</v>
      </c>
      <c r="I3769" s="4">
        <v>0.098</v>
      </c>
      <c r="J3769" s="4">
        <v>0.021</v>
      </c>
      <c r="K3769" s="6" t="b">
        <f t="shared" si="3555"/>
        <v>0</v>
      </c>
      <c r="L3769" s="6" t="b">
        <f t="shared" ref="L3769:M3769" si="3584">FALSE()</f>
        <v>0</v>
      </c>
      <c r="M3769" s="6" t="b">
        <f t="shared" si="3584"/>
        <v>0</v>
      </c>
      <c r="P3769" s="4">
        <v>0.0934903430873388</v>
      </c>
      <c r="T3769" s="4" t="str">
        <f t="shared" si="3"/>
        <v/>
      </c>
      <c r="U3769" s="4">
        <f t="shared" si="4"/>
        <v>4249</v>
      </c>
    </row>
    <row r="3770" ht="15.75" customHeight="1">
      <c r="A3770" s="4" t="s">
        <v>4762</v>
      </c>
      <c r="B3770" s="4" t="s">
        <v>13</v>
      </c>
      <c r="I3770" s="4">
        <v>0.115</v>
      </c>
      <c r="J3770" s="4">
        <v>0.022</v>
      </c>
      <c r="K3770" s="6" t="b">
        <f t="shared" si="3555"/>
        <v>0</v>
      </c>
      <c r="L3770" s="6" t="b">
        <f t="shared" ref="L3770:M3770" si="3585">FALSE()</f>
        <v>0</v>
      </c>
      <c r="M3770" s="6" t="b">
        <f t="shared" si="3585"/>
        <v>0</v>
      </c>
      <c r="P3770" s="4">
        <v>0.108854404912082</v>
      </c>
      <c r="T3770" s="4" t="str">
        <f t="shared" si="3"/>
        <v/>
      </c>
      <c r="U3770" s="4">
        <f t="shared" si="4"/>
        <v>3972</v>
      </c>
    </row>
    <row r="3771" ht="15.75" customHeight="1">
      <c r="A3771" s="4" t="s">
        <v>4763</v>
      </c>
      <c r="B3771" s="4" t="s">
        <v>13</v>
      </c>
      <c r="I3771" s="4">
        <v>0.119</v>
      </c>
      <c r="J3771" s="4">
        <v>0.028</v>
      </c>
      <c r="K3771" s="6" t="b">
        <f t="shared" si="3555"/>
        <v>0</v>
      </c>
      <c r="L3771" s="6" t="b">
        <f t="shared" ref="L3771:M3771" si="3586">FALSE()</f>
        <v>0</v>
      </c>
      <c r="M3771" s="6" t="b">
        <f t="shared" si="3586"/>
        <v>0</v>
      </c>
      <c r="P3771" s="4">
        <v>0.112435429329788</v>
      </c>
      <c r="T3771" s="4" t="str">
        <f t="shared" si="3"/>
        <v/>
      </c>
      <c r="U3771" s="4">
        <f t="shared" si="4"/>
        <v>3894</v>
      </c>
    </row>
    <row r="3772" ht="15.75" customHeight="1">
      <c r="A3772" s="4" t="s">
        <v>4764</v>
      </c>
      <c r="B3772" s="4" t="s">
        <v>13</v>
      </c>
      <c r="I3772" s="4">
        <v>0.143</v>
      </c>
      <c r="J3772" s="4">
        <v>0.073</v>
      </c>
      <c r="K3772" s="6" t="b">
        <f t="shared" si="3555"/>
        <v>0</v>
      </c>
      <c r="L3772" s="6" t="b">
        <f t="shared" ref="L3772:M3772" si="3587">FALSE()</f>
        <v>0</v>
      </c>
      <c r="M3772" s="6" t="b">
        <f t="shared" si="3587"/>
        <v>0</v>
      </c>
      <c r="P3772" s="4">
        <v>0.133656384812674</v>
      </c>
      <c r="T3772" s="4" t="str">
        <f t="shared" si="3"/>
        <v/>
      </c>
      <c r="U3772" s="4">
        <f t="shared" si="4"/>
        <v>3460</v>
      </c>
    </row>
    <row r="3773" ht="15.75" customHeight="1">
      <c r="A3773" s="4" t="s">
        <v>4765</v>
      </c>
      <c r="B3773" s="4" t="s">
        <v>13</v>
      </c>
      <c r="I3773" s="4">
        <v>0.148</v>
      </c>
      <c r="J3773" s="4">
        <v>0.077</v>
      </c>
      <c r="K3773" s="6" t="b">
        <f t="shared" si="3555"/>
        <v>0</v>
      </c>
      <c r="L3773" s="6" t="b">
        <f t="shared" ref="L3773:M3773" si="3588">FALSE()</f>
        <v>0</v>
      </c>
      <c r="M3773" s="6" t="b">
        <f t="shared" si="3588"/>
        <v>0</v>
      </c>
      <c r="P3773" s="4">
        <v>0.138021297897375</v>
      </c>
      <c r="T3773" s="4" t="str">
        <f t="shared" si="3"/>
        <v/>
      </c>
      <c r="U3773" s="4">
        <f t="shared" si="4"/>
        <v>3367</v>
      </c>
    </row>
    <row r="3774" ht="15.75" customHeight="1">
      <c r="A3774" s="4" t="s">
        <v>4766</v>
      </c>
      <c r="B3774" s="4" t="s">
        <v>13</v>
      </c>
      <c r="I3774" s="4">
        <v>0.134</v>
      </c>
      <c r="K3774" s="6" t="b">
        <f t="shared" si="3555"/>
        <v>0</v>
      </c>
      <c r="L3774" s="6" t="b">
        <f t="shared" ref="L3774:M3774" si="3589">FALSE()</f>
        <v>0</v>
      </c>
      <c r="M3774" s="6" t="b">
        <f t="shared" si="3589"/>
        <v>0</v>
      </c>
      <c r="P3774" s="4">
        <v>0.12575120530556</v>
      </c>
      <c r="T3774" s="4" t="str">
        <f t="shared" si="3"/>
        <v/>
      </c>
      <c r="U3774" s="4">
        <f t="shared" si="4"/>
        <v>3635</v>
      </c>
    </row>
    <row r="3775" ht="15.75" customHeight="1">
      <c r="A3775" s="4" t="s">
        <v>4767</v>
      </c>
      <c r="B3775" s="4" t="s">
        <v>13</v>
      </c>
      <c r="I3775" s="4">
        <v>0.092</v>
      </c>
      <c r="J3775" s="4">
        <v>0.007</v>
      </c>
      <c r="K3775" s="6" t="b">
        <f t="shared" si="3555"/>
        <v>0</v>
      </c>
      <c r="L3775" s="6" t="b">
        <f t="shared" ref="L3775:M3775" si="3590">FALSE()</f>
        <v>0</v>
      </c>
      <c r="M3775" s="6" t="b">
        <f t="shared" si="3590"/>
        <v>0</v>
      </c>
      <c r="P3775" s="4">
        <v>0.0880108773227133</v>
      </c>
      <c r="T3775" s="4" t="str">
        <f t="shared" si="3"/>
        <v/>
      </c>
      <c r="U3775" s="4">
        <f t="shared" si="4"/>
        <v>4313</v>
      </c>
    </row>
    <row r="3776" ht="15.75" customHeight="1">
      <c r="A3776" s="4" t="s">
        <v>4768</v>
      </c>
      <c r="B3776" s="4" t="s">
        <v>13</v>
      </c>
      <c r="I3776" s="4">
        <v>0.118</v>
      </c>
      <c r="J3776" s="4">
        <v>0.008</v>
      </c>
      <c r="K3776" s="6" t="b">
        <f t="shared" si="3555"/>
        <v>0</v>
      </c>
      <c r="L3776" s="6" t="b">
        <f t="shared" ref="L3776:M3776" si="3591">FALSE()</f>
        <v>0</v>
      </c>
      <c r="M3776" s="6" t="b">
        <f t="shared" si="3591"/>
        <v>0</v>
      </c>
      <c r="P3776" s="4">
        <v>0.111541374732907</v>
      </c>
      <c r="T3776" s="4" t="str">
        <f t="shared" si="3"/>
        <v/>
      </c>
      <c r="U3776" s="4">
        <f t="shared" si="4"/>
        <v>3917</v>
      </c>
    </row>
    <row r="3777" ht="15.75" customHeight="1">
      <c r="A3777" s="4" t="s">
        <v>902</v>
      </c>
      <c r="B3777" s="4" t="s">
        <v>13</v>
      </c>
      <c r="C3777" s="4">
        <v>0.238</v>
      </c>
      <c r="D3777" s="4">
        <v>0.018</v>
      </c>
      <c r="E3777" s="4">
        <v>0.037</v>
      </c>
      <c r="I3777" s="4">
        <v>0.312</v>
      </c>
      <c r="J3777" s="4">
        <v>0.058</v>
      </c>
      <c r="K3777" s="6" t="b">
        <f t="shared" si="3555"/>
        <v>0</v>
      </c>
      <c r="L3777" s="6" t="b">
        <f t="shared" ref="L3777:M3777" si="3592">FALSE()</f>
        <v>0</v>
      </c>
      <c r="M3777" s="6" t="b">
        <f t="shared" si="3592"/>
        <v>0</v>
      </c>
      <c r="N3777" s="4">
        <v>0.213497174262404</v>
      </c>
      <c r="P3777" s="4">
        <v>0.271552690521897</v>
      </c>
      <c r="T3777" s="4">
        <f t="shared" si="3"/>
        <v>1123</v>
      </c>
      <c r="U3777" s="4">
        <f t="shared" si="4"/>
        <v>1335</v>
      </c>
    </row>
    <row r="3778" ht="15.75" customHeight="1">
      <c r="A3778" s="4" t="s">
        <v>903</v>
      </c>
      <c r="B3778" s="4" t="s">
        <v>13</v>
      </c>
      <c r="C3778" s="4">
        <v>0.056</v>
      </c>
      <c r="D3778" s="4">
        <v>0.004</v>
      </c>
      <c r="E3778" s="4">
        <v>0.009</v>
      </c>
      <c r="I3778" s="4">
        <v>0.473</v>
      </c>
      <c r="J3778" s="4">
        <v>0.088</v>
      </c>
      <c r="K3778" s="6" t="b">
        <f t="shared" si="3555"/>
        <v>0</v>
      </c>
      <c r="L3778" s="6" t="b">
        <f t="shared" ref="L3778:M3778" si="3593">FALSE()</f>
        <v>0</v>
      </c>
      <c r="M3778" s="6" t="b">
        <f t="shared" si="3593"/>
        <v>0</v>
      </c>
      <c r="N3778" s="4">
        <v>0.0544881852840697</v>
      </c>
      <c r="P3778" s="4">
        <v>0.387301137480493</v>
      </c>
      <c r="T3778" s="4">
        <f t="shared" si="3"/>
        <v>1374</v>
      </c>
      <c r="U3778" s="4">
        <f t="shared" si="4"/>
        <v>1037</v>
      </c>
    </row>
    <row r="3779" ht="15.75" customHeight="1">
      <c r="A3779" s="4" t="s">
        <v>4769</v>
      </c>
      <c r="B3779" s="4" t="s">
        <v>13</v>
      </c>
      <c r="I3779" s="4">
        <v>0.219</v>
      </c>
      <c r="J3779" s="4">
        <v>1.902</v>
      </c>
      <c r="K3779" s="6" t="b">
        <f t="shared" si="3555"/>
        <v>0</v>
      </c>
      <c r="L3779" s="6" t="b">
        <f t="shared" ref="L3779:M3779" si="3594">FALSE()</f>
        <v>0</v>
      </c>
      <c r="M3779" s="6" t="b">
        <f t="shared" si="3594"/>
        <v>0</v>
      </c>
      <c r="P3779" s="4">
        <v>0.198030850499134</v>
      </c>
      <c r="T3779" s="4" t="str">
        <f t="shared" si="3"/>
        <v/>
      </c>
      <c r="U3779" s="4">
        <f t="shared" si="4"/>
        <v>2282</v>
      </c>
    </row>
    <row r="3780" ht="15.75" customHeight="1">
      <c r="A3780" s="4" t="s">
        <v>4770</v>
      </c>
      <c r="B3780" s="4" t="s">
        <v>13</v>
      </c>
      <c r="I3780" s="4">
        <v>0.551</v>
      </c>
      <c r="J3780" s="4">
        <v>0.05</v>
      </c>
      <c r="K3780" s="6" t="b">
        <f t="shared" si="3555"/>
        <v>0</v>
      </c>
      <c r="L3780" s="6" t="b">
        <f t="shared" ref="L3780:M3780" si="3595">FALSE()</f>
        <v>0</v>
      </c>
      <c r="M3780" s="6" t="b">
        <f t="shared" si="3595"/>
        <v>0</v>
      </c>
      <c r="P3780" s="4">
        <v>0.438899884194402</v>
      </c>
      <c r="T3780" s="4" t="str">
        <f t="shared" si="3"/>
        <v/>
      </c>
      <c r="U3780" s="4">
        <f t="shared" si="4"/>
        <v>975</v>
      </c>
    </row>
    <row r="3781" ht="15.75" customHeight="1">
      <c r="A3781" s="4" t="s">
        <v>4771</v>
      </c>
      <c r="B3781" s="4" t="s">
        <v>13</v>
      </c>
      <c r="I3781" s="4">
        <v>0.083</v>
      </c>
      <c r="J3781" s="4">
        <v>0.009</v>
      </c>
      <c r="K3781" s="6" t="b">
        <f t="shared" si="3555"/>
        <v>0</v>
      </c>
      <c r="L3781" s="6" t="b">
        <f t="shared" ref="L3781:M3781" si="3596">FALSE()</f>
        <v>0</v>
      </c>
      <c r="M3781" s="6" t="b">
        <f t="shared" si="3596"/>
        <v>0</v>
      </c>
      <c r="P3781" s="4">
        <v>0.0797349680188535</v>
      </c>
      <c r="T3781" s="4" t="str">
        <f t="shared" si="3"/>
        <v/>
      </c>
      <c r="U3781" s="4">
        <f t="shared" si="4"/>
        <v>4393</v>
      </c>
    </row>
    <row r="3782" ht="15.75" customHeight="1">
      <c r="A3782" s="4" t="s">
        <v>4772</v>
      </c>
      <c r="B3782" s="4" t="s">
        <v>13</v>
      </c>
      <c r="I3782" s="4">
        <v>0.09</v>
      </c>
      <c r="J3782" s="4">
        <v>0.01</v>
      </c>
      <c r="K3782" s="6" t="b">
        <f t="shared" si="3555"/>
        <v>0</v>
      </c>
      <c r="L3782" s="6" t="b">
        <f t="shared" ref="L3782:M3782" si="3597">FALSE()</f>
        <v>0</v>
      </c>
      <c r="M3782" s="6" t="b">
        <f t="shared" si="3597"/>
        <v>0</v>
      </c>
      <c r="P3782" s="4">
        <v>0.0861776962410523</v>
      </c>
      <c r="T3782" s="4" t="str">
        <f t="shared" si="3"/>
        <v/>
      </c>
      <c r="U3782" s="4">
        <f t="shared" si="4"/>
        <v>4336</v>
      </c>
    </row>
    <row r="3783" ht="15.75" customHeight="1">
      <c r="A3783" s="4" t="s">
        <v>4773</v>
      </c>
      <c r="B3783" s="4" t="s">
        <v>13</v>
      </c>
      <c r="I3783" s="4">
        <v>0.079</v>
      </c>
      <c r="J3783" s="4">
        <v>0.004</v>
      </c>
      <c r="K3783" s="6" t="b">
        <f t="shared" si="3555"/>
        <v>0</v>
      </c>
      <c r="L3783" s="6" t="b">
        <f t="shared" ref="L3783:M3783" si="3598">FALSE()</f>
        <v>0</v>
      </c>
      <c r="M3783" s="6" t="b">
        <f t="shared" si="3598"/>
        <v>0</v>
      </c>
      <c r="P3783" s="4">
        <v>0.0760346862759976</v>
      </c>
      <c r="T3783" s="4" t="str">
        <f t="shared" si="3"/>
        <v/>
      </c>
      <c r="U3783" s="4">
        <f t="shared" si="4"/>
        <v>4429</v>
      </c>
    </row>
    <row r="3784" ht="15.75" customHeight="1">
      <c r="A3784" s="4" t="s">
        <v>4774</v>
      </c>
      <c r="B3784" s="4" t="s">
        <v>13</v>
      </c>
      <c r="I3784" s="4">
        <v>0.086</v>
      </c>
      <c r="J3784" s="4">
        <v>0.045</v>
      </c>
      <c r="K3784" s="6" t="b">
        <f t="shared" si="3555"/>
        <v>0</v>
      </c>
      <c r="L3784" s="6" t="b">
        <f t="shared" ref="L3784:M3784" si="3599">FALSE()</f>
        <v>0</v>
      </c>
      <c r="M3784" s="6" t="b">
        <f t="shared" si="3599"/>
        <v>0</v>
      </c>
      <c r="P3784" s="4">
        <v>0.0825012215117436</v>
      </c>
      <c r="T3784" s="4" t="str">
        <f t="shared" si="3"/>
        <v/>
      </c>
      <c r="U3784" s="4">
        <f t="shared" si="4"/>
        <v>4366</v>
      </c>
    </row>
    <row r="3785" ht="15.75" customHeight="1">
      <c r="A3785" s="4" t="s">
        <v>4775</v>
      </c>
      <c r="B3785" s="4" t="s">
        <v>13</v>
      </c>
      <c r="I3785" s="4">
        <v>0.128</v>
      </c>
      <c r="J3785" s="4">
        <v>0.069</v>
      </c>
      <c r="K3785" s="6" t="b">
        <f t="shared" si="3555"/>
        <v>0</v>
      </c>
      <c r="L3785" s="6" t="b">
        <f t="shared" ref="L3785:M3785" si="3600">FALSE()</f>
        <v>0</v>
      </c>
      <c r="M3785" s="6" t="b">
        <f t="shared" si="3600"/>
        <v>0</v>
      </c>
      <c r="P3785" s="4">
        <v>0.120446153075867</v>
      </c>
      <c r="T3785" s="4" t="str">
        <f t="shared" si="3"/>
        <v/>
      </c>
      <c r="U3785" s="4">
        <f t="shared" si="4"/>
        <v>3734</v>
      </c>
    </row>
    <row r="3786" ht="15.75" customHeight="1">
      <c r="A3786" s="4" t="s">
        <v>4776</v>
      </c>
      <c r="B3786" s="4" t="s">
        <v>13</v>
      </c>
      <c r="I3786" s="4">
        <v>0.169</v>
      </c>
      <c r="J3786" s="4">
        <v>0.09</v>
      </c>
      <c r="K3786" s="6" t="b">
        <f t="shared" si="3555"/>
        <v>0</v>
      </c>
      <c r="L3786" s="6" t="b">
        <f t="shared" ref="L3786:M3786" si="3601">FALSE()</f>
        <v>0</v>
      </c>
      <c r="M3786" s="6" t="b">
        <f t="shared" si="3601"/>
        <v>0</v>
      </c>
      <c r="P3786" s="4">
        <v>0.156148682489931</v>
      </c>
      <c r="T3786" s="4" t="str">
        <f t="shared" si="3"/>
        <v/>
      </c>
      <c r="U3786" s="4">
        <f t="shared" si="4"/>
        <v>3066</v>
      </c>
    </row>
    <row r="3787" ht="15.75" customHeight="1">
      <c r="A3787" s="4" t="s">
        <v>4777</v>
      </c>
      <c r="B3787" s="4" t="s">
        <v>13</v>
      </c>
      <c r="I3787" s="4">
        <v>0.147</v>
      </c>
      <c r="J3787" s="4">
        <v>0.027</v>
      </c>
      <c r="K3787" s="6" t="b">
        <f t="shared" si="3555"/>
        <v>0</v>
      </c>
      <c r="L3787" s="6" t="b">
        <f t="shared" ref="L3787:M3787" si="3602">FALSE()</f>
        <v>0</v>
      </c>
      <c r="M3787" s="6" t="b">
        <f t="shared" si="3602"/>
        <v>0</v>
      </c>
      <c r="P3787" s="4">
        <v>0.137149838147234</v>
      </c>
      <c r="T3787" s="4" t="str">
        <f t="shared" si="3"/>
        <v/>
      </c>
      <c r="U3787" s="4">
        <f t="shared" si="4"/>
        <v>3380</v>
      </c>
    </row>
    <row r="3788" ht="15.75" customHeight="1">
      <c r="A3788" s="4" t="s">
        <v>4778</v>
      </c>
      <c r="B3788" s="4" t="s">
        <v>13</v>
      </c>
      <c r="I3788" s="4">
        <v>0.133</v>
      </c>
      <c r="J3788" s="4">
        <v>0.025</v>
      </c>
      <c r="K3788" s="6" t="b">
        <f t="shared" si="3555"/>
        <v>0</v>
      </c>
      <c r="L3788" s="6" t="b">
        <f t="shared" ref="L3788:M3788" si="3603">FALSE()</f>
        <v>0</v>
      </c>
      <c r="M3788" s="6" t="b">
        <f t="shared" si="3603"/>
        <v>0</v>
      </c>
      <c r="P3788" s="4">
        <v>0.124868982045869</v>
      </c>
      <c r="T3788" s="4" t="str">
        <f t="shared" si="3"/>
        <v/>
      </c>
      <c r="U3788" s="4">
        <f t="shared" si="4"/>
        <v>3648</v>
      </c>
    </row>
    <row r="3789" ht="15.75" customHeight="1">
      <c r="A3789" s="4" t="s">
        <v>4779</v>
      </c>
      <c r="B3789" s="4" t="s">
        <v>13</v>
      </c>
      <c r="I3789" s="4">
        <v>0.153</v>
      </c>
      <c r="J3789" s="4">
        <v>0.036</v>
      </c>
      <c r="K3789" s="6" t="b">
        <f t="shared" si="3555"/>
        <v>0</v>
      </c>
      <c r="L3789" s="6" t="b">
        <f t="shared" ref="L3789:M3789" si="3604">FALSE()</f>
        <v>0</v>
      </c>
      <c r="M3789" s="6" t="b">
        <f t="shared" si="3604"/>
        <v>0</v>
      </c>
      <c r="P3789" s="4">
        <v>0.142367241286922</v>
      </c>
      <c r="T3789" s="4" t="str">
        <f t="shared" si="3"/>
        <v/>
      </c>
      <c r="U3789" s="4">
        <f t="shared" si="4"/>
        <v>3279</v>
      </c>
    </row>
    <row r="3790" ht="15.75" customHeight="1">
      <c r="A3790" s="4" t="s">
        <v>4780</v>
      </c>
      <c r="B3790" s="4" t="s">
        <v>13</v>
      </c>
      <c r="I3790" s="4">
        <v>0.192</v>
      </c>
      <c r="J3790" s="4">
        <v>0.036</v>
      </c>
      <c r="K3790" s="6" t="b">
        <f t="shared" si="3555"/>
        <v>0</v>
      </c>
      <c r="L3790" s="6" t="b">
        <f t="shared" ref="L3790:M3790" si="3605">FALSE()</f>
        <v>0</v>
      </c>
      <c r="M3790" s="6" t="b">
        <f t="shared" si="3605"/>
        <v>0</v>
      </c>
      <c r="P3790" s="4">
        <v>0.175632568643158</v>
      </c>
      <c r="T3790" s="4" t="str">
        <f t="shared" si="3"/>
        <v/>
      </c>
      <c r="U3790" s="4">
        <f t="shared" si="4"/>
        <v>2718</v>
      </c>
    </row>
    <row r="3791" ht="15.75" customHeight="1">
      <c r="A3791" s="4" t="s">
        <v>4781</v>
      </c>
      <c r="B3791" s="4" t="s">
        <v>13</v>
      </c>
      <c r="I3791" s="4">
        <v>0.203</v>
      </c>
      <c r="J3791" s="4">
        <v>0.023</v>
      </c>
      <c r="K3791" s="6" t="b">
        <f t="shared" si="3555"/>
        <v>0</v>
      </c>
      <c r="L3791" s="6" t="b">
        <f t="shared" ref="L3791:M3791" si="3606">FALSE()</f>
        <v>0</v>
      </c>
      <c r="M3791" s="6" t="b">
        <f t="shared" si="3606"/>
        <v>0</v>
      </c>
      <c r="P3791" s="4">
        <v>0.184818436992542</v>
      </c>
      <c r="T3791" s="4" t="str">
        <f t="shared" si="3"/>
        <v/>
      </c>
      <c r="U3791" s="4">
        <f t="shared" si="4"/>
        <v>2533</v>
      </c>
    </row>
    <row r="3792" ht="15.75" customHeight="1">
      <c r="A3792" s="4" t="s">
        <v>4782</v>
      </c>
      <c r="B3792" s="4" t="s">
        <v>13</v>
      </c>
      <c r="I3792" s="4">
        <v>0.109</v>
      </c>
      <c r="J3792" s="4">
        <v>0.021</v>
      </c>
      <c r="K3792" s="6" t="b">
        <f t="shared" si="3555"/>
        <v>0</v>
      </c>
      <c r="L3792" s="6" t="b">
        <f t="shared" ref="L3792:M3792" si="3607">FALSE()</f>
        <v>0</v>
      </c>
      <c r="M3792" s="6" t="b">
        <f t="shared" si="3607"/>
        <v>0</v>
      </c>
      <c r="P3792" s="4">
        <v>0.10345870836823</v>
      </c>
      <c r="T3792" s="4" t="str">
        <f t="shared" si="3"/>
        <v/>
      </c>
      <c r="U3792" s="4">
        <f t="shared" si="4"/>
        <v>4065</v>
      </c>
    </row>
    <row r="3793" ht="15.75" customHeight="1">
      <c r="A3793" s="4" t="s">
        <v>4783</v>
      </c>
      <c r="B3793" s="4" t="s">
        <v>13</v>
      </c>
      <c r="I3793" s="4">
        <v>0.139</v>
      </c>
      <c r="J3793" s="4">
        <v>0.031</v>
      </c>
      <c r="K3793" s="6" t="b">
        <f t="shared" si="3555"/>
        <v>0</v>
      </c>
      <c r="L3793" s="6" t="b">
        <f t="shared" ref="L3793:M3793" si="3608">FALSE()</f>
        <v>0</v>
      </c>
      <c r="M3793" s="6" t="b">
        <f t="shared" si="3608"/>
        <v>0</v>
      </c>
      <c r="P3793" s="4">
        <v>0.130150684465045</v>
      </c>
      <c r="T3793" s="4" t="str">
        <f t="shared" si="3"/>
        <v/>
      </c>
      <c r="U3793" s="4">
        <f t="shared" si="4"/>
        <v>3529</v>
      </c>
    </row>
    <row r="3794" ht="15.75" customHeight="1">
      <c r="A3794" s="4" t="s">
        <v>4784</v>
      </c>
      <c r="B3794" s="4" t="s">
        <v>13</v>
      </c>
      <c r="I3794" s="4">
        <v>0.123</v>
      </c>
      <c r="J3794" s="4">
        <v>0.024</v>
      </c>
      <c r="K3794" s="6" t="b">
        <f t="shared" si="3555"/>
        <v>0</v>
      </c>
      <c r="L3794" s="6" t="b">
        <f t="shared" ref="L3794:M3794" si="3609">FALSE()</f>
        <v>0</v>
      </c>
      <c r="M3794" s="6" t="b">
        <f t="shared" si="3609"/>
        <v>0</v>
      </c>
      <c r="P3794" s="4">
        <v>0.116003675756306</v>
      </c>
      <c r="T3794" s="4" t="str">
        <f t="shared" si="3"/>
        <v/>
      </c>
      <c r="U3794" s="4">
        <f t="shared" si="4"/>
        <v>3816</v>
      </c>
    </row>
    <row r="3795" ht="15.75" customHeight="1">
      <c r="A3795" s="4" t="s">
        <v>4785</v>
      </c>
      <c r="B3795" s="4" t="s">
        <v>13</v>
      </c>
      <c r="I3795" s="4">
        <v>0.13</v>
      </c>
      <c r="J3795" s="4">
        <v>0.026</v>
      </c>
      <c r="K3795" s="6" t="b">
        <f t="shared" si="3555"/>
        <v>0</v>
      </c>
      <c r="L3795" s="6" t="b">
        <f t="shared" ref="L3795:M3795" si="3610">FALSE()</f>
        <v>0</v>
      </c>
      <c r="M3795" s="6" t="b">
        <f t="shared" si="3610"/>
        <v>0</v>
      </c>
      <c r="P3795" s="4">
        <v>0.122217632724249</v>
      </c>
      <c r="T3795" s="4" t="str">
        <f t="shared" si="3"/>
        <v/>
      </c>
      <c r="U3795" s="4">
        <f t="shared" si="4"/>
        <v>3698</v>
      </c>
    </row>
    <row r="3796" ht="15.75" customHeight="1">
      <c r="A3796" s="4" t="s">
        <v>4786</v>
      </c>
      <c r="B3796" s="4" t="s">
        <v>13</v>
      </c>
      <c r="I3796" s="4">
        <v>0.112</v>
      </c>
      <c r="J3796" s="4">
        <v>0.02</v>
      </c>
      <c r="K3796" s="6" t="b">
        <f t="shared" si="3555"/>
        <v>0</v>
      </c>
      <c r="L3796" s="6" t="b">
        <f t="shared" ref="L3796:M3796" si="3611">FALSE()</f>
        <v>0</v>
      </c>
      <c r="M3796" s="6" t="b">
        <f t="shared" si="3611"/>
        <v>0</v>
      </c>
      <c r="P3796" s="4">
        <v>0.106160195828391</v>
      </c>
      <c r="T3796" s="4" t="str">
        <f t="shared" si="3"/>
        <v/>
      </c>
      <c r="U3796" s="4">
        <f t="shared" si="4"/>
        <v>4018</v>
      </c>
    </row>
    <row r="3797" ht="15.75" customHeight="1">
      <c r="A3797" s="4" t="s">
        <v>4787</v>
      </c>
      <c r="B3797" s="4" t="s">
        <v>13</v>
      </c>
      <c r="I3797" s="4">
        <v>0.156</v>
      </c>
      <c r="J3797" s="4">
        <v>0.029</v>
      </c>
      <c r="K3797" s="6" t="b">
        <f t="shared" si="3555"/>
        <v>0</v>
      </c>
      <c r="L3797" s="6" t="b">
        <f t="shared" ref="L3797:M3797" si="3612">FALSE()</f>
        <v>0</v>
      </c>
      <c r="M3797" s="6" t="b">
        <f t="shared" si="3612"/>
        <v>0</v>
      </c>
      <c r="P3797" s="4">
        <v>0.144965770250186</v>
      </c>
      <c r="T3797" s="4" t="str">
        <f t="shared" si="3"/>
        <v/>
      </c>
      <c r="U3797" s="4">
        <f t="shared" si="4"/>
        <v>3234</v>
      </c>
    </row>
    <row r="3798" ht="15.75" customHeight="1">
      <c r="A3798" s="4" t="s">
        <v>4788</v>
      </c>
      <c r="B3798" s="4" t="s">
        <v>13</v>
      </c>
      <c r="I3798" s="4">
        <v>0.127</v>
      </c>
      <c r="J3798" s="4">
        <v>0.017</v>
      </c>
      <c r="K3798" s="6" t="b">
        <f t="shared" si="3555"/>
        <v>0</v>
      </c>
      <c r="L3798" s="6" t="b">
        <f t="shared" ref="L3798:M3798" si="3613">FALSE()</f>
        <v>0</v>
      </c>
      <c r="M3798" s="6" t="b">
        <f t="shared" si="3613"/>
        <v>0</v>
      </c>
      <c r="P3798" s="4">
        <v>0.119559235057639</v>
      </c>
      <c r="T3798" s="4" t="str">
        <f t="shared" si="3"/>
        <v/>
      </c>
      <c r="U3798" s="4">
        <f t="shared" si="4"/>
        <v>3750</v>
      </c>
    </row>
    <row r="3799" ht="15.75" customHeight="1">
      <c r="A3799" s="4" t="s">
        <v>4789</v>
      </c>
      <c r="B3799" s="4" t="s">
        <v>13</v>
      </c>
      <c r="I3799" s="4">
        <v>0.113</v>
      </c>
      <c r="J3799" s="4">
        <v>0.049</v>
      </c>
      <c r="K3799" s="6" t="b">
        <f t="shared" si="3555"/>
        <v>0</v>
      </c>
      <c r="L3799" s="6" t="b">
        <f t="shared" ref="L3799:M3799" si="3614">FALSE()</f>
        <v>0</v>
      </c>
      <c r="M3799" s="6" t="b">
        <f t="shared" si="3614"/>
        <v>0</v>
      </c>
      <c r="P3799" s="4">
        <v>0.107059072293408</v>
      </c>
      <c r="T3799" s="4" t="str">
        <f t="shared" si="3"/>
        <v/>
      </c>
      <c r="U3799" s="4">
        <f t="shared" si="4"/>
        <v>3996</v>
      </c>
    </row>
    <row r="3800" ht="15.75" customHeight="1">
      <c r="A3800" s="4" t="s">
        <v>4790</v>
      </c>
      <c r="B3800" s="4" t="s">
        <v>13</v>
      </c>
      <c r="I3800" s="4">
        <v>0.153</v>
      </c>
      <c r="J3800" s="4">
        <v>0.076</v>
      </c>
      <c r="K3800" s="6" t="b">
        <f t="shared" si="3555"/>
        <v>0</v>
      </c>
      <c r="L3800" s="6" t="b">
        <f t="shared" ref="L3800:M3800" si="3615">FALSE()</f>
        <v>0</v>
      </c>
      <c r="M3800" s="6" t="b">
        <f t="shared" si="3615"/>
        <v>0</v>
      </c>
      <c r="P3800" s="4">
        <v>0.142367241286922</v>
      </c>
      <c r="T3800" s="4" t="str">
        <f t="shared" si="3"/>
        <v/>
      </c>
      <c r="U3800" s="4">
        <f t="shared" si="4"/>
        <v>3280</v>
      </c>
    </row>
    <row r="3801" ht="15.75" customHeight="1">
      <c r="A3801" s="4" t="s">
        <v>4791</v>
      </c>
      <c r="B3801" s="4" t="s">
        <v>13</v>
      </c>
      <c r="I3801" s="4">
        <v>0.186</v>
      </c>
      <c r="J3801" s="4">
        <v>0.088</v>
      </c>
      <c r="K3801" s="6" t="b">
        <f t="shared" si="3555"/>
        <v>0</v>
      </c>
      <c r="L3801" s="6" t="b">
        <f t="shared" ref="L3801:M3801" si="3616">FALSE()</f>
        <v>0</v>
      </c>
      <c r="M3801" s="6" t="b">
        <f t="shared" si="3616"/>
        <v>0</v>
      </c>
      <c r="P3801" s="4">
        <v>0.170586300575534</v>
      </c>
      <c r="T3801" s="4" t="str">
        <f t="shared" si="3"/>
        <v/>
      </c>
      <c r="U3801" s="4">
        <f t="shared" si="4"/>
        <v>2809</v>
      </c>
    </row>
    <row r="3802" ht="15.75" customHeight="1">
      <c r="A3802" s="4" t="s">
        <v>4792</v>
      </c>
      <c r="B3802" s="4" t="s">
        <v>13</v>
      </c>
      <c r="I3802" s="4">
        <v>0.416</v>
      </c>
      <c r="J3802" s="4">
        <v>2.378</v>
      </c>
      <c r="K3802" s="6" t="b">
        <f t="shared" si="3555"/>
        <v>0</v>
      </c>
      <c r="L3802" s="6" t="b">
        <f t="shared" ref="L3802:M3802" si="3617">FALSE()</f>
        <v>0</v>
      </c>
      <c r="M3802" s="6" t="b">
        <f t="shared" si="3617"/>
        <v>0</v>
      </c>
      <c r="P3802" s="4">
        <v>0.347835995271528</v>
      </c>
      <c r="T3802" s="4" t="str">
        <f t="shared" si="3"/>
        <v/>
      </c>
      <c r="U3802" s="4">
        <f t="shared" si="4"/>
        <v>1097</v>
      </c>
    </row>
    <row r="3803" ht="15.75" customHeight="1">
      <c r="A3803" s="4" t="s">
        <v>904</v>
      </c>
      <c r="B3803" s="4" t="s">
        <v>13</v>
      </c>
      <c r="C3803" s="4">
        <v>0.02</v>
      </c>
      <c r="D3803" s="4">
        <v>0.004</v>
      </c>
      <c r="E3803" s="4">
        <v>0.004</v>
      </c>
      <c r="F3803" s="4">
        <v>0.02</v>
      </c>
      <c r="G3803" s="4">
        <v>0.0044</v>
      </c>
      <c r="H3803" s="4">
        <v>0.0044</v>
      </c>
      <c r="I3803" s="4">
        <v>0.128</v>
      </c>
      <c r="J3803" s="4">
        <v>0.003</v>
      </c>
      <c r="K3803" s="6" t="b">
        <f t="shared" si="3555"/>
        <v>0</v>
      </c>
      <c r="L3803" s="6" t="b">
        <f t="shared" ref="L3803:M3803" si="3618">FALSE()</f>
        <v>0</v>
      </c>
      <c r="M3803" s="6" t="b">
        <f t="shared" si="3618"/>
        <v>0</v>
      </c>
      <c r="N3803" s="4">
        <v>0.0198026272961797</v>
      </c>
      <c r="O3803" s="4">
        <v>0.0198026272961797</v>
      </c>
      <c r="P3803" s="4">
        <v>0.120446153075867</v>
      </c>
      <c r="Q3803" s="4">
        <v>-0.61576036520859</v>
      </c>
      <c r="R3803" s="4">
        <v>-0.63977726481539</v>
      </c>
      <c r="S3803" s="4">
        <v>-1.30461528460906</v>
      </c>
      <c r="T3803" s="4">
        <f t="shared" si="3"/>
        <v>1731</v>
      </c>
      <c r="U3803" s="4">
        <f t="shared" si="4"/>
        <v>3735</v>
      </c>
    </row>
    <row r="3804" ht="15.75" customHeight="1">
      <c r="A3804" s="4" t="s">
        <v>905</v>
      </c>
      <c r="B3804" s="4" t="s">
        <v>13</v>
      </c>
      <c r="C3804" s="4">
        <v>0.009</v>
      </c>
      <c r="D3804" s="4">
        <v>0.006</v>
      </c>
      <c r="E3804" s="4">
        <v>0.006</v>
      </c>
      <c r="F3804" s="4">
        <v>0.00853</v>
      </c>
      <c r="G3804" s="4">
        <v>0.0057</v>
      </c>
      <c r="H3804" s="4">
        <v>0.0057</v>
      </c>
      <c r="I3804" s="4">
        <v>0.076</v>
      </c>
      <c r="J3804" s="4">
        <v>0.003</v>
      </c>
      <c r="K3804" s="6" t="b">
        <f t="shared" si="3555"/>
        <v>0</v>
      </c>
      <c r="L3804" s="6" t="b">
        <f t="shared" ref="L3804:M3804" si="3619">FALSE()</f>
        <v>0</v>
      </c>
      <c r="M3804" s="6" t="b">
        <f t="shared" si="3619"/>
        <v>0</v>
      </c>
      <c r="N3804" s="4">
        <v>0.0089597413714719</v>
      </c>
      <c r="O3804" s="4">
        <v>0.0084938251189232</v>
      </c>
      <c r="P3804" s="4">
        <v>0.0732504617395926</v>
      </c>
      <c r="Q3804" s="4">
        <v>-0.622516765598966</v>
      </c>
      <c r="R3804" s="4">
        <v>-0.647054257917022</v>
      </c>
      <c r="S3804" s="4">
        <v>-1.40190826644981</v>
      </c>
      <c r="T3804" s="4">
        <f t="shared" si="3"/>
        <v>1958</v>
      </c>
      <c r="U3804" s="4">
        <f t="shared" si="4"/>
        <v>4449</v>
      </c>
    </row>
    <row r="3805" ht="15.75" customHeight="1">
      <c r="A3805" s="4" t="s">
        <v>906</v>
      </c>
      <c r="B3805" s="4" t="s">
        <v>13</v>
      </c>
      <c r="C3805" s="4">
        <v>0.005251</v>
      </c>
      <c r="D3805" s="4">
        <v>0.002586</v>
      </c>
      <c r="E3805" s="4">
        <v>0.002586</v>
      </c>
      <c r="I3805" s="4">
        <v>0.10358</v>
      </c>
      <c r="J3805" s="4">
        <v>0.00348</v>
      </c>
      <c r="K3805" s="6" t="b">
        <f t="shared" si="3555"/>
        <v>0</v>
      </c>
      <c r="L3805" s="6" t="b">
        <f t="shared" ref="L3805:M3805" si="3620">FALSE()</f>
        <v>0</v>
      </c>
      <c r="M3805" s="6" t="b">
        <f t="shared" si="3620"/>
        <v>0</v>
      </c>
      <c r="N3805" s="4">
        <v>0.0052372615721701</v>
      </c>
      <c r="P3805" s="4">
        <v>0.0985594406886242</v>
      </c>
      <c r="T3805" s="4">
        <f t="shared" si="3"/>
        <v>2020</v>
      </c>
      <c r="U3805" s="4">
        <f t="shared" si="4"/>
        <v>4161</v>
      </c>
    </row>
    <row r="3806" ht="15.75" customHeight="1">
      <c r="A3806" s="4" t="s">
        <v>4793</v>
      </c>
      <c r="B3806" s="4" t="s">
        <v>13</v>
      </c>
      <c r="D3806" s="4">
        <v>0.0493</v>
      </c>
      <c r="E3806" s="4">
        <v>0.0493</v>
      </c>
      <c r="F3806" s="4">
        <v>11.089</v>
      </c>
      <c r="G3806" s="4">
        <v>0.0493</v>
      </c>
      <c r="H3806" s="4">
        <v>0.0493</v>
      </c>
      <c r="K3806" s="6" t="b">
        <f t="shared" si="3555"/>
        <v>0</v>
      </c>
      <c r="L3806" s="6" t="b">
        <f>TRUE()</f>
        <v>1</v>
      </c>
      <c r="M3806" s="6" t="b">
        <f>FALSE()</f>
        <v>0</v>
      </c>
      <c r="O3806" s="4">
        <v>2.49229594821986</v>
      </c>
      <c r="T3806" s="4" t="str">
        <f t="shared" si="3"/>
        <v/>
      </c>
      <c r="U3806" s="4" t="str">
        <f t="shared" si="4"/>
        <v/>
      </c>
    </row>
    <row r="3807" ht="15.75" customHeight="1">
      <c r="A3807" s="4" t="s">
        <v>907</v>
      </c>
      <c r="B3807" s="4" t="s">
        <v>13</v>
      </c>
      <c r="C3807" s="4">
        <v>0.01573</v>
      </c>
      <c r="F3807" s="4">
        <v>0.02</v>
      </c>
      <c r="I3807" s="4">
        <v>0.073</v>
      </c>
      <c r="J3807" s="4">
        <v>3.0E-4</v>
      </c>
      <c r="K3807" s="6" t="b">
        <f t="shared" si="3555"/>
        <v>0</v>
      </c>
      <c r="L3807" s="6" t="b">
        <f t="shared" ref="L3807:M3807" si="3621">FALSE()</f>
        <v>0</v>
      </c>
      <c r="M3807" s="6" t="b">
        <f t="shared" si="3621"/>
        <v>0</v>
      </c>
      <c r="N3807" s="4">
        <v>0.0156075658075288</v>
      </c>
      <c r="O3807" s="4">
        <v>0.0198026272961797</v>
      </c>
      <c r="P3807" s="4">
        <v>0.0704584636485614</v>
      </c>
      <c r="Q3807" s="4">
        <v>-0.61838307699649</v>
      </c>
      <c r="R3807" s="4">
        <v>-0.63977726481539</v>
      </c>
      <c r="S3807" s="4">
        <v>-1.40752132309447</v>
      </c>
      <c r="T3807" s="4">
        <f t="shared" si="3"/>
        <v>1814</v>
      </c>
      <c r="U3807" s="4">
        <f t="shared" si="4"/>
        <v>4469</v>
      </c>
    </row>
    <row r="3808" ht="15.75" customHeight="1">
      <c r="A3808" s="4" t="s">
        <v>908</v>
      </c>
      <c r="B3808" s="4" t="s">
        <v>13</v>
      </c>
      <c r="C3808" s="4">
        <v>0.06922</v>
      </c>
      <c r="D3808" s="4">
        <v>0.0692</v>
      </c>
      <c r="E3808" s="4">
        <v>0.0</v>
      </c>
      <c r="F3808" s="4">
        <v>0.0692</v>
      </c>
      <c r="I3808" s="4">
        <v>0.106</v>
      </c>
      <c r="J3808" s="4">
        <v>0.003</v>
      </c>
      <c r="K3808" s="6" t="b">
        <f t="shared" si="3555"/>
        <v>0</v>
      </c>
      <c r="L3808" s="6" t="b">
        <f t="shared" ref="L3808:M3808" si="3622">FALSE()</f>
        <v>0</v>
      </c>
      <c r="M3808" s="6" t="b">
        <f t="shared" si="3622"/>
        <v>0</v>
      </c>
      <c r="N3808" s="4">
        <v>0.0669294106819409</v>
      </c>
      <c r="O3808" s="4">
        <v>0.0669107052826268</v>
      </c>
      <c r="P3808" s="4">
        <v>0.100749903100143</v>
      </c>
      <c r="Q3808" s="4">
        <v>-0.585528544552741</v>
      </c>
      <c r="R3808" s="4">
        <v>-0.608562961362877</v>
      </c>
      <c r="S3808" s="4">
        <v>-1.34577770000323</v>
      </c>
      <c r="T3808" s="4">
        <f t="shared" si="3"/>
        <v>1326</v>
      </c>
      <c r="U3808" s="4">
        <f t="shared" si="4"/>
        <v>4125</v>
      </c>
    </row>
    <row r="3809" ht="15.75" customHeight="1">
      <c r="A3809" s="4" t="s">
        <v>909</v>
      </c>
      <c r="B3809" s="4" t="s">
        <v>13</v>
      </c>
      <c r="C3809" s="4">
        <v>2.2</v>
      </c>
      <c r="D3809" s="4">
        <v>0.4</v>
      </c>
      <c r="E3809" s="4">
        <v>0.4</v>
      </c>
      <c r="I3809" s="4">
        <v>1.17</v>
      </c>
      <c r="J3809" s="4">
        <v>0.04</v>
      </c>
      <c r="K3809" s="6" t="b">
        <f t="shared" si="3555"/>
        <v>0</v>
      </c>
      <c r="L3809" s="6" t="b">
        <f t="shared" ref="L3809:L3828" si="3623">FALSE()</f>
        <v>0</v>
      </c>
      <c r="M3809" s="6" t="b">
        <f>TRUE()</f>
        <v>1</v>
      </c>
      <c r="N3809" s="4">
        <v>1.16315080980568</v>
      </c>
      <c r="P3809" s="4">
        <v>0.774727167552368</v>
      </c>
      <c r="T3809" s="4">
        <f t="shared" si="3"/>
        <v>413</v>
      </c>
      <c r="U3809" s="4">
        <f t="shared" si="4"/>
        <v>427</v>
      </c>
    </row>
    <row r="3810" ht="15.75" customHeight="1">
      <c r="A3810" s="4" t="s">
        <v>4794</v>
      </c>
      <c r="B3810" s="4" t="s">
        <v>13</v>
      </c>
      <c r="I3810" s="4">
        <v>0.253</v>
      </c>
      <c r="J3810" s="4">
        <v>0.005</v>
      </c>
      <c r="K3810" s="6" t="b">
        <f t="shared" si="3555"/>
        <v>0</v>
      </c>
      <c r="L3810" s="6" t="b">
        <f t="shared" si="3623"/>
        <v>0</v>
      </c>
      <c r="M3810" s="6" t="b">
        <f t="shared" ref="M3810:M3814" si="3624">FALSE()</f>
        <v>0</v>
      </c>
      <c r="P3810" s="4">
        <v>0.225540675913931</v>
      </c>
      <c r="T3810" s="4" t="str">
        <f t="shared" si="3"/>
        <v/>
      </c>
      <c r="U3810" s="4">
        <f t="shared" si="4"/>
        <v>1769</v>
      </c>
    </row>
    <row r="3811" ht="15.75" customHeight="1">
      <c r="A3811" s="4" t="s">
        <v>910</v>
      </c>
      <c r="B3811" s="4" t="s">
        <v>13</v>
      </c>
      <c r="C3811" s="4">
        <v>0.0805</v>
      </c>
      <c r="D3811" s="4">
        <v>0.0082</v>
      </c>
      <c r="E3811" s="4">
        <v>0.0082</v>
      </c>
      <c r="I3811" s="4">
        <v>0.16647</v>
      </c>
      <c r="J3811" s="4">
        <v>0.00544</v>
      </c>
      <c r="K3811" s="6" t="b">
        <f t="shared" si="3555"/>
        <v>0</v>
      </c>
      <c r="L3811" s="6" t="b">
        <f t="shared" si="3623"/>
        <v>0</v>
      </c>
      <c r="M3811" s="6" t="b">
        <f t="shared" si="3624"/>
        <v>0</v>
      </c>
      <c r="N3811" s="4">
        <v>0.0774238969648036</v>
      </c>
      <c r="P3811" s="4">
        <v>0.153982094188927</v>
      </c>
      <c r="T3811" s="4">
        <f t="shared" si="3"/>
        <v>1295</v>
      </c>
      <c r="U3811" s="4">
        <f t="shared" si="4"/>
        <v>3093</v>
      </c>
    </row>
    <row r="3812" ht="15.75" customHeight="1">
      <c r="A3812" s="4" t="s">
        <v>911</v>
      </c>
      <c r="B3812" s="4" t="s">
        <v>13</v>
      </c>
      <c r="C3812" s="4">
        <v>0.0831</v>
      </c>
      <c r="D3812" s="4">
        <v>0.0186</v>
      </c>
      <c r="E3812" s="4">
        <v>0.0186</v>
      </c>
      <c r="I3812" s="4">
        <v>0.28888</v>
      </c>
      <c r="J3812" s="4">
        <v>0.00964</v>
      </c>
      <c r="K3812" s="6" t="b">
        <f t="shared" si="3555"/>
        <v>0</v>
      </c>
      <c r="L3812" s="6" t="b">
        <f t="shared" si="3623"/>
        <v>0</v>
      </c>
      <c r="M3812" s="6" t="b">
        <f t="shared" si="3624"/>
        <v>0</v>
      </c>
      <c r="N3812" s="4">
        <v>0.0798272998595543</v>
      </c>
      <c r="P3812" s="4">
        <v>0.253773624200594</v>
      </c>
      <c r="T3812" s="4">
        <f t="shared" si="3"/>
        <v>1289</v>
      </c>
      <c r="U3812" s="4">
        <f t="shared" si="4"/>
        <v>1446</v>
      </c>
    </row>
    <row r="3813" ht="15.75" customHeight="1">
      <c r="A3813" s="4" t="s">
        <v>913</v>
      </c>
      <c r="B3813" s="4" t="s">
        <v>13</v>
      </c>
      <c r="C3813" s="4">
        <v>0.04782</v>
      </c>
      <c r="D3813" s="4">
        <v>0.01605</v>
      </c>
      <c r="E3813" s="4">
        <v>0.01605</v>
      </c>
      <c r="I3813" s="4">
        <v>0.30119</v>
      </c>
      <c r="J3813" s="4">
        <v>0.01079</v>
      </c>
      <c r="K3813" s="6" t="b">
        <f t="shared" si="3555"/>
        <v>0</v>
      </c>
      <c r="L3813" s="6" t="b">
        <f t="shared" si="3623"/>
        <v>0</v>
      </c>
      <c r="M3813" s="6" t="b">
        <f t="shared" si="3624"/>
        <v>0</v>
      </c>
      <c r="N3813" s="4">
        <v>0.0467118154219558</v>
      </c>
      <c r="P3813" s="4">
        <v>0.263279230373879</v>
      </c>
      <c r="T3813" s="4">
        <f t="shared" si="3"/>
        <v>1411</v>
      </c>
      <c r="U3813" s="4">
        <f t="shared" si="4"/>
        <v>1373</v>
      </c>
    </row>
    <row r="3814" ht="15.75" customHeight="1">
      <c r="A3814" s="4" t="s">
        <v>4795</v>
      </c>
      <c r="B3814" s="4" t="s">
        <v>13</v>
      </c>
      <c r="C3814" s="4">
        <v>0.03398</v>
      </c>
      <c r="D3814" s="4">
        <v>0.00346</v>
      </c>
      <c r="E3814" s="4">
        <v>0.00346</v>
      </c>
      <c r="K3814" s="6" t="b">
        <f t="shared" si="3555"/>
        <v>0</v>
      </c>
      <c r="L3814" s="6" t="b">
        <f t="shared" si="3623"/>
        <v>0</v>
      </c>
      <c r="M3814" s="6" t="b">
        <f t="shared" si="3624"/>
        <v>0</v>
      </c>
      <c r="N3814" s="4">
        <v>0.0334154335394036</v>
      </c>
      <c r="T3814" s="4">
        <f t="shared" si="3"/>
        <v>1502</v>
      </c>
      <c r="U3814" s="4" t="str">
        <f t="shared" si="4"/>
        <v/>
      </c>
    </row>
    <row r="3815" ht="15.75" customHeight="1">
      <c r="A3815" s="4" t="s">
        <v>914</v>
      </c>
      <c r="B3815" s="4" t="s">
        <v>13</v>
      </c>
      <c r="C3815" s="4">
        <v>0.941</v>
      </c>
      <c r="D3815" s="4">
        <v>0.019</v>
      </c>
      <c r="E3815" s="4">
        <v>0.125</v>
      </c>
      <c r="I3815" s="4">
        <v>1.341</v>
      </c>
      <c r="J3815" s="4">
        <v>0.046</v>
      </c>
      <c r="K3815" s="6" t="b">
        <f t="shared" si="3555"/>
        <v>0</v>
      </c>
      <c r="L3815" s="6" t="b">
        <f t="shared" si="3623"/>
        <v>0</v>
      </c>
      <c r="M3815" s="6" t="b">
        <f>TRUE()</f>
        <v>1</v>
      </c>
      <c r="N3815" s="4">
        <v>0.663203304186873</v>
      </c>
      <c r="P3815" s="4">
        <v>0.850578188508774</v>
      </c>
      <c r="T3815" s="4">
        <f t="shared" si="3"/>
        <v>691</v>
      </c>
      <c r="U3815" s="4">
        <f t="shared" si="4"/>
        <v>213</v>
      </c>
    </row>
    <row r="3816" ht="15.75" customHeight="1">
      <c r="A3816" s="4" t="s">
        <v>915</v>
      </c>
      <c r="B3816" s="4" t="s">
        <v>13</v>
      </c>
      <c r="C3816" s="4">
        <v>0.211</v>
      </c>
      <c r="D3816" s="4">
        <v>0.066</v>
      </c>
      <c r="E3816" s="4">
        <v>0.066</v>
      </c>
      <c r="I3816" s="4">
        <v>0.3881</v>
      </c>
      <c r="J3816" s="4">
        <v>0.009</v>
      </c>
      <c r="K3816" s="6" t="b">
        <f t="shared" si="3555"/>
        <v>0</v>
      </c>
      <c r="L3816" s="6" t="b">
        <f t="shared" si="3623"/>
        <v>0</v>
      </c>
      <c r="M3816" s="6" t="b">
        <f t="shared" ref="M3816:M3824" si="3625">FALSE()</f>
        <v>0</v>
      </c>
      <c r="N3816" s="4">
        <v>0.191446464570955</v>
      </c>
      <c r="P3816" s="4">
        <v>0.327935905598927</v>
      </c>
      <c r="T3816" s="4">
        <f t="shared" si="3"/>
        <v>1143</v>
      </c>
      <c r="U3816" s="4">
        <f t="shared" si="4"/>
        <v>1133</v>
      </c>
    </row>
    <row r="3817" ht="15.75" customHeight="1">
      <c r="A3817" s="4" t="s">
        <v>916</v>
      </c>
      <c r="B3817" s="4" t="s">
        <v>13</v>
      </c>
      <c r="C3817" s="4">
        <v>0.011</v>
      </c>
      <c r="D3817" s="4">
        <v>0.009</v>
      </c>
      <c r="E3817" s="4">
        <v>0.011</v>
      </c>
      <c r="I3817" s="4">
        <v>0.153</v>
      </c>
      <c r="J3817" s="4">
        <v>0.012</v>
      </c>
      <c r="K3817" s="6" t="b">
        <f t="shared" si="3555"/>
        <v>0</v>
      </c>
      <c r="L3817" s="6" t="b">
        <f t="shared" si="3623"/>
        <v>0</v>
      </c>
      <c r="M3817" s="6" t="b">
        <f t="shared" si="3625"/>
        <v>0</v>
      </c>
      <c r="N3817" s="4">
        <v>0.0109399400383343</v>
      </c>
      <c r="P3817" s="4">
        <v>0.142367241286922</v>
      </c>
      <c r="T3817" s="4">
        <f t="shared" si="3"/>
        <v>1917</v>
      </c>
      <c r="U3817" s="4">
        <f t="shared" si="4"/>
        <v>3281</v>
      </c>
    </row>
    <row r="3818" ht="15.75" customHeight="1">
      <c r="A3818" s="4" t="s">
        <v>917</v>
      </c>
      <c r="B3818" s="4" t="s">
        <v>13</v>
      </c>
      <c r="C3818" s="4">
        <v>0.094</v>
      </c>
      <c r="D3818" s="4">
        <v>0.033</v>
      </c>
      <c r="E3818" s="4">
        <v>0.039</v>
      </c>
      <c r="I3818" s="4">
        <v>0.269</v>
      </c>
      <c r="J3818" s="4">
        <v>0.022</v>
      </c>
      <c r="K3818" s="6" t="b">
        <f t="shared" si="3555"/>
        <v>0</v>
      </c>
      <c r="L3818" s="6" t="b">
        <f t="shared" si="3623"/>
        <v>0</v>
      </c>
      <c r="M3818" s="6" t="b">
        <f t="shared" si="3625"/>
        <v>0</v>
      </c>
      <c r="N3818" s="4">
        <v>0.0898407039997894</v>
      </c>
      <c r="P3818" s="4">
        <v>0.238229188732251</v>
      </c>
      <c r="T3818" s="4">
        <f t="shared" si="3"/>
        <v>1272</v>
      </c>
      <c r="U3818" s="4">
        <f t="shared" si="4"/>
        <v>1605</v>
      </c>
    </row>
    <row r="3819" ht="15.75" customHeight="1">
      <c r="A3819" s="4" t="s">
        <v>918</v>
      </c>
      <c r="B3819" s="4" t="s">
        <v>13</v>
      </c>
      <c r="C3819" s="4">
        <v>0.377</v>
      </c>
      <c r="D3819" s="4">
        <v>0.275</v>
      </c>
      <c r="E3819" s="4">
        <v>0.321</v>
      </c>
      <c r="I3819" s="4">
        <v>0.108</v>
      </c>
      <c r="J3819" s="4">
        <v>0.009</v>
      </c>
      <c r="K3819" s="6" t="b">
        <f t="shared" si="3555"/>
        <v>0</v>
      </c>
      <c r="L3819" s="6" t="b">
        <f t="shared" si="3623"/>
        <v>0</v>
      </c>
      <c r="M3819" s="6" t="b">
        <f t="shared" si="3625"/>
        <v>0</v>
      </c>
      <c r="N3819" s="4">
        <v>0.319907219746518</v>
      </c>
      <c r="P3819" s="4">
        <v>0.102556588325092</v>
      </c>
      <c r="T3819" s="4">
        <f t="shared" si="3"/>
        <v>1032</v>
      </c>
      <c r="U3819" s="4">
        <f t="shared" si="4"/>
        <v>4084</v>
      </c>
    </row>
    <row r="3820" ht="15.75" customHeight="1">
      <c r="A3820" s="4" t="s">
        <v>4796</v>
      </c>
      <c r="B3820" s="4" t="s">
        <v>13</v>
      </c>
      <c r="I3820" s="4">
        <v>0.2507</v>
      </c>
      <c r="J3820" s="4">
        <v>0.0116</v>
      </c>
      <c r="K3820" s="6" t="b">
        <f t="shared" si="3555"/>
        <v>0</v>
      </c>
      <c r="L3820" s="6" t="b">
        <f t="shared" si="3623"/>
        <v>0</v>
      </c>
      <c r="M3820" s="6" t="b">
        <f t="shared" si="3625"/>
        <v>0</v>
      </c>
      <c r="P3820" s="4">
        <v>0.223703394572724</v>
      </c>
      <c r="T3820" s="4" t="str">
        <f t="shared" si="3"/>
        <v/>
      </c>
      <c r="U3820" s="4">
        <f t="shared" si="4"/>
        <v>1805</v>
      </c>
    </row>
    <row r="3821" ht="15.75" customHeight="1">
      <c r="A3821" s="4" t="s">
        <v>920</v>
      </c>
      <c r="B3821" s="4" t="s">
        <v>13</v>
      </c>
      <c r="C3821" s="4">
        <v>0.183</v>
      </c>
      <c r="D3821" s="4">
        <v>0.124</v>
      </c>
      <c r="E3821" s="4">
        <v>0.168</v>
      </c>
      <c r="I3821" s="4">
        <v>0.221</v>
      </c>
      <c r="J3821" s="4">
        <v>0.029</v>
      </c>
      <c r="K3821" s="6" t="b">
        <f t="shared" si="3555"/>
        <v>0</v>
      </c>
      <c r="L3821" s="6" t="b">
        <f t="shared" si="3623"/>
        <v>0</v>
      </c>
      <c r="M3821" s="6" t="b">
        <f t="shared" si="3625"/>
        <v>0</v>
      </c>
      <c r="N3821" s="4">
        <v>0.16805358499625</v>
      </c>
      <c r="P3821" s="4">
        <v>0.199670195128568</v>
      </c>
      <c r="T3821" s="4">
        <f t="shared" si="3"/>
        <v>1169</v>
      </c>
      <c r="U3821" s="4">
        <f t="shared" si="4"/>
        <v>2249</v>
      </c>
    </row>
    <row r="3822" ht="15.75" customHeight="1">
      <c r="A3822" s="4" t="s">
        <v>4797</v>
      </c>
      <c r="B3822" s="4" t="s">
        <v>13</v>
      </c>
      <c r="I3822" s="4">
        <v>0.2186</v>
      </c>
      <c r="J3822" s="4">
        <v>0.0143</v>
      </c>
      <c r="K3822" s="6" t="b">
        <f t="shared" si="3555"/>
        <v>0</v>
      </c>
      <c r="L3822" s="6" t="b">
        <f t="shared" si="3623"/>
        <v>0</v>
      </c>
      <c r="M3822" s="6" t="b">
        <f t="shared" si="3625"/>
        <v>0</v>
      </c>
      <c r="P3822" s="4">
        <v>0.197702658832257</v>
      </c>
      <c r="T3822" s="4" t="str">
        <f t="shared" si="3"/>
        <v/>
      </c>
      <c r="U3822" s="4">
        <f t="shared" si="4"/>
        <v>2288</v>
      </c>
    </row>
    <row r="3823" ht="15.75" customHeight="1">
      <c r="A3823" s="4" t="s">
        <v>921</v>
      </c>
      <c r="B3823" s="4" t="s">
        <v>13</v>
      </c>
      <c r="C3823" s="4">
        <v>0.035</v>
      </c>
      <c r="D3823" s="4">
        <v>0.025</v>
      </c>
      <c r="E3823" s="4">
        <v>0.029</v>
      </c>
      <c r="I3823" s="4">
        <v>0.206</v>
      </c>
      <c r="J3823" s="4">
        <v>0.015</v>
      </c>
      <c r="K3823" s="6" t="b">
        <f t="shared" si="3555"/>
        <v>0</v>
      </c>
      <c r="L3823" s="6" t="b">
        <f t="shared" si="3623"/>
        <v>0</v>
      </c>
      <c r="M3823" s="6" t="b">
        <f t="shared" si="3625"/>
        <v>0</v>
      </c>
      <c r="N3823" s="4">
        <v>0.0344014267173324</v>
      </c>
      <c r="P3823" s="4">
        <v>0.187309098304994</v>
      </c>
      <c r="T3823" s="4">
        <f t="shared" si="3"/>
        <v>1488</v>
      </c>
      <c r="U3823" s="4">
        <f t="shared" si="4"/>
        <v>2481</v>
      </c>
    </row>
    <row r="3824" ht="15.75" customHeight="1">
      <c r="A3824" s="4" t="s">
        <v>4798</v>
      </c>
      <c r="B3824" s="4" t="s">
        <v>13</v>
      </c>
      <c r="I3824" s="4">
        <v>0.24</v>
      </c>
      <c r="J3824" s="4">
        <v>0.0125</v>
      </c>
      <c r="K3824" s="6" t="b">
        <f t="shared" si="3555"/>
        <v>0</v>
      </c>
      <c r="L3824" s="6" t="b">
        <f t="shared" si="3623"/>
        <v>0</v>
      </c>
      <c r="M3824" s="6" t="b">
        <f t="shared" si="3625"/>
        <v>0</v>
      </c>
      <c r="P3824" s="4">
        <v>0.215111379616946</v>
      </c>
      <c r="T3824" s="4" t="str">
        <f t="shared" si="3"/>
        <v/>
      </c>
      <c r="U3824" s="4">
        <f t="shared" si="4"/>
        <v>1949</v>
      </c>
    </row>
    <row r="3825" ht="15.75" customHeight="1">
      <c r="A3825" s="4" t="s">
        <v>922</v>
      </c>
      <c r="B3825" s="4" t="s">
        <v>13</v>
      </c>
      <c r="C3825" s="4">
        <v>1.1</v>
      </c>
      <c r="D3825" s="4">
        <v>0.0</v>
      </c>
      <c r="E3825" s="4">
        <v>1.1</v>
      </c>
      <c r="I3825" s="4">
        <v>1.2</v>
      </c>
      <c r="J3825" s="4">
        <v>0.16</v>
      </c>
      <c r="K3825" s="6" t="b">
        <f t="shared" si="3555"/>
        <v>0</v>
      </c>
      <c r="L3825" s="6" t="b">
        <f t="shared" si="3623"/>
        <v>0</v>
      </c>
      <c r="M3825" s="6" t="b">
        <f>TRUE()</f>
        <v>1</v>
      </c>
      <c r="N3825" s="4">
        <v>0.741937344729377</v>
      </c>
      <c r="P3825" s="4">
        <v>0.78845736036427</v>
      </c>
      <c r="T3825" s="4">
        <f t="shared" si="3"/>
        <v>628</v>
      </c>
      <c r="U3825" s="4">
        <f t="shared" si="4"/>
        <v>384</v>
      </c>
    </row>
    <row r="3826" ht="15.75" customHeight="1">
      <c r="A3826" s="4" t="s">
        <v>4799</v>
      </c>
      <c r="B3826" s="4" t="s">
        <v>13</v>
      </c>
      <c r="I3826" s="4">
        <v>0.46579</v>
      </c>
      <c r="K3826" s="6" t="b">
        <f t="shared" si="3555"/>
        <v>0</v>
      </c>
      <c r="L3826" s="6" t="b">
        <f t="shared" si="3623"/>
        <v>0</v>
      </c>
      <c r="M3826" s="6" t="b">
        <f>FALSE()</f>
        <v>0</v>
      </c>
      <c r="P3826" s="4">
        <v>0.382394346273215</v>
      </c>
      <c r="T3826" s="4" t="str">
        <f t="shared" si="3"/>
        <v/>
      </c>
      <c r="U3826" s="4">
        <f t="shared" si="4"/>
        <v>1045</v>
      </c>
    </row>
    <row r="3827" ht="15.75" customHeight="1">
      <c r="A3827" s="4" t="s">
        <v>923</v>
      </c>
      <c r="B3827" s="4" t="s">
        <v>13</v>
      </c>
      <c r="C3827" s="4">
        <v>2.5</v>
      </c>
      <c r="D3827" s="4">
        <v>0.3</v>
      </c>
      <c r="E3827" s="4">
        <v>0.3</v>
      </c>
      <c r="I3827" s="4">
        <v>0.96</v>
      </c>
      <c r="J3827" s="4">
        <v>0.12</v>
      </c>
      <c r="K3827" s="6" t="b">
        <f t="shared" si="3555"/>
        <v>0</v>
      </c>
      <c r="L3827" s="6" t="b">
        <f t="shared" si="3623"/>
        <v>0</v>
      </c>
      <c r="M3827" s="6" t="b">
        <f>TRUE()</f>
        <v>1</v>
      </c>
      <c r="N3827" s="4">
        <v>1.25276296849537</v>
      </c>
      <c r="P3827" s="4">
        <v>0.672944473242426</v>
      </c>
      <c r="T3827" s="4">
        <f t="shared" si="3"/>
        <v>370</v>
      </c>
      <c r="U3827" s="4">
        <f t="shared" si="4"/>
        <v>711</v>
      </c>
    </row>
    <row r="3828" ht="15.75" customHeight="1">
      <c r="A3828" s="4" t="s">
        <v>4800</v>
      </c>
      <c r="B3828" s="4" t="s">
        <v>13</v>
      </c>
      <c r="C3828" s="4">
        <v>7.3</v>
      </c>
      <c r="D3828" s="4">
        <v>0.4</v>
      </c>
      <c r="E3828" s="4">
        <v>0.4</v>
      </c>
      <c r="K3828" s="6" t="b">
        <f>TRUE()</f>
        <v>1</v>
      </c>
      <c r="L3828" s="6" t="b">
        <f t="shared" si="3623"/>
        <v>0</v>
      </c>
      <c r="M3828" s="6" t="b">
        <f>FALSE()</f>
        <v>0</v>
      </c>
      <c r="N3828" s="4">
        <v>2.11625551480255</v>
      </c>
      <c r="T3828" s="4">
        <f t="shared" si="3"/>
        <v>126</v>
      </c>
      <c r="U3828" s="4" t="str">
        <f t="shared" si="4"/>
        <v/>
      </c>
    </row>
    <row r="3829" ht="15.75" customHeight="1">
      <c r="A3829" s="4" t="s">
        <v>924</v>
      </c>
      <c r="B3829" s="4" t="s">
        <v>13</v>
      </c>
      <c r="C3829" s="4">
        <v>0.56</v>
      </c>
      <c r="D3829" s="4">
        <v>0.08</v>
      </c>
      <c r="E3829" s="4">
        <v>0.08</v>
      </c>
      <c r="I3829" s="4">
        <v>1.29</v>
      </c>
      <c r="J3829" s="4">
        <v>0.02</v>
      </c>
      <c r="K3829" s="6" t="b">
        <f t="shared" ref="K3829:L3829" si="3626">FALSE()</f>
        <v>0</v>
      </c>
      <c r="L3829" s="6" t="b">
        <f t="shared" si="3626"/>
        <v>0</v>
      </c>
      <c r="M3829" s="6" t="b">
        <f t="shared" ref="M3829:M3830" si="3628">TRUE()</f>
        <v>1</v>
      </c>
      <c r="N3829" s="4">
        <v>0.444685821261446</v>
      </c>
      <c r="P3829" s="4">
        <v>0.828551817566148</v>
      </c>
      <c r="T3829" s="4">
        <f t="shared" si="3"/>
        <v>919</v>
      </c>
      <c r="U3829" s="4">
        <f t="shared" si="4"/>
        <v>267</v>
      </c>
    </row>
    <row r="3830" ht="15.75" customHeight="1">
      <c r="A3830" s="4" t="s">
        <v>926</v>
      </c>
      <c r="B3830" s="4" t="s">
        <v>13</v>
      </c>
      <c r="C3830" s="4">
        <v>1.45</v>
      </c>
      <c r="D3830" s="4">
        <v>0.35</v>
      </c>
      <c r="E3830" s="4">
        <v>0.35</v>
      </c>
      <c r="I3830" s="4">
        <v>0.94</v>
      </c>
      <c r="J3830" s="4">
        <v>0.12</v>
      </c>
      <c r="K3830" s="6" t="b">
        <f t="shared" ref="K3830:L3830" si="3627">FALSE()</f>
        <v>0</v>
      </c>
      <c r="L3830" s="6" t="b">
        <f t="shared" si="3627"/>
        <v>0</v>
      </c>
      <c r="M3830" s="6" t="b">
        <f t="shared" si="3628"/>
        <v>1</v>
      </c>
      <c r="N3830" s="4">
        <v>0.896088024556636</v>
      </c>
      <c r="P3830" s="4">
        <v>0.662687973075237</v>
      </c>
      <c r="T3830" s="4">
        <f t="shared" si="3"/>
        <v>524</v>
      </c>
      <c r="U3830" s="4">
        <f t="shared" si="4"/>
        <v>738</v>
      </c>
    </row>
    <row r="3831" ht="15.75" customHeight="1">
      <c r="A3831" s="4" t="s">
        <v>4801</v>
      </c>
      <c r="B3831" s="4" t="s">
        <v>13</v>
      </c>
      <c r="I3831" s="4">
        <v>0.371</v>
      </c>
      <c r="J3831" s="4">
        <v>0.014</v>
      </c>
      <c r="K3831" s="6" t="b">
        <f t="shared" ref="K3831:M3831" si="3629">FALSE()</f>
        <v>0</v>
      </c>
      <c r="L3831" s="6" t="b">
        <f t="shared" si="3629"/>
        <v>0</v>
      </c>
      <c r="M3831" s="6" t="b">
        <f t="shared" si="3629"/>
        <v>0</v>
      </c>
      <c r="P3831" s="4">
        <v>0.315540400580177</v>
      </c>
      <c r="T3831" s="4" t="str">
        <f t="shared" si="3"/>
        <v/>
      </c>
      <c r="U3831" s="4">
        <f t="shared" si="4"/>
        <v>1160</v>
      </c>
    </row>
    <row r="3832" ht="15.75" customHeight="1">
      <c r="A3832" s="4" t="s">
        <v>927</v>
      </c>
      <c r="B3832" s="4" t="s">
        <v>13</v>
      </c>
      <c r="C3832" s="4">
        <v>0.43</v>
      </c>
      <c r="D3832" s="4">
        <v>0.13</v>
      </c>
      <c r="E3832" s="4">
        <v>0.13</v>
      </c>
      <c r="F3832" s="4">
        <v>0.43</v>
      </c>
      <c r="G3832" s="4">
        <v>0.13</v>
      </c>
      <c r="H3832" s="4">
        <v>0.13</v>
      </c>
      <c r="I3832" s="4">
        <v>1.15</v>
      </c>
      <c r="J3832" s="4">
        <v>0.11</v>
      </c>
      <c r="K3832" s="6" t="b">
        <f t="shared" ref="K3832:L3832" si="3630">FALSE()</f>
        <v>0</v>
      </c>
      <c r="L3832" s="6" t="b">
        <f t="shared" si="3630"/>
        <v>0</v>
      </c>
      <c r="M3832" s="6" t="b">
        <f t="shared" ref="M3832:M3834" si="3632">TRUE()</f>
        <v>1</v>
      </c>
      <c r="N3832" s="4">
        <v>0.357674444271816</v>
      </c>
      <c r="O3832" s="4">
        <v>0.357674444271816</v>
      </c>
      <c r="P3832" s="4">
        <v>0.765467842139571</v>
      </c>
      <c r="Q3832" s="4">
        <v>-0.363930896112736</v>
      </c>
      <c r="R3832" s="4">
        <v>-0.379658069377782</v>
      </c>
      <c r="S3832" s="4">
        <v>0.607566012338024</v>
      </c>
      <c r="T3832" s="4">
        <f t="shared" si="3"/>
        <v>993</v>
      </c>
      <c r="U3832" s="4">
        <f t="shared" si="4"/>
        <v>448</v>
      </c>
    </row>
    <row r="3833" ht="15.75" customHeight="1">
      <c r="A3833" s="4" t="s">
        <v>928</v>
      </c>
      <c r="B3833" s="4" t="s">
        <v>13</v>
      </c>
      <c r="C3833" s="4">
        <v>0.595</v>
      </c>
      <c r="D3833" s="4">
        <v>0.081</v>
      </c>
      <c r="E3833" s="4">
        <v>0.081</v>
      </c>
      <c r="F3833" s="4">
        <v>0.595</v>
      </c>
      <c r="G3833" s="4">
        <v>0.081</v>
      </c>
      <c r="H3833" s="4">
        <v>0.081</v>
      </c>
      <c r="I3833" s="4">
        <v>1.192</v>
      </c>
      <c r="J3833" s="4">
        <v>0.052</v>
      </c>
      <c r="K3833" s="6" t="b">
        <f t="shared" ref="K3833:L3833" si="3631">FALSE()</f>
        <v>0</v>
      </c>
      <c r="L3833" s="6" t="b">
        <f t="shared" si="3631"/>
        <v>0</v>
      </c>
      <c r="M3833" s="6" t="b">
        <f t="shared" si="3632"/>
        <v>1</v>
      </c>
      <c r="N3833" s="4">
        <v>0.466873736236808</v>
      </c>
      <c r="O3833" s="4">
        <v>0.466873736236808</v>
      </c>
      <c r="P3833" s="4">
        <v>0.784814369085769</v>
      </c>
      <c r="Q3833" s="4">
        <v>-0.262584890257087</v>
      </c>
      <c r="R3833" s="4">
        <v>-0.274975954140696</v>
      </c>
      <c r="S3833" s="4">
        <v>0.686148805363247</v>
      </c>
      <c r="T3833" s="4">
        <f t="shared" si="3"/>
        <v>891</v>
      </c>
      <c r="U3833" s="4">
        <f t="shared" si="4"/>
        <v>395</v>
      </c>
    </row>
    <row r="3834" ht="15.75" customHeight="1">
      <c r="A3834" s="4" t="s">
        <v>929</v>
      </c>
      <c r="B3834" s="4" t="s">
        <v>13</v>
      </c>
      <c r="C3834" s="4">
        <v>1.03</v>
      </c>
      <c r="D3834" s="4">
        <v>0.13</v>
      </c>
      <c r="E3834" s="4">
        <v>0.13</v>
      </c>
      <c r="F3834" s="4">
        <v>1.03</v>
      </c>
      <c r="G3834" s="4">
        <v>0.13</v>
      </c>
      <c r="H3834" s="4">
        <v>0.13</v>
      </c>
      <c r="I3834" s="4">
        <v>0.89</v>
      </c>
      <c r="J3834" s="4">
        <v>0.06</v>
      </c>
      <c r="K3834" s="6" t="b">
        <f t="shared" ref="K3834:L3834" si="3633">FALSE()</f>
        <v>0</v>
      </c>
      <c r="L3834" s="6" t="b">
        <f t="shared" si="3633"/>
        <v>0</v>
      </c>
      <c r="M3834" s="6" t="b">
        <f t="shared" si="3632"/>
        <v>1</v>
      </c>
      <c r="N3834" s="4">
        <v>0.708035793053696</v>
      </c>
      <c r="O3834" s="4">
        <v>0.708035793053696</v>
      </c>
      <c r="P3834" s="4">
        <v>0.636576829071551</v>
      </c>
      <c r="Q3834" s="4">
        <v>0.0046000342714409</v>
      </c>
      <c r="R3834" s="4">
        <v>0.0010041678479854</v>
      </c>
      <c r="S3834" s="4">
        <v>0.121101103134265</v>
      </c>
      <c r="T3834" s="4">
        <f t="shared" si="3"/>
        <v>652</v>
      </c>
      <c r="U3834" s="4">
        <f t="shared" si="4"/>
        <v>770</v>
      </c>
    </row>
    <row r="3835" ht="15.75" customHeight="1">
      <c r="A3835" s="4" t="s">
        <v>4802</v>
      </c>
      <c r="B3835" s="4" t="s">
        <v>13</v>
      </c>
      <c r="D3835" s="4">
        <v>0.62</v>
      </c>
      <c r="E3835" s="4">
        <v>0.62</v>
      </c>
      <c r="F3835" s="4">
        <v>6.97</v>
      </c>
      <c r="G3835" s="4">
        <v>0.62</v>
      </c>
      <c r="H3835" s="4">
        <v>0.62</v>
      </c>
      <c r="K3835" s="6" t="b">
        <f t="shared" ref="K3835:K3847" si="3634">FALSE()</f>
        <v>0</v>
      </c>
      <c r="L3835" s="6" t="b">
        <f>TRUE()</f>
        <v>1</v>
      </c>
      <c r="M3835" s="6" t="b">
        <f>FALSE()</f>
        <v>0</v>
      </c>
      <c r="O3835" s="4">
        <v>2.07568449280212</v>
      </c>
      <c r="T3835" s="4" t="str">
        <f t="shared" si="3"/>
        <v/>
      </c>
      <c r="U3835" s="4" t="str">
        <f t="shared" si="4"/>
        <v/>
      </c>
    </row>
    <row r="3836" ht="15.75" customHeight="1">
      <c r="A3836" s="4" t="s">
        <v>930</v>
      </c>
      <c r="B3836" s="4" t="s">
        <v>13</v>
      </c>
      <c r="C3836" s="4">
        <v>0.25</v>
      </c>
      <c r="D3836" s="4">
        <v>0.08</v>
      </c>
      <c r="E3836" s="4">
        <v>0.08</v>
      </c>
      <c r="F3836" s="4">
        <v>0.25</v>
      </c>
      <c r="G3836" s="4">
        <v>0.08</v>
      </c>
      <c r="H3836" s="4">
        <v>0.08</v>
      </c>
      <c r="I3836" s="4">
        <v>0.978</v>
      </c>
      <c r="J3836" s="4">
        <v>0.022</v>
      </c>
      <c r="K3836" s="6" t="b">
        <f t="shared" si="3634"/>
        <v>0</v>
      </c>
      <c r="L3836" s="6" t="b">
        <f t="shared" ref="L3836:L3848" si="3635">FALSE()</f>
        <v>0</v>
      </c>
      <c r="M3836" s="6" t="b">
        <f t="shared" ref="M3836:M3839" si="3636">TRUE()</f>
        <v>1</v>
      </c>
      <c r="N3836" s="4">
        <v>0.22314355131421</v>
      </c>
      <c r="O3836" s="4">
        <v>0.22314355131421</v>
      </c>
      <c r="P3836" s="4">
        <v>0.68208623320052</v>
      </c>
      <c r="Q3836" s="4">
        <v>-0.474490175227989</v>
      </c>
      <c r="R3836" s="4">
        <v>-0.493856740545512</v>
      </c>
      <c r="S3836" s="4">
        <v>0.285750764710922</v>
      </c>
      <c r="T3836" s="4">
        <f t="shared" si="3"/>
        <v>1109</v>
      </c>
      <c r="U3836" s="4">
        <f t="shared" si="4"/>
        <v>698</v>
      </c>
    </row>
    <row r="3837" ht="15.75" customHeight="1">
      <c r="A3837" s="4" t="s">
        <v>932</v>
      </c>
      <c r="B3837" s="4" t="s">
        <v>13</v>
      </c>
      <c r="C3837" s="4">
        <v>0.34</v>
      </c>
      <c r="D3837" s="4">
        <v>0.08</v>
      </c>
      <c r="E3837" s="4">
        <v>0.08</v>
      </c>
      <c r="F3837" s="4">
        <v>0.34</v>
      </c>
      <c r="G3837" s="4">
        <v>0.08</v>
      </c>
      <c r="H3837" s="4">
        <v>0.08</v>
      </c>
      <c r="I3837" s="4">
        <v>1.09</v>
      </c>
      <c r="J3837" s="4">
        <v>0.03</v>
      </c>
      <c r="K3837" s="6" t="b">
        <f t="shared" si="3634"/>
        <v>0</v>
      </c>
      <c r="L3837" s="6" t="b">
        <f t="shared" si="3635"/>
        <v>0</v>
      </c>
      <c r="M3837" s="6" t="b">
        <f t="shared" si="3636"/>
        <v>1</v>
      </c>
      <c r="N3837" s="4">
        <v>0.29266961396282</v>
      </c>
      <c r="O3837" s="4">
        <v>0.29266961396282</v>
      </c>
      <c r="P3837" s="4">
        <v>0.73716406597672</v>
      </c>
      <c r="Q3837" s="4">
        <v>-0.419210535670362</v>
      </c>
      <c r="R3837" s="4">
        <v>-0.436757404961647</v>
      </c>
      <c r="S3837" s="4">
        <v>0.495304879444849</v>
      </c>
      <c r="T3837" s="4">
        <f t="shared" si="3"/>
        <v>1051</v>
      </c>
      <c r="U3837" s="4">
        <f t="shared" si="4"/>
        <v>535</v>
      </c>
    </row>
    <row r="3838" ht="15.75" customHeight="1">
      <c r="A3838" s="4" t="s">
        <v>933</v>
      </c>
      <c r="B3838" s="4" t="s">
        <v>13</v>
      </c>
      <c r="C3838" s="4">
        <v>0.29</v>
      </c>
      <c r="D3838" s="4">
        <v>0.09</v>
      </c>
      <c r="E3838" s="4">
        <v>0.09</v>
      </c>
      <c r="F3838" s="4">
        <v>0.29</v>
      </c>
      <c r="G3838" s="4">
        <v>0.09</v>
      </c>
      <c r="H3838" s="4">
        <v>0.09</v>
      </c>
      <c r="I3838" s="4">
        <v>1.23</v>
      </c>
      <c r="J3838" s="4">
        <v>0.21</v>
      </c>
      <c r="K3838" s="6" t="b">
        <f t="shared" si="3634"/>
        <v>0</v>
      </c>
      <c r="L3838" s="6" t="b">
        <f t="shared" si="3635"/>
        <v>0</v>
      </c>
      <c r="M3838" s="6" t="b">
        <f t="shared" si="3636"/>
        <v>1</v>
      </c>
      <c r="N3838" s="4">
        <v>0.254642218373581</v>
      </c>
      <c r="O3838" s="4">
        <v>0.254642218373581</v>
      </c>
      <c r="P3838" s="4">
        <v>0.802001585472027</v>
      </c>
      <c r="Q3838" s="4">
        <v>-0.44992144653571</v>
      </c>
      <c r="R3838" s="4">
        <v>-0.468479258063794</v>
      </c>
      <c r="S3838" s="4">
        <v>0.757247522862258</v>
      </c>
      <c r="T3838" s="4">
        <f t="shared" si="3"/>
        <v>1075</v>
      </c>
      <c r="U3838" s="4">
        <f t="shared" si="4"/>
        <v>339</v>
      </c>
    </row>
    <row r="3839" ht="15.75" customHeight="1">
      <c r="A3839" s="4" t="s">
        <v>934</v>
      </c>
      <c r="B3839" s="4" t="s">
        <v>13</v>
      </c>
      <c r="C3839" s="4">
        <v>1.27</v>
      </c>
      <c r="D3839" s="4">
        <v>0.19</v>
      </c>
      <c r="E3839" s="4">
        <v>0.19</v>
      </c>
      <c r="I3839" s="4">
        <v>1.08</v>
      </c>
      <c r="J3839" s="4">
        <v>0.03</v>
      </c>
      <c r="K3839" s="6" t="b">
        <f t="shared" si="3634"/>
        <v>0</v>
      </c>
      <c r="L3839" s="6" t="b">
        <f t="shared" si="3635"/>
        <v>0</v>
      </c>
      <c r="M3839" s="6" t="b">
        <f t="shared" si="3636"/>
        <v>1</v>
      </c>
      <c r="N3839" s="4">
        <v>0.819779831493311</v>
      </c>
      <c r="P3839" s="4">
        <v>0.732367893713227</v>
      </c>
      <c r="T3839" s="4">
        <f t="shared" si="3"/>
        <v>569</v>
      </c>
      <c r="U3839" s="4">
        <f t="shared" si="4"/>
        <v>553</v>
      </c>
    </row>
    <row r="3840" ht="15.75" customHeight="1">
      <c r="A3840" s="4" t="s">
        <v>935</v>
      </c>
      <c r="B3840" s="4" t="s">
        <v>13</v>
      </c>
      <c r="C3840" s="4">
        <v>0.009</v>
      </c>
      <c r="D3840" s="4">
        <v>0.00899</v>
      </c>
      <c r="E3840" s="4">
        <v>0.0</v>
      </c>
      <c r="I3840" s="4">
        <v>0.07</v>
      </c>
      <c r="J3840" s="4">
        <v>0.02</v>
      </c>
      <c r="K3840" s="6" t="b">
        <f t="shared" si="3634"/>
        <v>0</v>
      </c>
      <c r="L3840" s="6" t="b">
        <f t="shared" si="3635"/>
        <v>0</v>
      </c>
      <c r="M3840" s="6" t="b">
        <f t="shared" ref="M3840:M3847" si="3637">FALSE()</f>
        <v>0</v>
      </c>
      <c r="N3840" s="4">
        <v>0.0089597413714719</v>
      </c>
      <c r="P3840" s="4">
        <v>0.0676586484738148</v>
      </c>
      <c r="T3840" s="4">
        <f t="shared" si="3"/>
        <v>1959</v>
      </c>
      <c r="U3840" s="4">
        <f t="shared" si="4"/>
        <v>4489</v>
      </c>
    </row>
    <row r="3841" ht="15.75" customHeight="1">
      <c r="A3841" s="4" t="s">
        <v>936</v>
      </c>
      <c r="B3841" s="4" t="s">
        <v>13</v>
      </c>
      <c r="C3841" s="4">
        <v>0.006</v>
      </c>
      <c r="D3841" s="4">
        <v>0.00599</v>
      </c>
      <c r="E3841" s="4">
        <v>0.0</v>
      </c>
      <c r="I3841" s="4">
        <v>0.065</v>
      </c>
      <c r="J3841" s="4">
        <v>0.018</v>
      </c>
      <c r="K3841" s="6" t="b">
        <f t="shared" si="3634"/>
        <v>0</v>
      </c>
      <c r="L3841" s="6" t="b">
        <f t="shared" si="3635"/>
        <v>0</v>
      </c>
      <c r="M3841" s="6" t="b">
        <f t="shared" si="3637"/>
        <v>0</v>
      </c>
      <c r="N3841" s="4">
        <v>0.0059820716775474</v>
      </c>
      <c r="P3841" s="4">
        <v>0.0629747991613884</v>
      </c>
      <c r="T3841" s="4">
        <f t="shared" si="3"/>
        <v>2011</v>
      </c>
      <c r="U3841" s="4">
        <f t="shared" si="4"/>
        <v>4521</v>
      </c>
    </row>
    <row r="3842" ht="15.75" customHeight="1">
      <c r="A3842" s="4" t="s">
        <v>938</v>
      </c>
      <c r="B3842" s="4" t="s">
        <v>13</v>
      </c>
      <c r="C3842" s="4">
        <v>0.003</v>
      </c>
      <c r="D3842" s="4">
        <v>0.00299</v>
      </c>
      <c r="E3842" s="4">
        <v>0.0</v>
      </c>
      <c r="I3842" s="4">
        <v>0.051</v>
      </c>
      <c r="J3842" s="4">
        <v>0.016</v>
      </c>
      <c r="K3842" s="6" t="b">
        <f t="shared" si="3634"/>
        <v>0</v>
      </c>
      <c r="L3842" s="6" t="b">
        <f t="shared" si="3635"/>
        <v>0</v>
      </c>
      <c r="M3842" s="6" t="b">
        <f t="shared" si="3637"/>
        <v>0</v>
      </c>
      <c r="N3842" s="4">
        <v>0.0029955089797984</v>
      </c>
      <c r="P3842" s="4">
        <v>0.049742091894814</v>
      </c>
      <c r="T3842" s="4">
        <f t="shared" si="3"/>
        <v>2052</v>
      </c>
      <c r="U3842" s="4">
        <f t="shared" si="4"/>
        <v>4553</v>
      </c>
    </row>
    <row r="3843" ht="15.75" customHeight="1">
      <c r="A3843" s="4" t="s">
        <v>4803</v>
      </c>
      <c r="B3843" s="4" t="s">
        <v>13</v>
      </c>
      <c r="I3843" s="4">
        <v>0.29</v>
      </c>
      <c r="K3843" s="6" t="b">
        <f t="shared" si="3634"/>
        <v>0</v>
      </c>
      <c r="L3843" s="6" t="b">
        <f t="shared" si="3635"/>
        <v>0</v>
      </c>
      <c r="M3843" s="6" t="b">
        <f t="shared" si="3637"/>
        <v>0</v>
      </c>
      <c r="P3843" s="4">
        <v>0.254642218373581</v>
      </c>
      <c r="T3843" s="4" t="str">
        <f t="shared" si="3"/>
        <v/>
      </c>
      <c r="U3843" s="4">
        <f t="shared" si="4"/>
        <v>1438</v>
      </c>
    </row>
    <row r="3844" ht="15.75" customHeight="1">
      <c r="A3844" s="4" t="s">
        <v>4804</v>
      </c>
      <c r="B3844" s="4" t="s">
        <v>13</v>
      </c>
      <c r="I3844" s="4">
        <v>0.16</v>
      </c>
      <c r="K3844" s="6" t="b">
        <f t="shared" si="3634"/>
        <v>0</v>
      </c>
      <c r="L3844" s="6" t="b">
        <f t="shared" si="3635"/>
        <v>0</v>
      </c>
      <c r="M3844" s="6" t="b">
        <f t="shared" si="3637"/>
        <v>0</v>
      </c>
      <c r="P3844" s="4">
        <v>0.148420005118273</v>
      </c>
      <c r="T3844" s="4" t="str">
        <f t="shared" si="3"/>
        <v/>
      </c>
      <c r="U3844" s="4">
        <f t="shared" si="4"/>
        <v>3181</v>
      </c>
    </row>
    <row r="3845" ht="15.75" customHeight="1">
      <c r="A3845" s="4" t="s">
        <v>4805</v>
      </c>
      <c r="B3845" s="4" t="s">
        <v>13</v>
      </c>
      <c r="I3845" s="4">
        <v>0.068</v>
      </c>
      <c r="K3845" s="6" t="b">
        <f t="shared" si="3634"/>
        <v>0</v>
      </c>
      <c r="L3845" s="6" t="b">
        <f t="shared" si="3635"/>
        <v>0</v>
      </c>
      <c r="M3845" s="6" t="b">
        <f t="shared" si="3637"/>
        <v>0</v>
      </c>
      <c r="P3845" s="4">
        <v>0.0657877405380031</v>
      </c>
      <c r="T3845" s="4" t="str">
        <f t="shared" si="3"/>
        <v/>
      </c>
      <c r="U3845" s="4">
        <f t="shared" si="4"/>
        <v>4500</v>
      </c>
    </row>
    <row r="3846" ht="15.75" customHeight="1">
      <c r="A3846" s="4" t="s">
        <v>4806</v>
      </c>
      <c r="B3846" s="4" t="s">
        <v>13</v>
      </c>
      <c r="I3846" s="4">
        <v>0.06</v>
      </c>
      <c r="K3846" s="6" t="b">
        <f t="shared" si="3634"/>
        <v>0</v>
      </c>
      <c r="L3846" s="6" t="b">
        <f t="shared" si="3635"/>
        <v>0</v>
      </c>
      <c r="M3846" s="6" t="b">
        <f t="shared" si="3637"/>
        <v>0</v>
      </c>
      <c r="P3846" s="4">
        <v>0.0582689081239757</v>
      </c>
      <c r="T3846" s="4" t="str">
        <f t="shared" si="3"/>
        <v/>
      </c>
      <c r="U3846" s="4">
        <f t="shared" si="4"/>
        <v>4535</v>
      </c>
    </row>
    <row r="3847" ht="15.75" customHeight="1">
      <c r="A3847" s="4" t="s">
        <v>4807</v>
      </c>
      <c r="B3847" s="4" t="s">
        <v>13</v>
      </c>
      <c r="I3847" s="4">
        <v>0.1</v>
      </c>
      <c r="K3847" s="6" t="b">
        <f t="shared" si="3634"/>
        <v>0</v>
      </c>
      <c r="L3847" s="6" t="b">
        <f t="shared" si="3635"/>
        <v>0</v>
      </c>
      <c r="M3847" s="6" t="b">
        <f t="shared" si="3637"/>
        <v>0</v>
      </c>
      <c r="P3847" s="4">
        <v>0.0953101798043248</v>
      </c>
      <c r="T3847" s="4" t="str">
        <f t="shared" si="3"/>
        <v/>
      </c>
      <c r="U3847" s="4">
        <f t="shared" si="4"/>
        <v>4220</v>
      </c>
    </row>
    <row r="3848" ht="15.75" customHeight="1">
      <c r="A3848" s="4" t="s">
        <v>939</v>
      </c>
      <c r="B3848" s="4" t="s">
        <v>13</v>
      </c>
      <c r="C3848" s="4">
        <v>5.41</v>
      </c>
      <c r="D3848" s="4">
        <v>0.18</v>
      </c>
      <c r="E3848" s="4">
        <v>0.32</v>
      </c>
      <c r="F3848" s="4">
        <v>5.41</v>
      </c>
      <c r="G3848" s="4">
        <v>0.3</v>
      </c>
      <c r="H3848" s="4">
        <v>0.19</v>
      </c>
      <c r="I3848" s="4">
        <v>1.145</v>
      </c>
      <c r="J3848" s="4">
        <v>0.039</v>
      </c>
      <c r="K3848" s="6" t="b">
        <f>TRUE()</f>
        <v>1</v>
      </c>
      <c r="L3848" s="6" t="b">
        <f t="shared" si="3635"/>
        <v>0</v>
      </c>
      <c r="M3848" s="6" t="b">
        <f>TRUE()</f>
        <v>1</v>
      </c>
      <c r="N3848" s="4">
        <v>1.85785927093258</v>
      </c>
      <c r="O3848" s="4">
        <v>1.85785927093258</v>
      </c>
      <c r="P3848" s="4">
        <v>0.76313955237998</v>
      </c>
      <c r="Q3848" s="4">
        <v>2.69487582607593</v>
      </c>
      <c r="R3848" s="4">
        <v>2.77983849959609</v>
      </c>
      <c r="S3848" s="4">
        <v>0.598210917930259</v>
      </c>
      <c r="T3848" s="4">
        <f t="shared" si="3"/>
        <v>193</v>
      </c>
      <c r="U3848" s="4">
        <f t="shared" si="4"/>
        <v>452</v>
      </c>
    </row>
    <row r="3849" ht="15.75" customHeight="1">
      <c r="A3849" s="4" t="s">
        <v>4808</v>
      </c>
      <c r="B3849" s="4" t="s">
        <v>13</v>
      </c>
      <c r="D3849" s="4">
        <v>0.24</v>
      </c>
      <c r="E3849" s="4">
        <v>0.22</v>
      </c>
      <c r="F3849" s="4">
        <v>2.43</v>
      </c>
      <c r="G3849" s="4">
        <v>0.24</v>
      </c>
      <c r="H3849" s="4">
        <v>0.22</v>
      </c>
      <c r="K3849" s="6" t="b">
        <f t="shared" ref="K3849:M3849" si="3638">FALSE()</f>
        <v>0</v>
      </c>
      <c r="L3849" s="6" t="b">
        <f t="shared" si="3638"/>
        <v>0</v>
      </c>
      <c r="M3849" s="6" t="b">
        <f t="shared" si="3638"/>
        <v>0</v>
      </c>
      <c r="O3849" s="4">
        <v>1.23256026117785</v>
      </c>
      <c r="T3849" s="4" t="str">
        <f t="shared" si="3"/>
        <v/>
      </c>
      <c r="U3849" s="4" t="str">
        <f t="shared" si="4"/>
        <v/>
      </c>
    </row>
    <row r="3850" ht="15.75" customHeight="1">
      <c r="A3850" s="4" t="s">
        <v>940</v>
      </c>
      <c r="B3850" s="4" t="s">
        <v>13</v>
      </c>
      <c r="C3850" s="4">
        <v>2.82</v>
      </c>
      <c r="D3850" s="4">
        <v>0.52</v>
      </c>
      <c r="E3850" s="4">
        <v>0.52</v>
      </c>
      <c r="I3850" s="4">
        <v>1.45</v>
      </c>
      <c r="J3850" s="4">
        <v>0.16</v>
      </c>
      <c r="K3850" s="6" t="b">
        <f t="shared" ref="K3850:L3850" si="3639">FALSE()</f>
        <v>0</v>
      </c>
      <c r="L3850" s="6" t="b">
        <f t="shared" si="3639"/>
        <v>0</v>
      </c>
      <c r="M3850" s="6" t="b">
        <f t="shared" ref="M3850:M3852" si="3641">TRUE()</f>
        <v>1</v>
      </c>
      <c r="N3850" s="4">
        <v>1.34025042261848</v>
      </c>
      <c r="P3850" s="4">
        <v>0.896088024556636</v>
      </c>
      <c r="T3850" s="4">
        <f t="shared" si="3"/>
        <v>336</v>
      </c>
      <c r="U3850" s="4">
        <f t="shared" si="4"/>
        <v>142</v>
      </c>
    </row>
    <row r="3851" ht="15.75" customHeight="1">
      <c r="A3851" s="4" t="s">
        <v>941</v>
      </c>
      <c r="B3851" s="4" t="s">
        <v>13</v>
      </c>
      <c r="C3851" s="4">
        <v>2.86</v>
      </c>
      <c r="D3851" s="4">
        <v>0.35</v>
      </c>
      <c r="E3851" s="4">
        <v>0.35</v>
      </c>
      <c r="I3851" s="4">
        <v>1.13</v>
      </c>
      <c r="J3851" s="4">
        <v>0.18</v>
      </c>
      <c r="K3851" s="6" t="b">
        <f t="shared" ref="K3851:L3851" si="3640">FALSE()</f>
        <v>0</v>
      </c>
      <c r="L3851" s="6" t="b">
        <f t="shared" si="3640"/>
        <v>0</v>
      </c>
      <c r="M3851" s="6" t="b">
        <f t="shared" si="3641"/>
        <v>1</v>
      </c>
      <c r="N3851" s="4">
        <v>1.35066718347674</v>
      </c>
      <c r="P3851" s="4">
        <v>0.756121979721334</v>
      </c>
      <c r="T3851" s="4">
        <f t="shared" si="3"/>
        <v>332</v>
      </c>
      <c r="U3851" s="4">
        <f t="shared" si="4"/>
        <v>478</v>
      </c>
    </row>
    <row r="3852" ht="15.75" customHeight="1">
      <c r="A3852" s="4" t="s">
        <v>942</v>
      </c>
      <c r="B3852" s="4" t="s">
        <v>13</v>
      </c>
      <c r="C3852" s="4">
        <v>0.84</v>
      </c>
      <c r="D3852" s="4">
        <v>0.15</v>
      </c>
      <c r="E3852" s="4">
        <v>0.15</v>
      </c>
      <c r="I3852" s="4">
        <v>1.99</v>
      </c>
      <c r="J3852" s="4">
        <v>0.18</v>
      </c>
      <c r="K3852" s="6" t="b">
        <f t="shared" ref="K3852:L3852" si="3642">FALSE()</f>
        <v>0</v>
      </c>
      <c r="L3852" s="6" t="b">
        <f t="shared" si="3642"/>
        <v>0</v>
      </c>
      <c r="M3852" s="6" t="b">
        <f t="shared" si="3641"/>
        <v>1</v>
      </c>
      <c r="N3852" s="4">
        <v>0.609765571620894</v>
      </c>
      <c r="P3852" s="4">
        <v>1.0952733874026</v>
      </c>
      <c r="T3852" s="4">
        <f t="shared" si="3"/>
        <v>748</v>
      </c>
      <c r="U3852" s="4">
        <f t="shared" si="4"/>
        <v>12</v>
      </c>
    </row>
    <row r="3853" ht="15.75" customHeight="1">
      <c r="A3853" s="4" t="s">
        <v>4809</v>
      </c>
      <c r="B3853" s="4" t="s">
        <v>13</v>
      </c>
      <c r="I3853" s="4">
        <v>0.24</v>
      </c>
      <c r="J3853" s="4">
        <v>0.02</v>
      </c>
      <c r="K3853" s="6" t="b">
        <f t="shared" ref="K3853:M3853" si="3643">FALSE()</f>
        <v>0</v>
      </c>
      <c r="L3853" s="6" t="b">
        <f t="shared" si="3643"/>
        <v>0</v>
      </c>
      <c r="M3853" s="6" t="b">
        <f t="shared" si="3643"/>
        <v>0</v>
      </c>
      <c r="P3853" s="4">
        <v>0.215111379616946</v>
      </c>
      <c r="T3853" s="4" t="str">
        <f t="shared" si="3"/>
        <v/>
      </c>
      <c r="U3853" s="4">
        <f t="shared" si="4"/>
        <v>1950</v>
      </c>
    </row>
    <row r="3854" ht="15.75" customHeight="1">
      <c r="A3854" s="4" t="s">
        <v>4810</v>
      </c>
      <c r="B3854" s="4" t="s">
        <v>13</v>
      </c>
      <c r="I3854" s="4">
        <v>0.208</v>
      </c>
      <c r="J3854" s="4">
        <v>0.012</v>
      </c>
      <c r="K3854" s="6" t="b">
        <f t="shared" ref="K3854:M3854" si="3644">FALSE()</f>
        <v>0</v>
      </c>
      <c r="L3854" s="6" t="b">
        <f t="shared" si="3644"/>
        <v>0</v>
      </c>
      <c r="M3854" s="6" t="b">
        <f t="shared" si="3644"/>
        <v>0</v>
      </c>
      <c r="P3854" s="4">
        <v>0.188966099512623</v>
      </c>
      <c r="T3854" s="4" t="str">
        <f t="shared" si="3"/>
        <v/>
      </c>
      <c r="U3854" s="4">
        <f t="shared" si="4"/>
        <v>2450</v>
      </c>
    </row>
    <row r="3855" ht="15.75" customHeight="1">
      <c r="A3855" s="4" t="s">
        <v>4811</v>
      </c>
      <c r="B3855" s="4" t="s">
        <v>13</v>
      </c>
      <c r="I3855" s="4">
        <v>0.19</v>
      </c>
      <c r="J3855" s="4">
        <v>0.02</v>
      </c>
      <c r="K3855" s="6" t="b">
        <f t="shared" ref="K3855:M3855" si="3645">FALSE()</f>
        <v>0</v>
      </c>
      <c r="L3855" s="6" t="b">
        <f t="shared" si="3645"/>
        <v>0</v>
      </c>
      <c r="M3855" s="6" t="b">
        <f t="shared" si="3645"/>
        <v>0</v>
      </c>
      <c r="P3855" s="4">
        <v>0.173953307123438</v>
      </c>
      <c r="T3855" s="4" t="str">
        <f t="shared" si="3"/>
        <v/>
      </c>
      <c r="U3855" s="4">
        <f t="shared" si="4"/>
        <v>2740</v>
      </c>
    </row>
    <row r="3856" ht="15.75" customHeight="1">
      <c r="A3856" s="4" t="s">
        <v>4812</v>
      </c>
      <c r="B3856" s="4" t="s">
        <v>13</v>
      </c>
      <c r="I3856" s="4">
        <v>0.1</v>
      </c>
      <c r="J3856" s="4">
        <v>0.02</v>
      </c>
      <c r="K3856" s="6" t="b">
        <f t="shared" ref="K3856:M3856" si="3646">FALSE()</f>
        <v>0</v>
      </c>
      <c r="L3856" s="6" t="b">
        <f t="shared" si="3646"/>
        <v>0</v>
      </c>
      <c r="M3856" s="6" t="b">
        <f t="shared" si="3646"/>
        <v>0</v>
      </c>
      <c r="P3856" s="4">
        <v>0.0953101798043248</v>
      </c>
      <c r="T3856" s="4" t="str">
        <f t="shared" si="3"/>
        <v/>
      </c>
      <c r="U3856" s="4">
        <f t="shared" si="4"/>
        <v>4221</v>
      </c>
    </row>
    <row r="3857" ht="15.75" customHeight="1">
      <c r="A3857" s="4" t="s">
        <v>4813</v>
      </c>
      <c r="B3857" s="4" t="s">
        <v>13</v>
      </c>
      <c r="I3857" s="4">
        <v>0.2</v>
      </c>
      <c r="J3857" s="4">
        <v>0.014</v>
      </c>
      <c r="K3857" s="6" t="b">
        <f t="shared" ref="K3857:M3857" si="3647">FALSE()</f>
        <v>0</v>
      </c>
      <c r="L3857" s="6" t="b">
        <f t="shared" si="3647"/>
        <v>0</v>
      </c>
      <c r="M3857" s="6" t="b">
        <f t="shared" si="3647"/>
        <v>0</v>
      </c>
      <c r="P3857" s="4">
        <v>0.182321556793955</v>
      </c>
      <c r="T3857" s="4" t="str">
        <f t="shared" si="3"/>
        <v/>
      </c>
      <c r="U3857" s="4">
        <f t="shared" si="4"/>
        <v>2588</v>
      </c>
    </row>
    <row r="3858" ht="15.75" customHeight="1">
      <c r="A3858" s="4" t="s">
        <v>943</v>
      </c>
      <c r="B3858" s="4" t="s">
        <v>13</v>
      </c>
      <c r="C3858" s="4">
        <v>3.23</v>
      </c>
      <c r="D3858" s="4">
        <v>0.19</v>
      </c>
      <c r="E3858" s="4">
        <v>0.19</v>
      </c>
      <c r="I3858" s="4">
        <v>1.219</v>
      </c>
      <c r="J3858" s="4">
        <v>0.064</v>
      </c>
      <c r="K3858" s="6" t="b">
        <f t="shared" ref="K3858:L3858" si="3648">FALSE()</f>
        <v>0</v>
      </c>
      <c r="L3858" s="6" t="b">
        <f t="shared" si="3648"/>
        <v>0</v>
      </c>
      <c r="M3858" s="6" t="b">
        <f>TRUE()</f>
        <v>1</v>
      </c>
      <c r="N3858" s="4">
        <v>1.44220199305819</v>
      </c>
      <c r="P3858" s="4">
        <v>0.797056643950457</v>
      </c>
      <c r="T3858" s="4">
        <f t="shared" si="3"/>
        <v>307</v>
      </c>
      <c r="U3858" s="4">
        <f t="shared" si="4"/>
        <v>352</v>
      </c>
    </row>
    <row r="3859" ht="15.75" customHeight="1">
      <c r="A3859" s="4" t="s">
        <v>4814</v>
      </c>
      <c r="B3859" s="4" t="s">
        <v>13</v>
      </c>
      <c r="I3859" s="4">
        <v>0.17</v>
      </c>
      <c r="J3859" s="4">
        <v>0.02</v>
      </c>
      <c r="K3859" s="6" t="b">
        <f t="shared" ref="K3859:M3859" si="3649">FALSE()</f>
        <v>0</v>
      </c>
      <c r="L3859" s="6" t="b">
        <f t="shared" si="3649"/>
        <v>0</v>
      </c>
      <c r="M3859" s="6" t="b">
        <f t="shared" si="3649"/>
        <v>0</v>
      </c>
      <c r="P3859" s="4">
        <v>0.157003748809665</v>
      </c>
      <c r="T3859" s="4" t="str">
        <f t="shared" si="3"/>
        <v/>
      </c>
      <c r="U3859" s="4">
        <f t="shared" si="4"/>
        <v>3051</v>
      </c>
    </row>
    <row r="3860" ht="15.75" customHeight="1">
      <c r="A3860" s="4" t="s">
        <v>4815</v>
      </c>
      <c r="B3860" s="4" t="s">
        <v>13</v>
      </c>
      <c r="I3860" s="4">
        <v>0.15</v>
      </c>
      <c r="J3860" s="4">
        <v>0.02</v>
      </c>
      <c r="K3860" s="6" t="b">
        <f t="shared" ref="K3860:M3860" si="3650">FALSE()</f>
        <v>0</v>
      </c>
      <c r="L3860" s="6" t="b">
        <f t="shared" si="3650"/>
        <v>0</v>
      </c>
      <c r="M3860" s="6" t="b">
        <f t="shared" si="3650"/>
        <v>0</v>
      </c>
      <c r="P3860" s="4">
        <v>0.139761942375159</v>
      </c>
      <c r="T3860" s="4" t="str">
        <f t="shared" si="3"/>
        <v/>
      </c>
      <c r="U3860" s="4">
        <f t="shared" si="4"/>
        <v>3328</v>
      </c>
    </row>
    <row r="3861" ht="15.75" customHeight="1">
      <c r="A3861" s="4" t="s">
        <v>4816</v>
      </c>
      <c r="B3861" s="4" t="s">
        <v>13</v>
      </c>
      <c r="I3861" s="4">
        <v>0.12</v>
      </c>
      <c r="J3861" s="4">
        <v>0.0098</v>
      </c>
      <c r="K3861" s="6" t="b">
        <f t="shared" ref="K3861:M3861" si="3651">FALSE()</f>
        <v>0</v>
      </c>
      <c r="L3861" s="6" t="b">
        <f t="shared" si="3651"/>
        <v>0</v>
      </c>
      <c r="M3861" s="6" t="b">
        <f t="shared" si="3651"/>
        <v>0</v>
      </c>
      <c r="P3861" s="4">
        <v>0.113328685307003</v>
      </c>
      <c r="T3861" s="4" t="str">
        <f t="shared" si="3"/>
        <v/>
      </c>
      <c r="U3861" s="4">
        <f t="shared" si="4"/>
        <v>3871</v>
      </c>
    </row>
    <row r="3862" ht="15.75" customHeight="1">
      <c r="A3862" s="4" t="s">
        <v>4817</v>
      </c>
      <c r="B3862" s="4" t="s">
        <v>13</v>
      </c>
      <c r="I3862" s="4">
        <v>0.21</v>
      </c>
      <c r="J3862" s="4">
        <v>0.02</v>
      </c>
      <c r="K3862" s="6" t="b">
        <f t="shared" ref="K3862:M3862" si="3652">FALSE()</f>
        <v>0</v>
      </c>
      <c r="L3862" s="6" t="b">
        <f t="shared" si="3652"/>
        <v>0</v>
      </c>
      <c r="M3862" s="6" t="b">
        <f t="shared" si="3652"/>
        <v>0</v>
      </c>
      <c r="P3862" s="4">
        <v>0.19062035960865</v>
      </c>
      <c r="T3862" s="4" t="str">
        <f t="shared" si="3"/>
        <v/>
      </c>
      <c r="U3862" s="4">
        <f t="shared" si="4"/>
        <v>2423</v>
      </c>
    </row>
    <row r="3863" ht="15.75" customHeight="1">
      <c r="A3863" s="4" t="s">
        <v>4818</v>
      </c>
      <c r="B3863" s="4" t="s">
        <v>13</v>
      </c>
      <c r="I3863" s="4">
        <v>0.03595</v>
      </c>
      <c r="J3863" s="4">
        <v>0.0036</v>
      </c>
      <c r="K3863" s="6" t="b">
        <f t="shared" ref="K3863:M3863" si="3653">FALSE()</f>
        <v>0</v>
      </c>
      <c r="L3863" s="6" t="b">
        <f t="shared" si="3653"/>
        <v>0</v>
      </c>
      <c r="M3863" s="6" t="b">
        <f t="shared" si="3653"/>
        <v>0</v>
      </c>
      <c r="P3863" s="4">
        <v>0.0353188801243545</v>
      </c>
      <c r="T3863" s="4" t="str">
        <f t="shared" si="3"/>
        <v/>
      </c>
      <c r="U3863" s="4">
        <f t="shared" si="4"/>
        <v>4566</v>
      </c>
    </row>
    <row r="3864" ht="15.75" customHeight="1">
      <c r="A3864" s="4" t="s">
        <v>4819</v>
      </c>
      <c r="B3864" s="4" t="s">
        <v>13</v>
      </c>
      <c r="I3864" s="4">
        <v>0.044</v>
      </c>
      <c r="J3864" s="4">
        <v>0.002</v>
      </c>
      <c r="K3864" s="6" t="b">
        <f t="shared" ref="K3864:M3864" si="3654">FALSE()</f>
        <v>0</v>
      </c>
      <c r="L3864" s="6" t="b">
        <f t="shared" si="3654"/>
        <v>0</v>
      </c>
      <c r="M3864" s="6" t="b">
        <f t="shared" si="3654"/>
        <v>0</v>
      </c>
      <c r="P3864" s="4">
        <v>0.0430594894604469</v>
      </c>
      <c r="T3864" s="4" t="str">
        <f t="shared" si="3"/>
        <v/>
      </c>
      <c r="U3864" s="4">
        <f t="shared" si="4"/>
        <v>4562</v>
      </c>
    </row>
    <row r="3865" ht="15.75" customHeight="1">
      <c r="A3865" s="4" t="s">
        <v>4820</v>
      </c>
      <c r="B3865" s="4" t="s">
        <v>13</v>
      </c>
      <c r="I3865" s="4">
        <v>0.047</v>
      </c>
      <c r="J3865" s="4">
        <v>0.002</v>
      </c>
      <c r="K3865" s="6" t="b">
        <f t="shared" ref="K3865:M3865" si="3655">FALSE()</f>
        <v>0</v>
      </c>
      <c r="L3865" s="6" t="b">
        <f t="shared" si="3655"/>
        <v>0</v>
      </c>
      <c r="M3865" s="6" t="b">
        <f t="shared" si="3655"/>
        <v>0</v>
      </c>
      <c r="P3865" s="4">
        <v>0.0459289318883998</v>
      </c>
      <c r="T3865" s="4" t="str">
        <f t="shared" si="3"/>
        <v/>
      </c>
      <c r="U3865" s="4">
        <f t="shared" si="4"/>
        <v>4558</v>
      </c>
    </row>
    <row r="3866" ht="15.75" customHeight="1">
      <c r="A3866" s="4" t="s">
        <v>4821</v>
      </c>
      <c r="B3866" s="4" t="s">
        <v>13</v>
      </c>
      <c r="I3866" s="4">
        <v>0.049</v>
      </c>
      <c r="J3866" s="4">
        <v>0.001</v>
      </c>
      <c r="K3866" s="6" t="b">
        <f t="shared" ref="K3866:M3866" si="3656">FALSE()</f>
        <v>0</v>
      </c>
      <c r="L3866" s="6" t="b">
        <f t="shared" si="3656"/>
        <v>0</v>
      </c>
      <c r="M3866" s="6" t="b">
        <f t="shared" si="3656"/>
        <v>0</v>
      </c>
      <c r="P3866" s="4">
        <v>0.0478373294141601</v>
      </c>
      <c r="T3866" s="4" t="str">
        <f t="shared" si="3"/>
        <v/>
      </c>
      <c r="U3866" s="4">
        <f t="shared" si="4"/>
        <v>4555</v>
      </c>
    </row>
    <row r="3867" ht="15.75" customHeight="1">
      <c r="A3867" s="4" t="s">
        <v>4822</v>
      </c>
      <c r="B3867" s="4" t="s">
        <v>13</v>
      </c>
      <c r="I3867" s="4">
        <v>0.066</v>
      </c>
      <c r="J3867" s="4">
        <v>0.004</v>
      </c>
      <c r="K3867" s="6" t="b">
        <f t="shared" ref="K3867:M3867" si="3657">FALSE()</f>
        <v>0</v>
      </c>
      <c r="L3867" s="6" t="b">
        <f t="shared" si="3657"/>
        <v>0</v>
      </c>
      <c r="M3867" s="6" t="b">
        <f t="shared" si="3657"/>
        <v>0</v>
      </c>
      <c r="P3867" s="4">
        <v>0.0639133257436528</v>
      </c>
      <c r="T3867" s="4" t="str">
        <f t="shared" si="3"/>
        <v/>
      </c>
      <c r="U3867" s="4">
        <f t="shared" si="4"/>
        <v>4513</v>
      </c>
    </row>
    <row r="3868" ht="15.75" customHeight="1">
      <c r="A3868" s="4" t="s">
        <v>945</v>
      </c>
      <c r="B3868" s="4" t="s">
        <v>13</v>
      </c>
      <c r="C3868" s="4">
        <v>0.02</v>
      </c>
      <c r="D3868" s="4">
        <v>0.003</v>
      </c>
      <c r="E3868" s="4">
        <v>0.003</v>
      </c>
      <c r="I3868" s="4">
        <v>0.14</v>
      </c>
      <c r="J3868" s="4">
        <v>0.02</v>
      </c>
      <c r="K3868" s="6" t="b">
        <f t="shared" ref="K3868:M3868" si="3658">FALSE()</f>
        <v>0</v>
      </c>
      <c r="L3868" s="6" t="b">
        <f t="shared" si="3658"/>
        <v>0</v>
      </c>
      <c r="M3868" s="6" t="b">
        <f t="shared" si="3658"/>
        <v>0</v>
      </c>
      <c r="N3868" s="4">
        <v>0.0198026272961797</v>
      </c>
      <c r="P3868" s="4">
        <v>0.131028262406404</v>
      </c>
      <c r="T3868" s="4">
        <f t="shared" si="3"/>
        <v>1732</v>
      </c>
      <c r="U3868" s="4">
        <f t="shared" si="4"/>
        <v>3509</v>
      </c>
    </row>
    <row r="3869" ht="15.75" customHeight="1">
      <c r="A3869" s="4" t="s">
        <v>946</v>
      </c>
      <c r="B3869" s="4" t="s">
        <v>13</v>
      </c>
      <c r="C3869" s="4">
        <v>0.027</v>
      </c>
      <c r="D3869" s="4">
        <v>0.002</v>
      </c>
      <c r="E3869" s="4">
        <v>0.002</v>
      </c>
      <c r="I3869" s="4">
        <v>0.22</v>
      </c>
      <c r="J3869" s="4">
        <v>0.03</v>
      </c>
      <c r="K3869" s="6" t="b">
        <f t="shared" ref="K3869:M3869" si="3659">FALSE()</f>
        <v>0</v>
      </c>
      <c r="L3869" s="6" t="b">
        <f t="shared" si="3659"/>
        <v>0</v>
      </c>
      <c r="M3869" s="6" t="b">
        <f t="shared" si="3659"/>
        <v>0</v>
      </c>
      <c r="N3869" s="4">
        <v>0.0266419309464211</v>
      </c>
      <c r="P3869" s="4">
        <v>0.198850858745165</v>
      </c>
      <c r="T3869" s="4">
        <f t="shared" si="3"/>
        <v>1605</v>
      </c>
      <c r="U3869" s="4">
        <f t="shared" si="4"/>
        <v>2267</v>
      </c>
    </row>
    <row r="3870" ht="15.75" customHeight="1">
      <c r="A3870" s="4" t="s">
        <v>947</v>
      </c>
      <c r="B3870" s="4" t="s">
        <v>13</v>
      </c>
      <c r="C3870" s="4">
        <v>0.011</v>
      </c>
      <c r="D3870" s="4">
        <v>0.002</v>
      </c>
      <c r="E3870" s="4">
        <v>0.002</v>
      </c>
      <c r="I3870" s="4">
        <v>0.11</v>
      </c>
      <c r="J3870" s="4">
        <v>0.02</v>
      </c>
      <c r="K3870" s="6" t="b">
        <f t="shared" ref="K3870:M3870" si="3660">FALSE()</f>
        <v>0</v>
      </c>
      <c r="L3870" s="6" t="b">
        <f t="shared" si="3660"/>
        <v>0</v>
      </c>
      <c r="M3870" s="6" t="b">
        <f t="shared" si="3660"/>
        <v>0</v>
      </c>
      <c r="N3870" s="4">
        <v>0.0109399400383343</v>
      </c>
      <c r="P3870" s="4">
        <v>0.104360015324243</v>
      </c>
      <c r="T3870" s="4">
        <f t="shared" si="3"/>
        <v>1918</v>
      </c>
      <c r="U3870" s="4">
        <f t="shared" si="4"/>
        <v>4049</v>
      </c>
    </row>
    <row r="3871" ht="15.75" customHeight="1">
      <c r="A3871" s="4" t="s">
        <v>948</v>
      </c>
      <c r="B3871" s="4" t="s">
        <v>13</v>
      </c>
      <c r="C3871" s="4">
        <v>0.014</v>
      </c>
      <c r="D3871" s="4">
        <v>0.002</v>
      </c>
      <c r="E3871" s="4">
        <v>0.002</v>
      </c>
      <c r="I3871" s="4">
        <v>0.13</v>
      </c>
      <c r="J3871" s="4">
        <v>0.02</v>
      </c>
      <c r="K3871" s="6" t="b">
        <f t="shared" ref="K3871:M3871" si="3661">FALSE()</f>
        <v>0</v>
      </c>
      <c r="L3871" s="6" t="b">
        <f t="shared" si="3661"/>
        <v>0</v>
      </c>
      <c r="M3871" s="6" t="b">
        <f t="shared" si="3661"/>
        <v>0</v>
      </c>
      <c r="N3871" s="4">
        <v>0.0139029051689914</v>
      </c>
      <c r="P3871" s="4">
        <v>0.122217632724249</v>
      </c>
      <c r="T3871" s="4">
        <f t="shared" si="3"/>
        <v>1848</v>
      </c>
      <c r="U3871" s="4">
        <f t="shared" si="4"/>
        <v>3699</v>
      </c>
    </row>
    <row r="3872" ht="15.75" customHeight="1">
      <c r="A3872" s="4" t="s">
        <v>949</v>
      </c>
      <c r="B3872" s="4" t="s">
        <v>13</v>
      </c>
      <c r="C3872" s="4">
        <v>0.009</v>
      </c>
      <c r="D3872" s="4">
        <v>0.003</v>
      </c>
      <c r="E3872" s="4">
        <v>0.003</v>
      </c>
      <c r="I3872" s="4">
        <v>0.1</v>
      </c>
      <c r="J3872" s="4">
        <v>0.02</v>
      </c>
      <c r="K3872" s="6" t="b">
        <f t="shared" ref="K3872:M3872" si="3662">FALSE()</f>
        <v>0</v>
      </c>
      <c r="L3872" s="6" t="b">
        <f t="shared" si="3662"/>
        <v>0</v>
      </c>
      <c r="M3872" s="6" t="b">
        <f t="shared" si="3662"/>
        <v>0</v>
      </c>
      <c r="N3872" s="4">
        <v>0.0089597413714719</v>
      </c>
      <c r="P3872" s="4">
        <v>0.0953101798043248</v>
      </c>
      <c r="T3872" s="4">
        <f t="shared" si="3"/>
        <v>1960</v>
      </c>
      <c r="U3872" s="4">
        <f t="shared" si="4"/>
        <v>4222</v>
      </c>
    </row>
    <row r="3873" ht="15.75" customHeight="1">
      <c r="A3873" s="4" t="s">
        <v>951</v>
      </c>
      <c r="B3873" s="4" t="s">
        <v>13</v>
      </c>
      <c r="C3873" s="4">
        <v>0.01</v>
      </c>
      <c r="D3873" s="4">
        <v>0.003</v>
      </c>
      <c r="E3873" s="4">
        <v>0.003</v>
      </c>
      <c r="I3873" s="4">
        <v>0.12</v>
      </c>
      <c r="J3873" s="4">
        <v>0.02</v>
      </c>
      <c r="K3873" s="6" t="b">
        <f t="shared" ref="K3873:M3873" si="3663">FALSE()</f>
        <v>0</v>
      </c>
      <c r="L3873" s="6" t="b">
        <f t="shared" si="3663"/>
        <v>0</v>
      </c>
      <c r="M3873" s="6" t="b">
        <f t="shared" si="3663"/>
        <v>0</v>
      </c>
      <c r="N3873" s="4">
        <v>0.009950330853168</v>
      </c>
      <c r="P3873" s="4">
        <v>0.113328685307003</v>
      </c>
      <c r="T3873" s="4">
        <f t="shared" si="3"/>
        <v>1942</v>
      </c>
      <c r="U3873" s="4">
        <f t="shared" si="4"/>
        <v>3872</v>
      </c>
    </row>
    <row r="3874" ht="15.75" customHeight="1">
      <c r="A3874" s="4" t="s">
        <v>952</v>
      </c>
      <c r="B3874" s="4" t="s">
        <v>13</v>
      </c>
      <c r="C3874" s="4">
        <v>1.37</v>
      </c>
      <c r="D3874" s="4">
        <v>0.46</v>
      </c>
      <c r="E3874" s="4">
        <v>0.48</v>
      </c>
      <c r="F3874" s="4">
        <v>1.37</v>
      </c>
      <c r="G3874" s="4">
        <v>0.48</v>
      </c>
      <c r="H3874" s="4">
        <v>0.48</v>
      </c>
      <c r="I3874" s="4">
        <v>1.65</v>
      </c>
      <c r="J3874" s="4">
        <v>0.59</v>
      </c>
      <c r="K3874" s="6" t="b">
        <f t="shared" ref="K3874:L3874" si="3664">FALSE()</f>
        <v>0</v>
      </c>
      <c r="L3874" s="6" t="b">
        <f t="shared" si="3664"/>
        <v>0</v>
      </c>
      <c r="M3874" s="6" t="b">
        <f t="shared" ref="M3874:M3875" si="3666">TRUE()</f>
        <v>1</v>
      </c>
      <c r="N3874" s="4">
        <v>0.86288995514704</v>
      </c>
      <c r="O3874" s="4">
        <v>0.86288995514704</v>
      </c>
      <c r="P3874" s="4">
        <v>0.974559639998131</v>
      </c>
      <c r="Q3874" s="4">
        <v>0.213434228155808</v>
      </c>
      <c r="R3874" s="4">
        <v>0.216712768942587</v>
      </c>
      <c r="S3874" s="4">
        <v>1.54307545311448</v>
      </c>
      <c r="T3874" s="4">
        <f t="shared" si="3"/>
        <v>542</v>
      </c>
      <c r="U3874" s="4">
        <f t="shared" si="4"/>
        <v>60</v>
      </c>
    </row>
    <row r="3875" ht="15.75" customHeight="1">
      <c r="A3875" s="4" t="s">
        <v>953</v>
      </c>
      <c r="B3875" s="4" t="s">
        <v>13</v>
      </c>
      <c r="C3875" s="4">
        <v>1.1</v>
      </c>
      <c r="D3875" s="4">
        <v>0.8</v>
      </c>
      <c r="E3875" s="4">
        <v>3.5</v>
      </c>
      <c r="I3875" s="4">
        <v>1.23</v>
      </c>
      <c r="J3875" s="4">
        <v>0.05</v>
      </c>
      <c r="K3875" s="6" t="b">
        <f t="shared" ref="K3875:L3875" si="3665">FALSE()</f>
        <v>0</v>
      </c>
      <c r="L3875" s="6" t="b">
        <f t="shared" si="3665"/>
        <v>0</v>
      </c>
      <c r="M3875" s="6" t="b">
        <f t="shared" si="3666"/>
        <v>1</v>
      </c>
      <c r="N3875" s="4">
        <v>0.741937344729377</v>
      </c>
      <c r="P3875" s="4">
        <v>0.802001585472027</v>
      </c>
      <c r="T3875" s="4">
        <f t="shared" si="3"/>
        <v>629</v>
      </c>
      <c r="U3875" s="4">
        <f t="shared" si="4"/>
        <v>340</v>
      </c>
    </row>
    <row r="3876" ht="15.75" customHeight="1">
      <c r="A3876" s="4" t="s">
        <v>4823</v>
      </c>
      <c r="B3876" s="4" t="s">
        <v>13</v>
      </c>
      <c r="I3876" s="4">
        <v>0.183</v>
      </c>
      <c r="J3876" s="4">
        <v>0.006</v>
      </c>
      <c r="K3876" s="6" t="b">
        <f t="shared" ref="K3876:M3876" si="3667">FALSE()</f>
        <v>0</v>
      </c>
      <c r="L3876" s="6" t="b">
        <f t="shared" si="3667"/>
        <v>0</v>
      </c>
      <c r="M3876" s="6" t="b">
        <f t="shared" si="3667"/>
        <v>0</v>
      </c>
      <c r="P3876" s="4">
        <v>0.16805358499625</v>
      </c>
      <c r="T3876" s="4" t="str">
        <f t="shared" si="3"/>
        <v/>
      </c>
      <c r="U3876" s="4">
        <f t="shared" si="4"/>
        <v>2855</v>
      </c>
    </row>
    <row r="3877" ht="15.75" customHeight="1">
      <c r="A3877" s="4" t="s">
        <v>4824</v>
      </c>
      <c r="B3877" s="4" t="s">
        <v>13</v>
      </c>
      <c r="I3877" s="4">
        <v>0.247</v>
      </c>
      <c r="J3877" s="4">
        <v>0.008</v>
      </c>
      <c r="K3877" s="6" t="b">
        <f t="shared" ref="K3877:M3877" si="3668">FALSE()</f>
        <v>0</v>
      </c>
      <c r="L3877" s="6" t="b">
        <f t="shared" si="3668"/>
        <v>0</v>
      </c>
      <c r="M3877" s="6" t="b">
        <f t="shared" si="3668"/>
        <v>0</v>
      </c>
      <c r="P3877" s="4">
        <v>0.220740666697899</v>
      </c>
      <c r="T3877" s="4" t="str">
        <f t="shared" si="3"/>
        <v/>
      </c>
      <c r="U3877" s="4">
        <f t="shared" si="4"/>
        <v>1854</v>
      </c>
    </row>
    <row r="3878" ht="15.75" customHeight="1">
      <c r="A3878" s="4" t="s">
        <v>954</v>
      </c>
      <c r="B3878" s="4" t="s">
        <v>13</v>
      </c>
      <c r="C3878" s="4">
        <v>1.0</v>
      </c>
      <c r="D3878" s="4">
        <v>0.1</v>
      </c>
      <c r="E3878" s="4">
        <v>0.1</v>
      </c>
      <c r="I3878" s="4">
        <v>1.09</v>
      </c>
      <c r="J3878" s="4">
        <v>0.07</v>
      </c>
      <c r="K3878" s="6" t="b">
        <f t="shared" ref="K3878:L3878" si="3669">FALSE()</f>
        <v>0</v>
      </c>
      <c r="L3878" s="6" t="b">
        <f t="shared" si="3669"/>
        <v>0</v>
      </c>
      <c r="M3878" s="6" t="b">
        <f>TRUE()</f>
        <v>1</v>
      </c>
      <c r="N3878" s="4">
        <v>0.693147180559945</v>
      </c>
      <c r="P3878" s="4">
        <v>0.73716406597672</v>
      </c>
      <c r="T3878" s="4">
        <f t="shared" si="3"/>
        <v>659</v>
      </c>
      <c r="U3878" s="4">
        <f t="shared" si="4"/>
        <v>536</v>
      </c>
    </row>
    <row r="3879" ht="15.75" customHeight="1">
      <c r="A3879" s="4" t="s">
        <v>4825</v>
      </c>
      <c r="B3879" s="4" t="s">
        <v>13</v>
      </c>
      <c r="I3879" s="4">
        <v>0.5424</v>
      </c>
      <c r="J3879" s="4">
        <v>0.0384</v>
      </c>
      <c r="K3879" s="6" t="b">
        <f t="shared" ref="K3879:M3879" si="3670">FALSE()</f>
        <v>0</v>
      </c>
      <c r="L3879" s="6" t="b">
        <f t="shared" si="3670"/>
        <v>0</v>
      </c>
      <c r="M3879" s="6" t="b">
        <f t="shared" si="3670"/>
        <v>0</v>
      </c>
      <c r="P3879" s="4">
        <v>0.433339644874144</v>
      </c>
      <c r="T3879" s="4" t="str">
        <f t="shared" si="3"/>
        <v/>
      </c>
      <c r="U3879" s="4">
        <f t="shared" si="4"/>
        <v>984</v>
      </c>
    </row>
    <row r="3880" ht="15.75" customHeight="1">
      <c r="A3880" s="4" t="s">
        <v>4826</v>
      </c>
      <c r="B3880" s="4" t="s">
        <v>13</v>
      </c>
      <c r="I3880" s="4">
        <v>2.59</v>
      </c>
      <c r="J3880" s="4">
        <v>0.18</v>
      </c>
      <c r="K3880" s="6" t="b">
        <f t="shared" ref="K3880:L3880" si="3671">FALSE()</f>
        <v>0</v>
      </c>
      <c r="L3880" s="6" t="b">
        <f t="shared" si="3671"/>
        <v>0</v>
      </c>
      <c r="M3880" s="6" t="b">
        <f>TRUE()</f>
        <v>1</v>
      </c>
      <c r="P3880" s="4">
        <v>1.27815220250019</v>
      </c>
      <c r="T3880" s="4" t="str">
        <f t="shared" si="3"/>
        <v/>
      </c>
      <c r="U3880" s="4">
        <f t="shared" si="4"/>
        <v>3</v>
      </c>
    </row>
    <row r="3881" ht="15.75" customHeight="1">
      <c r="A3881" s="4" t="s">
        <v>4827</v>
      </c>
      <c r="B3881" s="4" t="s">
        <v>13</v>
      </c>
      <c r="I3881" s="4">
        <v>0.0856</v>
      </c>
      <c r="J3881" s="4">
        <v>0.0062</v>
      </c>
      <c r="K3881" s="6" t="b">
        <f t="shared" ref="K3881:M3881" si="3672">FALSE()</f>
        <v>0</v>
      </c>
      <c r="L3881" s="6" t="b">
        <f t="shared" si="3672"/>
        <v>0</v>
      </c>
      <c r="M3881" s="6" t="b">
        <f t="shared" si="3672"/>
        <v>0</v>
      </c>
      <c r="P3881" s="4">
        <v>0.0821328295385223</v>
      </c>
      <c r="T3881" s="4" t="str">
        <f t="shared" si="3"/>
        <v/>
      </c>
      <c r="U3881" s="4">
        <f t="shared" si="4"/>
        <v>4370</v>
      </c>
    </row>
    <row r="3882" ht="15.75" customHeight="1">
      <c r="A3882" s="4" t="s">
        <v>4828</v>
      </c>
      <c r="B3882" s="4" t="s">
        <v>13</v>
      </c>
      <c r="D3882" s="4">
        <v>0.5</v>
      </c>
      <c r="E3882" s="4">
        <v>0.5</v>
      </c>
      <c r="F3882" s="4">
        <v>1.86</v>
      </c>
      <c r="G3882" s="4">
        <v>0.5</v>
      </c>
      <c r="H3882" s="4">
        <v>0.5</v>
      </c>
      <c r="K3882" s="6" t="b">
        <f t="shared" ref="K3882:M3882" si="3673">FALSE()</f>
        <v>0</v>
      </c>
      <c r="L3882" s="6" t="b">
        <f t="shared" si="3673"/>
        <v>0</v>
      </c>
      <c r="M3882" s="6" t="b">
        <f t="shared" si="3673"/>
        <v>0</v>
      </c>
      <c r="O3882" s="4">
        <v>1.05082162483176</v>
      </c>
      <c r="T3882" s="4" t="str">
        <f t="shared" si="3"/>
        <v/>
      </c>
      <c r="U3882" s="4" t="str">
        <f t="shared" si="4"/>
        <v/>
      </c>
    </row>
    <row r="3883" ht="15.75" customHeight="1">
      <c r="A3883" s="4" t="s">
        <v>4829</v>
      </c>
      <c r="B3883" s="4" t="s">
        <v>13</v>
      </c>
      <c r="D3883" s="4">
        <v>0.14</v>
      </c>
      <c r="E3883" s="4">
        <v>0.14</v>
      </c>
      <c r="F3883" s="4">
        <v>1.61</v>
      </c>
      <c r="G3883" s="4">
        <v>0.14</v>
      </c>
      <c r="H3883" s="4">
        <v>0.14</v>
      </c>
      <c r="K3883" s="6" t="b">
        <f t="shared" ref="K3883:M3883" si="3674">FALSE()</f>
        <v>0</v>
      </c>
      <c r="L3883" s="6" t="b">
        <f t="shared" si="3674"/>
        <v>0</v>
      </c>
      <c r="M3883" s="6" t="b">
        <f t="shared" si="3674"/>
        <v>0</v>
      </c>
      <c r="O3883" s="4">
        <v>0.959350221334602</v>
      </c>
      <c r="T3883" s="4" t="str">
        <f t="shared" si="3"/>
        <v/>
      </c>
      <c r="U3883" s="4" t="str">
        <f t="shared" si="4"/>
        <v/>
      </c>
    </row>
    <row r="3884" ht="15.75" customHeight="1">
      <c r="A3884" s="4" t="s">
        <v>4830</v>
      </c>
      <c r="B3884" s="4" t="s">
        <v>13</v>
      </c>
      <c r="D3884" s="4">
        <v>0.18</v>
      </c>
      <c r="E3884" s="4">
        <v>0.18</v>
      </c>
      <c r="F3884" s="4">
        <v>1.76</v>
      </c>
      <c r="G3884" s="4">
        <v>0.18</v>
      </c>
      <c r="H3884" s="4">
        <v>0.18</v>
      </c>
      <c r="K3884" s="6" t="b">
        <f t="shared" ref="K3884:M3884" si="3675">FALSE()</f>
        <v>0</v>
      </c>
      <c r="L3884" s="6" t="b">
        <f t="shared" si="3675"/>
        <v>0</v>
      </c>
      <c r="M3884" s="6" t="b">
        <f t="shared" si="3675"/>
        <v>0</v>
      </c>
      <c r="O3884" s="4">
        <v>1.01523067972906</v>
      </c>
      <c r="T3884" s="4" t="str">
        <f t="shared" si="3"/>
        <v/>
      </c>
      <c r="U3884" s="4" t="str">
        <f t="shared" si="4"/>
        <v/>
      </c>
    </row>
    <row r="3885" ht="15.75" customHeight="1">
      <c r="A3885" s="4" t="s">
        <v>4831</v>
      </c>
      <c r="B3885" s="4" t="s">
        <v>13</v>
      </c>
      <c r="I3885" s="4">
        <v>0.145</v>
      </c>
      <c r="J3885" s="4">
        <v>0.02</v>
      </c>
      <c r="K3885" s="6" t="b">
        <f t="shared" ref="K3885:M3885" si="3676">FALSE()</f>
        <v>0</v>
      </c>
      <c r="L3885" s="6" t="b">
        <f t="shared" si="3676"/>
        <v>0</v>
      </c>
      <c r="M3885" s="6" t="b">
        <f t="shared" si="3676"/>
        <v>0</v>
      </c>
      <c r="P3885" s="4">
        <v>0.135404637006203</v>
      </c>
      <c r="T3885" s="4" t="str">
        <f t="shared" si="3"/>
        <v/>
      </c>
      <c r="U3885" s="4">
        <f t="shared" si="4"/>
        <v>3421</v>
      </c>
    </row>
    <row r="3886" ht="15.75" customHeight="1">
      <c r="A3886" s="4" t="s">
        <v>955</v>
      </c>
      <c r="B3886" s="4" t="s">
        <v>13</v>
      </c>
      <c r="C3886" s="4">
        <v>0.03</v>
      </c>
      <c r="D3886" s="4">
        <v>0.03</v>
      </c>
      <c r="E3886" s="4">
        <v>0.03</v>
      </c>
      <c r="I3886" s="4">
        <v>0.55</v>
      </c>
      <c r="J3886" s="4">
        <v>0.0031</v>
      </c>
      <c r="K3886" s="6" t="b">
        <f t="shared" ref="K3886:M3886" si="3677">FALSE()</f>
        <v>0</v>
      </c>
      <c r="L3886" s="6" t="b">
        <f t="shared" si="3677"/>
        <v>0</v>
      </c>
      <c r="M3886" s="6" t="b">
        <f t="shared" si="3677"/>
        <v>0</v>
      </c>
      <c r="N3886" s="4">
        <v>0.0295588022415444</v>
      </c>
      <c r="P3886" s="4">
        <v>0.438254930931155</v>
      </c>
      <c r="T3886" s="4">
        <f t="shared" si="3"/>
        <v>1553</v>
      </c>
      <c r="U3886" s="4">
        <f t="shared" si="4"/>
        <v>976</v>
      </c>
    </row>
    <row r="3887" ht="15.75" customHeight="1">
      <c r="A3887" s="4" t="s">
        <v>957</v>
      </c>
      <c r="B3887" s="4" t="s">
        <v>13</v>
      </c>
      <c r="C3887" s="4">
        <v>0.017</v>
      </c>
      <c r="D3887" s="4">
        <v>0.0044</v>
      </c>
      <c r="E3887" s="4">
        <v>0.0044</v>
      </c>
      <c r="F3887" s="4">
        <v>0.0215</v>
      </c>
      <c r="G3887" s="4">
        <v>0.0044</v>
      </c>
      <c r="H3887" s="4">
        <v>0.0044</v>
      </c>
      <c r="I3887" s="4">
        <v>0.2114</v>
      </c>
      <c r="J3887" s="4">
        <v>0.0116</v>
      </c>
      <c r="K3887" s="6" t="b">
        <f t="shared" ref="K3887:M3887" si="3678">FALSE()</f>
        <v>0</v>
      </c>
      <c r="L3887" s="6" t="b">
        <f t="shared" si="3678"/>
        <v>0</v>
      </c>
      <c r="M3887" s="6" t="b">
        <f t="shared" si="3678"/>
        <v>0</v>
      </c>
      <c r="N3887" s="4">
        <v>0.0168571170664229</v>
      </c>
      <c r="O3887" s="4">
        <v>0.0212721352755396</v>
      </c>
      <c r="P3887" s="4">
        <v>0.19177671556471</v>
      </c>
      <c r="Q3887" s="4">
        <v>-0.617603019860511</v>
      </c>
      <c r="R3887" s="4">
        <v>-0.638825609222325</v>
      </c>
      <c r="S3887" s="4">
        <v>-1.14857230988755</v>
      </c>
      <c r="T3887" s="4">
        <f t="shared" si="3"/>
        <v>1789</v>
      </c>
      <c r="U3887" s="4">
        <f t="shared" si="4"/>
        <v>2382</v>
      </c>
    </row>
    <row r="3888" ht="15.75" customHeight="1">
      <c r="A3888" s="4" t="s">
        <v>4832</v>
      </c>
      <c r="B3888" s="4" t="s">
        <v>13</v>
      </c>
      <c r="D3888" s="4">
        <v>0.05</v>
      </c>
      <c r="E3888" s="4">
        <v>0.05</v>
      </c>
      <c r="F3888" s="4">
        <v>4.583</v>
      </c>
      <c r="G3888" s="4">
        <v>0.05</v>
      </c>
      <c r="H3888" s="4">
        <v>0.05</v>
      </c>
      <c r="K3888" s="6" t="b">
        <f t="shared" ref="K3888:M3888" si="3679">FALSE()</f>
        <v>0</v>
      </c>
      <c r="L3888" s="6" t="b">
        <f t="shared" si="3679"/>
        <v>0</v>
      </c>
      <c r="M3888" s="6" t="b">
        <f t="shared" si="3679"/>
        <v>0</v>
      </c>
      <c r="O3888" s="4">
        <v>1.71972626632822</v>
      </c>
      <c r="T3888" s="4" t="str">
        <f t="shared" si="3"/>
        <v/>
      </c>
      <c r="U3888" s="4" t="str">
        <f t="shared" si="4"/>
        <v/>
      </c>
    </row>
    <row r="3889" ht="15.75" customHeight="1">
      <c r="A3889" s="4" t="s">
        <v>4833</v>
      </c>
      <c r="B3889" s="4" t="s">
        <v>13</v>
      </c>
      <c r="D3889" s="4">
        <v>0.44</v>
      </c>
      <c r="E3889" s="4">
        <v>0.44</v>
      </c>
      <c r="F3889" s="4">
        <v>2.307</v>
      </c>
      <c r="G3889" s="4">
        <v>0.44</v>
      </c>
      <c r="H3889" s="4">
        <v>0.44</v>
      </c>
      <c r="K3889" s="6" t="b">
        <f t="shared" ref="K3889:M3889" si="3680">FALSE()</f>
        <v>0</v>
      </c>
      <c r="L3889" s="6" t="b">
        <f t="shared" si="3680"/>
        <v>0</v>
      </c>
      <c r="M3889" s="6" t="b">
        <f t="shared" si="3680"/>
        <v>0</v>
      </c>
      <c r="O3889" s="4">
        <v>1.19604143399966</v>
      </c>
      <c r="T3889" s="4" t="str">
        <f t="shared" si="3"/>
        <v/>
      </c>
      <c r="U3889" s="4" t="str">
        <f t="shared" si="4"/>
        <v/>
      </c>
    </row>
    <row r="3890" ht="15.75" customHeight="1">
      <c r="A3890" s="4" t="s">
        <v>4834</v>
      </c>
      <c r="B3890" s="4" t="s">
        <v>13</v>
      </c>
      <c r="I3890" s="4">
        <v>0.62</v>
      </c>
      <c r="J3890" s="4">
        <v>0.08</v>
      </c>
      <c r="K3890" s="6" t="b">
        <f t="shared" ref="K3890:M3890" si="3681">FALSE()</f>
        <v>0</v>
      </c>
      <c r="L3890" s="6" t="b">
        <f t="shared" si="3681"/>
        <v>0</v>
      </c>
      <c r="M3890" s="6" t="b">
        <f t="shared" si="3681"/>
        <v>0</v>
      </c>
      <c r="P3890" s="4">
        <v>0.482426149244293</v>
      </c>
      <c r="T3890" s="4" t="str">
        <f t="shared" si="3"/>
        <v/>
      </c>
      <c r="U3890" s="4">
        <f t="shared" si="4"/>
        <v>934</v>
      </c>
    </row>
    <row r="3891" ht="15.75" customHeight="1">
      <c r="A3891" s="4" t="s">
        <v>4835</v>
      </c>
      <c r="B3891" s="4" t="s">
        <v>13</v>
      </c>
      <c r="I3891" s="4">
        <v>0.37</v>
      </c>
      <c r="J3891" s="4">
        <v>0.17</v>
      </c>
      <c r="K3891" s="6" t="b">
        <f t="shared" ref="K3891:M3891" si="3682">FALSE()</f>
        <v>0</v>
      </c>
      <c r="L3891" s="6" t="b">
        <f t="shared" si="3682"/>
        <v>0</v>
      </c>
      <c r="M3891" s="6" t="b">
        <f t="shared" si="3682"/>
        <v>0</v>
      </c>
      <c r="P3891" s="4">
        <v>0.314810739840034</v>
      </c>
      <c r="T3891" s="4" t="str">
        <f t="shared" si="3"/>
        <v/>
      </c>
      <c r="U3891" s="4">
        <f t="shared" si="4"/>
        <v>1163</v>
      </c>
    </row>
    <row r="3892" ht="15.75" customHeight="1">
      <c r="A3892" s="4" t="s">
        <v>4836</v>
      </c>
      <c r="B3892" s="4" t="s">
        <v>13</v>
      </c>
      <c r="I3892" s="4">
        <v>0.21</v>
      </c>
      <c r="J3892" s="4">
        <v>0.12</v>
      </c>
      <c r="K3892" s="6" t="b">
        <f t="shared" ref="K3892:M3892" si="3683">FALSE()</f>
        <v>0</v>
      </c>
      <c r="L3892" s="6" t="b">
        <f t="shared" si="3683"/>
        <v>0</v>
      </c>
      <c r="M3892" s="6" t="b">
        <f t="shared" si="3683"/>
        <v>0</v>
      </c>
      <c r="P3892" s="4">
        <v>0.19062035960865</v>
      </c>
      <c r="T3892" s="4" t="str">
        <f t="shared" si="3"/>
        <v/>
      </c>
      <c r="U3892" s="4">
        <f t="shared" si="4"/>
        <v>2424</v>
      </c>
    </row>
    <row r="3893" ht="15.75" customHeight="1">
      <c r="A3893" s="4" t="s">
        <v>4837</v>
      </c>
      <c r="B3893" s="4" t="s">
        <v>13</v>
      </c>
      <c r="I3893" s="4">
        <v>0.26627</v>
      </c>
      <c r="K3893" s="6" t="b">
        <f t="shared" ref="K3893:M3893" si="3684">FALSE()</f>
        <v>0</v>
      </c>
      <c r="L3893" s="6" t="b">
        <f t="shared" si="3684"/>
        <v>0</v>
      </c>
      <c r="M3893" s="6" t="b">
        <f t="shared" si="3684"/>
        <v>0</v>
      </c>
      <c r="P3893" s="4">
        <v>0.236075571125321</v>
      </c>
      <c r="T3893" s="4" t="str">
        <f t="shared" si="3"/>
        <v/>
      </c>
      <c r="U3893" s="4">
        <f t="shared" si="4"/>
        <v>1623</v>
      </c>
    </row>
    <row r="3894" ht="15.75" customHeight="1">
      <c r="A3894" s="4" t="s">
        <v>4838</v>
      </c>
      <c r="B3894" s="4" t="s">
        <v>13</v>
      </c>
      <c r="I3894" s="4">
        <v>0.41</v>
      </c>
      <c r="J3894" s="4">
        <v>0.062</v>
      </c>
      <c r="K3894" s="6" t="b">
        <f t="shared" ref="K3894:M3894" si="3685">FALSE()</f>
        <v>0</v>
      </c>
      <c r="L3894" s="6" t="b">
        <f t="shared" si="3685"/>
        <v>0</v>
      </c>
      <c r="M3894" s="6" t="b">
        <f t="shared" si="3685"/>
        <v>0</v>
      </c>
      <c r="P3894" s="4">
        <v>0.343589704390077</v>
      </c>
      <c r="T3894" s="4" t="str">
        <f t="shared" si="3"/>
        <v/>
      </c>
      <c r="U3894" s="4">
        <f t="shared" si="4"/>
        <v>1108</v>
      </c>
    </row>
    <row r="3895" ht="15.75" customHeight="1">
      <c r="A3895" s="4" t="s">
        <v>4839</v>
      </c>
      <c r="B3895" s="4" t="s">
        <v>13</v>
      </c>
      <c r="I3895" s="4">
        <v>0.375</v>
      </c>
      <c r="J3895" s="4">
        <v>0.036</v>
      </c>
      <c r="K3895" s="6" t="b">
        <f t="shared" ref="K3895:M3895" si="3686">FALSE()</f>
        <v>0</v>
      </c>
      <c r="L3895" s="6" t="b">
        <f t="shared" si="3686"/>
        <v>0</v>
      </c>
      <c r="M3895" s="6" t="b">
        <f t="shared" si="3686"/>
        <v>0</v>
      </c>
      <c r="P3895" s="4">
        <v>0.318453731118535</v>
      </c>
      <c r="T3895" s="4" t="str">
        <f t="shared" si="3"/>
        <v/>
      </c>
      <c r="U3895" s="4">
        <f t="shared" si="4"/>
        <v>1154</v>
      </c>
    </row>
    <row r="3896" ht="15.75" customHeight="1">
      <c r="A3896" s="4" t="s">
        <v>4840</v>
      </c>
      <c r="B3896" s="4" t="s">
        <v>13</v>
      </c>
      <c r="I3896" s="4">
        <v>0.49</v>
      </c>
      <c r="J3896" s="4">
        <v>0.071</v>
      </c>
      <c r="K3896" s="6" t="b">
        <f t="shared" ref="K3896:M3896" si="3687">FALSE()</f>
        <v>0</v>
      </c>
      <c r="L3896" s="6" t="b">
        <f t="shared" si="3687"/>
        <v>0</v>
      </c>
      <c r="M3896" s="6" t="b">
        <f t="shared" si="3687"/>
        <v>0</v>
      </c>
      <c r="P3896" s="4">
        <v>0.398776119957368</v>
      </c>
      <c r="T3896" s="4" t="str">
        <f t="shared" si="3"/>
        <v/>
      </c>
      <c r="U3896" s="4">
        <f t="shared" si="4"/>
        <v>1023</v>
      </c>
    </row>
    <row r="3897" ht="15.75" customHeight="1">
      <c r="A3897" s="4" t="s">
        <v>958</v>
      </c>
      <c r="B3897" s="4" t="s">
        <v>13</v>
      </c>
      <c r="C3897" s="4">
        <v>0.505</v>
      </c>
      <c r="D3897" s="4">
        <v>0.09</v>
      </c>
      <c r="E3897" s="4">
        <v>0.09</v>
      </c>
      <c r="I3897" s="4">
        <v>0.96</v>
      </c>
      <c r="J3897" s="4">
        <v>0.11</v>
      </c>
      <c r="K3897" s="6" t="b">
        <f t="shared" ref="K3897:L3897" si="3688">FALSE()</f>
        <v>0</v>
      </c>
      <c r="L3897" s="6" t="b">
        <f t="shared" si="3688"/>
        <v>0</v>
      </c>
      <c r="M3897" s="6" t="b">
        <f>TRUE()</f>
        <v>1</v>
      </c>
      <c r="N3897" s="4">
        <v>0.408792898200839</v>
      </c>
      <c r="P3897" s="4">
        <v>0.672944473242426</v>
      </c>
      <c r="T3897" s="4">
        <f t="shared" si="3"/>
        <v>952</v>
      </c>
      <c r="U3897" s="4">
        <f t="shared" si="4"/>
        <v>712</v>
      </c>
    </row>
    <row r="3898" ht="15.75" customHeight="1">
      <c r="A3898" s="4" t="s">
        <v>4841</v>
      </c>
      <c r="B3898" s="4" t="s">
        <v>13</v>
      </c>
      <c r="I3898" s="4">
        <v>0.57</v>
      </c>
      <c r="J3898" s="4">
        <v>0.14</v>
      </c>
      <c r="K3898" s="6" t="b">
        <f t="shared" ref="K3898:M3898" si="3689">FALSE()</f>
        <v>0</v>
      </c>
      <c r="L3898" s="6" t="b">
        <f t="shared" si="3689"/>
        <v>0</v>
      </c>
      <c r="M3898" s="6" t="b">
        <f t="shared" si="3689"/>
        <v>0</v>
      </c>
      <c r="P3898" s="4">
        <v>0.451075619360217</v>
      </c>
      <c r="T3898" s="4" t="str">
        <f t="shared" si="3"/>
        <v/>
      </c>
      <c r="U3898" s="4">
        <f t="shared" si="4"/>
        <v>961</v>
      </c>
    </row>
    <row r="3899" ht="15.75" customHeight="1">
      <c r="A3899" s="4" t="s">
        <v>4842</v>
      </c>
      <c r="B3899" s="4" t="s">
        <v>13</v>
      </c>
      <c r="I3899" s="4">
        <v>0.492</v>
      </c>
      <c r="J3899" s="4">
        <v>0.065</v>
      </c>
      <c r="K3899" s="6" t="b">
        <f t="shared" ref="K3899:M3899" si="3690">FALSE()</f>
        <v>0</v>
      </c>
      <c r="L3899" s="6" t="b">
        <f t="shared" si="3690"/>
        <v>0</v>
      </c>
      <c r="M3899" s="6" t="b">
        <f t="shared" si="3690"/>
        <v>0</v>
      </c>
      <c r="P3899" s="4">
        <v>0.400117501781569</v>
      </c>
      <c r="T3899" s="4" t="str">
        <f t="shared" si="3"/>
        <v/>
      </c>
      <c r="U3899" s="4">
        <f t="shared" si="4"/>
        <v>1018</v>
      </c>
    </row>
    <row r="3900" ht="15.75" customHeight="1">
      <c r="A3900" s="4" t="s">
        <v>4843</v>
      </c>
      <c r="B3900" s="4" t="s">
        <v>13</v>
      </c>
      <c r="I3900" s="4">
        <v>0.23</v>
      </c>
      <c r="J3900" s="4">
        <v>0.005</v>
      </c>
      <c r="K3900" s="6" t="b">
        <f t="shared" ref="K3900:M3900" si="3691">FALSE()</f>
        <v>0</v>
      </c>
      <c r="L3900" s="6" t="b">
        <f t="shared" si="3691"/>
        <v>0</v>
      </c>
      <c r="M3900" s="6" t="b">
        <f t="shared" si="3691"/>
        <v>0</v>
      </c>
      <c r="P3900" s="4">
        <v>0.207014169384326</v>
      </c>
      <c r="T3900" s="4" t="str">
        <f t="shared" si="3"/>
        <v/>
      </c>
      <c r="U3900" s="4">
        <f t="shared" si="4"/>
        <v>2115</v>
      </c>
    </row>
    <row r="3901" ht="15.75" customHeight="1">
      <c r="A3901" s="4" t="s">
        <v>959</v>
      </c>
      <c r="B3901" s="4" t="s">
        <v>13</v>
      </c>
      <c r="C3901" s="4">
        <v>0.16959</v>
      </c>
      <c r="D3901" s="4">
        <v>0.07488</v>
      </c>
      <c r="E3901" s="4">
        <v>0.32911</v>
      </c>
      <c r="I3901" s="4">
        <v>0.268</v>
      </c>
      <c r="J3901" s="4">
        <v>0.009</v>
      </c>
      <c r="K3901" s="6" t="b">
        <f t="shared" ref="K3901:M3901" si="3692">FALSE()</f>
        <v>0</v>
      </c>
      <c r="L3901" s="6" t="b">
        <f t="shared" si="3692"/>
        <v>0</v>
      </c>
      <c r="M3901" s="6" t="b">
        <f t="shared" si="3692"/>
        <v>0</v>
      </c>
      <c r="N3901" s="4">
        <v>0.156653260045226</v>
      </c>
      <c r="P3901" s="4">
        <v>0.237440856015034</v>
      </c>
      <c r="T3901" s="4">
        <f t="shared" si="3"/>
        <v>1185</v>
      </c>
      <c r="U3901" s="4">
        <f t="shared" si="4"/>
        <v>1614</v>
      </c>
    </row>
    <row r="3902" ht="15.75" customHeight="1">
      <c r="A3902" s="4" t="s">
        <v>960</v>
      </c>
      <c r="B3902" s="4" t="s">
        <v>13</v>
      </c>
      <c r="C3902" s="4">
        <v>0.01888</v>
      </c>
      <c r="D3902" s="4">
        <v>0.01542</v>
      </c>
      <c r="E3902" s="4">
        <v>0.03398</v>
      </c>
      <c r="I3902" s="4">
        <v>0.357</v>
      </c>
      <c r="J3902" s="4">
        <v>0.018</v>
      </c>
      <c r="K3902" s="6" t="b">
        <f t="shared" ref="K3902:M3902" si="3693">FALSE()</f>
        <v>0</v>
      </c>
      <c r="L3902" s="6" t="b">
        <f t="shared" si="3693"/>
        <v>0</v>
      </c>
      <c r="M3902" s="6" t="b">
        <f t="shared" si="3693"/>
        <v>0</v>
      </c>
      <c r="N3902" s="4">
        <v>0.0187039847937717</v>
      </c>
      <c r="P3902" s="4">
        <v>0.305276380852732</v>
      </c>
      <c r="T3902" s="4">
        <f t="shared" si="3"/>
        <v>1759</v>
      </c>
      <c r="U3902" s="4">
        <f t="shared" si="4"/>
        <v>1190</v>
      </c>
    </row>
    <row r="3903" ht="15.75" customHeight="1">
      <c r="A3903" s="4" t="s">
        <v>4844</v>
      </c>
      <c r="B3903" s="4" t="s">
        <v>13</v>
      </c>
      <c r="I3903" s="4">
        <v>0.272</v>
      </c>
      <c r="J3903" s="4">
        <v>0.027</v>
      </c>
      <c r="K3903" s="6" t="b">
        <f t="shared" ref="K3903:M3903" si="3694">FALSE()</f>
        <v>0</v>
      </c>
      <c r="L3903" s="6" t="b">
        <f t="shared" si="3694"/>
        <v>0</v>
      </c>
      <c r="M3903" s="6" t="b">
        <f t="shared" si="3694"/>
        <v>0</v>
      </c>
      <c r="P3903" s="4">
        <v>0.24059046491793</v>
      </c>
      <c r="T3903" s="4" t="str">
        <f t="shared" si="3"/>
        <v/>
      </c>
      <c r="U3903" s="4">
        <f t="shared" si="4"/>
        <v>1573</v>
      </c>
    </row>
    <row r="3904" ht="15.75" customHeight="1">
      <c r="A3904" s="4" t="s">
        <v>4845</v>
      </c>
      <c r="B3904" s="4" t="s">
        <v>13</v>
      </c>
      <c r="I3904" s="4">
        <v>0.294</v>
      </c>
      <c r="J3904" s="4">
        <v>0.012</v>
      </c>
      <c r="K3904" s="6" t="b">
        <f t="shared" ref="K3904:M3904" si="3695">FALSE()</f>
        <v>0</v>
      </c>
      <c r="L3904" s="6" t="b">
        <f t="shared" si="3695"/>
        <v>0</v>
      </c>
      <c r="M3904" s="6" t="b">
        <f t="shared" si="3695"/>
        <v>0</v>
      </c>
      <c r="P3904" s="4">
        <v>0.257738196078709</v>
      </c>
      <c r="T3904" s="4" t="str">
        <f t="shared" si="3"/>
        <v/>
      </c>
      <c r="U3904" s="4">
        <f t="shared" si="4"/>
        <v>1414</v>
      </c>
    </row>
    <row r="3905" ht="15.75" customHeight="1">
      <c r="A3905" s="4" t="s">
        <v>4846</v>
      </c>
      <c r="B3905" s="4" t="s">
        <v>13</v>
      </c>
      <c r="I3905" s="4">
        <v>0.263</v>
      </c>
      <c r="J3905" s="4">
        <v>0.014</v>
      </c>
      <c r="K3905" s="6" t="b">
        <f t="shared" ref="K3905:M3905" si="3696">FALSE()</f>
        <v>0</v>
      </c>
      <c r="L3905" s="6" t="b">
        <f t="shared" si="3696"/>
        <v>0</v>
      </c>
      <c r="M3905" s="6" t="b">
        <f t="shared" si="3696"/>
        <v>0</v>
      </c>
      <c r="P3905" s="4">
        <v>0.233489843368354</v>
      </c>
      <c r="T3905" s="4" t="str">
        <f t="shared" si="3"/>
        <v/>
      </c>
      <c r="U3905" s="4">
        <f t="shared" si="4"/>
        <v>1647</v>
      </c>
    </row>
    <row r="3906" ht="15.75" customHeight="1">
      <c r="A3906" s="4" t="s">
        <v>4847</v>
      </c>
      <c r="B3906" s="4" t="s">
        <v>13</v>
      </c>
      <c r="I3906" s="4">
        <v>0.254</v>
      </c>
      <c r="J3906" s="4">
        <v>0.015</v>
      </c>
      <c r="K3906" s="6" t="b">
        <f t="shared" ref="K3906:M3906" si="3697">FALSE()</f>
        <v>0</v>
      </c>
      <c r="L3906" s="6" t="b">
        <f t="shared" si="3697"/>
        <v>0</v>
      </c>
      <c r="M3906" s="6" t="b">
        <f t="shared" si="3697"/>
        <v>0</v>
      </c>
      <c r="P3906" s="4">
        <v>0.226338442210729</v>
      </c>
      <c r="T3906" s="4" t="str">
        <f t="shared" si="3"/>
        <v/>
      </c>
      <c r="U3906" s="4">
        <f t="shared" si="4"/>
        <v>1761</v>
      </c>
    </row>
    <row r="3907" ht="15.75" customHeight="1">
      <c r="A3907" s="4" t="s">
        <v>4848</v>
      </c>
      <c r="B3907" s="4" t="s">
        <v>13</v>
      </c>
      <c r="I3907" s="4">
        <v>0.112</v>
      </c>
      <c r="J3907" s="4">
        <v>0.006</v>
      </c>
      <c r="K3907" s="6" t="b">
        <f t="shared" ref="K3907:M3907" si="3698">FALSE()</f>
        <v>0</v>
      </c>
      <c r="L3907" s="6" t="b">
        <f t="shared" si="3698"/>
        <v>0</v>
      </c>
      <c r="M3907" s="6" t="b">
        <f t="shared" si="3698"/>
        <v>0</v>
      </c>
      <c r="P3907" s="4">
        <v>0.106160195828391</v>
      </c>
      <c r="T3907" s="4" t="str">
        <f t="shared" si="3"/>
        <v/>
      </c>
      <c r="U3907" s="4">
        <f t="shared" si="4"/>
        <v>4019</v>
      </c>
    </row>
    <row r="3908" ht="15.75" customHeight="1">
      <c r="A3908" s="4" t="s">
        <v>4849</v>
      </c>
      <c r="B3908" s="4" t="s">
        <v>13</v>
      </c>
      <c r="I3908" s="4">
        <v>0.201</v>
      </c>
      <c r="J3908" s="4">
        <v>0.007</v>
      </c>
      <c r="K3908" s="6" t="b">
        <f t="shared" ref="K3908:M3908" si="3699">FALSE()</f>
        <v>0</v>
      </c>
      <c r="L3908" s="6" t="b">
        <f t="shared" si="3699"/>
        <v>0</v>
      </c>
      <c r="M3908" s="6" t="b">
        <f t="shared" si="3699"/>
        <v>0</v>
      </c>
      <c r="P3908" s="4">
        <v>0.183154543097847</v>
      </c>
      <c r="T3908" s="4" t="str">
        <f t="shared" si="3"/>
        <v/>
      </c>
      <c r="U3908" s="4">
        <f t="shared" si="4"/>
        <v>2573</v>
      </c>
    </row>
    <row r="3909" ht="15.75" customHeight="1">
      <c r="A3909" s="4" t="s">
        <v>4850</v>
      </c>
      <c r="B3909" s="4" t="s">
        <v>13</v>
      </c>
      <c r="I3909" s="4">
        <v>1.19</v>
      </c>
      <c r="J3909" s="4">
        <v>0.026</v>
      </c>
      <c r="K3909" s="6" t="b">
        <f t="shared" ref="K3909:L3909" si="3700">FALSE()</f>
        <v>0</v>
      </c>
      <c r="L3909" s="6" t="b">
        <f t="shared" si="3700"/>
        <v>0</v>
      </c>
      <c r="M3909" s="6" t="b">
        <f>TRUE()</f>
        <v>1</v>
      </c>
      <c r="P3909" s="4">
        <v>0.783901543828409</v>
      </c>
      <c r="T3909" s="4" t="str">
        <f t="shared" si="3"/>
        <v/>
      </c>
      <c r="U3909" s="4">
        <f t="shared" si="4"/>
        <v>401</v>
      </c>
    </row>
    <row r="3910" ht="15.75" customHeight="1">
      <c r="A3910" s="4" t="s">
        <v>4851</v>
      </c>
      <c r="B3910" s="4" t="s">
        <v>13</v>
      </c>
      <c r="I3910" s="4">
        <v>0.0651</v>
      </c>
      <c r="J3910" s="4">
        <v>0.0152</v>
      </c>
      <c r="K3910" s="6" t="b">
        <f t="shared" ref="K3910:M3910" si="3701">FALSE()</f>
        <v>0</v>
      </c>
      <c r="L3910" s="6" t="b">
        <f t="shared" si="3701"/>
        <v>0</v>
      </c>
      <c r="M3910" s="6" t="b">
        <f t="shared" si="3701"/>
        <v>0</v>
      </c>
      <c r="P3910" s="4">
        <v>0.0630686914669829</v>
      </c>
      <c r="T3910" s="4" t="str">
        <f t="shared" si="3"/>
        <v/>
      </c>
      <c r="U3910" s="4">
        <f t="shared" si="4"/>
        <v>4517</v>
      </c>
    </row>
    <row r="3911" ht="15.75" customHeight="1">
      <c r="A3911" s="4" t="s">
        <v>961</v>
      </c>
      <c r="B3911" s="4" t="s">
        <v>13</v>
      </c>
      <c r="C3911" s="4">
        <v>6.0</v>
      </c>
      <c r="D3911" s="4">
        <v>6.0</v>
      </c>
      <c r="E3911" s="4">
        <v>0.0</v>
      </c>
      <c r="I3911" s="4">
        <v>0.808</v>
      </c>
      <c r="J3911" s="4">
        <v>0.043</v>
      </c>
      <c r="K3911" s="6" t="b">
        <f>TRUE()</f>
        <v>1</v>
      </c>
      <c r="L3911" s="6" t="b">
        <f>FALSE()</f>
        <v>0</v>
      </c>
      <c r="M3911" s="6" t="b">
        <f>TRUE()</f>
        <v>1</v>
      </c>
      <c r="N3911" s="4">
        <v>1.94591014905531</v>
      </c>
      <c r="P3911" s="4">
        <v>0.592221261969985</v>
      </c>
      <c r="T3911" s="4">
        <f t="shared" si="3"/>
        <v>167</v>
      </c>
      <c r="U3911" s="4">
        <f t="shared" si="4"/>
        <v>835</v>
      </c>
    </row>
    <row r="3912" ht="15.75" customHeight="1">
      <c r="A3912" s="4" t="s">
        <v>4852</v>
      </c>
      <c r="B3912" s="4" t="s">
        <v>13</v>
      </c>
      <c r="C3912" s="4">
        <v>0.376</v>
      </c>
      <c r="D3912" s="4">
        <v>0.019</v>
      </c>
      <c r="E3912" s="4">
        <v>0.021</v>
      </c>
      <c r="K3912" s="6" t="b">
        <f t="shared" ref="K3912:M3912" si="3702">FALSE()</f>
        <v>0</v>
      </c>
      <c r="L3912" s="6" t="b">
        <f t="shared" si="3702"/>
        <v>0</v>
      </c>
      <c r="M3912" s="6" t="b">
        <f t="shared" si="3702"/>
        <v>0</v>
      </c>
      <c r="N3912" s="4">
        <v>0.319180739511152</v>
      </c>
      <c r="T3912" s="4">
        <f t="shared" si="3"/>
        <v>1033</v>
      </c>
      <c r="U3912" s="4" t="str">
        <f t="shared" si="4"/>
        <v/>
      </c>
    </row>
    <row r="3913" ht="15.75" customHeight="1">
      <c r="A3913" s="4" t="s">
        <v>4853</v>
      </c>
      <c r="B3913" s="4" t="s">
        <v>13</v>
      </c>
      <c r="I3913" s="4">
        <v>0.146</v>
      </c>
      <c r="J3913" s="4">
        <v>0.082</v>
      </c>
      <c r="K3913" s="6" t="b">
        <f t="shared" ref="K3913:M3913" si="3703">FALSE()</f>
        <v>0</v>
      </c>
      <c r="L3913" s="6" t="b">
        <f t="shared" si="3703"/>
        <v>0</v>
      </c>
      <c r="M3913" s="6" t="b">
        <f t="shared" si="3703"/>
        <v>0</v>
      </c>
      <c r="P3913" s="4">
        <v>0.136277618292548</v>
      </c>
      <c r="T3913" s="4" t="str">
        <f t="shared" si="3"/>
        <v/>
      </c>
      <c r="U3913" s="4">
        <f t="shared" si="4"/>
        <v>3400</v>
      </c>
    </row>
    <row r="3914" ht="15.75" customHeight="1">
      <c r="A3914" s="4" t="s">
        <v>4854</v>
      </c>
      <c r="B3914" s="4" t="s">
        <v>13</v>
      </c>
      <c r="I3914" s="4">
        <v>1.335</v>
      </c>
      <c r="J3914" s="4">
        <v>0.264</v>
      </c>
      <c r="K3914" s="6" t="b">
        <f t="shared" ref="K3914:L3914" si="3704">FALSE()</f>
        <v>0</v>
      </c>
      <c r="L3914" s="6" t="b">
        <f t="shared" si="3704"/>
        <v>0</v>
      </c>
      <c r="M3914" s="6" t="b">
        <f>TRUE()</f>
        <v>1</v>
      </c>
      <c r="P3914" s="4">
        <v>0.848011891120861</v>
      </c>
      <c r="T3914" s="4" t="str">
        <f t="shared" si="3"/>
        <v/>
      </c>
      <c r="U3914" s="4">
        <f t="shared" si="4"/>
        <v>218</v>
      </c>
    </row>
    <row r="3915" ht="15.75" customHeight="1">
      <c r="A3915" s="4" t="s">
        <v>4855</v>
      </c>
      <c r="B3915" s="4" t="s">
        <v>13</v>
      </c>
      <c r="I3915" s="4">
        <v>0.287</v>
      </c>
      <c r="J3915" s="4">
        <v>0.025</v>
      </c>
      <c r="K3915" s="6" t="b">
        <f t="shared" ref="K3915:M3915" si="3705">FALSE()</f>
        <v>0</v>
      </c>
      <c r="L3915" s="6" t="b">
        <f t="shared" si="3705"/>
        <v>0</v>
      </c>
      <c r="M3915" s="6" t="b">
        <f t="shared" si="3705"/>
        <v>0</v>
      </c>
      <c r="P3915" s="4">
        <v>0.25231392861399</v>
      </c>
      <c r="T3915" s="4" t="str">
        <f t="shared" si="3"/>
        <v/>
      </c>
      <c r="U3915" s="4">
        <f t="shared" si="4"/>
        <v>1454</v>
      </c>
    </row>
    <row r="3916" ht="15.75" customHeight="1">
      <c r="A3916" s="4" t="s">
        <v>4856</v>
      </c>
      <c r="B3916" s="4" t="s">
        <v>13</v>
      </c>
      <c r="I3916" s="4">
        <v>0.364</v>
      </c>
      <c r="J3916" s="4">
        <v>0.06</v>
      </c>
      <c r="K3916" s="6" t="b">
        <f t="shared" ref="K3916:M3916" si="3706">FALSE()</f>
        <v>0</v>
      </c>
      <c r="L3916" s="6" t="b">
        <f t="shared" si="3706"/>
        <v>0</v>
      </c>
      <c r="M3916" s="6" t="b">
        <f t="shared" si="3706"/>
        <v>0</v>
      </c>
      <c r="P3916" s="4">
        <v>0.31042155942127</v>
      </c>
      <c r="T3916" s="4" t="str">
        <f t="shared" si="3"/>
        <v/>
      </c>
      <c r="U3916" s="4">
        <f t="shared" si="4"/>
        <v>1174</v>
      </c>
    </row>
    <row r="3917" ht="15.75" customHeight="1">
      <c r="A3917" s="4" t="s">
        <v>4857</v>
      </c>
      <c r="B3917" s="4" t="s">
        <v>13</v>
      </c>
      <c r="I3917" s="4">
        <v>0.273</v>
      </c>
      <c r="J3917" s="4">
        <v>0.033</v>
      </c>
      <c r="K3917" s="6" t="b">
        <f t="shared" ref="K3917:M3917" si="3707">FALSE()</f>
        <v>0</v>
      </c>
      <c r="L3917" s="6" t="b">
        <f t="shared" si="3707"/>
        <v>0</v>
      </c>
      <c r="M3917" s="6" t="b">
        <f t="shared" si="3707"/>
        <v>0</v>
      </c>
      <c r="P3917" s="4">
        <v>0.241376319575269</v>
      </c>
      <c r="T3917" s="4" t="str">
        <f t="shared" si="3"/>
        <v/>
      </c>
      <c r="U3917" s="4">
        <f t="shared" si="4"/>
        <v>1563</v>
      </c>
    </row>
    <row r="3918" ht="15.75" customHeight="1">
      <c r="A3918" s="4" t="s">
        <v>4858</v>
      </c>
      <c r="B3918" s="4" t="s">
        <v>13</v>
      </c>
      <c r="I3918" s="4">
        <v>0.222</v>
      </c>
      <c r="J3918" s="4">
        <v>0.016</v>
      </c>
      <c r="K3918" s="6" t="b">
        <f t="shared" ref="K3918:M3918" si="3708">FALSE()</f>
        <v>0</v>
      </c>
      <c r="L3918" s="6" t="b">
        <f t="shared" si="3708"/>
        <v>0</v>
      </c>
      <c r="M3918" s="6" t="b">
        <f t="shared" si="3708"/>
        <v>0</v>
      </c>
      <c r="P3918" s="4">
        <v>0.200488860749404</v>
      </c>
      <c r="T3918" s="4" t="str">
        <f t="shared" si="3"/>
        <v/>
      </c>
      <c r="U3918" s="4">
        <f t="shared" si="4"/>
        <v>2235</v>
      </c>
    </row>
    <row r="3919" ht="15.75" customHeight="1">
      <c r="A3919" s="4" t="s">
        <v>4859</v>
      </c>
      <c r="B3919" s="4" t="s">
        <v>13</v>
      </c>
      <c r="I3919" s="4">
        <v>0.275</v>
      </c>
      <c r="J3919" s="4">
        <v>0.027</v>
      </c>
      <c r="K3919" s="6" t="b">
        <f t="shared" ref="K3919:M3919" si="3709">FALSE()</f>
        <v>0</v>
      </c>
      <c r="L3919" s="6" t="b">
        <f t="shared" si="3709"/>
        <v>0</v>
      </c>
      <c r="M3919" s="6" t="b">
        <f t="shared" si="3709"/>
        <v>0</v>
      </c>
      <c r="P3919" s="4">
        <v>0.242946178610389</v>
      </c>
      <c r="T3919" s="4" t="str">
        <f t="shared" si="3"/>
        <v/>
      </c>
      <c r="U3919" s="4">
        <f t="shared" si="4"/>
        <v>1543</v>
      </c>
    </row>
    <row r="3920" ht="15.75" customHeight="1">
      <c r="A3920" s="4" t="s">
        <v>4860</v>
      </c>
      <c r="B3920" s="4" t="s">
        <v>13</v>
      </c>
      <c r="I3920" s="4">
        <v>0.1856</v>
      </c>
      <c r="J3920" s="4">
        <v>0.008</v>
      </c>
      <c r="K3920" s="6" t="b">
        <f t="shared" ref="K3920:M3920" si="3710">FALSE()</f>
        <v>0</v>
      </c>
      <c r="L3920" s="6" t="b">
        <f t="shared" si="3710"/>
        <v>0</v>
      </c>
      <c r="M3920" s="6" t="b">
        <f t="shared" si="3710"/>
        <v>0</v>
      </c>
      <c r="P3920" s="4">
        <v>0.170248975559685</v>
      </c>
      <c r="T3920" s="4" t="str">
        <f t="shared" si="3"/>
        <v/>
      </c>
      <c r="U3920" s="4">
        <f t="shared" si="4"/>
        <v>2818</v>
      </c>
    </row>
    <row r="3921" ht="15.75" customHeight="1">
      <c r="A3921" s="4" t="s">
        <v>4861</v>
      </c>
      <c r="B3921" s="4" t="s">
        <v>13</v>
      </c>
      <c r="I3921" s="4">
        <v>0.242</v>
      </c>
      <c r="J3921" s="4">
        <v>0.029</v>
      </c>
      <c r="K3921" s="6" t="b">
        <f t="shared" ref="K3921:M3921" si="3711">FALSE()</f>
        <v>0</v>
      </c>
      <c r="L3921" s="6" t="b">
        <f t="shared" si="3711"/>
        <v>0</v>
      </c>
      <c r="M3921" s="6" t="b">
        <f t="shared" si="3711"/>
        <v>0</v>
      </c>
      <c r="P3921" s="4">
        <v>0.216722983511287</v>
      </c>
      <c r="T3921" s="4" t="str">
        <f t="shared" si="3"/>
        <v/>
      </c>
      <c r="U3921" s="4">
        <f t="shared" si="4"/>
        <v>1918</v>
      </c>
    </row>
    <row r="3922" ht="15.75" customHeight="1">
      <c r="A3922" s="4" t="s">
        <v>4862</v>
      </c>
      <c r="B3922" s="4" t="s">
        <v>13</v>
      </c>
      <c r="I3922" s="4">
        <v>0.189</v>
      </c>
      <c r="J3922" s="4">
        <v>0.006</v>
      </c>
      <c r="K3922" s="6" t="b">
        <f t="shared" ref="K3922:M3922" si="3712">FALSE()</f>
        <v>0</v>
      </c>
      <c r="L3922" s="6" t="b">
        <f t="shared" si="3712"/>
        <v>0</v>
      </c>
      <c r="M3922" s="6" t="b">
        <f t="shared" si="3712"/>
        <v>0</v>
      </c>
      <c r="P3922" s="4">
        <v>0.173112617708645</v>
      </c>
      <c r="T3922" s="4" t="str">
        <f t="shared" si="3"/>
        <v/>
      </c>
      <c r="U3922" s="4">
        <f t="shared" si="4"/>
        <v>2758</v>
      </c>
    </row>
    <row r="3923" ht="15.75" customHeight="1">
      <c r="A3923" s="4" t="s">
        <v>4863</v>
      </c>
      <c r="B3923" s="4" t="s">
        <v>13</v>
      </c>
      <c r="I3923" s="4">
        <v>0.27</v>
      </c>
      <c r="J3923" s="4">
        <v>0.011</v>
      </c>
      <c r="K3923" s="6" t="b">
        <f t="shared" ref="K3923:M3923" si="3713">FALSE()</f>
        <v>0</v>
      </c>
      <c r="L3923" s="6" t="b">
        <f t="shared" si="3713"/>
        <v>0</v>
      </c>
      <c r="M3923" s="6" t="b">
        <f t="shared" si="3713"/>
        <v>0</v>
      </c>
      <c r="P3923" s="4">
        <v>0.2390169004705</v>
      </c>
      <c r="T3923" s="4" t="str">
        <f t="shared" si="3"/>
        <v/>
      </c>
      <c r="U3923" s="4">
        <f t="shared" si="4"/>
        <v>1587</v>
      </c>
    </row>
    <row r="3924" ht="15.75" customHeight="1">
      <c r="A3924" s="4" t="s">
        <v>4864</v>
      </c>
      <c r="B3924" s="4" t="s">
        <v>13</v>
      </c>
      <c r="I3924" s="4">
        <v>0.41</v>
      </c>
      <c r="J3924" s="4">
        <v>0.018</v>
      </c>
      <c r="K3924" s="6" t="b">
        <f t="shared" ref="K3924:M3924" si="3714">FALSE()</f>
        <v>0</v>
      </c>
      <c r="L3924" s="6" t="b">
        <f t="shared" si="3714"/>
        <v>0</v>
      </c>
      <c r="M3924" s="6" t="b">
        <f t="shared" si="3714"/>
        <v>0</v>
      </c>
      <c r="P3924" s="4">
        <v>0.343589704390077</v>
      </c>
      <c r="T3924" s="4" t="str">
        <f t="shared" si="3"/>
        <v/>
      </c>
      <c r="U3924" s="4">
        <f t="shared" si="4"/>
        <v>1109</v>
      </c>
    </row>
    <row r="3925" ht="15.75" customHeight="1">
      <c r="A3925" s="4" t="s">
        <v>962</v>
      </c>
      <c r="B3925" s="4" t="s">
        <v>13</v>
      </c>
      <c r="C3925" s="4">
        <v>0.05984</v>
      </c>
      <c r="D3925" s="4">
        <v>0.0368</v>
      </c>
      <c r="E3925" s="4">
        <v>0.0749</v>
      </c>
      <c r="I3925" s="4">
        <v>0.6281</v>
      </c>
      <c r="J3925" s="4">
        <v>0.0437</v>
      </c>
      <c r="K3925" s="6" t="b">
        <f t="shared" ref="K3925:M3925" si="3715">FALSE()</f>
        <v>0</v>
      </c>
      <c r="L3925" s="6" t="b">
        <f t="shared" si="3715"/>
        <v>0</v>
      </c>
      <c r="M3925" s="6" t="b">
        <f t="shared" si="3715"/>
        <v>0</v>
      </c>
      <c r="N3925" s="4">
        <v>0.0581179533346484</v>
      </c>
      <c r="P3925" s="4">
        <v>0.487413690755332</v>
      </c>
      <c r="T3925" s="4">
        <f t="shared" si="3"/>
        <v>1362</v>
      </c>
      <c r="U3925" s="4">
        <f t="shared" si="4"/>
        <v>928</v>
      </c>
    </row>
    <row r="3926" ht="15.75" customHeight="1">
      <c r="A3926" s="4" t="s">
        <v>4865</v>
      </c>
      <c r="B3926" s="4" t="s">
        <v>13</v>
      </c>
      <c r="I3926" s="4">
        <v>0.248</v>
      </c>
      <c r="J3926" s="4">
        <v>0.019</v>
      </c>
      <c r="K3926" s="6" t="b">
        <f t="shared" ref="K3926:M3926" si="3716">FALSE()</f>
        <v>0</v>
      </c>
      <c r="L3926" s="6" t="b">
        <f t="shared" si="3716"/>
        <v>0</v>
      </c>
      <c r="M3926" s="6" t="b">
        <f t="shared" si="3716"/>
        <v>0</v>
      </c>
      <c r="P3926" s="4">
        <v>0.221542269947236</v>
      </c>
      <c r="T3926" s="4" t="str">
        <f t="shared" si="3"/>
        <v/>
      </c>
      <c r="U3926" s="4">
        <f t="shared" si="4"/>
        <v>1833</v>
      </c>
    </row>
    <row r="3927" ht="15.75" customHeight="1">
      <c r="A3927" s="4" t="s">
        <v>4866</v>
      </c>
      <c r="B3927" s="4" t="s">
        <v>13</v>
      </c>
      <c r="I3927" s="4">
        <v>0.223</v>
      </c>
      <c r="J3927" s="4">
        <v>0.026</v>
      </c>
      <c r="K3927" s="6" t="b">
        <f t="shared" ref="K3927:M3927" si="3717">FALSE()</f>
        <v>0</v>
      </c>
      <c r="L3927" s="6" t="b">
        <f t="shared" si="3717"/>
        <v>0</v>
      </c>
      <c r="M3927" s="6" t="b">
        <f t="shared" si="3717"/>
        <v>0</v>
      </c>
      <c r="P3927" s="4">
        <v>0.201306856705035</v>
      </c>
      <c r="T3927" s="4" t="str">
        <f t="shared" si="3"/>
        <v/>
      </c>
      <c r="U3927" s="4">
        <f t="shared" si="4"/>
        <v>2217</v>
      </c>
    </row>
    <row r="3928" ht="15.75" customHeight="1">
      <c r="A3928" s="4" t="s">
        <v>4867</v>
      </c>
      <c r="B3928" s="4" t="s">
        <v>13</v>
      </c>
      <c r="I3928" s="4">
        <v>0.2105</v>
      </c>
      <c r="J3928" s="4">
        <v>0.0125</v>
      </c>
      <c r="K3928" s="6" t="b">
        <f t="shared" ref="K3928:M3928" si="3718">FALSE()</f>
        <v>0</v>
      </c>
      <c r="L3928" s="6" t="b">
        <f t="shared" si="3718"/>
        <v>0</v>
      </c>
      <c r="M3928" s="6" t="b">
        <f t="shared" si="3718"/>
        <v>0</v>
      </c>
      <c r="P3928" s="4">
        <v>0.191033497395976</v>
      </c>
      <c r="T3928" s="4" t="str">
        <f t="shared" si="3"/>
        <v/>
      </c>
      <c r="U3928" s="4">
        <f t="shared" si="4"/>
        <v>2410</v>
      </c>
    </row>
    <row r="3929" ht="15.75" customHeight="1">
      <c r="A3929" s="4" t="s">
        <v>4868</v>
      </c>
      <c r="B3929" s="4" t="s">
        <v>13</v>
      </c>
      <c r="I3929" s="4">
        <v>0.286</v>
      </c>
      <c r="J3929" s="4">
        <v>0.038</v>
      </c>
      <c r="K3929" s="6" t="b">
        <f t="shared" ref="K3929:M3929" si="3719">FALSE()</f>
        <v>0</v>
      </c>
      <c r="L3929" s="6" t="b">
        <f t="shared" si="3719"/>
        <v>0</v>
      </c>
      <c r="M3929" s="6" t="b">
        <f t="shared" si="3719"/>
        <v>0</v>
      </c>
      <c r="P3929" s="4">
        <v>0.251536625815428</v>
      </c>
      <c r="T3929" s="4" t="str">
        <f t="shared" si="3"/>
        <v/>
      </c>
      <c r="U3929" s="4">
        <f t="shared" si="4"/>
        <v>1461</v>
      </c>
    </row>
    <row r="3930" ht="15.75" customHeight="1">
      <c r="A3930" s="4" t="s">
        <v>4869</v>
      </c>
      <c r="B3930" s="4" t="s">
        <v>13</v>
      </c>
      <c r="I3930" s="4">
        <v>0.203</v>
      </c>
      <c r="J3930" s="4">
        <v>0.004</v>
      </c>
      <c r="K3930" s="6" t="b">
        <f t="shared" ref="K3930:M3930" si="3720">FALSE()</f>
        <v>0</v>
      </c>
      <c r="L3930" s="6" t="b">
        <f t="shared" si="3720"/>
        <v>0</v>
      </c>
      <c r="M3930" s="6" t="b">
        <f t="shared" si="3720"/>
        <v>0</v>
      </c>
      <c r="P3930" s="4">
        <v>0.184818436992542</v>
      </c>
      <c r="T3930" s="4" t="str">
        <f t="shared" si="3"/>
        <v/>
      </c>
      <c r="U3930" s="4">
        <f t="shared" si="4"/>
        <v>2534</v>
      </c>
    </row>
    <row r="3931" ht="15.75" customHeight="1">
      <c r="A3931" s="4" t="s">
        <v>4870</v>
      </c>
      <c r="B3931" s="4" t="s">
        <v>13</v>
      </c>
      <c r="I3931" s="4">
        <v>1.286</v>
      </c>
      <c r="J3931" s="4">
        <v>0.145</v>
      </c>
      <c r="K3931" s="6" t="b">
        <f t="shared" ref="K3931:L3931" si="3721">FALSE()</f>
        <v>0</v>
      </c>
      <c r="L3931" s="6" t="b">
        <f t="shared" si="3721"/>
        <v>0</v>
      </c>
      <c r="M3931" s="6" t="b">
        <f t="shared" ref="M3931:M3932" si="3723">TRUE()</f>
        <v>1</v>
      </c>
      <c r="P3931" s="4">
        <v>0.826803565372619</v>
      </c>
      <c r="T3931" s="4" t="str">
        <f t="shared" si="3"/>
        <v/>
      </c>
      <c r="U3931" s="4">
        <f t="shared" si="4"/>
        <v>274</v>
      </c>
    </row>
    <row r="3932" ht="15.75" customHeight="1">
      <c r="A3932" s="4" t="s">
        <v>4871</v>
      </c>
      <c r="B3932" s="4" t="s">
        <v>13</v>
      </c>
      <c r="I3932" s="4">
        <v>1.019</v>
      </c>
      <c r="J3932" s="4">
        <v>0.047</v>
      </c>
      <c r="K3932" s="6" t="b">
        <f t="shared" ref="K3932:L3932" si="3722">FALSE()</f>
        <v>0</v>
      </c>
      <c r="L3932" s="6" t="b">
        <f t="shared" si="3722"/>
        <v>0</v>
      </c>
      <c r="M3932" s="6" t="b">
        <f t="shared" si="3723"/>
        <v>1</v>
      </c>
      <c r="P3932" s="4">
        <v>0.7026023393307</v>
      </c>
      <c r="T3932" s="4" t="str">
        <f t="shared" si="3"/>
        <v/>
      </c>
      <c r="U3932" s="4">
        <f t="shared" si="4"/>
        <v>646</v>
      </c>
    </row>
    <row r="3933" ht="15.75" customHeight="1">
      <c r="A3933" s="4" t="s">
        <v>4872</v>
      </c>
      <c r="B3933" s="4" t="s">
        <v>13</v>
      </c>
      <c r="I3933" s="4">
        <v>0.239</v>
      </c>
      <c r="J3933" s="4">
        <v>0.044</v>
      </c>
      <c r="K3933" s="6" t="b">
        <f t="shared" ref="K3933:M3933" si="3724">FALSE()</f>
        <v>0</v>
      </c>
      <c r="L3933" s="6" t="b">
        <f t="shared" si="3724"/>
        <v>0</v>
      </c>
      <c r="M3933" s="6" t="b">
        <f t="shared" si="3724"/>
        <v>0</v>
      </c>
      <c r="P3933" s="4">
        <v>0.214304602647005</v>
      </c>
      <c r="T3933" s="4" t="str">
        <f t="shared" si="3"/>
        <v/>
      </c>
      <c r="U3933" s="4">
        <f t="shared" si="4"/>
        <v>1964</v>
      </c>
    </row>
    <row r="3934" ht="15.75" customHeight="1">
      <c r="A3934" s="4" t="s">
        <v>4873</v>
      </c>
      <c r="B3934" s="4" t="s">
        <v>13</v>
      </c>
      <c r="I3934" s="4">
        <v>0.24757</v>
      </c>
      <c r="K3934" s="6" t="b">
        <f t="shared" ref="K3934:M3934" si="3725">FALSE()</f>
        <v>0</v>
      </c>
      <c r="L3934" s="6" t="b">
        <f t="shared" si="3725"/>
        <v>0</v>
      </c>
      <c r="M3934" s="6" t="b">
        <f t="shared" si="3725"/>
        <v>0</v>
      </c>
      <c r="P3934" s="4">
        <v>0.221197659293754</v>
      </c>
      <c r="T3934" s="4" t="str">
        <f t="shared" si="3"/>
        <v/>
      </c>
      <c r="U3934" s="4">
        <f t="shared" si="4"/>
        <v>1843</v>
      </c>
    </row>
    <row r="3935" ht="15.75" customHeight="1">
      <c r="A3935" s="4" t="s">
        <v>4874</v>
      </c>
      <c r="B3935" s="4" t="s">
        <v>13</v>
      </c>
      <c r="I3935" s="4">
        <v>0.689</v>
      </c>
      <c r="J3935" s="4">
        <v>0.018</v>
      </c>
      <c r="K3935" s="6" t="b">
        <f t="shared" ref="K3935:M3935" si="3726">FALSE()</f>
        <v>0</v>
      </c>
      <c r="L3935" s="6" t="b">
        <f t="shared" si="3726"/>
        <v>0</v>
      </c>
      <c r="M3935" s="6" t="b">
        <f t="shared" si="3726"/>
        <v>0</v>
      </c>
      <c r="P3935" s="4">
        <v>0.524136637825663</v>
      </c>
      <c r="T3935" s="4" t="str">
        <f t="shared" si="3"/>
        <v/>
      </c>
      <c r="U3935" s="4">
        <f t="shared" si="4"/>
        <v>901</v>
      </c>
    </row>
    <row r="3936" ht="15.75" customHeight="1">
      <c r="A3936" s="4" t="s">
        <v>964</v>
      </c>
      <c r="B3936" s="4" t="s">
        <v>13</v>
      </c>
      <c r="C3936" s="4">
        <v>0.0124</v>
      </c>
      <c r="D3936" s="4">
        <v>0.0066</v>
      </c>
      <c r="E3936" s="4">
        <v>0.0066</v>
      </c>
      <c r="I3936" s="4">
        <v>0.168</v>
      </c>
      <c r="J3936" s="4">
        <v>0.009</v>
      </c>
      <c r="K3936" s="6" t="b">
        <f t="shared" ref="K3936:M3936" si="3727">FALSE()</f>
        <v>0</v>
      </c>
      <c r="L3936" s="6" t="b">
        <f t="shared" si="3727"/>
        <v>0</v>
      </c>
      <c r="M3936" s="6" t="b">
        <f t="shared" si="3727"/>
        <v>0</v>
      </c>
      <c r="N3936" s="4">
        <v>0.0123237496888319</v>
      </c>
      <c r="P3936" s="4">
        <v>0.155292884406035</v>
      </c>
      <c r="T3936" s="4">
        <f t="shared" si="3"/>
        <v>1885</v>
      </c>
      <c r="U3936" s="4">
        <f t="shared" si="4"/>
        <v>3080</v>
      </c>
    </row>
    <row r="3937" ht="15.75" customHeight="1">
      <c r="A3937" s="4" t="s">
        <v>965</v>
      </c>
      <c r="B3937" s="4" t="s">
        <v>13</v>
      </c>
      <c r="C3937" s="4">
        <v>0.04597</v>
      </c>
      <c r="D3937" s="4">
        <v>0.0072</v>
      </c>
      <c r="E3937" s="4">
        <v>0.0072</v>
      </c>
      <c r="I3937" s="4">
        <v>0.242</v>
      </c>
      <c r="J3937" s="4">
        <v>0.012</v>
      </c>
      <c r="K3937" s="6" t="b">
        <f t="shared" ref="K3937:M3937" si="3728">FALSE()</f>
        <v>0</v>
      </c>
      <c r="L3937" s="6" t="b">
        <f t="shared" si="3728"/>
        <v>0</v>
      </c>
      <c r="M3937" s="6" t="b">
        <f t="shared" si="3728"/>
        <v>0</v>
      </c>
      <c r="N3937" s="4">
        <v>0.0449446845430958</v>
      </c>
      <c r="P3937" s="4">
        <v>0.216722983511287</v>
      </c>
      <c r="T3937" s="4">
        <f t="shared" si="3"/>
        <v>1426</v>
      </c>
      <c r="U3937" s="4">
        <f t="shared" si="4"/>
        <v>1919</v>
      </c>
    </row>
    <row r="3938" ht="15.75" customHeight="1">
      <c r="A3938" s="4" t="s">
        <v>967</v>
      </c>
      <c r="B3938" s="4" t="s">
        <v>13</v>
      </c>
      <c r="C3938" s="4">
        <v>0.025</v>
      </c>
      <c r="D3938" s="4">
        <v>0.014</v>
      </c>
      <c r="E3938" s="4">
        <v>0.014</v>
      </c>
      <c r="I3938" s="4">
        <v>0.182</v>
      </c>
      <c r="J3938" s="4">
        <v>0.0098</v>
      </c>
      <c r="K3938" s="6" t="b">
        <f t="shared" ref="K3938:M3938" si="3729">FALSE()</f>
        <v>0</v>
      </c>
      <c r="L3938" s="6" t="b">
        <f t="shared" si="3729"/>
        <v>0</v>
      </c>
      <c r="M3938" s="6" t="b">
        <f t="shared" si="3729"/>
        <v>0</v>
      </c>
      <c r="N3938" s="4">
        <v>0.0246926125903715</v>
      </c>
      <c r="P3938" s="4">
        <v>0.167207918983906</v>
      </c>
      <c r="T3938" s="4">
        <f t="shared" si="3"/>
        <v>1636</v>
      </c>
      <c r="U3938" s="4">
        <f t="shared" si="4"/>
        <v>2868</v>
      </c>
    </row>
    <row r="3939" ht="15.75" customHeight="1">
      <c r="A3939" s="4" t="s">
        <v>4875</v>
      </c>
      <c r="B3939" s="4" t="s">
        <v>13</v>
      </c>
      <c r="C3939" s="4">
        <v>2.067</v>
      </c>
      <c r="D3939" s="4">
        <v>0.079</v>
      </c>
      <c r="E3939" s="4">
        <v>0.079</v>
      </c>
      <c r="F3939" s="4">
        <v>2.067</v>
      </c>
      <c r="G3939" s="4">
        <v>0.079</v>
      </c>
      <c r="H3939" s="4">
        <v>0.079</v>
      </c>
      <c r="K3939" s="6" t="b">
        <f t="shared" ref="K3939:M3939" si="3730">FALSE()</f>
        <v>0</v>
      </c>
      <c r="L3939" s="6" t="b">
        <f t="shared" si="3730"/>
        <v>0</v>
      </c>
      <c r="M3939" s="6" t="b">
        <f t="shared" si="3730"/>
        <v>0</v>
      </c>
      <c r="N3939" s="4">
        <v>1.12069988513212</v>
      </c>
      <c r="O3939" s="4">
        <v>1.12069988513212</v>
      </c>
      <c r="T3939" s="4">
        <f t="shared" si="3"/>
        <v>431</v>
      </c>
      <c r="U3939" s="4" t="str">
        <f t="shared" si="4"/>
        <v/>
      </c>
    </row>
    <row r="3940" ht="15.75" customHeight="1">
      <c r="A3940" s="4" t="s">
        <v>4876</v>
      </c>
      <c r="B3940" s="4" t="s">
        <v>13</v>
      </c>
      <c r="D3940" s="4">
        <v>0.29</v>
      </c>
      <c r="E3940" s="4">
        <v>0.29</v>
      </c>
      <c r="F3940" s="4">
        <v>0.94</v>
      </c>
      <c r="G3940" s="4">
        <v>0.29</v>
      </c>
      <c r="H3940" s="4">
        <v>0.29</v>
      </c>
      <c r="K3940" s="6" t="b">
        <f t="shared" ref="K3940:M3940" si="3731">FALSE()</f>
        <v>0</v>
      </c>
      <c r="L3940" s="6" t="b">
        <f t="shared" si="3731"/>
        <v>0</v>
      </c>
      <c r="M3940" s="6" t="b">
        <f t="shared" si="3731"/>
        <v>0</v>
      </c>
      <c r="O3940" s="4">
        <v>0.662687973075237</v>
      </c>
      <c r="T3940" s="4" t="str">
        <f t="shared" si="3"/>
        <v/>
      </c>
      <c r="U3940" s="4" t="str">
        <f t="shared" si="4"/>
        <v/>
      </c>
    </row>
    <row r="3941" ht="15.75" customHeight="1">
      <c r="A3941" s="4" t="s">
        <v>4877</v>
      </c>
      <c r="B3941" s="4" t="s">
        <v>13</v>
      </c>
      <c r="I3941" s="4">
        <v>1.039</v>
      </c>
      <c r="J3941" s="4">
        <v>0.123</v>
      </c>
      <c r="K3941" s="6" t="b">
        <f t="shared" ref="K3941:L3941" si="3732">FALSE()</f>
        <v>0</v>
      </c>
      <c r="L3941" s="6" t="b">
        <f t="shared" si="3732"/>
        <v>0</v>
      </c>
      <c r="M3941" s="6" t="b">
        <f t="shared" ref="M3941:M3943" si="3734">TRUE()</f>
        <v>1</v>
      </c>
      <c r="P3941" s="4">
        <v>0.712459491592318</v>
      </c>
      <c r="T3941" s="4" t="str">
        <f t="shared" si="3"/>
        <v/>
      </c>
      <c r="U3941" s="4">
        <f t="shared" si="4"/>
        <v>619</v>
      </c>
    </row>
    <row r="3942" ht="15.75" customHeight="1">
      <c r="A3942" s="4" t="s">
        <v>4878</v>
      </c>
      <c r="B3942" s="4" t="s">
        <v>13</v>
      </c>
      <c r="I3942" s="4">
        <v>0.796</v>
      </c>
      <c r="J3942" s="4">
        <v>0.045</v>
      </c>
      <c r="K3942" s="6" t="b">
        <f t="shared" ref="K3942:L3942" si="3733">FALSE()</f>
        <v>0</v>
      </c>
      <c r="L3942" s="6" t="b">
        <f t="shared" si="3733"/>
        <v>0</v>
      </c>
      <c r="M3942" s="6" t="b">
        <f t="shared" si="3734"/>
        <v>1</v>
      </c>
      <c r="P3942" s="4">
        <v>0.585561969880008</v>
      </c>
      <c r="T3942" s="4" t="str">
        <f t="shared" si="3"/>
        <v/>
      </c>
      <c r="U3942" s="4">
        <f t="shared" si="4"/>
        <v>844</v>
      </c>
    </row>
    <row r="3943" ht="15.75" customHeight="1">
      <c r="A3943" s="4" t="s">
        <v>4879</v>
      </c>
      <c r="B3943" s="4" t="s">
        <v>13</v>
      </c>
      <c r="I3943" s="4">
        <v>1.35</v>
      </c>
      <c r="J3943" s="4">
        <v>0.227</v>
      </c>
      <c r="K3943" s="6" t="b">
        <f t="shared" ref="K3943:L3943" si="3735">FALSE()</f>
        <v>0</v>
      </c>
      <c r="L3943" s="6" t="b">
        <f t="shared" si="3735"/>
        <v>0</v>
      </c>
      <c r="M3943" s="6" t="b">
        <f t="shared" si="3734"/>
        <v>1</v>
      </c>
      <c r="P3943" s="4">
        <v>0.854415328156068</v>
      </c>
      <c r="T3943" s="4" t="str">
        <f t="shared" si="3"/>
        <v/>
      </c>
      <c r="U3943" s="4">
        <f t="shared" si="4"/>
        <v>209</v>
      </c>
    </row>
    <row r="3944" ht="15.75" customHeight="1">
      <c r="A3944" s="4" t="s">
        <v>4880</v>
      </c>
      <c r="B3944" s="4" t="s">
        <v>13</v>
      </c>
      <c r="I3944" s="4">
        <v>0.637</v>
      </c>
      <c r="J3944" s="4">
        <v>0.089</v>
      </c>
      <c r="K3944" s="6" t="b">
        <f t="shared" ref="K3944:M3944" si="3736">FALSE()</f>
        <v>0</v>
      </c>
      <c r="L3944" s="6" t="b">
        <f t="shared" si="3736"/>
        <v>0</v>
      </c>
      <c r="M3944" s="6" t="b">
        <f t="shared" si="3736"/>
        <v>0</v>
      </c>
      <c r="P3944" s="4">
        <v>0.492865298388998</v>
      </c>
      <c r="T3944" s="4" t="str">
        <f t="shared" si="3"/>
        <v/>
      </c>
      <c r="U3944" s="4">
        <f t="shared" si="4"/>
        <v>924</v>
      </c>
    </row>
    <row r="3945" ht="15.75" customHeight="1">
      <c r="A3945" s="4" t="s">
        <v>4881</v>
      </c>
      <c r="B3945" s="4" t="s">
        <v>13</v>
      </c>
      <c r="I3945" s="4">
        <v>0.467</v>
      </c>
      <c r="J3945" s="4">
        <v>0.03</v>
      </c>
      <c r="K3945" s="6" t="b">
        <f t="shared" ref="K3945:M3945" si="3737">FALSE()</f>
        <v>0</v>
      </c>
      <c r="L3945" s="6" t="b">
        <f t="shared" si="3737"/>
        <v>0</v>
      </c>
      <c r="M3945" s="6" t="b">
        <f t="shared" si="3737"/>
        <v>0</v>
      </c>
      <c r="P3945" s="4">
        <v>0.383219499160845</v>
      </c>
      <c r="T3945" s="4" t="str">
        <f t="shared" si="3"/>
        <v/>
      </c>
      <c r="U3945" s="4">
        <f t="shared" si="4"/>
        <v>1043</v>
      </c>
    </row>
    <row r="3946" ht="15.75" customHeight="1">
      <c r="A3946" s="4" t="s">
        <v>4882</v>
      </c>
      <c r="B3946" s="4" t="s">
        <v>13</v>
      </c>
      <c r="I3946" s="4">
        <v>0.10875</v>
      </c>
      <c r="K3946" s="6" t="b">
        <f t="shared" ref="K3946:M3946" si="3738">FALSE()</f>
        <v>0</v>
      </c>
      <c r="L3946" s="6" t="b">
        <f t="shared" si="3738"/>
        <v>0</v>
      </c>
      <c r="M3946" s="6" t="b">
        <f t="shared" si="3738"/>
        <v>0</v>
      </c>
      <c r="P3946" s="4">
        <v>0.103233254641652</v>
      </c>
      <c r="T3946" s="4" t="str">
        <f t="shared" si="3"/>
        <v/>
      </c>
      <c r="U3946" s="4">
        <f t="shared" si="4"/>
        <v>4072</v>
      </c>
    </row>
    <row r="3947" ht="15.75" customHeight="1">
      <c r="A3947" s="4" t="s">
        <v>4883</v>
      </c>
      <c r="B3947" s="4" t="s">
        <v>13</v>
      </c>
      <c r="I3947" s="4">
        <v>0.207</v>
      </c>
      <c r="J3947" s="4">
        <v>0.012</v>
      </c>
      <c r="K3947" s="6" t="b">
        <f t="shared" ref="K3947:M3947" si="3739">FALSE()</f>
        <v>0</v>
      </c>
      <c r="L3947" s="6" t="b">
        <f t="shared" si="3739"/>
        <v>0</v>
      </c>
      <c r="M3947" s="6" t="b">
        <f t="shared" si="3739"/>
        <v>0</v>
      </c>
      <c r="P3947" s="4">
        <v>0.188137942115394</v>
      </c>
      <c r="T3947" s="4" t="str">
        <f t="shared" si="3"/>
        <v/>
      </c>
      <c r="U3947" s="4">
        <f t="shared" si="4"/>
        <v>2469</v>
      </c>
    </row>
    <row r="3948" ht="15.75" customHeight="1">
      <c r="A3948" s="4" t="s">
        <v>4884</v>
      </c>
      <c r="B3948" s="4" t="s">
        <v>13</v>
      </c>
      <c r="I3948" s="4">
        <v>0.539</v>
      </c>
      <c r="J3948" s="4">
        <v>0.059</v>
      </c>
      <c r="K3948" s="6" t="b">
        <f t="shared" ref="K3948:M3948" si="3740">FALSE()</f>
        <v>0</v>
      </c>
      <c r="L3948" s="6" t="b">
        <f t="shared" si="3740"/>
        <v>0</v>
      </c>
      <c r="M3948" s="6" t="b">
        <f t="shared" si="3740"/>
        <v>0</v>
      </c>
      <c r="P3948" s="4">
        <v>0.431132854856742</v>
      </c>
      <c r="T3948" s="4" t="str">
        <f t="shared" si="3"/>
        <v/>
      </c>
      <c r="U3948" s="4">
        <f t="shared" si="4"/>
        <v>988</v>
      </c>
    </row>
    <row r="3949" ht="15.75" customHeight="1">
      <c r="A3949" s="4" t="s">
        <v>4885</v>
      </c>
      <c r="B3949" s="4" t="s">
        <v>13</v>
      </c>
      <c r="I3949" s="4">
        <v>0.27</v>
      </c>
      <c r="J3949" s="4">
        <v>0.03</v>
      </c>
      <c r="K3949" s="6" t="b">
        <f t="shared" ref="K3949:M3949" si="3741">FALSE()</f>
        <v>0</v>
      </c>
      <c r="L3949" s="6" t="b">
        <f t="shared" si="3741"/>
        <v>0</v>
      </c>
      <c r="M3949" s="6" t="b">
        <f t="shared" si="3741"/>
        <v>0</v>
      </c>
      <c r="P3949" s="4">
        <v>0.2390169004705</v>
      </c>
      <c r="T3949" s="4" t="str">
        <f t="shared" si="3"/>
        <v/>
      </c>
      <c r="U3949" s="4">
        <f t="shared" si="4"/>
        <v>1588</v>
      </c>
    </row>
    <row r="3950" ht="15.75" customHeight="1">
      <c r="A3950" s="4" t="s">
        <v>4886</v>
      </c>
      <c r="B3950" s="4" t="s">
        <v>13</v>
      </c>
      <c r="I3950" s="4">
        <v>0.194</v>
      </c>
      <c r="J3950" s="4">
        <v>0.014</v>
      </c>
      <c r="K3950" s="6" t="b">
        <f t="shared" ref="K3950:M3950" si="3742">FALSE()</f>
        <v>0</v>
      </c>
      <c r="L3950" s="6" t="b">
        <f t="shared" si="3742"/>
        <v>0</v>
      </c>
      <c r="M3950" s="6" t="b">
        <f t="shared" si="3742"/>
        <v>0</v>
      </c>
      <c r="P3950" s="4">
        <v>0.17730901497041</v>
      </c>
      <c r="T3950" s="4" t="str">
        <f t="shared" si="3"/>
        <v/>
      </c>
      <c r="U3950" s="4">
        <f t="shared" si="4"/>
        <v>2690</v>
      </c>
    </row>
    <row r="3951" ht="15.75" customHeight="1">
      <c r="A3951" s="4" t="s">
        <v>968</v>
      </c>
      <c r="B3951" s="4" t="s">
        <v>13</v>
      </c>
      <c r="C3951" s="4">
        <v>0.98</v>
      </c>
      <c r="I3951" s="4">
        <v>0.243</v>
      </c>
      <c r="K3951" s="6" t="b">
        <f t="shared" ref="K3951:M3951" si="3743">FALSE()</f>
        <v>0</v>
      </c>
      <c r="L3951" s="6" t="b">
        <f t="shared" si="3743"/>
        <v>0</v>
      </c>
      <c r="M3951" s="6" t="b">
        <f t="shared" si="3743"/>
        <v>0</v>
      </c>
      <c r="N3951" s="4">
        <v>0.683096844706444</v>
      </c>
      <c r="P3951" s="4">
        <v>0.217527812528574</v>
      </c>
      <c r="T3951" s="4">
        <f t="shared" si="3"/>
        <v>669</v>
      </c>
      <c r="U3951" s="4">
        <f t="shared" si="4"/>
        <v>1905</v>
      </c>
    </row>
    <row r="3952" ht="15.75" customHeight="1">
      <c r="A3952" s="4" t="s">
        <v>969</v>
      </c>
      <c r="B3952" s="4" t="s">
        <v>13</v>
      </c>
      <c r="C3952" s="4">
        <v>0.72</v>
      </c>
      <c r="I3952" s="4">
        <v>0.227</v>
      </c>
      <c r="K3952" s="6" t="b">
        <f t="shared" ref="K3952:M3952" si="3744">FALSE()</f>
        <v>0</v>
      </c>
      <c r="L3952" s="6" t="b">
        <f t="shared" si="3744"/>
        <v>0</v>
      </c>
      <c r="M3952" s="6" t="b">
        <f t="shared" si="3744"/>
        <v>0</v>
      </c>
      <c r="N3952" s="4">
        <v>0.542324290825362</v>
      </c>
      <c r="P3952" s="4">
        <v>0.204572165728774</v>
      </c>
      <c r="T3952" s="4">
        <f t="shared" si="3"/>
        <v>809</v>
      </c>
      <c r="U3952" s="4">
        <f t="shared" si="4"/>
        <v>2161</v>
      </c>
    </row>
    <row r="3953" ht="15.75" customHeight="1">
      <c r="A3953" s="4" t="s">
        <v>4887</v>
      </c>
      <c r="B3953" s="4" t="s">
        <v>13</v>
      </c>
      <c r="I3953" s="4">
        <v>0.143</v>
      </c>
      <c r="J3953" s="4">
        <v>0.006</v>
      </c>
      <c r="K3953" s="6" t="b">
        <f t="shared" ref="K3953:M3953" si="3745">FALSE()</f>
        <v>0</v>
      </c>
      <c r="L3953" s="6" t="b">
        <f t="shared" si="3745"/>
        <v>0</v>
      </c>
      <c r="M3953" s="6" t="b">
        <f t="shared" si="3745"/>
        <v>0</v>
      </c>
      <c r="P3953" s="4">
        <v>0.133656384812674</v>
      </c>
      <c r="T3953" s="4" t="str">
        <f t="shared" si="3"/>
        <v/>
      </c>
      <c r="U3953" s="4">
        <f t="shared" si="4"/>
        <v>3461</v>
      </c>
    </row>
    <row r="3954" ht="15.75" customHeight="1">
      <c r="A3954" s="4" t="s">
        <v>4888</v>
      </c>
      <c r="B3954" s="4" t="s">
        <v>13</v>
      </c>
      <c r="I3954" s="4">
        <v>0.139</v>
      </c>
      <c r="J3954" s="4">
        <v>0.007</v>
      </c>
      <c r="K3954" s="6" t="b">
        <f t="shared" ref="K3954:M3954" si="3746">FALSE()</f>
        <v>0</v>
      </c>
      <c r="L3954" s="6" t="b">
        <f t="shared" si="3746"/>
        <v>0</v>
      </c>
      <c r="M3954" s="6" t="b">
        <f t="shared" si="3746"/>
        <v>0</v>
      </c>
      <c r="P3954" s="4">
        <v>0.130150684465045</v>
      </c>
      <c r="T3954" s="4" t="str">
        <f t="shared" si="3"/>
        <v/>
      </c>
      <c r="U3954" s="4">
        <f t="shared" si="4"/>
        <v>3530</v>
      </c>
    </row>
    <row r="3955" ht="15.75" customHeight="1">
      <c r="A3955" s="4" t="s">
        <v>970</v>
      </c>
      <c r="B3955" s="4" t="s">
        <v>13</v>
      </c>
      <c r="C3955" s="4">
        <v>0.077</v>
      </c>
      <c r="D3955" s="4">
        <v>0.012</v>
      </c>
      <c r="E3955" s="4">
        <v>0.012</v>
      </c>
      <c r="I3955" s="4">
        <v>0.357</v>
      </c>
      <c r="J3955" s="4">
        <v>0.019</v>
      </c>
      <c r="K3955" s="6" t="b">
        <f t="shared" ref="K3955:M3955" si="3747">FALSE()</f>
        <v>0</v>
      </c>
      <c r="L3955" s="6" t="b">
        <f t="shared" si="3747"/>
        <v>0</v>
      </c>
      <c r="M3955" s="6" t="b">
        <f t="shared" si="3747"/>
        <v>0</v>
      </c>
      <c r="N3955" s="4">
        <v>0.0741793981742515</v>
      </c>
      <c r="P3955" s="4">
        <v>0.305276380852732</v>
      </c>
      <c r="T3955" s="4">
        <f t="shared" si="3"/>
        <v>1306</v>
      </c>
      <c r="U3955" s="4">
        <f t="shared" si="4"/>
        <v>1191</v>
      </c>
    </row>
    <row r="3956" ht="15.75" customHeight="1">
      <c r="A3956" s="4" t="s">
        <v>4889</v>
      </c>
      <c r="B3956" s="4" t="s">
        <v>13</v>
      </c>
      <c r="I3956" s="4">
        <v>0.23</v>
      </c>
      <c r="J3956" s="4">
        <v>0.015</v>
      </c>
      <c r="K3956" s="6" t="b">
        <f t="shared" ref="K3956:M3956" si="3748">FALSE()</f>
        <v>0</v>
      </c>
      <c r="L3956" s="6" t="b">
        <f t="shared" si="3748"/>
        <v>0</v>
      </c>
      <c r="M3956" s="6" t="b">
        <f t="shared" si="3748"/>
        <v>0</v>
      </c>
      <c r="P3956" s="4">
        <v>0.207014169384326</v>
      </c>
      <c r="T3956" s="4" t="str">
        <f t="shared" si="3"/>
        <v/>
      </c>
      <c r="U3956" s="4">
        <f t="shared" si="4"/>
        <v>2116</v>
      </c>
    </row>
    <row r="3957" ht="15.75" customHeight="1">
      <c r="A3957" s="4" t="s">
        <v>4890</v>
      </c>
      <c r="B3957" s="4" t="s">
        <v>13</v>
      </c>
      <c r="I3957" s="4">
        <v>0.384</v>
      </c>
      <c r="J3957" s="4">
        <v>0.041</v>
      </c>
      <c r="K3957" s="6" t="b">
        <f t="shared" ref="K3957:M3957" si="3749">FALSE()</f>
        <v>0</v>
      </c>
      <c r="L3957" s="6" t="b">
        <f t="shared" si="3749"/>
        <v>0</v>
      </c>
      <c r="M3957" s="6" t="b">
        <f t="shared" si="3749"/>
        <v>0</v>
      </c>
      <c r="P3957" s="4">
        <v>0.324977857195478</v>
      </c>
      <c r="T3957" s="4" t="str">
        <f t="shared" si="3"/>
        <v/>
      </c>
      <c r="U3957" s="4">
        <f t="shared" si="4"/>
        <v>1143</v>
      </c>
    </row>
    <row r="3958" ht="15.75" customHeight="1">
      <c r="A3958" s="4" t="s">
        <v>4891</v>
      </c>
      <c r="B3958" s="4" t="s">
        <v>13</v>
      </c>
      <c r="I3958" s="4">
        <v>0.149979</v>
      </c>
      <c r="K3958" s="6" t="b">
        <f t="shared" ref="K3958:M3958" si="3750">FALSE()</f>
        <v>0</v>
      </c>
      <c r="L3958" s="6" t="b">
        <f t="shared" si="3750"/>
        <v>0</v>
      </c>
      <c r="M3958" s="6" t="b">
        <f t="shared" si="3750"/>
        <v>0</v>
      </c>
      <c r="P3958" s="4">
        <v>0.139743681338862</v>
      </c>
      <c r="T3958" s="4" t="str">
        <f t="shared" si="3"/>
        <v/>
      </c>
      <c r="U3958" s="4">
        <f t="shared" si="4"/>
        <v>3333</v>
      </c>
    </row>
    <row r="3959" ht="15.75" customHeight="1">
      <c r="A3959" s="4" t="s">
        <v>4892</v>
      </c>
      <c r="B3959" s="4" t="s">
        <v>13</v>
      </c>
      <c r="I3959" s="4">
        <v>0.426</v>
      </c>
      <c r="J3959" s="4">
        <v>0.059</v>
      </c>
      <c r="K3959" s="6" t="b">
        <f t="shared" ref="K3959:M3959" si="3751">FALSE()</f>
        <v>0</v>
      </c>
      <c r="L3959" s="6" t="b">
        <f t="shared" si="3751"/>
        <v>0</v>
      </c>
      <c r="M3959" s="6" t="b">
        <f t="shared" si="3751"/>
        <v>0</v>
      </c>
      <c r="P3959" s="4">
        <v>0.354873321992104</v>
      </c>
      <c r="T3959" s="4" t="str">
        <f t="shared" si="3"/>
        <v/>
      </c>
      <c r="U3959" s="4">
        <f t="shared" si="4"/>
        <v>1083</v>
      </c>
    </row>
    <row r="3960" ht="15.75" customHeight="1">
      <c r="A3960" s="4" t="s">
        <v>4893</v>
      </c>
      <c r="B3960" s="4" t="s">
        <v>13</v>
      </c>
      <c r="I3960" s="4">
        <v>0.1401</v>
      </c>
      <c r="J3960" s="4">
        <v>0.0214</v>
      </c>
      <c r="K3960" s="6" t="b">
        <f t="shared" ref="K3960:M3960" si="3752">FALSE()</f>
        <v>0</v>
      </c>
      <c r="L3960" s="6" t="b">
        <f t="shared" si="3752"/>
        <v>0</v>
      </c>
      <c r="M3960" s="6" t="b">
        <f t="shared" si="3752"/>
        <v>0</v>
      </c>
      <c r="P3960" s="4">
        <v>0.131115977857537</v>
      </c>
      <c r="T3960" s="4" t="str">
        <f t="shared" si="3"/>
        <v/>
      </c>
      <c r="U3960" s="4">
        <f t="shared" si="4"/>
        <v>3498</v>
      </c>
    </row>
    <row r="3961" ht="15.75" customHeight="1">
      <c r="A3961" s="4" t="s">
        <v>4894</v>
      </c>
      <c r="B3961" s="4" t="s">
        <v>13</v>
      </c>
      <c r="I3961" s="4">
        <v>0.232</v>
      </c>
      <c r="J3961" s="4">
        <v>0.008</v>
      </c>
      <c r="K3961" s="6" t="b">
        <f t="shared" ref="K3961:M3961" si="3753">FALSE()</f>
        <v>0</v>
      </c>
      <c r="L3961" s="6" t="b">
        <f t="shared" si="3753"/>
        <v>0</v>
      </c>
      <c r="M3961" s="6" t="b">
        <f t="shared" si="3753"/>
        <v>0</v>
      </c>
      <c r="P3961" s="4">
        <v>0.208638865111328</v>
      </c>
      <c r="T3961" s="4" t="str">
        <f t="shared" si="3"/>
        <v/>
      </c>
      <c r="U3961" s="4">
        <f t="shared" si="4"/>
        <v>2081</v>
      </c>
    </row>
    <row r="3962" ht="15.75" customHeight="1">
      <c r="A3962" s="4" t="s">
        <v>4895</v>
      </c>
      <c r="B3962" s="4" t="s">
        <v>13</v>
      </c>
      <c r="I3962" s="4">
        <v>0.244</v>
      </c>
      <c r="J3962" s="4">
        <v>0.005</v>
      </c>
      <c r="K3962" s="6" t="b">
        <f t="shared" ref="K3962:M3962" si="3754">FALSE()</f>
        <v>0</v>
      </c>
      <c r="L3962" s="6" t="b">
        <f t="shared" si="3754"/>
        <v>0</v>
      </c>
      <c r="M3962" s="6" t="b">
        <f t="shared" si="3754"/>
        <v>0</v>
      </c>
      <c r="P3962" s="4">
        <v>0.218331994316988</v>
      </c>
      <c r="T3962" s="4" t="str">
        <f t="shared" si="3"/>
        <v/>
      </c>
      <c r="U3962" s="4">
        <f t="shared" si="4"/>
        <v>1891</v>
      </c>
    </row>
    <row r="3963" ht="15.75" customHeight="1">
      <c r="A3963" s="4" t="s">
        <v>4896</v>
      </c>
      <c r="B3963" s="4" t="s">
        <v>13</v>
      </c>
      <c r="I3963" s="4">
        <v>0.116</v>
      </c>
      <c r="J3963" s="4">
        <v>0.015</v>
      </c>
      <c r="K3963" s="6" t="b">
        <f t="shared" ref="K3963:M3963" si="3755">FALSE()</f>
        <v>0</v>
      </c>
      <c r="L3963" s="6" t="b">
        <f t="shared" si="3755"/>
        <v>0</v>
      </c>
      <c r="M3963" s="6" t="b">
        <f t="shared" si="3755"/>
        <v>0</v>
      </c>
      <c r="P3963" s="4">
        <v>0.109750863959119</v>
      </c>
      <c r="T3963" s="4" t="str">
        <f t="shared" si="3"/>
        <v/>
      </c>
      <c r="U3963" s="4">
        <f t="shared" si="4"/>
        <v>3957</v>
      </c>
    </row>
    <row r="3964" ht="15.75" customHeight="1">
      <c r="A3964" s="4" t="s">
        <v>4897</v>
      </c>
      <c r="B3964" s="4" t="s">
        <v>13</v>
      </c>
      <c r="I3964" s="4">
        <v>0.146</v>
      </c>
      <c r="J3964" s="4">
        <v>0.017</v>
      </c>
      <c r="K3964" s="6" t="b">
        <f t="shared" ref="K3964:M3964" si="3756">FALSE()</f>
        <v>0</v>
      </c>
      <c r="L3964" s="6" t="b">
        <f t="shared" si="3756"/>
        <v>0</v>
      </c>
      <c r="M3964" s="6" t="b">
        <f t="shared" si="3756"/>
        <v>0</v>
      </c>
      <c r="P3964" s="4">
        <v>0.136277618292548</v>
      </c>
      <c r="T3964" s="4" t="str">
        <f t="shared" si="3"/>
        <v/>
      </c>
      <c r="U3964" s="4">
        <f t="shared" si="4"/>
        <v>3401</v>
      </c>
    </row>
    <row r="3965" ht="15.75" customHeight="1">
      <c r="A3965" s="4" t="s">
        <v>4898</v>
      </c>
      <c r="B3965" s="4" t="s">
        <v>13</v>
      </c>
      <c r="I3965" s="4">
        <v>0.222</v>
      </c>
      <c r="J3965" s="4">
        <v>0.005</v>
      </c>
      <c r="K3965" s="6" t="b">
        <f t="shared" ref="K3965:M3965" si="3757">FALSE()</f>
        <v>0</v>
      </c>
      <c r="L3965" s="6" t="b">
        <f t="shared" si="3757"/>
        <v>0</v>
      </c>
      <c r="M3965" s="6" t="b">
        <f t="shared" si="3757"/>
        <v>0</v>
      </c>
      <c r="P3965" s="4">
        <v>0.200488860749404</v>
      </c>
      <c r="T3965" s="4" t="str">
        <f t="shared" si="3"/>
        <v/>
      </c>
      <c r="U3965" s="4">
        <f t="shared" si="4"/>
        <v>2236</v>
      </c>
    </row>
    <row r="3966" ht="15.75" customHeight="1">
      <c r="A3966" s="4" t="s">
        <v>971</v>
      </c>
      <c r="B3966" s="4" t="s">
        <v>13</v>
      </c>
      <c r="C3966" s="4">
        <v>0.1</v>
      </c>
      <c r="D3966" s="4">
        <v>0.1</v>
      </c>
      <c r="E3966" s="4">
        <v>0.0</v>
      </c>
      <c r="I3966" s="4">
        <v>0.153</v>
      </c>
      <c r="J3966" s="4">
        <v>0.009</v>
      </c>
      <c r="K3966" s="6" t="b">
        <f t="shared" ref="K3966:M3966" si="3758">FALSE()</f>
        <v>0</v>
      </c>
      <c r="L3966" s="6" t="b">
        <f t="shared" si="3758"/>
        <v>0</v>
      </c>
      <c r="M3966" s="6" t="b">
        <f t="shared" si="3758"/>
        <v>0</v>
      </c>
      <c r="N3966" s="4">
        <v>0.0953101798043248</v>
      </c>
      <c r="P3966" s="4">
        <v>0.142367241286922</v>
      </c>
      <c r="T3966" s="4">
        <f t="shared" si="3"/>
        <v>1261</v>
      </c>
      <c r="U3966" s="4">
        <f t="shared" si="4"/>
        <v>3282</v>
      </c>
    </row>
    <row r="3967" ht="15.75" customHeight="1">
      <c r="A3967" s="4" t="s">
        <v>972</v>
      </c>
      <c r="B3967" s="4" t="s">
        <v>13</v>
      </c>
      <c r="C3967" s="4">
        <v>0.11</v>
      </c>
      <c r="D3967" s="4">
        <v>0.11</v>
      </c>
      <c r="E3967" s="4">
        <v>0.0</v>
      </c>
      <c r="I3967" s="4">
        <v>0.194</v>
      </c>
      <c r="J3967" s="4">
        <v>0.007</v>
      </c>
      <c r="K3967" s="6" t="b">
        <f t="shared" ref="K3967:M3967" si="3759">FALSE()</f>
        <v>0</v>
      </c>
      <c r="L3967" s="6" t="b">
        <f t="shared" si="3759"/>
        <v>0</v>
      </c>
      <c r="M3967" s="6" t="b">
        <f t="shared" si="3759"/>
        <v>0</v>
      </c>
      <c r="N3967" s="4">
        <v>0.104360015324243</v>
      </c>
      <c r="P3967" s="4">
        <v>0.17730901497041</v>
      </c>
      <c r="T3967" s="4">
        <f t="shared" si="3"/>
        <v>1244</v>
      </c>
      <c r="U3967" s="4">
        <f t="shared" si="4"/>
        <v>2691</v>
      </c>
    </row>
    <row r="3968" ht="15.75" customHeight="1">
      <c r="A3968" s="4" t="s">
        <v>4899</v>
      </c>
      <c r="B3968" s="4" t="s">
        <v>13</v>
      </c>
      <c r="I3968" s="4">
        <v>0.22</v>
      </c>
      <c r="J3968" s="4">
        <v>0.011</v>
      </c>
      <c r="K3968" s="6" t="b">
        <f t="shared" ref="K3968:M3968" si="3760">FALSE()</f>
        <v>0</v>
      </c>
      <c r="L3968" s="6" t="b">
        <f t="shared" si="3760"/>
        <v>0</v>
      </c>
      <c r="M3968" s="6" t="b">
        <f t="shared" si="3760"/>
        <v>0</v>
      </c>
      <c r="P3968" s="4">
        <v>0.198850858745165</v>
      </c>
      <c r="T3968" s="4" t="str">
        <f t="shared" si="3"/>
        <v/>
      </c>
      <c r="U3968" s="4">
        <f t="shared" si="4"/>
        <v>2268</v>
      </c>
    </row>
    <row r="3969" ht="15.75" customHeight="1">
      <c r="A3969" s="4" t="s">
        <v>4900</v>
      </c>
      <c r="B3969" s="4" t="s">
        <v>13</v>
      </c>
      <c r="I3969" s="4">
        <v>0.567</v>
      </c>
      <c r="J3969" s="4">
        <v>0.091</v>
      </c>
      <c r="K3969" s="6" t="b">
        <f t="shared" ref="K3969:M3969" si="3761">FALSE()</f>
        <v>0</v>
      </c>
      <c r="L3969" s="6" t="b">
        <f t="shared" si="3761"/>
        <v>0</v>
      </c>
      <c r="M3969" s="6" t="b">
        <f t="shared" si="3761"/>
        <v>0</v>
      </c>
      <c r="P3969" s="4">
        <v>0.449162963373884</v>
      </c>
      <c r="T3969" s="4" t="str">
        <f t="shared" si="3"/>
        <v/>
      </c>
      <c r="U3969" s="4">
        <f t="shared" si="4"/>
        <v>963</v>
      </c>
    </row>
    <row r="3970" ht="15.75" customHeight="1">
      <c r="A3970" s="4" t="s">
        <v>4901</v>
      </c>
      <c r="B3970" s="4" t="s">
        <v>13</v>
      </c>
      <c r="I3970" s="4">
        <v>0.3755</v>
      </c>
      <c r="K3970" s="6" t="b">
        <f t="shared" ref="K3970:M3970" si="3762">FALSE()</f>
        <v>0</v>
      </c>
      <c r="L3970" s="6" t="b">
        <f t="shared" si="3762"/>
        <v>0</v>
      </c>
      <c r="M3970" s="6" t="b">
        <f t="shared" si="3762"/>
        <v>0</v>
      </c>
      <c r="P3970" s="4">
        <v>0.318817301382492</v>
      </c>
      <c r="T3970" s="4" t="str">
        <f t="shared" si="3"/>
        <v/>
      </c>
      <c r="U3970" s="4">
        <f t="shared" si="4"/>
        <v>1153</v>
      </c>
    </row>
    <row r="3971" ht="15.75" customHeight="1">
      <c r="A3971" s="4" t="s">
        <v>4902</v>
      </c>
      <c r="B3971" s="4" t="s">
        <v>13</v>
      </c>
      <c r="I3971" s="4">
        <v>0.24</v>
      </c>
      <c r="J3971" s="4">
        <v>0.028</v>
      </c>
      <c r="K3971" s="6" t="b">
        <f t="shared" ref="K3971:M3971" si="3763">FALSE()</f>
        <v>0</v>
      </c>
      <c r="L3971" s="6" t="b">
        <f t="shared" si="3763"/>
        <v>0</v>
      </c>
      <c r="M3971" s="6" t="b">
        <f t="shared" si="3763"/>
        <v>0</v>
      </c>
      <c r="P3971" s="4">
        <v>0.215111379616946</v>
      </c>
      <c r="T3971" s="4" t="str">
        <f t="shared" si="3"/>
        <v/>
      </c>
      <c r="U3971" s="4">
        <f t="shared" si="4"/>
        <v>1951</v>
      </c>
    </row>
    <row r="3972" ht="15.75" customHeight="1">
      <c r="A3972" s="4" t="s">
        <v>4903</v>
      </c>
      <c r="B3972" s="4" t="s">
        <v>13</v>
      </c>
      <c r="I3972" s="4">
        <v>0.196</v>
      </c>
      <c r="J3972" s="4">
        <v>0.018</v>
      </c>
      <c r="K3972" s="6" t="b">
        <f t="shared" ref="K3972:M3972" si="3764">FALSE()</f>
        <v>0</v>
      </c>
      <c r="L3972" s="6" t="b">
        <f t="shared" si="3764"/>
        <v>0</v>
      </c>
      <c r="M3972" s="6" t="b">
        <f t="shared" si="3764"/>
        <v>0</v>
      </c>
      <c r="P3972" s="4">
        <v>0.17898265552844</v>
      </c>
      <c r="T3972" s="4" t="str">
        <f t="shared" si="3"/>
        <v/>
      </c>
      <c r="U3972" s="4">
        <f t="shared" si="4"/>
        <v>2658</v>
      </c>
    </row>
    <row r="3973" ht="15.75" customHeight="1">
      <c r="A3973" s="4" t="s">
        <v>4904</v>
      </c>
      <c r="B3973" s="4" t="s">
        <v>13</v>
      </c>
      <c r="I3973" s="4">
        <v>0.1811</v>
      </c>
      <c r="J3973" s="4">
        <v>0.027</v>
      </c>
      <c r="K3973" s="6" t="b">
        <f t="shared" ref="K3973:M3973" si="3765">FALSE()</f>
        <v>0</v>
      </c>
      <c r="L3973" s="6" t="b">
        <f t="shared" si="3765"/>
        <v>0</v>
      </c>
      <c r="M3973" s="6" t="b">
        <f t="shared" si="3765"/>
        <v>0</v>
      </c>
      <c r="P3973" s="4">
        <v>0.166446207635664</v>
      </c>
      <c r="T3973" s="4" t="str">
        <f t="shared" si="3"/>
        <v/>
      </c>
      <c r="U3973" s="4">
        <f t="shared" si="4"/>
        <v>2874</v>
      </c>
    </row>
    <row r="3974" ht="15.75" customHeight="1">
      <c r="A3974" s="4" t="s">
        <v>4905</v>
      </c>
      <c r="B3974" s="4" t="s">
        <v>13</v>
      </c>
      <c r="I3974" s="4">
        <v>0.134</v>
      </c>
      <c r="J3974" s="4">
        <v>0.009</v>
      </c>
      <c r="K3974" s="6" t="b">
        <f t="shared" ref="K3974:M3974" si="3766">FALSE()</f>
        <v>0</v>
      </c>
      <c r="L3974" s="6" t="b">
        <f t="shared" si="3766"/>
        <v>0</v>
      </c>
      <c r="M3974" s="6" t="b">
        <f t="shared" si="3766"/>
        <v>0</v>
      </c>
      <c r="P3974" s="4">
        <v>0.12575120530556</v>
      </c>
      <c r="T3974" s="4" t="str">
        <f t="shared" si="3"/>
        <v/>
      </c>
      <c r="U3974" s="4">
        <f t="shared" si="4"/>
        <v>3636</v>
      </c>
    </row>
    <row r="3975" ht="15.75" customHeight="1">
      <c r="A3975" s="4" t="s">
        <v>4906</v>
      </c>
      <c r="B3975" s="4" t="s">
        <v>13</v>
      </c>
      <c r="I3975" s="4">
        <v>0.512</v>
      </c>
      <c r="J3975" s="4">
        <v>0.103</v>
      </c>
      <c r="K3975" s="6" t="b">
        <f t="shared" ref="K3975:M3975" si="3767">FALSE()</f>
        <v>0</v>
      </c>
      <c r="L3975" s="6" t="b">
        <f t="shared" si="3767"/>
        <v>0</v>
      </c>
      <c r="M3975" s="6" t="b">
        <f t="shared" si="3767"/>
        <v>0</v>
      </c>
      <c r="P3975" s="4">
        <v>0.413433277757341</v>
      </c>
      <c r="T3975" s="4" t="str">
        <f t="shared" si="3"/>
        <v/>
      </c>
      <c r="U3975" s="4">
        <f t="shared" si="4"/>
        <v>1003</v>
      </c>
    </row>
    <row r="3976" ht="15.75" customHeight="1">
      <c r="A3976" s="4" t="s">
        <v>4907</v>
      </c>
      <c r="B3976" s="4" t="s">
        <v>13</v>
      </c>
      <c r="I3976" s="4">
        <v>0.248</v>
      </c>
      <c r="J3976" s="4">
        <v>0.0339</v>
      </c>
      <c r="K3976" s="6" t="b">
        <f t="shared" ref="K3976:M3976" si="3768">FALSE()</f>
        <v>0</v>
      </c>
      <c r="L3976" s="6" t="b">
        <f t="shared" si="3768"/>
        <v>0</v>
      </c>
      <c r="M3976" s="6" t="b">
        <f t="shared" si="3768"/>
        <v>0</v>
      </c>
      <c r="P3976" s="4">
        <v>0.221542269947236</v>
      </c>
      <c r="T3976" s="4" t="str">
        <f t="shared" si="3"/>
        <v/>
      </c>
      <c r="U3976" s="4">
        <f t="shared" si="4"/>
        <v>1834</v>
      </c>
    </row>
    <row r="3977" ht="15.75" customHeight="1">
      <c r="A3977" s="4" t="s">
        <v>4908</v>
      </c>
      <c r="B3977" s="4" t="s">
        <v>13</v>
      </c>
      <c r="I3977" s="4">
        <v>0.188</v>
      </c>
      <c r="J3977" s="4">
        <v>0.004</v>
      </c>
      <c r="K3977" s="6" t="b">
        <f t="shared" ref="K3977:M3977" si="3769">FALSE()</f>
        <v>0</v>
      </c>
      <c r="L3977" s="6" t="b">
        <f t="shared" si="3769"/>
        <v>0</v>
      </c>
      <c r="M3977" s="6" t="b">
        <f t="shared" si="3769"/>
        <v>0</v>
      </c>
      <c r="P3977" s="4">
        <v>0.172271220940453</v>
      </c>
      <c r="T3977" s="4" t="str">
        <f t="shared" si="3"/>
        <v/>
      </c>
      <c r="U3977" s="4">
        <f t="shared" si="4"/>
        <v>2775</v>
      </c>
    </row>
    <row r="3978" ht="15.75" customHeight="1">
      <c r="A3978" s="4" t="s">
        <v>4909</v>
      </c>
      <c r="B3978" s="4" t="s">
        <v>13</v>
      </c>
      <c r="I3978" s="4">
        <v>0.1909</v>
      </c>
      <c r="J3978" s="4">
        <v>0.008</v>
      </c>
      <c r="K3978" s="6" t="b">
        <f t="shared" ref="K3978:M3978" si="3770">FALSE()</f>
        <v>0</v>
      </c>
      <c r="L3978" s="6" t="b">
        <f t="shared" si="3770"/>
        <v>0</v>
      </c>
      <c r="M3978" s="6" t="b">
        <f t="shared" si="3770"/>
        <v>0</v>
      </c>
      <c r="P3978" s="4">
        <v>0.174709323791813</v>
      </c>
      <c r="T3978" s="4" t="str">
        <f t="shared" si="3"/>
        <v/>
      </c>
      <c r="U3978" s="4">
        <f t="shared" si="4"/>
        <v>2729</v>
      </c>
    </row>
    <row r="3979" ht="15.75" customHeight="1">
      <c r="A3979" s="4" t="s">
        <v>973</v>
      </c>
      <c r="B3979" s="4" t="s">
        <v>13</v>
      </c>
      <c r="C3979" s="4">
        <v>0.007</v>
      </c>
      <c r="D3979" s="4">
        <v>0.003</v>
      </c>
      <c r="E3979" s="4">
        <v>0.005</v>
      </c>
      <c r="I3979" s="4">
        <v>0.633</v>
      </c>
      <c r="J3979" s="4">
        <v>0.027</v>
      </c>
      <c r="K3979" s="6" t="b">
        <f t="shared" ref="K3979:M3979" si="3771">FALSE()</f>
        <v>0</v>
      </c>
      <c r="L3979" s="6" t="b">
        <f t="shared" si="3771"/>
        <v>0</v>
      </c>
      <c r="M3979" s="6" t="b">
        <f t="shared" si="3771"/>
        <v>0</v>
      </c>
      <c r="N3979" s="4">
        <v>0.0069756137364252</v>
      </c>
      <c r="P3979" s="4">
        <v>0.490418813988328</v>
      </c>
      <c r="T3979" s="4">
        <f t="shared" si="3"/>
        <v>1986</v>
      </c>
      <c r="U3979" s="4">
        <f t="shared" si="4"/>
        <v>926</v>
      </c>
    </row>
    <row r="3980" ht="15.75" customHeight="1">
      <c r="A3980" s="4" t="s">
        <v>974</v>
      </c>
      <c r="B3980" s="4" t="s">
        <v>13</v>
      </c>
      <c r="C3980" s="4">
        <v>0.013</v>
      </c>
      <c r="D3980" s="4">
        <v>0.001</v>
      </c>
      <c r="E3980" s="4">
        <v>0.001</v>
      </c>
      <c r="I3980" s="4">
        <v>0.803</v>
      </c>
      <c r="J3980" s="4">
        <v>0.152</v>
      </c>
      <c r="K3980" s="6" t="b">
        <f t="shared" ref="K3980:L3980" si="3772">FALSE()</f>
        <v>0</v>
      </c>
      <c r="L3980" s="6" t="b">
        <f t="shared" si="3772"/>
        <v>0</v>
      </c>
      <c r="M3980" s="6" t="b">
        <f t="shared" ref="M3980:M3981" si="3774">TRUE()</f>
        <v>1</v>
      </c>
      <c r="N3980" s="4">
        <v>0.0129162252665463</v>
      </c>
      <c r="P3980" s="4">
        <v>0.58945194422118</v>
      </c>
      <c r="T3980" s="4">
        <f t="shared" si="3"/>
        <v>1868</v>
      </c>
      <c r="U3980" s="4">
        <f t="shared" si="4"/>
        <v>837</v>
      </c>
    </row>
    <row r="3981" ht="15.75" customHeight="1">
      <c r="A3981" s="4" t="s">
        <v>975</v>
      </c>
      <c r="B3981" s="4" t="s">
        <v>13</v>
      </c>
      <c r="C3981" s="4">
        <v>0.024</v>
      </c>
      <c r="D3981" s="4">
        <v>0.003</v>
      </c>
      <c r="E3981" s="4">
        <v>0.003</v>
      </c>
      <c r="I3981" s="4">
        <v>0.865</v>
      </c>
      <c r="J3981" s="4">
        <v>0.045</v>
      </c>
      <c r="K3981" s="6" t="b">
        <f t="shared" ref="K3981:L3981" si="3773">FALSE()</f>
        <v>0</v>
      </c>
      <c r="L3981" s="6" t="b">
        <f t="shared" si="3773"/>
        <v>0</v>
      </c>
      <c r="M3981" s="6" t="b">
        <f t="shared" si="3774"/>
        <v>1</v>
      </c>
      <c r="N3981" s="4">
        <v>0.023716526617316</v>
      </c>
      <c r="P3981" s="4">
        <v>0.623261053095779</v>
      </c>
      <c r="T3981" s="4">
        <f t="shared" si="3"/>
        <v>1653</v>
      </c>
      <c r="U3981" s="4">
        <f t="shared" si="4"/>
        <v>792</v>
      </c>
    </row>
    <row r="3982" ht="15.75" customHeight="1">
      <c r="A3982" s="4" t="s">
        <v>4910</v>
      </c>
      <c r="B3982" s="4" t="s">
        <v>13</v>
      </c>
      <c r="C3982" s="4">
        <v>0.017</v>
      </c>
      <c r="D3982" s="4">
        <v>0.009</v>
      </c>
      <c r="E3982" s="4">
        <v>0.0082</v>
      </c>
      <c r="K3982" s="6" t="b">
        <f t="shared" ref="K3982:M3982" si="3775">FALSE()</f>
        <v>0</v>
      </c>
      <c r="L3982" s="6" t="b">
        <f t="shared" si="3775"/>
        <v>0</v>
      </c>
      <c r="M3982" s="6" t="b">
        <f t="shared" si="3775"/>
        <v>0</v>
      </c>
      <c r="N3982" s="4">
        <v>0.0168571170664229</v>
      </c>
      <c r="T3982" s="4">
        <f t="shared" si="3"/>
        <v>1790</v>
      </c>
      <c r="U3982" s="4" t="str">
        <f t="shared" si="4"/>
        <v/>
      </c>
    </row>
    <row r="3983" ht="15.75" customHeight="1">
      <c r="A3983" s="4" t="s">
        <v>4911</v>
      </c>
      <c r="B3983" s="4" t="s">
        <v>13</v>
      </c>
      <c r="I3983" s="4">
        <v>0.148</v>
      </c>
      <c r="J3983" s="4">
        <v>0.009</v>
      </c>
      <c r="K3983" s="6" t="b">
        <f t="shared" ref="K3983:M3983" si="3776">FALSE()</f>
        <v>0</v>
      </c>
      <c r="L3983" s="6" t="b">
        <f t="shared" si="3776"/>
        <v>0</v>
      </c>
      <c r="M3983" s="6" t="b">
        <f t="shared" si="3776"/>
        <v>0</v>
      </c>
      <c r="P3983" s="4">
        <v>0.138021297897375</v>
      </c>
      <c r="T3983" s="4" t="str">
        <f t="shared" si="3"/>
        <v/>
      </c>
      <c r="U3983" s="4">
        <f t="shared" si="4"/>
        <v>3368</v>
      </c>
    </row>
    <row r="3984" ht="15.75" customHeight="1">
      <c r="A3984" s="4" t="s">
        <v>4912</v>
      </c>
      <c r="B3984" s="4" t="s">
        <v>13</v>
      </c>
      <c r="I3984" s="4">
        <v>0.095</v>
      </c>
      <c r="J3984" s="4">
        <v>0.004</v>
      </c>
      <c r="K3984" s="6" t="b">
        <f t="shared" ref="K3984:M3984" si="3777">FALSE()</f>
        <v>0</v>
      </c>
      <c r="L3984" s="6" t="b">
        <f t="shared" si="3777"/>
        <v>0</v>
      </c>
      <c r="M3984" s="6" t="b">
        <f t="shared" si="3777"/>
        <v>0</v>
      </c>
      <c r="P3984" s="4">
        <v>0.0907543632684641</v>
      </c>
      <c r="T3984" s="4" t="str">
        <f t="shared" si="3"/>
        <v/>
      </c>
      <c r="U3984" s="4">
        <f t="shared" si="4"/>
        <v>4284</v>
      </c>
    </row>
    <row r="3985" ht="15.75" customHeight="1">
      <c r="A3985" s="4" t="s">
        <v>4913</v>
      </c>
      <c r="B3985" s="4" t="s">
        <v>13</v>
      </c>
      <c r="I3985" s="4">
        <v>0.284</v>
      </c>
      <c r="J3985" s="4">
        <v>0.021</v>
      </c>
      <c r="K3985" s="6" t="b">
        <f t="shared" ref="K3985:M3985" si="3778">FALSE()</f>
        <v>0</v>
      </c>
      <c r="L3985" s="6" t="b">
        <f t="shared" si="3778"/>
        <v>0</v>
      </c>
      <c r="M3985" s="6" t="b">
        <f t="shared" si="3778"/>
        <v>0</v>
      </c>
      <c r="P3985" s="4">
        <v>0.249980205267769</v>
      </c>
      <c r="T3985" s="4" t="str">
        <f t="shared" si="3"/>
        <v/>
      </c>
      <c r="U3985" s="4">
        <f t="shared" si="4"/>
        <v>1480</v>
      </c>
    </row>
    <row r="3986" ht="15.75" customHeight="1">
      <c r="A3986" s="4" t="s">
        <v>4914</v>
      </c>
      <c r="B3986" s="4" t="s">
        <v>13</v>
      </c>
      <c r="I3986" s="4">
        <v>0.616</v>
      </c>
      <c r="J3986" s="4">
        <v>0.108</v>
      </c>
      <c r="K3986" s="6" t="b">
        <f t="shared" ref="K3986:M3986" si="3779">FALSE()</f>
        <v>0</v>
      </c>
      <c r="L3986" s="6" t="b">
        <f t="shared" si="3779"/>
        <v>0</v>
      </c>
      <c r="M3986" s="6" t="b">
        <f t="shared" si="3779"/>
        <v>0</v>
      </c>
      <c r="P3986" s="4">
        <v>0.479953960098904</v>
      </c>
      <c r="T3986" s="4" t="str">
        <f t="shared" si="3"/>
        <v/>
      </c>
      <c r="U3986" s="4">
        <f t="shared" si="4"/>
        <v>937</v>
      </c>
    </row>
    <row r="3987" ht="15.75" customHeight="1">
      <c r="A3987" s="4" t="s">
        <v>4915</v>
      </c>
      <c r="B3987" s="4" t="s">
        <v>13</v>
      </c>
      <c r="I3987" s="4">
        <v>0.175</v>
      </c>
      <c r="J3987" s="4">
        <v>0.005</v>
      </c>
      <c r="K3987" s="6" t="b">
        <f t="shared" ref="K3987:M3987" si="3780">FALSE()</f>
        <v>0</v>
      </c>
      <c r="L3987" s="6" t="b">
        <f t="shared" si="3780"/>
        <v>0</v>
      </c>
      <c r="M3987" s="6" t="b">
        <f t="shared" si="3780"/>
        <v>0</v>
      </c>
      <c r="P3987" s="4">
        <v>0.161268147596122</v>
      </c>
      <c r="T3987" s="4" t="str">
        <f t="shared" si="3"/>
        <v/>
      </c>
      <c r="U3987" s="4">
        <f t="shared" si="4"/>
        <v>2980</v>
      </c>
    </row>
    <row r="3988" ht="15.75" customHeight="1">
      <c r="A3988" s="4" t="s">
        <v>4916</v>
      </c>
      <c r="B3988" s="4" t="s">
        <v>13</v>
      </c>
      <c r="I3988" s="4">
        <v>0.17</v>
      </c>
      <c r="J3988" s="4">
        <v>0.011</v>
      </c>
      <c r="K3988" s="6" t="b">
        <f t="shared" ref="K3988:M3988" si="3781">FALSE()</f>
        <v>0</v>
      </c>
      <c r="L3988" s="6" t="b">
        <f t="shared" si="3781"/>
        <v>0</v>
      </c>
      <c r="M3988" s="6" t="b">
        <f t="shared" si="3781"/>
        <v>0</v>
      </c>
      <c r="P3988" s="4">
        <v>0.157003748809665</v>
      </c>
      <c r="T3988" s="4" t="str">
        <f t="shared" si="3"/>
        <v/>
      </c>
      <c r="U3988" s="4">
        <f t="shared" si="4"/>
        <v>3052</v>
      </c>
    </row>
    <row r="3989" ht="15.75" customHeight="1">
      <c r="A3989" s="4" t="s">
        <v>4917</v>
      </c>
      <c r="B3989" s="4" t="s">
        <v>13</v>
      </c>
      <c r="I3989" s="4">
        <v>0.086</v>
      </c>
      <c r="J3989" s="4">
        <v>0.006</v>
      </c>
      <c r="K3989" s="6" t="b">
        <f t="shared" ref="K3989:M3989" si="3782">FALSE()</f>
        <v>0</v>
      </c>
      <c r="L3989" s="6" t="b">
        <f t="shared" si="3782"/>
        <v>0</v>
      </c>
      <c r="M3989" s="6" t="b">
        <f t="shared" si="3782"/>
        <v>0</v>
      </c>
      <c r="P3989" s="4">
        <v>0.0825012215117436</v>
      </c>
      <c r="T3989" s="4" t="str">
        <f t="shared" si="3"/>
        <v/>
      </c>
      <c r="U3989" s="4">
        <f t="shared" si="4"/>
        <v>4367</v>
      </c>
    </row>
    <row r="3990" ht="15.75" customHeight="1">
      <c r="A3990" s="4" t="s">
        <v>4918</v>
      </c>
      <c r="B3990" s="4" t="s">
        <v>13</v>
      </c>
      <c r="I3990" s="4">
        <v>0.235</v>
      </c>
      <c r="J3990" s="4">
        <v>0.046</v>
      </c>
      <c r="K3990" s="6" t="b">
        <f t="shared" ref="K3990:M3990" si="3783">FALSE()</f>
        <v>0</v>
      </c>
      <c r="L3990" s="6" t="b">
        <f t="shared" si="3783"/>
        <v>0</v>
      </c>
      <c r="M3990" s="6" t="b">
        <f t="shared" si="3783"/>
        <v>0</v>
      </c>
      <c r="P3990" s="4">
        <v>0.211070970079941</v>
      </c>
      <c r="T3990" s="4" t="str">
        <f t="shared" si="3"/>
        <v/>
      </c>
      <c r="U3990" s="4">
        <f t="shared" si="4"/>
        <v>2034</v>
      </c>
    </row>
    <row r="3991" ht="15.75" customHeight="1">
      <c r="A3991" s="4" t="s">
        <v>4919</v>
      </c>
      <c r="B3991" s="4" t="s">
        <v>13</v>
      </c>
      <c r="I3991" s="4">
        <v>0.178</v>
      </c>
      <c r="J3991" s="4">
        <v>0.015</v>
      </c>
      <c r="K3991" s="6" t="b">
        <f t="shared" ref="K3991:M3991" si="3784">FALSE()</f>
        <v>0</v>
      </c>
      <c r="L3991" s="6" t="b">
        <f t="shared" si="3784"/>
        <v>0</v>
      </c>
      <c r="M3991" s="6" t="b">
        <f t="shared" si="3784"/>
        <v>0</v>
      </c>
      <c r="P3991" s="4">
        <v>0.163818085229395</v>
      </c>
      <c r="T3991" s="4" t="str">
        <f t="shared" si="3"/>
        <v/>
      </c>
      <c r="U3991" s="4">
        <f t="shared" si="4"/>
        <v>2930</v>
      </c>
    </row>
    <row r="3992" ht="15.75" customHeight="1">
      <c r="A3992" s="4" t="s">
        <v>4920</v>
      </c>
      <c r="B3992" s="4" t="s">
        <v>13</v>
      </c>
      <c r="I3992" s="4">
        <v>0.253</v>
      </c>
      <c r="J3992" s="4">
        <v>0.041</v>
      </c>
      <c r="K3992" s="6" t="b">
        <f t="shared" ref="K3992:M3992" si="3785">FALSE()</f>
        <v>0</v>
      </c>
      <c r="L3992" s="6" t="b">
        <f t="shared" si="3785"/>
        <v>0</v>
      </c>
      <c r="M3992" s="6" t="b">
        <f t="shared" si="3785"/>
        <v>0</v>
      </c>
      <c r="P3992" s="4">
        <v>0.225540675913931</v>
      </c>
      <c r="T3992" s="4" t="str">
        <f t="shared" si="3"/>
        <v/>
      </c>
      <c r="U3992" s="4">
        <f t="shared" si="4"/>
        <v>1770</v>
      </c>
    </row>
    <row r="3993" ht="15.75" customHeight="1">
      <c r="A3993" s="4" t="s">
        <v>4921</v>
      </c>
      <c r="B3993" s="4" t="s">
        <v>13</v>
      </c>
      <c r="I3993" s="4">
        <v>0.186</v>
      </c>
      <c r="J3993" s="4">
        <v>0.017</v>
      </c>
      <c r="K3993" s="6" t="b">
        <f t="shared" ref="K3993:M3993" si="3786">FALSE()</f>
        <v>0</v>
      </c>
      <c r="L3993" s="6" t="b">
        <f t="shared" si="3786"/>
        <v>0</v>
      </c>
      <c r="M3993" s="6" t="b">
        <f t="shared" si="3786"/>
        <v>0</v>
      </c>
      <c r="P3993" s="4">
        <v>0.170586300575534</v>
      </c>
      <c r="T3993" s="4" t="str">
        <f t="shared" si="3"/>
        <v/>
      </c>
      <c r="U3993" s="4">
        <f t="shared" si="4"/>
        <v>2810</v>
      </c>
    </row>
    <row r="3994" ht="15.75" customHeight="1">
      <c r="A3994" s="4" t="s">
        <v>4922</v>
      </c>
      <c r="B3994" s="4" t="s">
        <v>13</v>
      </c>
      <c r="I3994" s="4">
        <v>0.166</v>
      </c>
      <c r="J3994" s="4">
        <v>0.015</v>
      </c>
      <c r="K3994" s="6" t="b">
        <f t="shared" ref="K3994:M3994" si="3787">FALSE()</f>
        <v>0</v>
      </c>
      <c r="L3994" s="6" t="b">
        <f t="shared" si="3787"/>
        <v>0</v>
      </c>
      <c r="M3994" s="6" t="b">
        <f t="shared" si="3787"/>
        <v>0</v>
      </c>
      <c r="P3994" s="4">
        <v>0.153579087928301</v>
      </c>
      <c r="T3994" s="4" t="str">
        <f t="shared" si="3"/>
        <v/>
      </c>
      <c r="U3994" s="4">
        <f t="shared" si="4"/>
        <v>3100</v>
      </c>
    </row>
    <row r="3995" ht="15.75" customHeight="1">
      <c r="A3995" s="4" t="s">
        <v>4923</v>
      </c>
      <c r="B3995" s="4" t="s">
        <v>13</v>
      </c>
      <c r="I3995" s="4">
        <v>0.178</v>
      </c>
      <c r="J3995" s="4">
        <v>0.019</v>
      </c>
      <c r="K3995" s="6" t="b">
        <f t="shared" ref="K3995:M3995" si="3788">FALSE()</f>
        <v>0</v>
      </c>
      <c r="L3995" s="6" t="b">
        <f t="shared" si="3788"/>
        <v>0</v>
      </c>
      <c r="M3995" s="6" t="b">
        <f t="shared" si="3788"/>
        <v>0</v>
      </c>
      <c r="P3995" s="4">
        <v>0.163818085229395</v>
      </c>
      <c r="T3995" s="4" t="str">
        <f t="shared" si="3"/>
        <v/>
      </c>
      <c r="U3995" s="4">
        <f t="shared" si="4"/>
        <v>2931</v>
      </c>
    </row>
    <row r="3996" ht="15.75" customHeight="1">
      <c r="A3996" s="4" t="s">
        <v>4924</v>
      </c>
      <c r="B3996" s="4" t="s">
        <v>13</v>
      </c>
      <c r="I3996" s="4">
        <v>0.24936</v>
      </c>
      <c r="K3996" s="6" t="b">
        <f t="shared" ref="K3996:M3996" si="3789">FALSE()</f>
        <v>0</v>
      </c>
      <c r="L3996" s="6" t="b">
        <f t="shared" si="3789"/>
        <v>0</v>
      </c>
      <c r="M3996" s="6" t="b">
        <f t="shared" si="3789"/>
        <v>0</v>
      </c>
      <c r="P3996" s="4">
        <v>0.222631420197453</v>
      </c>
      <c r="T3996" s="4" t="str">
        <f t="shared" si="3"/>
        <v/>
      </c>
      <c r="U3996" s="4">
        <f t="shared" si="4"/>
        <v>1816</v>
      </c>
    </row>
    <row r="3997" ht="15.75" customHeight="1">
      <c r="A3997" s="4" t="s">
        <v>976</v>
      </c>
      <c r="B3997" s="4" t="s">
        <v>13</v>
      </c>
      <c r="C3997" s="4">
        <v>0.25</v>
      </c>
      <c r="D3997" s="4">
        <v>0.12</v>
      </c>
      <c r="E3997" s="4">
        <v>0.14</v>
      </c>
      <c r="I3997" s="4">
        <v>0.187</v>
      </c>
      <c r="K3997" s="6" t="b">
        <f t="shared" ref="K3997:M3997" si="3790">FALSE()</f>
        <v>0</v>
      </c>
      <c r="L3997" s="6" t="b">
        <f t="shared" si="3790"/>
        <v>0</v>
      </c>
      <c r="M3997" s="6" t="b">
        <f t="shared" si="3790"/>
        <v>0</v>
      </c>
      <c r="N3997" s="4">
        <v>0.22314355131421</v>
      </c>
      <c r="P3997" s="4">
        <v>0.171429115627531</v>
      </c>
      <c r="T3997" s="4">
        <f t="shared" si="3"/>
        <v>1110</v>
      </c>
      <c r="U3997" s="4">
        <f t="shared" si="4"/>
        <v>2790</v>
      </c>
    </row>
    <row r="3998" ht="15.75" customHeight="1">
      <c r="A3998" s="4" t="s">
        <v>978</v>
      </c>
      <c r="B3998" s="4" t="s">
        <v>13</v>
      </c>
      <c r="C3998" s="4">
        <v>0.198</v>
      </c>
      <c r="D3998" s="4">
        <v>0.047</v>
      </c>
      <c r="E3998" s="4">
        <v>0.061</v>
      </c>
      <c r="I3998" s="4">
        <v>0.164</v>
      </c>
      <c r="K3998" s="6" t="b">
        <f t="shared" ref="K3998:M3998" si="3791">FALSE()</f>
        <v>0</v>
      </c>
      <c r="L3998" s="6" t="b">
        <f t="shared" si="3791"/>
        <v>0</v>
      </c>
      <c r="M3998" s="6" t="b">
        <f t="shared" si="3791"/>
        <v>0</v>
      </c>
      <c r="N3998" s="4">
        <v>0.180653499693258</v>
      </c>
      <c r="P3998" s="4">
        <v>0.151862349309246</v>
      </c>
      <c r="T3998" s="4">
        <f t="shared" si="3"/>
        <v>1154</v>
      </c>
      <c r="U3998" s="4">
        <f t="shared" si="4"/>
        <v>3130</v>
      </c>
    </row>
    <row r="3999" ht="15.75" customHeight="1">
      <c r="A3999" s="4" t="s">
        <v>4925</v>
      </c>
      <c r="B3999" s="4" t="s">
        <v>13</v>
      </c>
      <c r="I3999" s="4">
        <v>0.174</v>
      </c>
      <c r="J3999" s="4">
        <v>0.019</v>
      </c>
      <c r="K3999" s="6" t="b">
        <f t="shared" ref="K3999:M3999" si="3792">FALSE()</f>
        <v>0</v>
      </c>
      <c r="L3999" s="6" t="b">
        <f t="shared" si="3792"/>
        <v>0</v>
      </c>
      <c r="M3999" s="6" t="b">
        <f t="shared" si="3792"/>
        <v>0</v>
      </c>
      <c r="P3999" s="4">
        <v>0.160416721405905</v>
      </c>
      <c r="T3999" s="4" t="str">
        <f t="shared" si="3"/>
        <v/>
      </c>
      <c r="U3999" s="4">
        <f t="shared" si="4"/>
        <v>2993</v>
      </c>
    </row>
    <row r="4000" ht="15.75" customHeight="1">
      <c r="A4000" s="4" t="s">
        <v>4926</v>
      </c>
      <c r="B4000" s="4" t="s">
        <v>13</v>
      </c>
      <c r="I4000" s="4">
        <v>0.256</v>
      </c>
      <c r="J4000" s="4">
        <v>0.0125</v>
      </c>
      <c r="K4000" s="6" t="b">
        <f t="shared" ref="K4000:M4000" si="3793">FALSE()</f>
        <v>0</v>
      </c>
      <c r="L4000" s="6" t="b">
        <f t="shared" si="3793"/>
        <v>0</v>
      </c>
      <c r="M4000" s="6" t="b">
        <f t="shared" si="3793"/>
        <v>0</v>
      </c>
      <c r="P4000" s="4">
        <v>0.227932068046007</v>
      </c>
      <c r="T4000" s="4" t="str">
        <f t="shared" si="3"/>
        <v/>
      </c>
      <c r="U4000" s="4">
        <f t="shared" si="4"/>
        <v>1733</v>
      </c>
    </row>
    <row r="4001" ht="15.75" customHeight="1">
      <c r="A4001" s="4" t="s">
        <v>4927</v>
      </c>
      <c r="B4001" s="4" t="s">
        <v>13</v>
      </c>
      <c r="I4001" s="4">
        <v>0.248</v>
      </c>
      <c r="J4001" s="4">
        <v>0.017</v>
      </c>
      <c r="K4001" s="6" t="b">
        <f t="shared" ref="K4001:M4001" si="3794">FALSE()</f>
        <v>0</v>
      </c>
      <c r="L4001" s="6" t="b">
        <f t="shared" si="3794"/>
        <v>0</v>
      </c>
      <c r="M4001" s="6" t="b">
        <f t="shared" si="3794"/>
        <v>0</v>
      </c>
      <c r="P4001" s="4">
        <v>0.221542269947236</v>
      </c>
      <c r="T4001" s="4" t="str">
        <f t="shared" si="3"/>
        <v/>
      </c>
      <c r="U4001" s="4">
        <f t="shared" si="4"/>
        <v>1835</v>
      </c>
    </row>
    <row r="4002" ht="15.75" customHeight="1">
      <c r="A4002" s="4" t="s">
        <v>4928</v>
      </c>
      <c r="B4002" s="4" t="s">
        <v>13</v>
      </c>
      <c r="I4002" s="4">
        <v>0.229</v>
      </c>
      <c r="J4002" s="4">
        <v>0.012</v>
      </c>
      <c r="K4002" s="6" t="b">
        <f t="shared" ref="K4002:M4002" si="3795">FALSE()</f>
        <v>0</v>
      </c>
      <c r="L4002" s="6" t="b">
        <f t="shared" si="3795"/>
        <v>0</v>
      </c>
      <c r="M4002" s="6" t="b">
        <f t="shared" si="3795"/>
        <v>0</v>
      </c>
      <c r="P4002" s="4">
        <v>0.206200830583898</v>
      </c>
      <c r="T4002" s="4" t="str">
        <f t="shared" si="3"/>
        <v/>
      </c>
      <c r="U4002" s="4">
        <f t="shared" si="4"/>
        <v>2129</v>
      </c>
    </row>
    <row r="4003" ht="15.75" customHeight="1">
      <c r="A4003" s="4" t="s">
        <v>4929</v>
      </c>
      <c r="B4003" s="4" t="s">
        <v>13</v>
      </c>
      <c r="I4003" s="4">
        <v>0.302</v>
      </c>
      <c r="J4003" s="4">
        <v>0.029</v>
      </c>
      <c r="K4003" s="6" t="b">
        <f t="shared" ref="K4003:M4003" si="3796">FALSE()</f>
        <v>0</v>
      </c>
      <c r="L4003" s="6" t="b">
        <f t="shared" si="3796"/>
        <v>0</v>
      </c>
      <c r="M4003" s="6" t="b">
        <f t="shared" si="3796"/>
        <v>0</v>
      </c>
      <c r="P4003" s="4">
        <v>0.263901543786378</v>
      </c>
      <c r="T4003" s="4" t="str">
        <f t="shared" si="3"/>
        <v/>
      </c>
      <c r="U4003" s="4">
        <f t="shared" si="4"/>
        <v>1369</v>
      </c>
    </row>
    <row r="4004" ht="15.75" customHeight="1">
      <c r="A4004" s="4" t="s">
        <v>4930</v>
      </c>
      <c r="B4004" s="4" t="s">
        <v>13</v>
      </c>
      <c r="I4004" s="4">
        <v>0.2</v>
      </c>
      <c r="J4004" s="4">
        <v>0.006</v>
      </c>
      <c r="K4004" s="6" t="b">
        <f t="shared" ref="K4004:M4004" si="3797">FALSE()</f>
        <v>0</v>
      </c>
      <c r="L4004" s="6" t="b">
        <f t="shared" si="3797"/>
        <v>0</v>
      </c>
      <c r="M4004" s="6" t="b">
        <f t="shared" si="3797"/>
        <v>0</v>
      </c>
      <c r="P4004" s="4">
        <v>0.182321556793955</v>
      </c>
      <c r="T4004" s="4" t="str">
        <f t="shared" si="3"/>
        <v/>
      </c>
      <c r="U4004" s="4">
        <f t="shared" si="4"/>
        <v>2589</v>
      </c>
    </row>
    <row r="4005" ht="15.75" customHeight="1">
      <c r="A4005" s="4" t="s">
        <v>4931</v>
      </c>
      <c r="B4005" s="4" t="s">
        <v>13</v>
      </c>
      <c r="I4005" s="4">
        <v>0.10947</v>
      </c>
      <c r="K4005" s="6" t="b">
        <f t="shared" ref="K4005:M4005" si="3798">FALSE()</f>
        <v>0</v>
      </c>
      <c r="L4005" s="6" t="b">
        <f t="shared" si="3798"/>
        <v>0</v>
      </c>
      <c r="M4005" s="6" t="b">
        <f t="shared" si="3798"/>
        <v>0</v>
      </c>
      <c r="P4005" s="4">
        <v>0.103882423818096</v>
      </c>
      <c r="T4005" s="4" t="str">
        <f t="shared" si="3"/>
        <v/>
      </c>
      <c r="U4005" s="4">
        <f t="shared" si="4"/>
        <v>4058</v>
      </c>
    </row>
    <row r="4006" ht="15.75" customHeight="1">
      <c r="A4006" s="4" t="s">
        <v>4932</v>
      </c>
      <c r="B4006" s="4" t="s">
        <v>13</v>
      </c>
      <c r="I4006" s="4">
        <v>0.211</v>
      </c>
      <c r="J4006" s="4">
        <v>0.019</v>
      </c>
      <c r="K4006" s="6" t="b">
        <f t="shared" ref="K4006:M4006" si="3799">FALSE()</f>
        <v>0</v>
      </c>
      <c r="L4006" s="6" t="b">
        <f t="shared" si="3799"/>
        <v>0</v>
      </c>
      <c r="M4006" s="6" t="b">
        <f t="shared" si="3799"/>
        <v>0</v>
      </c>
      <c r="P4006" s="4">
        <v>0.191446464570955</v>
      </c>
      <c r="T4006" s="4" t="str">
        <f t="shared" si="3"/>
        <v/>
      </c>
      <c r="U4006" s="4">
        <f t="shared" si="4"/>
        <v>2401</v>
      </c>
    </row>
    <row r="4007" ht="15.75" customHeight="1">
      <c r="A4007" s="4" t="s">
        <v>4933</v>
      </c>
      <c r="B4007" s="4" t="s">
        <v>13</v>
      </c>
      <c r="I4007" s="4">
        <v>0.27469</v>
      </c>
      <c r="J4007" s="4">
        <v>0.01401</v>
      </c>
      <c r="K4007" s="6" t="b">
        <f t="shared" ref="K4007:M4007" si="3800">FALSE()</f>
        <v>0</v>
      </c>
      <c r="L4007" s="6" t="b">
        <f t="shared" si="3800"/>
        <v>0</v>
      </c>
      <c r="M4007" s="6" t="b">
        <f t="shared" si="3800"/>
        <v>0</v>
      </c>
      <c r="P4007" s="4">
        <v>0.242703011792833</v>
      </c>
      <c r="T4007" s="4" t="str">
        <f t="shared" si="3"/>
        <v/>
      </c>
      <c r="U4007" s="4">
        <f t="shared" si="4"/>
        <v>1549</v>
      </c>
    </row>
    <row r="4008" ht="15.75" customHeight="1">
      <c r="A4008" s="4" t="s">
        <v>4934</v>
      </c>
      <c r="B4008" s="4" t="s">
        <v>13</v>
      </c>
      <c r="I4008" s="4">
        <v>0.126</v>
      </c>
      <c r="J4008" s="4">
        <v>0.004</v>
      </c>
      <c r="K4008" s="6" t="b">
        <f t="shared" ref="K4008:M4008" si="3801">FALSE()</f>
        <v>0</v>
      </c>
      <c r="L4008" s="6" t="b">
        <f t="shared" si="3801"/>
        <v>0</v>
      </c>
      <c r="M4008" s="6" t="b">
        <f t="shared" si="3801"/>
        <v>0</v>
      </c>
      <c r="P4008" s="4">
        <v>0.118671529717499</v>
      </c>
      <c r="T4008" s="4" t="str">
        <f t="shared" si="3"/>
        <v/>
      </c>
      <c r="U4008" s="4">
        <f t="shared" si="4"/>
        <v>3772</v>
      </c>
    </row>
    <row r="4009" ht="15.75" customHeight="1">
      <c r="A4009" s="4" t="s">
        <v>979</v>
      </c>
      <c r="B4009" s="4" t="s">
        <v>13</v>
      </c>
      <c r="C4009" s="4">
        <v>0.03335</v>
      </c>
      <c r="D4009" s="4">
        <v>0.00755</v>
      </c>
      <c r="E4009" s="4">
        <v>0.00787</v>
      </c>
      <c r="I4009" s="4">
        <v>0.198</v>
      </c>
      <c r="J4009" s="4">
        <v>0.003</v>
      </c>
      <c r="K4009" s="6" t="b">
        <f t="shared" ref="K4009:M4009" si="3802">FALSE()</f>
        <v>0</v>
      </c>
      <c r="L4009" s="6" t="b">
        <f t="shared" si="3802"/>
        <v>0</v>
      </c>
      <c r="M4009" s="6" t="b">
        <f t="shared" si="3802"/>
        <v>0</v>
      </c>
      <c r="N4009" s="4">
        <v>0.0328059517251774</v>
      </c>
      <c r="P4009" s="4">
        <v>0.180653499693258</v>
      </c>
      <c r="T4009" s="4">
        <f t="shared" si="3"/>
        <v>1509</v>
      </c>
      <c r="U4009" s="4">
        <f t="shared" si="4"/>
        <v>2623</v>
      </c>
    </row>
    <row r="4010" ht="15.75" customHeight="1">
      <c r="A4010" s="4" t="s">
        <v>4935</v>
      </c>
      <c r="B4010" s="4" t="s">
        <v>13</v>
      </c>
      <c r="F4010" s="4">
        <v>7.6E-4</v>
      </c>
      <c r="I4010" s="4">
        <v>0.0562</v>
      </c>
      <c r="J4010" s="4">
        <v>0.0054</v>
      </c>
      <c r="K4010" s="6" t="b">
        <f t="shared" ref="K4010:M4010" si="3803">FALSE()</f>
        <v>0</v>
      </c>
      <c r="L4010" s="6" t="b">
        <f t="shared" si="3803"/>
        <v>0</v>
      </c>
      <c r="M4010" s="6" t="b">
        <f t="shared" si="3803"/>
        <v>0</v>
      </c>
      <c r="O4010" s="4">
        <v>7.597113462419E-4</v>
      </c>
      <c r="P4010" s="4">
        <v>0.0546775612906957</v>
      </c>
      <c r="T4010" s="4" t="str">
        <f t="shared" si="3"/>
        <v/>
      </c>
      <c r="U4010" s="4">
        <f t="shared" si="4"/>
        <v>4545</v>
      </c>
    </row>
    <row r="4011" ht="15.75" customHeight="1">
      <c r="A4011" s="4" t="s">
        <v>980</v>
      </c>
      <c r="B4011" s="4" t="s">
        <v>13</v>
      </c>
      <c r="C4011" s="4">
        <v>0.97</v>
      </c>
      <c r="D4011" s="4">
        <v>0.29</v>
      </c>
      <c r="E4011" s="4">
        <v>0.29</v>
      </c>
      <c r="I4011" s="4">
        <v>0.747</v>
      </c>
      <c r="J4011" s="4">
        <v>0.016</v>
      </c>
      <c r="K4011" s="6" t="b">
        <f t="shared" ref="K4011:L4011" si="3804">FALSE()</f>
        <v>0</v>
      </c>
      <c r="L4011" s="6" t="b">
        <f t="shared" si="3804"/>
        <v>0</v>
      </c>
      <c r="M4011" s="6" t="b">
        <f>TRUE()</f>
        <v>1</v>
      </c>
      <c r="N4011" s="4">
        <v>0.678033542749897</v>
      </c>
      <c r="P4011" s="4">
        <v>0.55790003115192</v>
      </c>
      <c r="T4011" s="4">
        <f t="shared" si="3"/>
        <v>677</v>
      </c>
      <c r="U4011" s="4">
        <f t="shared" si="4"/>
        <v>874</v>
      </c>
    </row>
    <row r="4012" ht="15.75" customHeight="1">
      <c r="A4012" s="4" t="s">
        <v>4936</v>
      </c>
      <c r="B4012" s="4" t="s">
        <v>13</v>
      </c>
      <c r="C4012" s="4">
        <v>2.4</v>
      </c>
      <c r="D4012" s="4">
        <v>1.2</v>
      </c>
      <c r="E4012" s="4">
        <v>1.2</v>
      </c>
      <c r="K4012" s="6" t="b">
        <f t="shared" ref="K4012:M4012" si="3805">FALSE()</f>
        <v>0</v>
      </c>
      <c r="L4012" s="6" t="b">
        <f t="shared" si="3805"/>
        <v>0</v>
      </c>
      <c r="M4012" s="6" t="b">
        <f t="shared" si="3805"/>
        <v>0</v>
      </c>
      <c r="N4012" s="4">
        <v>1.22377543162212</v>
      </c>
      <c r="T4012" s="4">
        <f t="shared" si="3"/>
        <v>384</v>
      </c>
      <c r="U4012" s="4" t="str">
        <f t="shared" si="4"/>
        <v/>
      </c>
    </row>
    <row r="4013" ht="15.75" customHeight="1">
      <c r="A4013" s="4" t="s">
        <v>981</v>
      </c>
      <c r="B4013" s="4" t="s">
        <v>13</v>
      </c>
      <c r="C4013" s="4">
        <v>0.11</v>
      </c>
      <c r="I4013" s="4">
        <v>0.283</v>
      </c>
      <c r="K4013" s="6" t="b">
        <f t="shared" ref="K4013:M4013" si="3806">FALSE()</f>
        <v>0</v>
      </c>
      <c r="L4013" s="6" t="b">
        <f t="shared" si="3806"/>
        <v>0</v>
      </c>
      <c r="M4013" s="6" t="b">
        <f t="shared" si="3806"/>
        <v>0</v>
      </c>
      <c r="N4013" s="4">
        <v>0.104360015324243</v>
      </c>
      <c r="P4013" s="4">
        <v>0.249201085633499</v>
      </c>
      <c r="T4013" s="4">
        <f t="shared" si="3"/>
        <v>1245</v>
      </c>
      <c r="U4013" s="4">
        <f t="shared" si="4"/>
        <v>1490</v>
      </c>
    </row>
    <row r="4014" ht="15.75" customHeight="1">
      <c r="A4014" s="4" t="s">
        <v>4937</v>
      </c>
      <c r="B4014" s="4" t="s">
        <v>13</v>
      </c>
      <c r="I4014" s="4">
        <v>0.189</v>
      </c>
      <c r="J4014" s="4">
        <v>0.094</v>
      </c>
      <c r="K4014" s="6" t="b">
        <f t="shared" ref="K4014:M4014" si="3807">FALSE()</f>
        <v>0</v>
      </c>
      <c r="L4014" s="6" t="b">
        <f t="shared" si="3807"/>
        <v>0</v>
      </c>
      <c r="M4014" s="6" t="b">
        <f t="shared" si="3807"/>
        <v>0</v>
      </c>
      <c r="P4014" s="4">
        <v>0.173112617708645</v>
      </c>
      <c r="T4014" s="4" t="str">
        <f t="shared" si="3"/>
        <v/>
      </c>
      <c r="U4014" s="4">
        <f t="shared" si="4"/>
        <v>2759</v>
      </c>
    </row>
    <row r="4015" ht="15.75" customHeight="1">
      <c r="A4015" s="4" t="s">
        <v>4938</v>
      </c>
      <c r="B4015" s="4" t="s">
        <v>13</v>
      </c>
      <c r="I4015" s="4">
        <v>0.242</v>
      </c>
      <c r="J4015" s="4">
        <v>0.023</v>
      </c>
      <c r="K4015" s="6" t="b">
        <f t="shared" ref="K4015:M4015" si="3808">FALSE()</f>
        <v>0</v>
      </c>
      <c r="L4015" s="6" t="b">
        <f t="shared" si="3808"/>
        <v>0</v>
      </c>
      <c r="M4015" s="6" t="b">
        <f t="shared" si="3808"/>
        <v>0</v>
      </c>
      <c r="P4015" s="4">
        <v>0.216722983511287</v>
      </c>
      <c r="T4015" s="4" t="str">
        <f t="shared" si="3"/>
        <v/>
      </c>
      <c r="U4015" s="4">
        <f t="shared" si="4"/>
        <v>1920</v>
      </c>
    </row>
    <row r="4016" ht="15.75" customHeight="1">
      <c r="A4016" s="4" t="s">
        <v>4939</v>
      </c>
      <c r="B4016" s="4" t="s">
        <v>13</v>
      </c>
      <c r="I4016" s="4">
        <v>0.3</v>
      </c>
      <c r="J4016" s="4">
        <v>0.05</v>
      </c>
      <c r="K4016" s="6" t="b">
        <f t="shared" ref="K4016:M4016" si="3809">FALSE()</f>
        <v>0</v>
      </c>
      <c r="L4016" s="6" t="b">
        <f t="shared" si="3809"/>
        <v>0</v>
      </c>
      <c r="M4016" s="6" t="b">
        <f t="shared" si="3809"/>
        <v>0</v>
      </c>
      <c r="P4016" s="4">
        <v>0.262364264467491</v>
      </c>
      <c r="T4016" s="4" t="str">
        <f t="shared" si="3"/>
        <v/>
      </c>
      <c r="U4016" s="4">
        <f t="shared" si="4"/>
        <v>1383</v>
      </c>
    </row>
    <row r="4017" ht="15.75" customHeight="1">
      <c r="A4017" s="4" t="s">
        <v>4940</v>
      </c>
      <c r="B4017" s="4" t="s">
        <v>13</v>
      </c>
      <c r="I4017" s="4">
        <v>0.14</v>
      </c>
      <c r="J4017" s="4">
        <v>0.01</v>
      </c>
      <c r="K4017" s="6" t="b">
        <f t="shared" ref="K4017:M4017" si="3810">FALSE()</f>
        <v>0</v>
      </c>
      <c r="L4017" s="6" t="b">
        <f t="shared" si="3810"/>
        <v>0</v>
      </c>
      <c r="M4017" s="6" t="b">
        <f t="shared" si="3810"/>
        <v>0</v>
      </c>
      <c r="P4017" s="4">
        <v>0.131028262406404</v>
      </c>
      <c r="T4017" s="4" t="str">
        <f t="shared" si="3"/>
        <v/>
      </c>
      <c r="U4017" s="4">
        <f t="shared" si="4"/>
        <v>3510</v>
      </c>
    </row>
    <row r="4018" ht="15.75" customHeight="1">
      <c r="A4018" s="4" t="s">
        <v>4941</v>
      </c>
      <c r="B4018" s="4" t="s">
        <v>13</v>
      </c>
      <c r="I4018" s="4">
        <v>0.223</v>
      </c>
      <c r="J4018" s="4">
        <v>0.023</v>
      </c>
      <c r="K4018" s="6" t="b">
        <f t="shared" ref="K4018:M4018" si="3811">FALSE()</f>
        <v>0</v>
      </c>
      <c r="L4018" s="6" t="b">
        <f t="shared" si="3811"/>
        <v>0</v>
      </c>
      <c r="M4018" s="6" t="b">
        <f t="shared" si="3811"/>
        <v>0</v>
      </c>
      <c r="P4018" s="4">
        <v>0.201306856705035</v>
      </c>
      <c r="T4018" s="4" t="str">
        <f t="shared" si="3"/>
        <v/>
      </c>
      <c r="U4018" s="4">
        <f t="shared" si="4"/>
        <v>2218</v>
      </c>
    </row>
    <row r="4019" ht="15.75" customHeight="1">
      <c r="A4019" s="4" t="s">
        <v>4942</v>
      </c>
      <c r="B4019" s="4" t="s">
        <v>13</v>
      </c>
      <c r="I4019" s="4">
        <v>0.189</v>
      </c>
      <c r="J4019" s="4">
        <v>0.012</v>
      </c>
      <c r="K4019" s="6" t="b">
        <f t="shared" ref="K4019:M4019" si="3812">FALSE()</f>
        <v>0</v>
      </c>
      <c r="L4019" s="6" t="b">
        <f t="shared" si="3812"/>
        <v>0</v>
      </c>
      <c r="M4019" s="6" t="b">
        <f t="shared" si="3812"/>
        <v>0</v>
      </c>
      <c r="P4019" s="4">
        <v>0.173112617708645</v>
      </c>
      <c r="T4019" s="4" t="str">
        <f t="shared" si="3"/>
        <v/>
      </c>
      <c r="U4019" s="4">
        <f t="shared" si="4"/>
        <v>2760</v>
      </c>
    </row>
    <row r="4020" ht="15.75" customHeight="1">
      <c r="A4020" s="4" t="s">
        <v>4943</v>
      </c>
      <c r="B4020" s="4" t="s">
        <v>13</v>
      </c>
      <c r="I4020" s="4">
        <v>0.24</v>
      </c>
      <c r="J4020" s="4">
        <v>0.019</v>
      </c>
      <c r="K4020" s="6" t="b">
        <f t="shared" ref="K4020:M4020" si="3813">FALSE()</f>
        <v>0</v>
      </c>
      <c r="L4020" s="6" t="b">
        <f t="shared" si="3813"/>
        <v>0</v>
      </c>
      <c r="M4020" s="6" t="b">
        <f t="shared" si="3813"/>
        <v>0</v>
      </c>
      <c r="P4020" s="4">
        <v>0.215111379616946</v>
      </c>
      <c r="T4020" s="4" t="str">
        <f t="shared" si="3"/>
        <v/>
      </c>
      <c r="U4020" s="4">
        <f t="shared" si="4"/>
        <v>1952</v>
      </c>
    </row>
    <row r="4021" ht="15.75" customHeight="1">
      <c r="A4021" s="4" t="s">
        <v>4944</v>
      </c>
      <c r="B4021" s="4" t="s">
        <v>13</v>
      </c>
      <c r="I4021" s="4">
        <v>0.624</v>
      </c>
      <c r="J4021" s="4">
        <v>0.069</v>
      </c>
      <c r="K4021" s="6" t="b">
        <f t="shared" ref="K4021:M4021" si="3814">FALSE()</f>
        <v>0</v>
      </c>
      <c r="L4021" s="6" t="b">
        <f t="shared" si="3814"/>
        <v>0</v>
      </c>
      <c r="M4021" s="6" t="b">
        <f t="shared" si="3814"/>
        <v>0</v>
      </c>
      <c r="P4021" s="4">
        <v>0.484892241739486</v>
      </c>
      <c r="T4021" s="4" t="str">
        <f t="shared" si="3"/>
        <v/>
      </c>
      <c r="U4021" s="4">
        <f t="shared" si="4"/>
        <v>931</v>
      </c>
    </row>
    <row r="4022" ht="15.75" customHeight="1">
      <c r="A4022" s="4" t="s">
        <v>4945</v>
      </c>
      <c r="B4022" s="4" t="s">
        <v>13</v>
      </c>
      <c r="I4022" s="4">
        <v>0.357</v>
      </c>
      <c r="J4022" s="4">
        <v>0.028</v>
      </c>
      <c r="K4022" s="6" t="b">
        <f t="shared" ref="K4022:M4022" si="3815">FALSE()</f>
        <v>0</v>
      </c>
      <c r="L4022" s="6" t="b">
        <f t="shared" si="3815"/>
        <v>0</v>
      </c>
      <c r="M4022" s="6" t="b">
        <f t="shared" si="3815"/>
        <v>0</v>
      </c>
      <c r="P4022" s="4">
        <v>0.305276380852732</v>
      </c>
      <c r="T4022" s="4" t="str">
        <f t="shared" si="3"/>
        <v/>
      </c>
      <c r="U4022" s="4">
        <f t="shared" si="4"/>
        <v>1192</v>
      </c>
    </row>
    <row r="4023" ht="15.75" customHeight="1">
      <c r="A4023" s="4" t="s">
        <v>4946</v>
      </c>
      <c r="B4023" s="4" t="s">
        <v>13</v>
      </c>
      <c r="I4023" s="4">
        <v>1.07</v>
      </c>
      <c r="J4023" s="4">
        <v>0.098</v>
      </c>
      <c r="K4023" s="6" t="b">
        <f t="shared" ref="K4023:L4023" si="3816">FALSE()</f>
        <v>0</v>
      </c>
      <c r="L4023" s="6" t="b">
        <f t="shared" si="3816"/>
        <v>0</v>
      </c>
      <c r="M4023" s="6" t="b">
        <f>TRUE()</f>
        <v>1</v>
      </c>
      <c r="P4023" s="4">
        <v>0.727548607277278</v>
      </c>
      <c r="T4023" s="4" t="str">
        <f t="shared" si="3"/>
        <v/>
      </c>
      <c r="U4023" s="4">
        <f t="shared" si="4"/>
        <v>571</v>
      </c>
    </row>
    <row r="4024" ht="15.75" customHeight="1">
      <c r="A4024" s="4" t="s">
        <v>4947</v>
      </c>
      <c r="B4024" s="4" t="s">
        <v>13</v>
      </c>
      <c r="I4024" s="4">
        <v>0.2659</v>
      </c>
      <c r="J4024" s="4">
        <v>0.0312</v>
      </c>
      <c r="K4024" s="6" t="b">
        <f t="shared" ref="K4024:M4024" si="3817">FALSE()</f>
        <v>0</v>
      </c>
      <c r="L4024" s="6" t="b">
        <f t="shared" si="3817"/>
        <v>0</v>
      </c>
      <c r="M4024" s="6" t="b">
        <f t="shared" si="3817"/>
        <v>0</v>
      </c>
      <c r="P4024" s="4">
        <v>0.235783331660646</v>
      </c>
      <c r="T4024" s="4" t="str">
        <f t="shared" si="3"/>
        <v/>
      </c>
      <c r="U4024" s="4">
        <f t="shared" si="4"/>
        <v>1629</v>
      </c>
    </row>
    <row r="4025" ht="15.75" customHeight="1">
      <c r="A4025" s="4" t="s">
        <v>4948</v>
      </c>
      <c r="B4025" s="4" t="s">
        <v>13</v>
      </c>
      <c r="I4025" s="4">
        <v>0.2391</v>
      </c>
      <c r="J4025" s="4">
        <v>0.0285</v>
      </c>
      <c r="K4025" s="6" t="b">
        <f t="shared" ref="K4025:M4025" si="3818">FALSE()</f>
        <v>0</v>
      </c>
      <c r="L4025" s="6" t="b">
        <f t="shared" si="3818"/>
        <v>0</v>
      </c>
      <c r="M4025" s="6" t="b">
        <f t="shared" si="3818"/>
        <v>0</v>
      </c>
      <c r="P4025" s="4">
        <v>0.21438530964031</v>
      </c>
      <c r="T4025" s="4" t="str">
        <f t="shared" si="3"/>
        <v/>
      </c>
      <c r="U4025" s="4">
        <f t="shared" si="4"/>
        <v>1959</v>
      </c>
    </row>
    <row r="4026" ht="15.75" customHeight="1">
      <c r="A4026" s="4" t="s">
        <v>4949</v>
      </c>
      <c r="B4026" s="4" t="s">
        <v>13</v>
      </c>
      <c r="I4026" s="4">
        <v>0.40557</v>
      </c>
      <c r="K4026" s="6" t="b">
        <f t="shared" ref="K4026:M4026" si="3819">FALSE()</f>
        <v>0</v>
      </c>
      <c r="L4026" s="6" t="b">
        <f t="shared" si="3819"/>
        <v>0</v>
      </c>
      <c r="M4026" s="6" t="b">
        <f t="shared" si="3819"/>
        <v>0</v>
      </c>
      <c r="P4026" s="4">
        <v>0.340442914464347</v>
      </c>
      <c r="T4026" s="4" t="str">
        <f t="shared" si="3"/>
        <v/>
      </c>
      <c r="U4026" s="4">
        <f t="shared" si="4"/>
        <v>1114</v>
      </c>
    </row>
    <row r="4027" ht="15.75" customHeight="1">
      <c r="A4027" s="4" t="s">
        <v>982</v>
      </c>
      <c r="B4027" s="4" t="s">
        <v>13</v>
      </c>
      <c r="C4027" s="4">
        <v>0.92</v>
      </c>
      <c r="I4027" s="4">
        <v>0.187</v>
      </c>
      <c r="K4027" s="6" t="b">
        <f t="shared" ref="K4027:M4027" si="3820">FALSE()</f>
        <v>0</v>
      </c>
      <c r="L4027" s="6" t="b">
        <f t="shared" si="3820"/>
        <v>0</v>
      </c>
      <c r="M4027" s="6" t="b">
        <f t="shared" si="3820"/>
        <v>0</v>
      </c>
      <c r="N4027" s="4">
        <v>0.65232518603969</v>
      </c>
      <c r="P4027" s="4">
        <v>0.171429115627531</v>
      </c>
      <c r="T4027" s="4">
        <f t="shared" si="3"/>
        <v>704</v>
      </c>
      <c r="U4027" s="4">
        <f t="shared" si="4"/>
        <v>2791</v>
      </c>
    </row>
    <row r="4028" ht="15.75" customHeight="1">
      <c r="A4028" s="4" t="s">
        <v>984</v>
      </c>
      <c r="B4028" s="4" t="s">
        <v>13</v>
      </c>
      <c r="C4028" s="4">
        <v>0.37</v>
      </c>
      <c r="I4028" s="4">
        <v>0.11</v>
      </c>
      <c r="K4028" s="6" t="b">
        <f t="shared" ref="K4028:M4028" si="3821">FALSE()</f>
        <v>0</v>
      </c>
      <c r="L4028" s="6" t="b">
        <f t="shared" si="3821"/>
        <v>0</v>
      </c>
      <c r="M4028" s="6" t="b">
        <f t="shared" si="3821"/>
        <v>0</v>
      </c>
      <c r="N4028" s="4">
        <v>0.314810739840034</v>
      </c>
      <c r="P4028" s="4">
        <v>0.104360015324243</v>
      </c>
      <c r="T4028" s="4">
        <f t="shared" si="3"/>
        <v>1037</v>
      </c>
      <c r="U4028" s="4">
        <f t="shared" si="4"/>
        <v>4050</v>
      </c>
    </row>
    <row r="4029" ht="15.75" customHeight="1">
      <c r="A4029" s="4" t="s">
        <v>4950</v>
      </c>
      <c r="B4029" s="4" t="s">
        <v>13</v>
      </c>
      <c r="I4029" s="4">
        <v>0.136</v>
      </c>
      <c r="J4029" s="4">
        <v>0.007</v>
      </c>
      <c r="K4029" s="6" t="b">
        <f t="shared" ref="K4029:M4029" si="3822">FALSE()</f>
        <v>0</v>
      </c>
      <c r="L4029" s="6" t="b">
        <f t="shared" si="3822"/>
        <v>0</v>
      </c>
      <c r="M4029" s="6" t="b">
        <f t="shared" si="3822"/>
        <v>0</v>
      </c>
      <c r="P4029" s="4">
        <v>0.12751332029896</v>
      </c>
      <c r="T4029" s="4" t="str">
        <f t="shared" si="3"/>
        <v/>
      </c>
      <c r="U4029" s="4">
        <f t="shared" si="4"/>
        <v>3590</v>
      </c>
    </row>
    <row r="4030" ht="15.75" customHeight="1">
      <c r="A4030" s="4" t="s">
        <v>4951</v>
      </c>
      <c r="B4030" s="4" t="s">
        <v>13</v>
      </c>
      <c r="I4030" s="4">
        <v>0.394</v>
      </c>
      <c r="J4030" s="4">
        <v>0.024</v>
      </c>
      <c r="K4030" s="6" t="b">
        <f t="shared" ref="K4030:M4030" si="3823">FALSE()</f>
        <v>0</v>
      </c>
      <c r="L4030" s="6" t="b">
        <f t="shared" si="3823"/>
        <v>0</v>
      </c>
      <c r="M4030" s="6" t="b">
        <f t="shared" si="3823"/>
        <v>0</v>
      </c>
      <c r="P4030" s="4">
        <v>0.332177312338332</v>
      </c>
      <c r="T4030" s="4" t="str">
        <f t="shared" si="3"/>
        <v/>
      </c>
      <c r="U4030" s="4">
        <f t="shared" si="4"/>
        <v>1126</v>
      </c>
    </row>
    <row r="4031" ht="15.75" customHeight="1">
      <c r="A4031" s="4" t="s">
        <v>4952</v>
      </c>
      <c r="B4031" s="4" t="s">
        <v>13</v>
      </c>
      <c r="I4031" s="4">
        <v>0.244</v>
      </c>
      <c r="J4031" s="4">
        <v>0.013</v>
      </c>
      <c r="K4031" s="6" t="b">
        <f t="shared" ref="K4031:M4031" si="3824">FALSE()</f>
        <v>0</v>
      </c>
      <c r="L4031" s="6" t="b">
        <f t="shared" si="3824"/>
        <v>0</v>
      </c>
      <c r="M4031" s="6" t="b">
        <f t="shared" si="3824"/>
        <v>0</v>
      </c>
      <c r="P4031" s="4">
        <v>0.218331994316988</v>
      </c>
      <c r="T4031" s="4" t="str">
        <f t="shared" si="3"/>
        <v/>
      </c>
      <c r="U4031" s="4">
        <f t="shared" si="4"/>
        <v>1892</v>
      </c>
    </row>
    <row r="4032" ht="15.75" customHeight="1">
      <c r="A4032" s="4" t="s">
        <v>4953</v>
      </c>
      <c r="B4032" s="4" t="s">
        <v>13</v>
      </c>
      <c r="I4032" s="4">
        <v>0.352</v>
      </c>
      <c r="J4032" s="4">
        <v>0.051</v>
      </c>
      <c r="K4032" s="6" t="b">
        <f t="shared" ref="K4032:M4032" si="3825">FALSE()</f>
        <v>0</v>
      </c>
      <c r="L4032" s="6" t="b">
        <f t="shared" si="3825"/>
        <v>0</v>
      </c>
      <c r="M4032" s="6" t="b">
        <f t="shared" si="3825"/>
        <v>0</v>
      </c>
      <c r="P4032" s="4">
        <v>0.301584977620772</v>
      </c>
      <c r="T4032" s="4" t="str">
        <f t="shared" si="3"/>
        <v/>
      </c>
      <c r="U4032" s="4">
        <f t="shared" si="4"/>
        <v>1203</v>
      </c>
    </row>
    <row r="4033" ht="15.75" customHeight="1">
      <c r="A4033" s="4" t="s">
        <v>4954</v>
      </c>
      <c r="B4033" s="4" t="s">
        <v>13</v>
      </c>
      <c r="I4033" s="4">
        <v>0.413</v>
      </c>
      <c r="J4033" s="4">
        <v>0.016</v>
      </c>
      <c r="K4033" s="6" t="b">
        <f t="shared" ref="K4033:M4033" si="3826">FALSE()</f>
        <v>0</v>
      </c>
      <c r="L4033" s="6" t="b">
        <f t="shared" si="3826"/>
        <v>0</v>
      </c>
      <c r="M4033" s="6" t="b">
        <f t="shared" si="3826"/>
        <v>0</v>
      </c>
      <c r="P4033" s="4">
        <v>0.34571510370239</v>
      </c>
      <c r="T4033" s="4" t="str">
        <f t="shared" si="3"/>
        <v/>
      </c>
      <c r="U4033" s="4">
        <f t="shared" si="4"/>
        <v>1101</v>
      </c>
    </row>
    <row r="4034" ht="15.75" customHeight="1">
      <c r="A4034" s="4" t="s">
        <v>4955</v>
      </c>
      <c r="B4034" s="4" t="s">
        <v>13</v>
      </c>
      <c r="I4034" s="4">
        <v>0.999</v>
      </c>
      <c r="J4034" s="4">
        <v>0.028</v>
      </c>
      <c r="K4034" s="6" t="b">
        <f t="shared" ref="K4034:L4034" si="3827">FALSE()</f>
        <v>0</v>
      </c>
      <c r="L4034" s="6" t="b">
        <f t="shared" si="3827"/>
        <v>0</v>
      </c>
      <c r="M4034" s="6" t="b">
        <f>TRUE()</f>
        <v>1</v>
      </c>
      <c r="P4034" s="4">
        <v>0.692647055518263</v>
      </c>
      <c r="T4034" s="4" t="str">
        <f t="shared" si="3"/>
        <v/>
      </c>
      <c r="U4034" s="4">
        <f t="shared" si="4"/>
        <v>678</v>
      </c>
    </row>
    <row r="4035" ht="15.75" customHeight="1">
      <c r="A4035" s="4" t="s">
        <v>4956</v>
      </c>
      <c r="B4035" s="4" t="s">
        <v>13</v>
      </c>
      <c r="I4035" s="4">
        <v>0.383</v>
      </c>
      <c r="J4035" s="4">
        <v>0.019</v>
      </c>
      <c r="K4035" s="6" t="b">
        <f t="shared" ref="K4035:M4035" si="3828">FALSE()</f>
        <v>0</v>
      </c>
      <c r="L4035" s="6" t="b">
        <f t="shared" si="3828"/>
        <v>0</v>
      </c>
      <c r="M4035" s="6" t="b">
        <f t="shared" si="3828"/>
        <v>0</v>
      </c>
      <c r="P4035" s="4">
        <v>0.324255052682621</v>
      </c>
      <c r="T4035" s="4" t="str">
        <f t="shared" si="3"/>
        <v/>
      </c>
      <c r="U4035" s="4">
        <f t="shared" si="4"/>
        <v>1144</v>
      </c>
    </row>
    <row r="4036" ht="15.75" customHeight="1">
      <c r="A4036" s="4" t="s">
        <v>4957</v>
      </c>
      <c r="B4036" s="4" t="s">
        <v>13</v>
      </c>
      <c r="I4036" s="4">
        <v>0.252</v>
      </c>
      <c r="J4036" s="4">
        <v>0.026</v>
      </c>
      <c r="K4036" s="6" t="b">
        <f t="shared" ref="K4036:M4036" si="3829">FALSE()</f>
        <v>0</v>
      </c>
      <c r="L4036" s="6" t="b">
        <f t="shared" si="3829"/>
        <v>0</v>
      </c>
      <c r="M4036" s="6" t="b">
        <f t="shared" si="3829"/>
        <v>0</v>
      </c>
      <c r="P4036" s="4">
        <v>0.224742272677907</v>
      </c>
      <c r="T4036" s="4" t="str">
        <f t="shared" si="3"/>
        <v/>
      </c>
      <c r="U4036" s="4">
        <f t="shared" si="4"/>
        <v>1787</v>
      </c>
    </row>
    <row r="4037" ht="15.75" customHeight="1">
      <c r="A4037" s="4" t="s">
        <v>4958</v>
      </c>
      <c r="B4037" s="4" t="s">
        <v>13</v>
      </c>
      <c r="I4037" s="4">
        <v>0.2</v>
      </c>
      <c r="J4037" s="4">
        <v>0.011</v>
      </c>
      <c r="K4037" s="6" t="b">
        <f t="shared" ref="K4037:M4037" si="3830">FALSE()</f>
        <v>0</v>
      </c>
      <c r="L4037" s="6" t="b">
        <f t="shared" si="3830"/>
        <v>0</v>
      </c>
      <c r="M4037" s="6" t="b">
        <f t="shared" si="3830"/>
        <v>0</v>
      </c>
      <c r="P4037" s="4">
        <v>0.182321556793955</v>
      </c>
      <c r="T4037" s="4" t="str">
        <f t="shared" si="3"/>
        <v/>
      </c>
      <c r="U4037" s="4">
        <f t="shared" si="4"/>
        <v>2590</v>
      </c>
    </row>
    <row r="4038" ht="15.75" customHeight="1">
      <c r="A4038" s="4" t="s">
        <v>4959</v>
      </c>
      <c r="B4038" s="4" t="s">
        <v>13</v>
      </c>
      <c r="I4038" s="4">
        <v>0.238</v>
      </c>
      <c r="J4038" s="4">
        <v>0.034</v>
      </c>
      <c r="K4038" s="6" t="b">
        <f t="shared" ref="K4038:M4038" si="3831">FALSE()</f>
        <v>0</v>
      </c>
      <c r="L4038" s="6" t="b">
        <f t="shared" si="3831"/>
        <v>0</v>
      </c>
      <c r="M4038" s="6" t="b">
        <f t="shared" si="3831"/>
        <v>0</v>
      </c>
      <c r="P4038" s="4">
        <v>0.213497174262404</v>
      </c>
      <c r="T4038" s="4" t="str">
        <f t="shared" si="3"/>
        <v/>
      </c>
      <c r="U4038" s="4">
        <f t="shared" si="4"/>
        <v>1981</v>
      </c>
    </row>
    <row r="4039" ht="15.75" customHeight="1">
      <c r="A4039" s="4" t="s">
        <v>4960</v>
      </c>
      <c r="B4039" s="4" t="s">
        <v>13</v>
      </c>
      <c r="I4039" s="4">
        <v>0.211</v>
      </c>
      <c r="J4039" s="4">
        <v>0.012</v>
      </c>
      <c r="K4039" s="6" t="b">
        <f t="shared" ref="K4039:M4039" si="3832">FALSE()</f>
        <v>0</v>
      </c>
      <c r="L4039" s="6" t="b">
        <f t="shared" si="3832"/>
        <v>0</v>
      </c>
      <c r="M4039" s="6" t="b">
        <f t="shared" si="3832"/>
        <v>0</v>
      </c>
      <c r="P4039" s="4">
        <v>0.191446464570955</v>
      </c>
      <c r="T4039" s="4" t="str">
        <f t="shared" si="3"/>
        <v/>
      </c>
      <c r="U4039" s="4">
        <f t="shared" si="4"/>
        <v>2402</v>
      </c>
    </row>
    <row r="4040" ht="15.75" customHeight="1">
      <c r="A4040" s="4" t="s">
        <v>4961</v>
      </c>
      <c r="B4040" s="4" t="s">
        <v>13</v>
      </c>
      <c r="I4040" s="4">
        <v>0.322</v>
      </c>
      <c r="J4040" s="4">
        <v>0.032</v>
      </c>
      <c r="K4040" s="6" t="b">
        <f t="shared" ref="K4040:M4040" si="3833">FALSE()</f>
        <v>0</v>
      </c>
      <c r="L4040" s="6" t="b">
        <f t="shared" si="3833"/>
        <v>0</v>
      </c>
      <c r="M4040" s="6" t="b">
        <f t="shared" si="3833"/>
        <v>0</v>
      </c>
      <c r="P4040" s="4">
        <v>0.279145741429495</v>
      </c>
      <c r="T4040" s="4" t="str">
        <f t="shared" si="3"/>
        <v/>
      </c>
      <c r="U4040" s="4">
        <f t="shared" si="4"/>
        <v>1291</v>
      </c>
    </row>
    <row r="4041" ht="15.75" customHeight="1">
      <c r="A4041" s="4" t="s">
        <v>985</v>
      </c>
      <c r="B4041" s="4" t="s">
        <v>13</v>
      </c>
      <c r="C4041" s="4">
        <v>0.1353</v>
      </c>
      <c r="D4041" s="4">
        <v>0.057</v>
      </c>
      <c r="E4041" s="4">
        <v>0.117</v>
      </c>
      <c r="I4041" s="4">
        <v>0.17</v>
      </c>
      <c r="J4041" s="4">
        <v>0.0054</v>
      </c>
      <c r="K4041" s="6" t="b">
        <f t="shared" ref="K4041:M4041" si="3834">FALSE()</f>
        <v>0</v>
      </c>
      <c r="L4041" s="6" t="b">
        <f t="shared" si="3834"/>
        <v>0</v>
      </c>
      <c r="M4041" s="6" t="b">
        <f t="shared" si="3834"/>
        <v>0</v>
      </c>
      <c r="N4041" s="4">
        <v>0.126896933188351</v>
      </c>
      <c r="P4041" s="4">
        <v>0.157003748809665</v>
      </c>
      <c r="T4041" s="4">
        <f t="shared" si="3"/>
        <v>1211</v>
      </c>
      <c r="U4041" s="4">
        <f t="shared" si="4"/>
        <v>3053</v>
      </c>
    </row>
    <row r="4042" ht="15.75" customHeight="1">
      <c r="A4042" s="4" t="s">
        <v>986</v>
      </c>
      <c r="B4042" s="4" t="s">
        <v>13</v>
      </c>
      <c r="C4042" s="4">
        <v>0.2196</v>
      </c>
      <c r="D4042" s="4">
        <v>0.0576</v>
      </c>
      <c r="E4042" s="4">
        <v>0.1026</v>
      </c>
      <c r="I4042" s="4">
        <v>0.165</v>
      </c>
      <c r="J4042" s="4">
        <v>0.0045</v>
      </c>
      <c r="K4042" s="6" t="b">
        <f t="shared" ref="K4042:M4042" si="3835">FALSE()</f>
        <v>0</v>
      </c>
      <c r="L4042" s="6" t="b">
        <f t="shared" si="3835"/>
        <v>0</v>
      </c>
      <c r="M4042" s="6" t="b">
        <f t="shared" si="3835"/>
        <v>0</v>
      </c>
      <c r="N4042" s="4">
        <v>0.198522936131963</v>
      </c>
      <c r="P4042" s="4">
        <v>0.152721087017664</v>
      </c>
      <c r="T4042" s="4">
        <f t="shared" si="3"/>
        <v>1136</v>
      </c>
      <c r="U4042" s="4">
        <f t="shared" si="4"/>
        <v>3110</v>
      </c>
    </row>
    <row r="4043" ht="15.75" customHeight="1">
      <c r="A4043" s="4" t="s">
        <v>4962</v>
      </c>
      <c r="B4043" s="4" t="s">
        <v>13</v>
      </c>
      <c r="I4043" s="4">
        <v>0.165</v>
      </c>
      <c r="J4043" s="4">
        <v>0.0045</v>
      </c>
      <c r="K4043" s="6" t="b">
        <f t="shared" ref="K4043:M4043" si="3836">FALSE()</f>
        <v>0</v>
      </c>
      <c r="L4043" s="6" t="b">
        <f t="shared" si="3836"/>
        <v>0</v>
      </c>
      <c r="M4043" s="6" t="b">
        <f t="shared" si="3836"/>
        <v>0</v>
      </c>
      <c r="P4043" s="4">
        <v>0.152721087017664</v>
      </c>
      <c r="T4043" s="4" t="str">
        <f t="shared" si="3"/>
        <v/>
      </c>
      <c r="U4043" s="4">
        <f t="shared" si="4"/>
        <v>3111</v>
      </c>
    </row>
    <row r="4044" ht="15.75" customHeight="1">
      <c r="A4044" s="4" t="s">
        <v>4963</v>
      </c>
      <c r="B4044" s="4" t="s">
        <v>13</v>
      </c>
      <c r="I4044" s="4">
        <v>0.1445</v>
      </c>
      <c r="J4044" s="4">
        <v>0.0045</v>
      </c>
      <c r="K4044" s="6" t="b">
        <f t="shared" ref="K4044:M4044" si="3837">FALSE()</f>
        <v>0</v>
      </c>
      <c r="L4044" s="6" t="b">
        <f t="shared" si="3837"/>
        <v>0</v>
      </c>
      <c r="M4044" s="6" t="b">
        <f t="shared" si="3837"/>
        <v>0</v>
      </c>
      <c r="P4044" s="4">
        <v>0.134967860410484</v>
      </c>
      <c r="T4044" s="4" t="str">
        <f t="shared" si="3"/>
        <v/>
      </c>
      <c r="U4044" s="4">
        <f t="shared" si="4"/>
        <v>3430</v>
      </c>
    </row>
    <row r="4045" ht="15.75" customHeight="1">
      <c r="A4045" s="4" t="s">
        <v>4964</v>
      </c>
      <c r="B4045" s="4" t="s">
        <v>13</v>
      </c>
      <c r="I4045" s="4">
        <v>0.1561</v>
      </c>
      <c r="J4045" s="4">
        <v>0.0054</v>
      </c>
      <c r="K4045" s="6" t="b">
        <f t="shared" ref="K4045:M4045" si="3838">FALSE()</f>
        <v>0</v>
      </c>
      <c r="L4045" s="6" t="b">
        <f t="shared" si="3838"/>
        <v>0</v>
      </c>
      <c r="M4045" s="6" t="b">
        <f t="shared" si="3838"/>
        <v>0</v>
      </c>
      <c r="P4045" s="4">
        <v>0.145052271699139</v>
      </c>
      <c r="T4045" s="4" t="str">
        <f t="shared" si="3"/>
        <v/>
      </c>
      <c r="U4045" s="4">
        <f t="shared" si="4"/>
        <v>3221</v>
      </c>
    </row>
    <row r="4046" ht="15.75" customHeight="1">
      <c r="A4046" s="4" t="s">
        <v>4965</v>
      </c>
      <c r="B4046" s="4" t="s">
        <v>13</v>
      </c>
      <c r="I4046" s="4">
        <v>0.1383</v>
      </c>
      <c r="J4046" s="4">
        <v>0.0259</v>
      </c>
      <c r="K4046" s="6" t="b">
        <f t="shared" ref="K4046:M4046" si="3839">FALSE()</f>
        <v>0</v>
      </c>
      <c r="L4046" s="6" t="b">
        <f t="shared" si="3839"/>
        <v>0</v>
      </c>
      <c r="M4046" s="6" t="b">
        <f t="shared" si="3839"/>
        <v>0</v>
      </c>
      <c r="P4046" s="4">
        <v>0.129535921349034</v>
      </c>
      <c r="T4046" s="4" t="str">
        <f t="shared" si="3"/>
        <v/>
      </c>
      <c r="U4046" s="4">
        <f t="shared" si="4"/>
        <v>3534</v>
      </c>
    </row>
    <row r="4047" ht="15.75" customHeight="1">
      <c r="A4047" s="4" t="s">
        <v>4966</v>
      </c>
      <c r="B4047" s="4" t="s">
        <v>13</v>
      </c>
      <c r="I4047" s="4">
        <v>0.621</v>
      </c>
      <c r="J4047" s="4">
        <v>0.054</v>
      </c>
      <c r="K4047" s="6" t="b">
        <f t="shared" ref="K4047:M4047" si="3840">FALSE()</f>
        <v>0</v>
      </c>
      <c r="L4047" s="6" t="b">
        <f t="shared" si="3840"/>
        <v>0</v>
      </c>
      <c r="M4047" s="6" t="b">
        <f t="shared" si="3840"/>
        <v>0</v>
      </c>
      <c r="P4047" s="4">
        <v>0.483043242753539</v>
      </c>
      <c r="T4047" s="4" t="str">
        <f t="shared" si="3"/>
        <v/>
      </c>
      <c r="U4047" s="4">
        <f t="shared" si="4"/>
        <v>933</v>
      </c>
    </row>
    <row r="4048" ht="15.75" customHeight="1">
      <c r="A4048" s="4" t="s">
        <v>4967</v>
      </c>
      <c r="B4048" s="4" t="s">
        <v>13</v>
      </c>
      <c r="I4048" s="4">
        <v>0.239</v>
      </c>
      <c r="J4048" s="4">
        <v>0.022</v>
      </c>
      <c r="K4048" s="6" t="b">
        <f t="shared" ref="K4048:M4048" si="3841">FALSE()</f>
        <v>0</v>
      </c>
      <c r="L4048" s="6" t="b">
        <f t="shared" si="3841"/>
        <v>0</v>
      </c>
      <c r="M4048" s="6" t="b">
        <f t="shared" si="3841"/>
        <v>0</v>
      </c>
      <c r="P4048" s="4">
        <v>0.214304602647005</v>
      </c>
      <c r="T4048" s="4" t="str">
        <f t="shared" si="3"/>
        <v/>
      </c>
      <c r="U4048" s="4">
        <f t="shared" si="4"/>
        <v>1965</v>
      </c>
    </row>
    <row r="4049" ht="15.75" customHeight="1">
      <c r="A4049" s="4" t="s">
        <v>4968</v>
      </c>
      <c r="B4049" s="4" t="s">
        <v>13</v>
      </c>
      <c r="I4049" s="4">
        <v>0.465</v>
      </c>
      <c r="J4049" s="4">
        <v>0.036</v>
      </c>
      <c r="K4049" s="6" t="b">
        <f t="shared" ref="K4049:M4049" si="3842">FALSE()</f>
        <v>0</v>
      </c>
      <c r="L4049" s="6" t="b">
        <f t="shared" si="3842"/>
        <v>0</v>
      </c>
      <c r="M4049" s="6" t="b">
        <f t="shared" si="3842"/>
        <v>0</v>
      </c>
      <c r="P4049" s="4">
        <v>0.381855242469031</v>
      </c>
      <c r="T4049" s="4" t="str">
        <f t="shared" si="3"/>
        <v/>
      </c>
      <c r="U4049" s="4">
        <f t="shared" si="4"/>
        <v>1046</v>
      </c>
    </row>
    <row r="4050" ht="15.75" customHeight="1">
      <c r="A4050" s="4" t="s">
        <v>4969</v>
      </c>
      <c r="B4050" s="4" t="s">
        <v>13</v>
      </c>
      <c r="I4050" s="4">
        <v>0.276</v>
      </c>
      <c r="J4050" s="4">
        <v>0.018</v>
      </c>
      <c r="K4050" s="6" t="b">
        <f t="shared" ref="K4050:M4050" si="3843">FALSE()</f>
        <v>0</v>
      </c>
      <c r="L4050" s="6" t="b">
        <f t="shared" si="3843"/>
        <v>0</v>
      </c>
      <c r="M4050" s="6" t="b">
        <f t="shared" si="3843"/>
        <v>0</v>
      </c>
      <c r="P4050" s="4">
        <v>0.243730184922598</v>
      </c>
      <c r="T4050" s="4" t="str">
        <f t="shared" si="3"/>
        <v/>
      </c>
      <c r="U4050" s="4">
        <f t="shared" si="4"/>
        <v>1538</v>
      </c>
    </row>
    <row r="4051" ht="15.75" customHeight="1">
      <c r="A4051" s="4" t="s">
        <v>4970</v>
      </c>
      <c r="B4051" s="4" t="s">
        <v>13</v>
      </c>
      <c r="I4051" s="4">
        <v>0.413</v>
      </c>
      <c r="J4051" s="4">
        <v>0.032</v>
      </c>
      <c r="K4051" s="6" t="b">
        <f t="shared" ref="K4051:M4051" si="3844">FALSE()</f>
        <v>0</v>
      </c>
      <c r="L4051" s="6" t="b">
        <f t="shared" si="3844"/>
        <v>0</v>
      </c>
      <c r="M4051" s="6" t="b">
        <f t="shared" si="3844"/>
        <v>0</v>
      </c>
      <c r="P4051" s="4">
        <v>0.34571510370239</v>
      </c>
      <c r="T4051" s="4" t="str">
        <f t="shared" si="3"/>
        <v/>
      </c>
      <c r="U4051" s="4">
        <f t="shared" si="4"/>
        <v>1102</v>
      </c>
    </row>
    <row r="4052" ht="15.75" customHeight="1">
      <c r="A4052" s="4" t="s">
        <v>4971</v>
      </c>
      <c r="B4052" s="4" t="s">
        <v>13</v>
      </c>
      <c r="I4052" s="4">
        <v>0.325</v>
      </c>
      <c r="J4052" s="4">
        <v>0.024</v>
      </c>
      <c r="K4052" s="6" t="b">
        <f t="shared" ref="K4052:M4052" si="3845">FALSE()</f>
        <v>0</v>
      </c>
      <c r="L4052" s="6" t="b">
        <f t="shared" si="3845"/>
        <v>0</v>
      </c>
      <c r="M4052" s="6" t="b">
        <f t="shared" si="3845"/>
        <v>0</v>
      </c>
      <c r="P4052" s="4">
        <v>0.281412459438186</v>
      </c>
      <c r="T4052" s="4" t="str">
        <f t="shared" si="3"/>
        <v/>
      </c>
      <c r="U4052" s="4">
        <f t="shared" si="4"/>
        <v>1282</v>
      </c>
    </row>
    <row r="4053" ht="15.75" customHeight="1">
      <c r="A4053" s="4" t="s">
        <v>4972</v>
      </c>
      <c r="B4053" s="4" t="s">
        <v>13</v>
      </c>
      <c r="I4053" s="4">
        <v>0.192</v>
      </c>
      <c r="J4053" s="4">
        <v>0.012</v>
      </c>
      <c r="K4053" s="6" t="b">
        <f t="shared" ref="K4053:M4053" si="3846">FALSE()</f>
        <v>0</v>
      </c>
      <c r="L4053" s="6" t="b">
        <f t="shared" si="3846"/>
        <v>0</v>
      </c>
      <c r="M4053" s="6" t="b">
        <f t="shared" si="3846"/>
        <v>0</v>
      </c>
      <c r="P4053" s="4">
        <v>0.175632568643158</v>
      </c>
      <c r="T4053" s="4" t="str">
        <f t="shared" si="3"/>
        <v/>
      </c>
      <c r="U4053" s="4">
        <f t="shared" si="4"/>
        <v>2719</v>
      </c>
    </row>
    <row r="4054" ht="15.75" customHeight="1">
      <c r="A4054" s="4" t="s">
        <v>4973</v>
      </c>
      <c r="B4054" s="4" t="s">
        <v>13</v>
      </c>
      <c r="I4054" s="4">
        <v>0.201</v>
      </c>
      <c r="J4054" s="4">
        <v>0.011</v>
      </c>
      <c r="K4054" s="6" t="b">
        <f t="shared" ref="K4054:M4054" si="3847">FALSE()</f>
        <v>0</v>
      </c>
      <c r="L4054" s="6" t="b">
        <f t="shared" si="3847"/>
        <v>0</v>
      </c>
      <c r="M4054" s="6" t="b">
        <f t="shared" si="3847"/>
        <v>0</v>
      </c>
      <c r="P4054" s="4">
        <v>0.183154543097847</v>
      </c>
      <c r="T4054" s="4" t="str">
        <f t="shared" si="3"/>
        <v/>
      </c>
      <c r="U4054" s="4">
        <f t="shared" si="4"/>
        <v>2574</v>
      </c>
    </row>
    <row r="4055" ht="15.75" customHeight="1">
      <c r="A4055" s="4" t="s">
        <v>4974</v>
      </c>
      <c r="B4055" s="4" t="s">
        <v>13</v>
      </c>
      <c r="I4055" s="4">
        <v>0.202</v>
      </c>
      <c r="J4055" s="4">
        <v>0.007</v>
      </c>
      <c r="K4055" s="6" t="b">
        <f t="shared" ref="K4055:M4055" si="3848">FALSE()</f>
        <v>0</v>
      </c>
      <c r="L4055" s="6" t="b">
        <f t="shared" si="3848"/>
        <v>0</v>
      </c>
      <c r="M4055" s="6" t="b">
        <f t="shared" si="3848"/>
        <v>0</v>
      </c>
      <c r="P4055" s="4">
        <v>0.183986836113016</v>
      </c>
      <c r="T4055" s="4" t="str">
        <f t="shared" si="3"/>
        <v/>
      </c>
      <c r="U4055" s="4">
        <f t="shared" si="4"/>
        <v>2557</v>
      </c>
    </row>
    <row r="4056" ht="15.75" customHeight="1">
      <c r="A4056" s="4" t="s">
        <v>4975</v>
      </c>
      <c r="B4056" s="4" t="s">
        <v>13</v>
      </c>
      <c r="I4056" s="4">
        <v>0.282</v>
      </c>
      <c r="J4056" s="4">
        <v>0.015</v>
      </c>
      <c r="K4056" s="6" t="b">
        <f t="shared" ref="K4056:M4056" si="3849">FALSE()</f>
        <v>0</v>
      </c>
      <c r="L4056" s="6" t="b">
        <f t="shared" si="3849"/>
        <v>0</v>
      </c>
      <c r="M4056" s="6" t="b">
        <f t="shared" si="3849"/>
        <v>0</v>
      </c>
      <c r="P4056" s="4">
        <v>0.248421358498478</v>
      </c>
      <c r="T4056" s="4" t="str">
        <f t="shared" si="3"/>
        <v/>
      </c>
      <c r="U4056" s="4">
        <f t="shared" si="4"/>
        <v>1495</v>
      </c>
    </row>
    <row r="4057" ht="15.75" customHeight="1">
      <c r="A4057" s="4" t="s">
        <v>987</v>
      </c>
      <c r="B4057" s="4" t="s">
        <v>13</v>
      </c>
      <c r="C4057" s="4">
        <v>0.07</v>
      </c>
      <c r="D4057" s="4">
        <v>0.012</v>
      </c>
      <c r="E4057" s="4">
        <v>0.012</v>
      </c>
      <c r="F4057" s="4">
        <v>0.0944</v>
      </c>
      <c r="G4057" s="4">
        <v>0.02</v>
      </c>
      <c r="H4057" s="4">
        <v>0.02</v>
      </c>
      <c r="I4057" s="4">
        <v>0.581</v>
      </c>
      <c r="J4057" s="4">
        <v>0.025</v>
      </c>
      <c r="K4057" s="6" t="b">
        <f t="shared" ref="K4057:M4057" si="3850">FALSE()</f>
        <v>0</v>
      </c>
      <c r="L4057" s="6" t="b">
        <f t="shared" si="3850"/>
        <v>0</v>
      </c>
      <c r="M4057" s="6" t="b">
        <f t="shared" si="3850"/>
        <v>0</v>
      </c>
      <c r="N4057" s="4">
        <v>0.0676586484738148</v>
      </c>
      <c r="O4057" s="4">
        <v>0.0902062678861489</v>
      </c>
      <c r="P4057" s="4">
        <v>0.458057558227335</v>
      </c>
      <c r="Q4057" s="4">
        <v>-0.585049454343242</v>
      </c>
      <c r="R4057" s="4">
        <v>-0.592575147399395</v>
      </c>
      <c r="S4057" s="4">
        <v>-0.457043731265588</v>
      </c>
      <c r="T4057" s="4">
        <f t="shared" si="3"/>
        <v>1323</v>
      </c>
      <c r="U4057" s="4">
        <f t="shared" si="4"/>
        <v>954</v>
      </c>
    </row>
    <row r="4058" ht="15.75" customHeight="1">
      <c r="A4058" s="4" t="s">
        <v>988</v>
      </c>
      <c r="B4058" s="4" t="s">
        <v>13</v>
      </c>
      <c r="C4058" s="4">
        <v>0.57</v>
      </c>
      <c r="D4058" s="4">
        <v>0.06</v>
      </c>
      <c r="E4058" s="4">
        <v>0.066</v>
      </c>
      <c r="F4058" s="4">
        <v>0.614</v>
      </c>
      <c r="G4058" s="4">
        <v>0.044</v>
      </c>
      <c r="H4058" s="4">
        <v>0.044</v>
      </c>
      <c r="I4058" s="4">
        <v>0.874</v>
      </c>
      <c r="J4058" s="4">
        <v>0.041</v>
      </c>
      <c r="K4058" s="6" t="b">
        <f t="shared" ref="K4058:L4058" si="3851">FALSE()</f>
        <v>0</v>
      </c>
      <c r="L4058" s="6" t="b">
        <f t="shared" si="3851"/>
        <v>0</v>
      </c>
      <c r="M4058" s="6" t="b">
        <f>TRUE()</f>
        <v>1</v>
      </c>
      <c r="N4058" s="4">
        <v>0.451075619360217</v>
      </c>
      <c r="O4058" s="4">
        <v>0.478715569847757</v>
      </c>
      <c r="P4058" s="4">
        <v>0.62807518381623</v>
      </c>
      <c r="Q4058" s="4">
        <v>-0.277940345689761</v>
      </c>
      <c r="R4058" s="4">
        <v>-0.26292164996188</v>
      </c>
      <c r="S4058" s="4">
        <v>0.0911648010294179</v>
      </c>
      <c r="T4058" s="4">
        <f t="shared" si="3"/>
        <v>911</v>
      </c>
      <c r="U4058" s="4">
        <f t="shared" si="4"/>
        <v>781</v>
      </c>
    </row>
    <row r="4059" ht="15.75" customHeight="1">
      <c r="A4059" s="4" t="s">
        <v>4976</v>
      </c>
      <c r="B4059" s="4" t="s">
        <v>13</v>
      </c>
      <c r="D4059" s="4">
        <v>0.38</v>
      </c>
      <c r="E4059" s="4">
        <v>0.38</v>
      </c>
      <c r="F4059" s="4">
        <v>5.61</v>
      </c>
      <c r="G4059" s="4">
        <v>0.38</v>
      </c>
      <c r="H4059" s="4">
        <v>0.38</v>
      </c>
      <c r="K4059" s="6" t="b">
        <f t="shared" ref="K4059:M4059" si="3852">FALSE()</f>
        <v>0</v>
      </c>
      <c r="L4059" s="6" t="b">
        <f t="shared" si="3852"/>
        <v>0</v>
      </c>
      <c r="M4059" s="6" t="b">
        <f t="shared" si="3852"/>
        <v>0</v>
      </c>
      <c r="O4059" s="4">
        <v>1.8885836538636</v>
      </c>
      <c r="T4059" s="4" t="str">
        <f t="shared" si="3"/>
        <v/>
      </c>
      <c r="U4059" s="4" t="str">
        <f t="shared" si="4"/>
        <v/>
      </c>
    </row>
    <row r="4060" ht="15.75" customHeight="1">
      <c r="A4060" s="4" t="s">
        <v>4977</v>
      </c>
      <c r="B4060" s="4" t="s">
        <v>13</v>
      </c>
      <c r="I4060" s="4">
        <v>0.219</v>
      </c>
      <c r="J4060" s="4">
        <v>0.013</v>
      </c>
      <c r="K4060" s="6" t="b">
        <f t="shared" ref="K4060:M4060" si="3853">FALSE()</f>
        <v>0</v>
      </c>
      <c r="L4060" s="6" t="b">
        <f t="shared" si="3853"/>
        <v>0</v>
      </c>
      <c r="M4060" s="6" t="b">
        <f t="shared" si="3853"/>
        <v>0</v>
      </c>
      <c r="P4060" s="4">
        <v>0.198030850499134</v>
      </c>
      <c r="T4060" s="4" t="str">
        <f t="shared" si="3"/>
        <v/>
      </c>
      <c r="U4060" s="4">
        <f t="shared" si="4"/>
        <v>2283</v>
      </c>
    </row>
    <row r="4061" ht="15.75" customHeight="1">
      <c r="A4061" s="4" t="s">
        <v>4978</v>
      </c>
      <c r="B4061" s="4" t="s">
        <v>13</v>
      </c>
      <c r="I4061" s="4">
        <v>0.236</v>
      </c>
      <c r="J4061" s="4">
        <v>0.015</v>
      </c>
      <c r="K4061" s="6" t="b">
        <f t="shared" ref="K4061:M4061" si="3854">FALSE()</f>
        <v>0</v>
      </c>
      <c r="L4061" s="6" t="b">
        <f t="shared" si="3854"/>
        <v>0</v>
      </c>
      <c r="M4061" s="6" t="b">
        <f t="shared" si="3854"/>
        <v>0</v>
      </c>
      <c r="P4061" s="4">
        <v>0.211880359035499</v>
      </c>
      <c r="T4061" s="4" t="str">
        <f t="shared" si="3"/>
        <v/>
      </c>
      <c r="U4061" s="4">
        <f t="shared" si="4"/>
        <v>2019</v>
      </c>
    </row>
    <row r="4062" ht="15.75" customHeight="1">
      <c r="A4062" s="4" t="s">
        <v>4979</v>
      </c>
      <c r="B4062" s="4" t="s">
        <v>13</v>
      </c>
      <c r="I4062" s="4">
        <v>0.23</v>
      </c>
      <c r="J4062" s="4">
        <v>0.015</v>
      </c>
      <c r="K4062" s="6" t="b">
        <f t="shared" ref="K4062:M4062" si="3855">FALSE()</f>
        <v>0</v>
      </c>
      <c r="L4062" s="6" t="b">
        <f t="shared" si="3855"/>
        <v>0</v>
      </c>
      <c r="M4062" s="6" t="b">
        <f t="shared" si="3855"/>
        <v>0</v>
      </c>
      <c r="P4062" s="4">
        <v>0.207014169384326</v>
      </c>
      <c r="T4062" s="4" t="str">
        <f t="shared" si="3"/>
        <v/>
      </c>
      <c r="U4062" s="4">
        <f t="shared" si="4"/>
        <v>2117</v>
      </c>
    </row>
    <row r="4063" ht="15.75" customHeight="1">
      <c r="A4063" s="4" t="s">
        <v>4980</v>
      </c>
      <c r="B4063" s="4" t="s">
        <v>13</v>
      </c>
      <c r="I4063" s="4">
        <v>0.249</v>
      </c>
      <c r="J4063" s="4">
        <v>0.021</v>
      </c>
      <c r="K4063" s="6" t="b">
        <f t="shared" ref="K4063:M4063" si="3856">FALSE()</f>
        <v>0</v>
      </c>
      <c r="L4063" s="6" t="b">
        <f t="shared" si="3856"/>
        <v>0</v>
      </c>
      <c r="M4063" s="6" t="b">
        <f t="shared" si="3856"/>
        <v>0</v>
      </c>
      <c r="P4063" s="4">
        <v>0.222343231143441</v>
      </c>
      <c r="T4063" s="4" t="str">
        <f t="shared" si="3"/>
        <v/>
      </c>
      <c r="U4063" s="4">
        <f t="shared" si="4"/>
        <v>1824</v>
      </c>
    </row>
    <row r="4064" ht="15.75" customHeight="1">
      <c r="A4064" s="4" t="s">
        <v>4981</v>
      </c>
      <c r="B4064" s="4" t="s">
        <v>13</v>
      </c>
      <c r="I4064" s="4">
        <v>0.213</v>
      </c>
      <c r="J4064" s="4">
        <v>0.014</v>
      </c>
      <c r="K4064" s="6" t="b">
        <f t="shared" ref="K4064:M4064" si="3857">FALSE()</f>
        <v>0</v>
      </c>
      <c r="L4064" s="6" t="b">
        <f t="shared" si="3857"/>
        <v>0</v>
      </c>
      <c r="M4064" s="6" t="b">
        <f t="shared" si="3857"/>
        <v>0</v>
      </c>
      <c r="P4064" s="4">
        <v>0.193096629961913</v>
      </c>
      <c r="T4064" s="4" t="str">
        <f t="shared" si="3"/>
        <v/>
      </c>
      <c r="U4064" s="4">
        <f t="shared" si="4"/>
        <v>2362</v>
      </c>
    </row>
    <row r="4065" ht="15.75" customHeight="1">
      <c r="A4065" s="4" t="s">
        <v>4982</v>
      </c>
      <c r="B4065" s="4" t="s">
        <v>13</v>
      </c>
      <c r="I4065" s="4">
        <v>0.213</v>
      </c>
      <c r="J4065" s="4">
        <v>0.019</v>
      </c>
      <c r="K4065" s="6" t="b">
        <f t="shared" ref="K4065:M4065" si="3858">FALSE()</f>
        <v>0</v>
      </c>
      <c r="L4065" s="6" t="b">
        <f t="shared" si="3858"/>
        <v>0</v>
      </c>
      <c r="M4065" s="6" t="b">
        <f t="shared" si="3858"/>
        <v>0</v>
      </c>
      <c r="P4065" s="4">
        <v>0.193096629961913</v>
      </c>
      <c r="T4065" s="4" t="str">
        <f t="shared" si="3"/>
        <v/>
      </c>
      <c r="U4065" s="4">
        <f t="shared" si="4"/>
        <v>2363</v>
      </c>
    </row>
    <row r="4066" ht="15.75" customHeight="1">
      <c r="A4066" s="4" t="s">
        <v>4983</v>
      </c>
      <c r="B4066" s="4" t="s">
        <v>13</v>
      </c>
      <c r="I4066" s="4">
        <v>0.292</v>
      </c>
      <c r="J4066" s="4">
        <v>0.035</v>
      </c>
      <c r="K4066" s="6" t="b">
        <f t="shared" ref="K4066:M4066" si="3859">FALSE()</f>
        <v>0</v>
      </c>
      <c r="L4066" s="6" t="b">
        <f t="shared" si="3859"/>
        <v>0</v>
      </c>
      <c r="M4066" s="6" t="b">
        <f t="shared" si="3859"/>
        <v>0</v>
      </c>
      <c r="P4066" s="4">
        <v>0.25619140536041</v>
      </c>
      <c r="T4066" s="4" t="str">
        <f t="shared" si="3"/>
        <v/>
      </c>
      <c r="U4066" s="4">
        <f t="shared" si="4"/>
        <v>1426</v>
      </c>
    </row>
    <row r="4067" ht="15.75" customHeight="1">
      <c r="A4067" s="4" t="s">
        <v>4984</v>
      </c>
      <c r="B4067" s="4" t="s">
        <v>13</v>
      </c>
      <c r="I4067" s="4">
        <v>0.227</v>
      </c>
      <c r="J4067" s="4">
        <v>0.013</v>
      </c>
      <c r="K4067" s="6" t="b">
        <f t="shared" ref="K4067:M4067" si="3860">FALSE()</f>
        <v>0</v>
      </c>
      <c r="L4067" s="6" t="b">
        <f t="shared" si="3860"/>
        <v>0</v>
      </c>
      <c r="M4067" s="6" t="b">
        <f t="shared" si="3860"/>
        <v>0</v>
      </c>
      <c r="P4067" s="4">
        <v>0.204572165728774</v>
      </c>
      <c r="T4067" s="4" t="str">
        <f t="shared" si="3"/>
        <v/>
      </c>
      <c r="U4067" s="4">
        <f t="shared" si="4"/>
        <v>2162</v>
      </c>
    </row>
    <row r="4068" ht="15.75" customHeight="1">
      <c r="A4068" s="4" t="s">
        <v>4985</v>
      </c>
      <c r="B4068" s="4" t="s">
        <v>13</v>
      </c>
      <c r="I4068" s="4">
        <v>0.178</v>
      </c>
      <c r="J4068" s="4">
        <v>0.02</v>
      </c>
      <c r="K4068" s="6" t="b">
        <f t="shared" ref="K4068:M4068" si="3861">FALSE()</f>
        <v>0</v>
      </c>
      <c r="L4068" s="6" t="b">
        <f t="shared" si="3861"/>
        <v>0</v>
      </c>
      <c r="M4068" s="6" t="b">
        <f t="shared" si="3861"/>
        <v>0</v>
      </c>
      <c r="P4068" s="4">
        <v>0.163818085229395</v>
      </c>
      <c r="T4068" s="4" t="str">
        <f t="shared" si="3"/>
        <v/>
      </c>
      <c r="U4068" s="4">
        <f t="shared" si="4"/>
        <v>2932</v>
      </c>
    </row>
    <row r="4069" ht="15.75" customHeight="1">
      <c r="A4069" s="4" t="s">
        <v>4986</v>
      </c>
      <c r="B4069" s="4" t="s">
        <v>13</v>
      </c>
      <c r="I4069" s="4">
        <v>0.178</v>
      </c>
      <c r="J4069" s="4">
        <v>0.016</v>
      </c>
      <c r="K4069" s="6" t="b">
        <f t="shared" ref="K4069:M4069" si="3862">FALSE()</f>
        <v>0</v>
      </c>
      <c r="L4069" s="6" t="b">
        <f t="shared" si="3862"/>
        <v>0</v>
      </c>
      <c r="M4069" s="6" t="b">
        <f t="shared" si="3862"/>
        <v>0</v>
      </c>
      <c r="P4069" s="4">
        <v>0.163818085229395</v>
      </c>
      <c r="T4069" s="4" t="str">
        <f t="shared" si="3"/>
        <v/>
      </c>
      <c r="U4069" s="4">
        <f t="shared" si="4"/>
        <v>2933</v>
      </c>
    </row>
    <row r="4070" ht="15.75" customHeight="1">
      <c r="A4070" s="4" t="s">
        <v>989</v>
      </c>
      <c r="B4070" s="4" t="s">
        <v>13</v>
      </c>
      <c r="C4070" s="4">
        <v>0.372</v>
      </c>
      <c r="D4070" s="4">
        <v>0.08</v>
      </c>
      <c r="E4070" s="4">
        <v>0.08</v>
      </c>
      <c r="I4070" s="4">
        <v>0.21</v>
      </c>
      <c r="J4070" s="4">
        <v>0.016</v>
      </c>
      <c r="K4070" s="6" t="b">
        <f t="shared" ref="K4070:M4070" si="3863">FALSE()</f>
        <v>0</v>
      </c>
      <c r="L4070" s="6" t="b">
        <f t="shared" si="3863"/>
        <v>0</v>
      </c>
      <c r="M4070" s="6" t="b">
        <f t="shared" si="3863"/>
        <v>0</v>
      </c>
      <c r="N4070" s="4">
        <v>0.316269529303693</v>
      </c>
      <c r="P4070" s="4">
        <v>0.19062035960865</v>
      </c>
      <c r="T4070" s="4">
        <f t="shared" si="3"/>
        <v>1035</v>
      </c>
      <c r="U4070" s="4">
        <f t="shared" si="4"/>
        <v>2425</v>
      </c>
    </row>
    <row r="4071" ht="15.75" customHeight="1">
      <c r="A4071" s="4" t="s">
        <v>991</v>
      </c>
      <c r="B4071" s="4" t="s">
        <v>13</v>
      </c>
      <c r="C4071" s="4">
        <v>0.0233</v>
      </c>
      <c r="D4071" s="4">
        <v>0.0198</v>
      </c>
      <c r="E4071" s="4">
        <v>0.0296</v>
      </c>
      <c r="I4071" s="4">
        <v>0.15</v>
      </c>
      <c r="J4071" s="4">
        <v>0.012</v>
      </c>
      <c r="K4071" s="6" t="b">
        <f t="shared" ref="K4071:M4071" si="3864">FALSE()</f>
        <v>0</v>
      </c>
      <c r="L4071" s="6" t="b">
        <f t="shared" si="3864"/>
        <v>0</v>
      </c>
      <c r="M4071" s="6" t="b">
        <f t="shared" si="3864"/>
        <v>0</v>
      </c>
      <c r="N4071" s="4">
        <v>0.0230326991105726</v>
      </c>
      <c r="P4071" s="4">
        <v>0.139761942375159</v>
      </c>
      <c r="T4071" s="4">
        <f t="shared" si="3"/>
        <v>1660</v>
      </c>
      <c r="U4071" s="4">
        <f t="shared" si="4"/>
        <v>3329</v>
      </c>
    </row>
    <row r="4072" ht="15.75" customHeight="1">
      <c r="A4072" s="4" t="s">
        <v>4987</v>
      </c>
      <c r="B4072" s="4" t="s">
        <v>13</v>
      </c>
      <c r="I4072" s="4">
        <v>0.229</v>
      </c>
      <c r="J4072" s="4">
        <v>0.012</v>
      </c>
      <c r="K4072" s="6" t="b">
        <f t="shared" ref="K4072:M4072" si="3865">FALSE()</f>
        <v>0</v>
      </c>
      <c r="L4072" s="6" t="b">
        <f t="shared" si="3865"/>
        <v>0</v>
      </c>
      <c r="M4072" s="6" t="b">
        <f t="shared" si="3865"/>
        <v>0</v>
      </c>
      <c r="P4072" s="4">
        <v>0.206200830583898</v>
      </c>
      <c r="T4072" s="4" t="str">
        <f t="shared" si="3"/>
        <v/>
      </c>
      <c r="U4072" s="4">
        <f t="shared" si="4"/>
        <v>2130</v>
      </c>
    </row>
    <row r="4073" ht="15.75" customHeight="1">
      <c r="A4073" s="4" t="s">
        <v>4988</v>
      </c>
      <c r="B4073" s="4" t="s">
        <v>13</v>
      </c>
      <c r="I4073" s="4">
        <v>0.235</v>
      </c>
      <c r="J4073" s="4">
        <v>0.026</v>
      </c>
      <c r="K4073" s="6" t="b">
        <f t="shared" ref="K4073:M4073" si="3866">FALSE()</f>
        <v>0</v>
      </c>
      <c r="L4073" s="6" t="b">
        <f t="shared" si="3866"/>
        <v>0</v>
      </c>
      <c r="M4073" s="6" t="b">
        <f t="shared" si="3866"/>
        <v>0</v>
      </c>
      <c r="P4073" s="4">
        <v>0.211070970079941</v>
      </c>
      <c r="T4073" s="4" t="str">
        <f t="shared" si="3"/>
        <v/>
      </c>
      <c r="U4073" s="4">
        <f t="shared" si="4"/>
        <v>2035</v>
      </c>
    </row>
    <row r="4074" ht="15.75" customHeight="1">
      <c r="A4074" s="4" t="s">
        <v>4989</v>
      </c>
      <c r="B4074" s="4" t="s">
        <v>13</v>
      </c>
      <c r="I4074" s="4">
        <v>0.328</v>
      </c>
      <c r="J4074" s="4">
        <v>0.03</v>
      </c>
      <c r="K4074" s="6" t="b">
        <f t="shared" ref="K4074:M4074" si="3867">FALSE()</f>
        <v>0</v>
      </c>
      <c r="L4074" s="6" t="b">
        <f t="shared" si="3867"/>
        <v>0</v>
      </c>
      <c r="M4074" s="6" t="b">
        <f t="shared" si="3867"/>
        <v>0</v>
      </c>
      <c r="P4074" s="4">
        <v>0.283674051054242</v>
      </c>
      <c r="T4074" s="4" t="str">
        <f t="shared" si="3"/>
        <v/>
      </c>
      <c r="U4074" s="4">
        <f t="shared" si="4"/>
        <v>1267</v>
      </c>
    </row>
    <row r="4075" ht="15.75" customHeight="1">
      <c r="A4075" s="4" t="s">
        <v>4990</v>
      </c>
      <c r="B4075" s="4" t="s">
        <v>13</v>
      </c>
      <c r="I4075" s="4">
        <v>0.203</v>
      </c>
      <c r="J4075" s="4">
        <v>0.013</v>
      </c>
      <c r="K4075" s="6" t="b">
        <f t="shared" ref="K4075:M4075" si="3868">FALSE()</f>
        <v>0</v>
      </c>
      <c r="L4075" s="6" t="b">
        <f t="shared" si="3868"/>
        <v>0</v>
      </c>
      <c r="M4075" s="6" t="b">
        <f t="shared" si="3868"/>
        <v>0</v>
      </c>
      <c r="P4075" s="4">
        <v>0.184818436992542</v>
      </c>
      <c r="T4075" s="4" t="str">
        <f t="shared" si="3"/>
        <v/>
      </c>
      <c r="U4075" s="4">
        <f t="shared" si="4"/>
        <v>2535</v>
      </c>
    </row>
    <row r="4076" ht="15.75" customHeight="1">
      <c r="A4076" s="4" t="s">
        <v>4991</v>
      </c>
      <c r="B4076" s="4" t="s">
        <v>13</v>
      </c>
      <c r="I4076" s="4">
        <v>0.376</v>
      </c>
      <c r="J4076" s="4">
        <v>0.05</v>
      </c>
      <c r="K4076" s="6" t="b">
        <f t="shared" ref="K4076:M4076" si="3869">FALSE()</f>
        <v>0</v>
      </c>
      <c r="L4076" s="6" t="b">
        <f t="shared" si="3869"/>
        <v>0</v>
      </c>
      <c r="M4076" s="6" t="b">
        <f t="shared" si="3869"/>
        <v>0</v>
      </c>
      <c r="P4076" s="4">
        <v>0.319180739511152</v>
      </c>
      <c r="T4076" s="4" t="str">
        <f t="shared" si="3"/>
        <v/>
      </c>
      <c r="U4076" s="4">
        <f t="shared" si="4"/>
        <v>1151</v>
      </c>
    </row>
    <row r="4077" ht="15.75" customHeight="1">
      <c r="A4077" s="4" t="s">
        <v>4992</v>
      </c>
      <c r="B4077" s="4" t="s">
        <v>13</v>
      </c>
      <c r="I4077" s="4">
        <v>0.252</v>
      </c>
      <c r="J4077" s="4">
        <v>0.024</v>
      </c>
      <c r="K4077" s="6" t="b">
        <f t="shared" ref="K4077:M4077" si="3870">FALSE()</f>
        <v>0</v>
      </c>
      <c r="L4077" s="6" t="b">
        <f t="shared" si="3870"/>
        <v>0</v>
      </c>
      <c r="M4077" s="6" t="b">
        <f t="shared" si="3870"/>
        <v>0</v>
      </c>
      <c r="P4077" s="4">
        <v>0.224742272677907</v>
      </c>
      <c r="T4077" s="4" t="str">
        <f t="shared" si="3"/>
        <v/>
      </c>
      <c r="U4077" s="4">
        <f t="shared" si="4"/>
        <v>1788</v>
      </c>
    </row>
    <row r="4078" ht="15.75" customHeight="1">
      <c r="A4078" s="4" t="s">
        <v>4993</v>
      </c>
      <c r="B4078" s="4" t="s">
        <v>13</v>
      </c>
      <c r="I4078" s="4">
        <v>0.249</v>
      </c>
      <c r="J4078" s="4">
        <v>0.018</v>
      </c>
      <c r="K4078" s="6" t="b">
        <f t="shared" ref="K4078:M4078" si="3871">FALSE()</f>
        <v>0</v>
      </c>
      <c r="L4078" s="6" t="b">
        <f t="shared" si="3871"/>
        <v>0</v>
      </c>
      <c r="M4078" s="6" t="b">
        <f t="shared" si="3871"/>
        <v>0</v>
      </c>
      <c r="P4078" s="4">
        <v>0.222343231143441</v>
      </c>
      <c r="T4078" s="4" t="str">
        <f t="shared" si="3"/>
        <v/>
      </c>
      <c r="U4078" s="4">
        <f t="shared" si="4"/>
        <v>1825</v>
      </c>
    </row>
    <row r="4079" ht="15.75" customHeight="1">
      <c r="A4079" s="4" t="s">
        <v>4994</v>
      </c>
      <c r="B4079" s="4" t="s">
        <v>13</v>
      </c>
      <c r="I4079" s="4">
        <v>0.199</v>
      </c>
      <c r="J4079" s="4">
        <v>0.015</v>
      </c>
      <c r="K4079" s="6" t="b">
        <f t="shared" ref="K4079:M4079" si="3872">FALSE()</f>
        <v>0</v>
      </c>
      <c r="L4079" s="6" t="b">
        <f t="shared" si="3872"/>
        <v>0</v>
      </c>
      <c r="M4079" s="6" t="b">
        <f t="shared" si="3872"/>
        <v>0</v>
      </c>
      <c r="P4079" s="4">
        <v>0.181487876045377</v>
      </c>
      <c r="T4079" s="4" t="str">
        <f t="shared" si="3"/>
        <v/>
      </c>
      <c r="U4079" s="4">
        <f t="shared" si="4"/>
        <v>2603</v>
      </c>
    </row>
    <row r="4080" ht="15.75" customHeight="1">
      <c r="A4080" s="4" t="s">
        <v>4995</v>
      </c>
      <c r="B4080" s="4" t="s">
        <v>13</v>
      </c>
      <c r="I4080" s="4">
        <v>0.235</v>
      </c>
      <c r="J4080" s="4">
        <v>0.02</v>
      </c>
      <c r="K4080" s="6" t="b">
        <f t="shared" ref="K4080:M4080" si="3873">FALSE()</f>
        <v>0</v>
      </c>
      <c r="L4080" s="6" t="b">
        <f t="shared" si="3873"/>
        <v>0</v>
      </c>
      <c r="M4080" s="6" t="b">
        <f t="shared" si="3873"/>
        <v>0</v>
      </c>
      <c r="P4080" s="4">
        <v>0.211070970079941</v>
      </c>
      <c r="T4080" s="4" t="str">
        <f t="shared" si="3"/>
        <v/>
      </c>
      <c r="U4080" s="4">
        <f t="shared" si="4"/>
        <v>2036</v>
      </c>
    </row>
    <row r="4081" ht="15.75" customHeight="1">
      <c r="A4081" s="4" t="s">
        <v>4996</v>
      </c>
      <c r="B4081" s="4" t="s">
        <v>13</v>
      </c>
      <c r="I4081" s="4">
        <v>0.2632</v>
      </c>
      <c r="J4081" s="4">
        <v>0.0366</v>
      </c>
      <c r="K4081" s="6" t="b">
        <f t="shared" ref="K4081:M4081" si="3874">FALSE()</f>
        <v>0</v>
      </c>
      <c r="L4081" s="6" t="b">
        <f t="shared" si="3874"/>
        <v>0</v>
      </c>
      <c r="M4081" s="6" t="b">
        <f t="shared" si="3874"/>
        <v>0</v>
      </c>
      <c r="P4081" s="4">
        <v>0.233648183959295</v>
      </c>
      <c r="T4081" s="4" t="str">
        <f t="shared" si="3"/>
        <v/>
      </c>
      <c r="U4081" s="4">
        <f t="shared" si="4"/>
        <v>1640</v>
      </c>
    </row>
    <row r="4082" ht="15.75" customHeight="1">
      <c r="A4082" s="4" t="s">
        <v>4997</v>
      </c>
      <c r="B4082" s="4" t="s">
        <v>13</v>
      </c>
      <c r="I4082" s="4">
        <v>0.09965</v>
      </c>
      <c r="K4082" s="6" t="b">
        <f t="shared" ref="K4082:M4082" si="3875">FALSE()</f>
        <v>0</v>
      </c>
      <c r="L4082" s="6" t="b">
        <f t="shared" si="3875"/>
        <v>0</v>
      </c>
      <c r="M4082" s="6" t="b">
        <f t="shared" si="3875"/>
        <v>0</v>
      </c>
      <c r="P4082" s="4">
        <v>0.0949919473555682</v>
      </c>
      <c r="T4082" s="4" t="str">
        <f t="shared" si="3"/>
        <v/>
      </c>
      <c r="U4082" s="4">
        <f t="shared" si="4"/>
        <v>4228</v>
      </c>
    </row>
    <row r="4083" ht="15.75" customHeight="1">
      <c r="A4083" s="4" t="s">
        <v>992</v>
      </c>
      <c r="B4083" s="4" t="s">
        <v>13</v>
      </c>
      <c r="C4083" s="4">
        <v>1.39</v>
      </c>
      <c r="D4083" s="4">
        <v>1.39</v>
      </c>
      <c r="E4083" s="4">
        <v>0.0</v>
      </c>
      <c r="I4083" s="4">
        <v>0.248</v>
      </c>
      <c r="K4083" s="6" t="b">
        <f t="shared" ref="K4083:M4083" si="3876">FALSE()</f>
        <v>0</v>
      </c>
      <c r="L4083" s="6" t="b">
        <f t="shared" si="3876"/>
        <v>0</v>
      </c>
      <c r="M4083" s="6" t="b">
        <f t="shared" si="3876"/>
        <v>0</v>
      </c>
      <c r="N4083" s="4">
        <v>0.871293365943419</v>
      </c>
      <c r="P4083" s="4">
        <v>0.221542269947236</v>
      </c>
      <c r="T4083" s="4">
        <f t="shared" si="3"/>
        <v>540</v>
      </c>
      <c r="U4083" s="4">
        <f t="shared" si="4"/>
        <v>1836</v>
      </c>
    </row>
    <row r="4084" ht="15.75" customHeight="1">
      <c r="A4084" s="4" t="s">
        <v>993</v>
      </c>
      <c r="B4084" s="4" t="s">
        <v>13</v>
      </c>
      <c r="C4084" s="4">
        <v>2.19</v>
      </c>
      <c r="D4084" s="4">
        <v>2.19</v>
      </c>
      <c r="E4084" s="4">
        <v>0.0</v>
      </c>
      <c r="I4084" s="4">
        <v>0.255</v>
      </c>
      <c r="K4084" s="6" t="b">
        <f t="shared" ref="K4084:M4084" si="3877">FALSE()</f>
        <v>0</v>
      </c>
      <c r="L4084" s="6" t="b">
        <f t="shared" si="3877"/>
        <v>0</v>
      </c>
      <c r="M4084" s="6" t="b">
        <f t="shared" si="3877"/>
        <v>0</v>
      </c>
      <c r="N4084" s="4">
        <v>1.16002091679675</v>
      </c>
      <c r="P4084" s="4">
        <v>0.227135572583747</v>
      </c>
      <c r="T4084" s="4">
        <f t="shared" si="3"/>
        <v>416</v>
      </c>
      <c r="U4084" s="4">
        <f t="shared" si="4"/>
        <v>1753</v>
      </c>
    </row>
    <row r="4085" ht="15.75" customHeight="1">
      <c r="A4085" s="4" t="s">
        <v>4998</v>
      </c>
      <c r="B4085" s="4" t="s">
        <v>13</v>
      </c>
      <c r="I4085" s="4">
        <v>0.262</v>
      </c>
      <c r="J4085" s="4">
        <v>0.125</v>
      </c>
      <c r="K4085" s="6" t="b">
        <f t="shared" ref="K4085:M4085" si="3878">FALSE()</f>
        <v>0</v>
      </c>
      <c r="L4085" s="6" t="b">
        <f t="shared" si="3878"/>
        <v>0</v>
      </c>
      <c r="M4085" s="6" t="b">
        <f t="shared" si="3878"/>
        <v>0</v>
      </c>
      <c r="P4085" s="4">
        <v>0.232697764119021</v>
      </c>
      <c r="T4085" s="4" t="str">
        <f t="shared" si="3"/>
        <v/>
      </c>
      <c r="U4085" s="4">
        <f t="shared" si="4"/>
        <v>1662</v>
      </c>
    </row>
    <row r="4086" ht="15.75" customHeight="1">
      <c r="A4086" s="4" t="s">
        <v>4999</v>
      </c>
      <c r="B4086" s="4" t="s">
        <v>13</v>
      </c>
      <c r="I4086" s="4">
        <v>0.359</v>
      </c>
      <c r="J4086" s="4">
        <v>0.045</v>
      </c>
      <c r="K4086" s="6" t="b">
        <f t="shared" ref="K4086:M4086" si="3879">FALSE()</f>
        <v>0</v>
      </c>
      <c r="L4086" s="6" t="b">
        <f t="shared" si="3879"/>
        <v>0</v>
      </c>
      <c r="M4086" s="6" t="b">
        <f t="shared" si="3879"/>
        <v>0</v>
      </c>
      <c r="P4086" s="4">
        <v>0.306749135169007</v>
      </c>
      <c r="T4086" s="4" t="str">
        <f t="shared" si="3"/>
        <v/>
      </c>
      <c r="U4086" s="4">
        <f t="shared" si="4"/>
        <v>1187</v>
      </c>
    </row>
    <row r="4087" ht="15.75" customHeight="1">
      <c r="A4087" s="4" t="s">
        <v>5000</v>
      </c>
      <c r="B4087" s="4" t="s">
        <v>13</v>
      </c>
      <c r="I4087" s="4">
        <v>0.302</v>
      </c>
      <c r="J4087" s="4">
        <v>0.022</v>
      </c>
      <c r="K4087" s="6" t="b">
        <f t="shared" ref="K4087:M4087" si="3880">FALSE()</f>
        <v>0</v>
      </c>
      <c r="L4087" s="6" t="b">
        <f t="shared" si="3880"/>
        <v>0</v>
      </c>
      <c r="M4087" s="6" t="b">
        <f t="shared" si="3880"/>
        <v>0</v>
      </c>
      <c r="P4087" s="4">
        <v>0.263901543786378</v>
      </c>
      <c r="T4087" s="4" t="str">
        <f t="shared" si="3"/>
        <v/>
      </c>
      <c r="U4087" s="4">
        <f t="shared" si="4"/>
        <v>1370</v>
      </c>
    </row>
    <row r="4088" ht="15.75" customHeight="1">
      <c r="A4088" s="4" t="s">
        <v>5001</v>
      </c>
      <c r="B4088" s="4" t="s">
        <v>13</v>
      </c>
      <c r="I4088" s="4">
        <v>0.213</v>
      </c>
      <c r="J4088" s="4">
        <v>0.022</v>
      </c>
      <c r="K4088" s="6" t="b">
        <f t="shared" ref="K4088:M4088" si="3881">FALSE()</f>
        <v>0</v>
      </c>
      <c r="L4088" s="6" t="b">
        <f t="shared" si="3881"/>
        <v>0</v>
      </c>
      <c r="M4088" s="6" t="b">
        <f t="shared" si="3881"/>
        <v>0</v>
      </c>
      <c r="P4088" s="4">
        <v>0.193096629961913</v>
      </c>
      <c r="T4088" s="4" t="str">
        <f t="shared" si="3"/>
        <v/>
      </c>
      <c r="U4088" s="4">
        <f t="shared" si="4"/>
        <v>2364</v>
      </c>
    </row>
    <row r="4089" ht="15.75" customHeight="1">
      <c r="A4089" s="4" t="s">
        <v>5002</v>
      </c>
      <c r="B4089" s="4" t="s">
        <v>13</v>
      </c>
      <c r="I4089" s="4">
        <v>0.256</v>
      </c>
      <c r="J4089" s="4">
        <v>0.026</v>
      </c>
      <c r="K4089" s="6" t="b">
        <f t="shared" ref="K4089:M4089" si="3882">FALSE()</f>
        <v>0</v>
      </c>
      <c r="L4089" s="6" t="b">
        <f t="shared" si="3882"/>
        <v>0</v>
      </c>
      <c r="M4089" s="6" t="b">
        <f t="shared" si="3882"/>
        <v>0</v>
      </c>
      <c r="P4089" s="4">
        <v>0.227932068046007</v>
      </c>
      <c r="T4089" s="4" t="str">
        <f t="shared" si="3"/>
        <v/>
      </c>
      <c r="U4089" s="4">
        <f t="shared" si="4"/>
        <v>1734</v>
      </c>
    </row>
    <row r="4090" ht="15.75" customHeight="1">
      <c r="A4090" s="4" t="s">
        <v>5003</v>
      </c>
      <c r="B4090" s="4" t="s">
        <v>13</v>
      </c>
      <c r="I4090" s="4">
        <v>0.194</v>
      </c>
      <c r="J4090" s="4">
        <v>0.013</v>
      </c>
      <c r="K4090" s="6" t="b">
        <f t="shared" ref="K4090:M4090" si="3883">FALSE()</f>
        <v>0</v>
      </c>
      <c r="L4090" s="6" t="b">
        <f t="shared" si="3883"/>
        <v>0</v>
      </c>
      <c r="M4090" s="6" t="b">
        <f t="shared" si="3883"/>
        <v>0</v>
      </c>
      <c r="P4090" s="4">
        <v>0.17730901497041</v>
      </c>
      <c r="T4090" s="4" t="str">
        <f t="shared" si="3"/>
        <v/>
      </c>
      <c r="U4090" s="4">
        <f t="shared" si="4"/>
        <v>2692</v>
      </c>
    </row>
    <row r="4091" ht="15.75" customHeight="1">
      <c r="A4091" s="4" t="s">
        <v>994</v>
      </c>
      <c r="B4091" s="4" t="s">
        <v>13</v>
      </c>
      <c r="C4091" s="4">
        <v>0.05475</v>
      </c>
      <c r="D4091" s="4">
        <v>0.01196</v>
      </c>
      <c r="E4091" s="4">
        <v>0.02234</v>
      </c>
      <c r="I4091" s="4">
        <v>0.331</v>
      </c>
      <c r="J4091" s="4">
        <v>0.001</v>
      </c>
      <c r="K4091" s="6" t="b">
        <f t="shared" ref="K4091:M4091" si="3884">FALSE()</f>
        <v>0</v>
      </c>
      <c r="L4091" s="6" t="b">
        <f t="shared" si="3884"/>
        <v>0</v>
      </c>
      <c r="M4091" s="6" t="b">
        <f t="shared" si="3884"/>
        <v>0</v>
      </c>
      <c r="N4091" s="4">
        <v>0.053303772022311</v>
      </c>
      <c r="P4091" s="4">
        <v>0.285930539412975</v>
      </c>
      <c r="T4091" s="4">
        <f t="shared" si="3"/>
        <v>1378</v>
      </c>
      <c r="U4091" s="4">
        <f t="shared" si="4"/>
        <v>1257</v>
      </c>
    </row>
    <row r="4092" ht="15.75" customHeight="1">
      <c r="A4092" s="4" t="s">
        <v>995</v>
      </c>
      <c r="B4092" s="4" t="s">
        <v>13</v>
      </c>
      <c r="C4092" s="4">
        <v>0.01038</v>
      </c>
      <c r="D4092" s="4">
        <v>0.00315</v>
      </c>
      <c r="E4092" s="4">
        <v>0.00535</v>
      </c>
      <c r="I4092" s="4">
        <v>0.09</v>
      </c>
      <c r="J4092" s="4">
        <v>0.002</v>
      </c>
      <c r="K4092" s="6" t="b">
        <f t="shared" ref="K4092:M4092" si="3885">FALSE()</f>
        <v>0</v>
      </c>
      <c r="L4092" s="6" t="b">
        <f t="shared" si="3885"/>
        <v>0</v>
      </c>
      <c r="M4092" s="6" t="b">
        <f t="shared" si="3885"/>
        <v>0</v>
      </c>
      <c r="N4092" s="4">
        <v>0.0103264977173034</v>
      </c>
      <c r="P4092" s="4">
        <v>0.0861776962410523</v>
      </c>
      <c r="T4092" s="4">
        <f t="shared" si="3"/>
        <v>1933</v>
      </c>
      <c r="U4092" s="4">
        <f t="shared" si="4"/>
        <v>4337</v>
      </c>
    </row>
    <row r="4093" ht="15.75" customHeight="1">
      <c r="A4093" s="4" t="s">
        <v>5004</v>
      </c>
      <c r="B4093" s="4" t="s">
        <v>13</v>
      </c>
      <c r="I4093" s="4">
        <v>0.309</v>
      </c>
      <c r="J4093" s="4">
        <v>0.042</v>
      </c>
      <c r="K4093" s="6" t="b">
        <f t="shared" ref="K4093:M4093" si="3886">FALSE()</f>
        <v>0</v>
      </c>
      <c r="L4093" s="6" t="b">
        <f t="shared" si="3886"/>
        <v>0</v>
      </c>
      <c r="M4093" s="6" t="b">
        <f t="shared" si="3886"/>
        <v>0</v>
      </c>
      <c r="P4093" s="4">
        <v>0.269263486927763</v>
      </c>
      <c r="T4093" s="4" t="str">
        <f t="shared" si="3"/>
        <v/>
      </c>
      <c r="U4093" s="4">
        <f t="shared" si="4"/>
        <v>1342</v>
      </c>
    </row>
    <row r="4094" ht="15.75" customHeight="1">
      <c r="A4094" s="4" t="s">
        <v>5005</v>
      </c>
      <c r="B4094" s="4" t="s">
        <v>13</v>
      </c>
      <c r="I4094" s="4">
        <v>0.211</v>
      </c>
      <c r="J4094" s="4">
        <v>0.012</v>
      </c>
      <c r="K4094" s="6" t="b">
        <f t="shared" ref="K4094:M4094" si="3887">FALSE()</f>
        <v>0</v>
      </c>
      <c r="L4094" s="6" t="b">
        <f t="shared" si="3887"/>
        <v>0</v>
      </c>
      <c r="M4094" s="6" t="b">
        <f t="shared" si="3887"/>
        <v>0</v>
      </c>
      <c r="P4094" s="4">
        <v>0.191446464570955</v>
      </c>
      <c r="T4094" s="4" t="str">
        <f t="shared" si="3"/>
        <v/>
      </c>
      <c r="U4094" s="4">
        <f t="shared" si="4"/>
        <v>2403</v>
      </c>
    </row>
    <row r="4095" ht="15.75" customHeight="1">
      <c r="A4095" s="4" t="s">
        <v>5006</v>
      </c>
      <c r="B4095" s="4" t="s">
        <v>13</v>
      </c>
      <c r="I4095" s="4">
        <v>0.134</v>
      </c>
      <c r="J4095" s="4">
        <v>0.008</v>
      </c>
      <c r="K4095" s="6" t="b">
        <f t="shared" ref="K4095:M4095" si="3888">FALSE()</f>
        <v>0</v>
      </c>
      <c r="L4095" s="6" t="b">
        <f t="shared" si="3888"/>
        <v>0</v>
      </c>
      <c r="M4095" s="6" t="b">
        <f t="shared" si="3888"/>
        <v>0</v>
      </c>
      <c r="P4095" s="4">
        <v>0.12575120530556</v>
      </c>
      <c r="T4095" s="4" t="str">
        <f t="shared" si="3"/>
        <v/>
      </c>
      <c r="U4095" s="4">
        <f t="shared" si="4"/>
        <v>3637</v>
      </c>
    </row>
    <row r="4096" ht="15.75" customHeight="1">
      <c r="A4096" s="4" t="s">
        <v>5007</v>
      </c>
      <c r="B4096" s="4" t="s">
        <v>13</v>
      </c>
      <c r="I4096" s="4">
        <v>0.27</v>
      </c>
      <c r="K4096" s="6" t="b">
        <f t="shared" ref="K4096:M4096" si="3889">FALSE()</f>
        <v>0</v>
      </c>
      <c r="L4096" s="6" t="b">
        <f t="shared" si="3889"/>
        <v>0</v>
      </c>
      <c r="M4096" s="6" t="b">
        <f t="shared" si="3889"/>
        <v>0</v>
      </c>
      <c r="P4096" s="4">
        <v>0.2390169004705</v>
      </c>
      <c r="T4096" s="4" t="str">
        <f t="shared" si="3"/>
        <v/>
      </c>
      <c r="U4096" s="4">
        <f t="shared" si="4"/>
        <v>1589</v>
      </c>
    </row>
    <row r="4097" ht="15.75" customHeight="1">
      <c r="A4097" s="4" t="s">
        <v>5008</v>
      </c>
      <c r="B4097" s="4" t="s">
        <v>13</v>
      </c>
      <c r="I4097" s="4">
        <v>0.253</v>
      </c>
      <c r="J4097" s="4">
        <v>0.029</v>
      </c>
      <c r="K4097" s="6" t="b">
        <f t="shared" ref="K4097:M4097" si="3890">FALSE()</f>
        <v>0</v>
      </c>
      <c r="L4097" s="6" t="b">
        <f t="shared" si="3890"/>
        <v>0</v>
      </c>
      <c r="M4097" s="6" t="b">
        <f t="shared" si="3890"/>
        <v>0</v>
      </c>
      <c r="P4097" s="4">
        <v>0.225540675913931</v>
      </c>
      <c r="T4097" s="4" t="str">
        <f t="shared" si="3"/>
        <v/>
      </c>
      <c r="U4097" s="4">
        <f t="shared" si="4"/>
        <v>1771</v>
      </c>
    </row>
    <row r="4098" ht="15.75" customHeight="1">
      <c r="A4098" s="4" t="s">
        <v>996</v>
      </c>
      <c r="B4098" s="4" t="s">
        <v>13</v>
      </c>
      <c r="C4098" s="4">
        <v>2.05</v>
      </c>
      <c r="D4098" s="4">
        <v>2.05</v>
      </c>
      <c r="E4098" s="4">
        <v>0.0</v>
      </c>
      <c r="I4098" s="4">
        <v>0.098</v>
      </c>
      <c r="K4098" s="6" t="b">
        <f t="shared" ref="K4098:M4098" si="3891">FALSE()</f>
        <v>0</v>
      </c>
      <c r="L4098" s="6" t="b">
        <f t="shared" si="3891"/>
        <v>0</v>
      </c>
      <c r="M4098" s="6" t="b">
        <f t="shared" si="3891"/>
        <v>0</v>
      </c>
      <c r="N4098" s="4">
        <v>1.11514159061932</v>
      </c>
      <c r="P4098" s="4">
        <v>0.0934903430873388</v>
      </c>
      <c r="T4098" s="4">
        <f t="shared" si="3"/>
        <v>434</v>
      </c>
      <c r="U4098" s="4">
        <f t="shared" si="4"/>
        <v>4250</v>
      </c>
    </row>
    <row r="4099" ht="15.75" customHeight="1">
      <c r="A4099" s="4" t="s">
        <v>998</v>
      </c>
      <c r="B4099" s="4" t="s">
        <v>13</v>
      </c>
      <c r="C4099" s="4">
        <v>1.37</v>
      </c>
      <c r="D4099" s="4">
        <v>1.37</v>
      </c>
      <c r="E4099" s="4">
        <v>0.0</v>
      </c>
      <c r="I4099" s="4">
        <v>0.177</v>
      </c>
      <c r="K4099" s="6" t="b">
        <f t="shared" ref="K4099:M4099" si="3892">FALSE()</f>
        <v>0</v>
      </c>
      <c r="L4099" s="6" t="b">
        <f t="shared" si="3892"/>
        <v>0</v>
      </c>
      <c r="M4099" s="6" t="b">
        <f t="shared" si="3892"/>
        <v>0</v>
      </c>
      <c r="N4099" s="4">
        <v>0.86288995514704</v>
      </c>
      <c r="P4099" s="4">
        <v>0.16296882827814</v>
      </c>
      <c r="T4099" s="4">
        <f t="shared" si="3"/>
        <v>543</v>
      </c>
      <c r="U4099" s="4">
        <f t="shared" si="4"/>
        <v>2951</v>
      </c>
    </row>
    <row r="4100" ht="15.75" customHeight="1">
      <c r="A4100" s="4" t="s">
        <v>999</v>
      </c>
      <c r="B4100" s="4" t="s">
        <v>13</v>
      </c>
      <c r="C4100" s="4">
        <v>2.111</v>
      </c>
      <c r="D4100" s="4">
        <v>0.086</v>
      </c>
      <c r="E4100" s="4">
        <v>0.067</v>
      </c>
      <c r="I4100" s="4">
        <v>1.426</v>
      </c>
      <c r="J4100" s="4">
        <v>0.051</v>
      </c>
      <c r="K4100" s="6" t="b">
        <f t="shared" ref="K4100:L4100" si="3893">FALSE()</f>
        <v>0</v>
      </c>
      <c r="L4100" s="6" t="b">
        <f t="shared" si="3893"/>
        <v>0</v>
      </c>
      <c r="M4100" s="6" t="b">
        <f>TRUE()</f>
        <v>1</v>
      </c>
      <c r="N4100" s="4">
        <v>1.1349442179155</v>
      </c>
      <c r="P4100" s="4">
        <v>0.886243810521858</v>
      </c>
      <c r="T4100" s="4">
        <f t="shared" si="3"/>
        <v>425</v>
      </c>
      <c r="U4100" s="4">
        <f t="shared" si="4"/>
        <v>163</v>
      </c>
    </row>
    <row r="4101" ht="15.75" customHeight="1">
      <c r="A4101" s="4" t="s">
        <v>5009</v>
      </c>
      <c r="B4101" s="4" t="s">
        <v>13</v>
      </c>
      <c r="I4101" s="4">
        <v>0.259</v>
      </c>
      <c r="J4101" s="4">
        <v>0.035</v>
      </c>
      <c r="K4101" s="6" t="b">
        <f t="shared" ref="K4101:M4101" si="3894">FALSE()</f>
        <v>0</v>
      </c>
      <c r="L4101" s="6" t="b">
        <f t="shared" si="3894"/>
        <v>0</v>
      </c>
      <c r="M4101" s="6" t="b">
        <f t="shared" si="3894"/>
        <v>0</v>
      </c>
      <c r="P4101" s="4">
        <v>0.23031775506221</v>
      </c>
      <c r="T4101" s="4" t="str">
        <f t="shared" si="3"/>
        <v/>
      </c>
      <c r="U4101" s="4">
        <f t="shared" si="4"/>
        <v>1700</v>
      </c>
    </row>
    <row r="4102" ht="15.75" customHeight="1">
      <c r="A4102" s="4" t="s">
        <v>5010</v>
      </c>
      <c r="B4102" s="4" t="s">
        <v>13</v>
      </c>
      <c r="I4102" s="4">
        <v>0.17</v>
      </c>
      <c r="J4102" s="4">
        <v>0.016</v>
      </c>
      <c r="K4102" s="6" t="b">
        <f t="shared" ref="K4102:M4102" si="3895">FALSE()</f>
        <v>0</v>
      </c>
      <c r="L4102" s="6" t="b">
        <f t="shared" si="3895"/>
        <v>0</v>
      </c>
      <c r="M4102" s="6" t="b">
        <f t="shared" si="3895"/>
        <v>0</v>
      </c>
      <c r="P4102" s="4">
        <v>0.157003748809665</v>
      </c>
      <c r="T4102" s="4" t="str">
        <f t="shared" si="3"/>
        <v/>
      </c>
      <c r="U4102" s="4">
        <f t="shared" si="4"/>
        <v>3054</v>
      </c>
    </row>
    <row r="4103" ht="15.75" customHeight="1">
      <c r="A4103" s="4" t="s">
        <v>5011</v>
      </c>
      <c r="B4103" s="4" t="s">
        <v>13</v>
      </c>
      <c r="I4103" s="4">
        <v>0.186</v>
      </c>
      <c r="J4103" s="4">
        <v>0.029</v>
      </c>
      <c r="K4103" s="6" t="b">
        <f t="shared" ref="K4103:M4103" si="3896">FALSE()</f>
        <v>0</v>
      </c>
      <c r="L4103" s="6" t="b">
        <f t="shared" si="3896"/>
        <v>0</v>
      </c>
      <c r="M4103" s="6" t="b">
        <f t="shared" si="3896"/>
        <v>0</v>
      </c>
      <c r="P4103" s="4">
        <v>0.170586300575534</v>
      </c>
      <c r="T4103" s="4" t="str">
        <f t="shared" si="3"/>
        <v/>
      </c>
      <c r="U4103" s="4">
        <f t="shared" si="4"/>
        <v>2811</v>
      </c>
    </row>
    <row r="4104" ht="15.75" customHeight="1">
      <c r="A4104" s="4" t="s">
        <v>5012</v>
      </c>
      <c r="B4104" s="4" t="s">
        <v>13</v>
      </c>
      <c r="I4104" s="4">
        <v>0.236</v>
      </c>
      <c r="J4104" s="4">
        <v>0.023</v>
      </c>
      <c r="K4104" s="6" t="b">
        <f t="shared" ref="K4104:M4104" si="3897">FALSE()</f>
        <v>0</v>
      </c>
      <c r="L4104" s="6" t="b">
        <f t="shared" si="3897"/>
        <v>0</v>
      </c>
      <c r="M4104" s="6" t="b">
        <f t="shared" si="3897"/>
        <v>0</v>
      </c>
      <c r="P4104" s="4">
        <v>0.211880359035499</v>
      </c>
      <c r="T4104" s="4" t="str">
        <f t="shared" si="3"/>
        <v/>
      </c>
      <c r="U4104" s="4">
        <f t="shared" si="4"/>
        <v>2020</v>
      </c>
    </row>
    <row r="4105" ht="15.75" customHeight="1">
      <c r="A4105" s="4" t="s">
        <v>5013</v>
      </c>
      <c r="B4105" s="4" t="s">
        <v>13</v>
      </c>
      <c r="I4105" s="4">
        <v>0.58</v>
      </c>
      <c r="J4105" s="4">
        <v>0.055</v>
      </c>
      <c r="K4105" s="6" t="b">
        <f t="shared" ref="K4105:M4105" si="3898">FALSE()</f>
        <v>0</v>
      </c>
      <c r="L4105" s="6" t="b">
        <f t="shared" si="3898"/>
        <v>0</v>
      </c>
      <c r="M4105" s="6" t="b">
        <f t="shared" si="3898"/>
        <v>0</v>
      </c>
      <c r="P4105" s="4">
        <v>0.457424847038875</v>
      </c>
      <c r="T4105" s="4" t="str">
        <f t="shared" si="3"/>
        <v/>
      </c>
      <c r="U4105" s="4">
        <f t="shared" si="4"/>
        <v>955</v>
      </c>
    </row>
    <row r="4106" ht="15.75" customHeight="1">
      <c r="A4106" s="4" t="s">
        <v>5014</v>
      </c>
      <c r="B4106" s="4" t="s">
        <v>13</v>
      </c>
      <c r="I4106" s="4">
        <v>0.118</v>
      </c>
      <c r="J4106" s="4">
        <v>0.012</v>
      </c>
      <c r="K4106" s="6" t="b">
        <f t="shared" ref="K4106:M4106" si="3899">FALSE()</f>
        <v>0</v>
      </c>
      <c r="L4106" s="6" t="b">
        <f t="shared" si="3899"/>
        <v>0</v>
      </c>
      <c r="M4106" s="6" t="b">
        <f t="shared" si="3899"/>
        <v>0</v>
      </c>
      <c r="P4106" s="4">
        <v>0.111541374732907</v>
      </c>
      <c r="T4106" s="4" t="str">
        <f t="shared" si="3"/>
        <v/>
      </c>
      <c r="U4106" s="4">
        <f t="shared" si="4"/>
        <v>3918</v>
      </c>
    </row>
    <row r="4107" ht="15.75" customHeight="1">
      <c r="A4107" s="4" t="s">
        <v>5015</v>
      </c>
      <c r="B4107" s="4" t="s">
        <v>13</v>
      </c>
      <c r="I4107" s="4">
        <v>0.231</v>
      </c>
      <c r="J4107" s="4">
        <v>0.024</v>
      </c>
      <c r="K4107" s="6" t="b">
        <f t="shared" ref="K4107:M4107" si="3900">FALSE()</f>
        <v>0</v>
      </c>
      <c r="L4107" s="6" t="b">
        <f t="shared" si="3900"/>
        <v>0</v>
      </c>
      <c r="M4107" s="6" t="b">
        <f t="shared" si="3900"/>
        <v>0</v>
      </c>
      <c r="P4107" s="4">
        <v>0.207826847202316</v>
      </c>
      <c r="T4107" s="4" t="str">
        <f t="shared" si="3"/>
        <v/>
      </c>
      <c r="U4107" s="4">
        <f t="shared" si="4"/>
        <v>2099</v>
      </c>
    </row>
    <row r="4108" ht="15.75" customHeight="1">
      <c r="A4108" s="4" t="s">
        <v>5016</v>
      </c>
      <c r="B4108" s="4" t="s">
        <v>13</v>
      </c>
      <c r="I4108" s="4">
        <v>0.128</v>
      </c>
      <c r="J4108" s="4">
        <v>0.008</v>
      </c>
      <c r="K4108" s="6" t="b">
        <f t="shared" ref="K4108:M4108" si="3901">FALSE()</f>
        <v>0</v>
      </c>
      <c r="L4108" s="6" t="b">
        <f t="shared" si="3901"/>
        <v>0</v>
      </c>
      <c r="M4108" s="6" t="b">
        <f t="shared" si="3901"/>
        <v>0</v>
      </c>
      <c r="P4108" s="4">
        <v>0.120446153075867</v>
      </c>
      <c r="T4108" s="4" t="str">
        <f t="shared" si="3"/>
        <v/>
      </c>
      <c r="U4108" s="4">
        <f t="shared" si="4"/>
        <v>3736</v>
      </c>
    </row>
    <row r="4109" ht="15.75" customHeight="1">
      <c r="A4109" s="4" t="s">
        <v>5017</v>
      </c>
      <c r="B4109" s="4" t="s">
        <v>13</v>
      </c>
      <c r="I4109" s="4">
        <v>0.0856</v>
      </c>
      <c r="J4109" s="4">
        <v>0.0107</v>
      </c>
      <c r="K4109" s="6" t="b">
        <f t="shared" ref="K4109:M4109" si="3902">FALSE()</f>
        <v>0</v>
      </c>
      <c r="L4109" s="6" t="b">
        <f t="shared" si="3902"/>
        <v>0</v>
      </c>
      <c r="M4109" s="6" t="b">
        <f t="shared" si="3902"/>
        <v>0</v>
      </c>
      <c r="P4109" s="4">
        <v>0.0821328295385223</v>
      </c>
      <c r="T4109" s="4" t="str">
        <f t="shared" si="3"/>
        <v/>
      </c>
      <c r="U4109" s="4">
        <f t="shared" si="4"/>
        <v>4371</v>
      </c>
    </row>
    <row r="4110" ht="15.75" customHeight="1">
      <c r="A4110" s="4" t="s">
        <v>5018</v>
      </c>
      <c r="B4110" s="4" t="s">
        <v>13</v>
      </c>
      <c r="I4110" s="4">
        <v>0.295</v>
      </c>
      <c r="J4110" s="4">
        <v>0.045</v>
      </c>
      <c r="K4110" s="6" t="b">
        <f t="shared" ref="K4110:M4110" si="3903">FALSE()</f>
        <v>0</v>
      </c>
      <c r="L4110" s="6" t="b">
        <f t="shared" si="3903"/>
        <v>0</v>
      </c>
      <c r="M4110" s="6" t="b">
        <f t="shared" si="3903"/>
        <v>0</v>
      </c>
      <c r="P4110" s="4">
        <v>0.258510695151501</v>
      </c>
      <c r="T4110" s="4" t="str">
        <f t="shared" si="3"/>
        <v/>
      </c>
      <c r="U4110" s="4">
        <f t="shared" si="4"/>
        <v>1409</v>
      </c>
    </row>
    <row r="4111" ht="15.75" customHeight="1">
      <c r="A4111" s="4" t="s">
        <v>5019</v>
      </c>
      <c r="B4111" s="4" t="s">
        <v>13</v>
      </c>
      <c r="I4111" s="4">
        <v>0.078</v>
      </c>
      <c r="J4111" s="4">
        <v>0.006</v>
      </c>
      <c r="K4111" s="6" t="b">
        <f t="shared" ref="K4111:M4111" si="3904">FALSE()</f>
        <v>0</v>
      </c>
      <c r="L4111" s="6" t="b">
        <f t="shared" si="3904"/>
        <v>0</v>
      </c>
      <c r="M4111" s="6" t="b">
        <f t="shared" si="3904"/>
        <v>0</v>
      </c>
      <c r="P4111" s="4">
        <v>0.0751074724868054</v>
      </c>
      <c r="T4111" s="4" t="str">
        <f t="shared" si="3"/>
        <v/>
      </c>
      <c r="U4111" s="4">
        <f t="shared" si="4"/>
        <v>4434</v>
      </c>
    </row>
    <row r="4112" ht="15.75" customHeight="1">
      <c r="A4112" s="4" t="s">
        <v>5020</v>
      </c>
      <c r="B4112" s="4" t="s">
        <v>13</v>
      </c>
      <c r="I4112" s="4">
        <v>0.2462</v>
      </c>
      <c r="K4112" s="6" t="b">
        <f t="shared" ref="K4112:M4112" si="3905">FALSE()</f>
        <v>0</v>
      </c>
      <c r="L4112" s="6" t="b">
        <f t="shared" si="3905"/>
        <v>0</v>
      </c>
      <c r="M4112" s="6" t="b">
        <f t="shared" si="3905"/>
        <v>0</v>
      </c>
      <c r="P4112" s="4">
        <v>0.220098921127985</v>
      </c>
      <c r="T4112" s="4" t="str">
        <f t="shared" si="3"/>
        <v/>
      </c>
      <c r="U4112" s="4">
        <f t="shared" si="4"/>
        <v>1857</v>
      </c>
    </row>
    <row r="4113" ht="15.75" customHeight="1">
      <c r="A4113" s="4" t="s">
        <v>5021</v>
      </c>
      <c r="B4113" s="4" t="s">
        <v>13</v>
      </c>
      <c r="I4113" s="4">
        <v>0.325</v>
      </c>
      <c r="J4113" s="4">
        <v>0.039</v>
      </c>
      <c r="K4113" s="6" t="b">
        <f t="shared" ref="K4113:M4113" si="3906">FALSE()</f>
        <v>0</v>
      </c>
      <c r="L4113" s="6" t="b">
        <f t="shared" si="3906"/>
        <v>0</v>
      </c>
      <c r="M4113" s="6" t="b">
        <f t="shared" si="3906"/>
        <v>0</v>
      </c>
      <c r="P4113" s="4">
        <v>0.281412459438186</v>
      </c>
      <c r="T4113" s="4" t="str">
        <f t="shared" si="3"/>
        <v/>
      </c>
      <c r="U4113" s="4">
        <f t="shared" si="4"/>
        <v>1283</v>
      </c>
    </row>
    <row r="4114" ht="15.75" customHeight="1">
      <c r="A4114" s="4" t="s">
        <v>5022</v>
      </c>
      <c r="B4114" s="4" t="s">
        <v>13</v>
      </c>
      <c r="I4114" s="4">
        <v>0.299</v>
      </c>
      <c r="J4114" s="4">
        <v>0.039</v>
      </c>
      <c r="K4114" s="6" t="b">
        <f t="shared" ref="K4114:M4114" si="3907">FALSE()</f>
        <v>0</v>
      </c>
      <c r="L4114" s="6" t="b">
        <f t="shared" si="3907"/>
        <v>0</v>
      </c>
      <c r="M4114" s="6" t="b">
        <f t="shared" si="3907"/>
        <v>0</v>
      </c>
      <c r="P4114" s="4">
        <v>0.261594737688463</v>
      </c>
      <c r="T4114" s="4" t="str">
        <f t="shared" si="3"/>
        <v/>
      </c>
      <c r="U4114" s="4">
        <f t="shared" si="4"/>
        <v>1390</v>
      </c>
    </row>
    <row r="4115" ht="15.75" customHeight="1">
      <c r="A4115" s="4" t="s">
        <v>1000</v>
      </c>
      <c r="B4115" s="4" t="s">
        <v>13</v>
      </c>
      <c r="C4115" s="4">
        <v>0.01318</v>
      </c>
      <c r="D4115" s="4">
        <v>0.00164</v>
      </c>
      <c r="E4115" s="4">
        <v>0.00176</v>
      </c>
      <c r="I4115" s="4">
        <v>0.153</v>
      </c>
      <c r="J4115" s="4">
        <v>0.012</v>
      </c>
      <c r="K4115" s="6" t="b">
        <f t="shared" ref="K4115:M4115" si="3908">FALSE()</f>
        <v>0</v>
      </c>
      <c r="L4115" s="6" t="b">
        <f t="shared" si="3908"/>
        <v>0</v>
      </c>
      <c r="M4115" s="6" t="b">
        <f t="shared" si="3908"/>
        <v>0</v>
      </c>
      <c r="N4115" s="4">
        <v>0.0130938995111578</v>
      </c>
      <c r="P4115" s="4">
        <v>0.142367241286922</v>
      </c>
      <c r="T4115" s="4">
        <f t="shared" si="3"/>
        <v>1863</v>
      </c>
      <c r="U4115" s="4">
        <f t="shared" si="4"/>
        <v>3283</v>
      </c>
    </row>
    <row r="4116" ht="15.75" customHeight="1">
      <c r="A4116" s="4" t="s">
        <v>1001</v>
      </c>
      <c r="B4116" s="4" t="s">
        <v>13</v>
      </c>
      <c r="C4116" s="4">
        <v>0.01211</v>
      </c>
      <c r="D4116" s="4">
        <v>0.00255</v>
      </c>
      <c r="E4116" s="4">
        <v>0.00255</v>
      </c>
      <c r="I4116" s="4">
        <v>0.17</v>
      </c>
      <c r="J4116" s="4">
        <v>0.013</v>
      </c>
      <c r="K4116" s="6" t="b">
        <f t="shared" ref="K4116:M4116" si="3909">FALSE()</f>
        <v>0</v>
      </c>
      <c r="L4116" s="6" t="b">
        <f t="shared" si="3909"/>
        <v>0</v>
      </c>
      <c r="M4116" s="6" t="b">
        <f t="shared" si="3909"/>
        <v>0</v>
      </c>
      <c r="N4116" s="4">
        <v>0.0120372606105033</v>
      </c>
      <c r="P4116" s="4">
        <v>0.157003748809665</v>
      </c>
      <c r="T4116" s="4">
        <f t="shared" si="3"/>
        <v>1895</v>
      </c>
      <c r="U4116" s="4">
        <f t="shared" si="4"/>
        <v>3055</v>
      </c>
    </row>
    <row r="4117" ht="15.75" customHeight="1">
      <c r="A4117" s="4" t="s">
        <v>1002</v>
      </c>
      <c r="B4117" s="4" t="s">
        <v>13</v>
      </c>
      <c r="C4117" s="4">
        <v>0.01309</v>
      </c>
      <c r="D4117" s="4">
        <v>0.00236</v>
      </c>
      <c r="E4117" s="4">
        <v>0.00264</v>
      </c>
      <c r="I4117" s="4">
        <v>0.178</v>
      </c>
      <c r="J4117" s="4">
        <v>0.014</v>
      </c>
      <c r="K4117" s="6" t="b">
        <f t="shared" ref="K4117:M4117" si="3910">FALSE()</f>
        <v>0</v>
      </c>
      <c r="L4117" s="6" t="b">
        <f t="shared" si="3910"/>
        <v>0</v>
      </c>
      <c r="M4117" s="6" t="b">
        <f t="shared" si="3910"/>
        <v>0</v>
      </c>
      <c r="N4117" s="4">
        <v>0.0130050663348692</v>
      </c>
      <c r="P4117" s="4">
        <v>0.163818085229395</v>
      </c>
      <c r="T4117" s="4">
        <f t="shared" si="3"/>
        <v>1864</v>
      </c>
      <c r="U4117" s="4">
        <f t="shared" si="4"/>
        <v>2934</v>
      </c>
    </row>
    <row r="4118" ht="15.75" customHeight="1">
      <c r="A4118" s="4" t="s">
        <v>5023</v>
      </c>
      <c r="B4118" s="4" t="s">
        <v>13</v>
      </c>
      <c r="I4118" s="4">
        <v>0.374</v>
      </c>
      <c r="J4118" s="4">
        <v>0.04</v>
      </c>
      <c r="K4118" s="6" t="b">
        <f t="shared" ref="K4118:M4118" si="3911">FALSE()</f>
        <v>0</v>
      </c>
      <c r="L4118" s="6" t="b">
        <f t="shared" si="3911"/>
        <v>0</v>
      </c>
      <c r="M4118" s="6" t="b">
        <f t="shared" si="3911"/>
        <v>0</v>
      </c>
      <c r="P4118" s="4">
        <v>0.317726193800158</v>
      </c>
      <c r="T4118" s="4" t="str">
        <f t="shared" si="3"/>
        <v/>
      </c>
      <c r="U4118" s="4">
        <f t="shared" si="4"/>
        <v>1157</v>
      </c>
    </row>
    <row r="4119" ht="15.75" customHeight="1">
      <c r="A4119" s="4" t="s">
        <v>5024</v>
      </c>
      <c r="B4119" s="4" t="s">
        <v>13</v>
      </c>
      <c r="I4119" s="4">
        <v>0.294</v>
      </c>
      <c r="J4119" s="4">
        <v>0.033</v>
      </c>
      <c r="K4119" s="6" t="b">
        <f t="shared" ref="K4119:M4119" si="3912">FALSE()</f>
        <v>0</v>
      </c>
      <c r="L4119" s="6" t="b">
        <f t="shared" si="3912"/>
        <v>0</v>
      </c>
      <c r="M4119" s="6" t="b">
        <f t="shared" si="3912"/>
        <v>0</v>
      </c>
      <c r="P4119" s="4">
        <v>0.257738196078709</v>
      </c>
      <c r="T4119" s="4" t="str">
        <f t="shared" si="3"/>
        <v/>
      </c>
      <c r="U4119" s="4">
        <f t="shared" si="4"/>
        <v>1415</v>
      </c>
    </row>
    <row r="4120" ht="15.75" customHeight="1">
      <c r="A4120" s="4" t="s">
        <v>5025</v>
      </c>
      <c r="B4120" s="4" t="s">
        <v>13</v>
      </c>
      <c r="I4120" s="4">
        <v>0.147</v>
      </c>
      <c r="J4120" s="4">
        <v>0.013</v>
      </c>
      <c r="K4120" s="6" t="b">
        <f t="shared" ref="K4120:M4120" si="3913">FALSE()</f>
        <v>0</v>
      </c>
      <c r="L4120" s="6" t="b">
        <f t="shared" si="3913"/>
        <v>0</v>
      </c>
      <c r="M4120" s="6" t="b">
        <f t="shared" si="3913"/>
        <v>0</v>
      </c>
      <c r="P4120" s="4">
        <v>0.137149838147234</v>
      </c>
      <c r="T4120" s="4" t="str">
        <f t="shared" si="3"/>
        <v/>
      </c>
      <c r="U4120" s="4">
        <f t="shared" si="4"/>
        <v>3381</v>
      </c>
    </row>
    <row r="4121" ht="15.75" customHeight="1">
      <c r="A4121" s="4" t="s">
        <v>5026</v>
      </c>
      <c r="B4121" s="4" t="s">
        <v>13</v>
      </c>
      <c r="I4121" s="4">
        <v>0.253</v>
      </c>
      <c r="J4121" s="4">
        <v>0.024</v>
      </c>
      <c r="K4121" s="6" t="b">
        <f t="shared" ref="K4121:M4121" si="3914">FALSE()</f>
        <v>0</v>
      </c>
      <c r="L4121" s="6" t="b">
        <f t="shared" si="3914"/>
        <v>0</v>
      </c>
      <c r="M4121" s="6" t="b">
        <f t="shared" si="3914"/>
        <v>0</v>
      </c>
      <c r="P4121" s="4">
        <v>0.225540675913931</v>
      </c>
      <c r="T4121" s="4" t="str">
        <f t="shared" si="3"/>
        <v/>
      </c>
      <c r="U4121" s="4">
        <f t="shared" si="4"/>
        <v>1772</v>
      </c>
    </row>
    <row r="4122" ht="15.75" customHeight="1">
      <c r="A4122" s="4" t="s">
        <v>5027</v>
      </c>
      <c r="B4122" s="4" t="s">
        <v>13</v>
      </c>
      <c r="I4122" s="4">
        <v>0.204</v>
      </c>
      <c r="J4122" s="4">
        <v>0.015</v>
      </c>
      <c r="K4122" s="6" t="b">
        <f t="shared" ref="K4122:M4122" si="3915">FALSE()</f>
        <v>0</v>
      </c>
      <c r="L4122" s="6" t="b">
        <f t="shared" si="3915"/>
        <v>0</v>
      </c>
      <c r="M4122" s="6" t="b">
        <f t="shared" si="3915"/>
        <v>0</v>
      </c>
      <c r="P4122" s="4">
        <v>0.185649346886629</v>
      </c>
      <c r="T4122" s="4" t="str">
        <f t="shared" si="3"/>
        <v/>
      </c>
      <c r="U4122" s="4">
        <f t="shared" si="4"/>
        <v>2514</v>
      </c>
    </row>
    <row r="4123" ht="15.75" customHeight="1">
      <c r="A4123" s="4" t="s">
        <v>5028</v>
      </c>
      <c r="B4123" s="4" t="s">
        <v>13</v>
      </c>
      <c r="I4123" s="4">
        <v>0.213</v>
      </c>
      <c r="J4123" s="4">
        <v>0.015</v>
      </c>
      <c r="K4123" s="6" t="b">
        <f t="shared" ref="K4123:M4123" si="3916">FALSE()</f>
        <v>0</v>
      </c>
      <c r="L4123" s="6" t="b">
        <f t="shared" si="3916"/>
        <v>0</v>
      </c>
      <c r="M4123" s="6" t="b">
        <f t="shared" si="3916"/>
        <v>0</v>
      </c>
      <c r="P4123" s="4">
        <v>0.193096629961913</v>
      </c>
      <c r="T4123" s="4" t="str">
        <f t="shared" si="3"/>
        <v/>
      </c>
      <c r="U4123" s="4">
        <f t="shared" si="4"/>
        <v>2365</v>
      </c>
    </row>
    <row r="4124" ht="15.75" customHeight="1">
      <c r="A4124" s="4" t="s">
        <v>5029</v>
      </c>
      <c r="B4124" s="4" t="s">
        <v>13</v>
      </c>
      <c r="I4124" s="4">
        <v>0.155</v>
      </c>
      <c r="J4124" s="4">
        <v>0.009</v>
      </c>
      <c r="K4124" s="6" t="b">
        <f t="shared" ref="K4124:M4124" si="3917">FALSE()</f>
        <v>0</v>
      </c>
      <c r="L4124" s="6" t="b">
        <f t="shared" si="3917"/>
        <v>0</v>
      </c>
      <c r="M4124" s="6" t="b">
        <f t="shared" si="3917"/>
        <v>0</v>
      </c>
      <c r="P4124" s="4">
        <v>0.144100343973757</v>
      </c>
      <c r="T4124" s="4" t="str">
        <f t="shared" si="3"/>
        <v/>
      </c>
      <c r="U4124" s="4">
        <f t="shared" si="4"/>
        <v>3244</v>
      </c>
    </row>
    <row r="4125" ht="15.75" customHeight="1">
      <c r="A4125" s="4" t="s">
        <v>5030</v>
      </c>
      <c r="B4125" s="4" t="s">
        <v>13</v>
      </c>
      <c r="I4125" s="4">
        <v>0.217</v>
      </c>
      <c r="J4125" s="4">
        <v>0.018</v>
      </c>
      <c r="K4125" s="6" t="b">
        <f t="shared" ref="K4125:M4125" si="3918">FALSE()</f>
        <v>0</v>
      </c>
      <c r="L4125" s="6" t="b">
        <f t="shared" si="3918"/>
        <v>0</v>
      </c>
      <c r="M4125" s="6" t="b">
        <f t="shared" si="3918"/>
        <v>0</v>
      </c>
      <c r="P4125" s="4">
        <v>0.19638881400539</v>
      </c>
      <c r="T4125" s="4" t="str">
        <f t="shared" si="3"/>
        <v/>
      </c>
      <c r="U4125" s="4">
        <f t="shared" si="4"/>
        <v>2306</v>
      </c>
    </row>
    <row r="4126" ht="15.75" customHeight="1">
      <c r="A4126" s="4" t="s">
        <v>5031</v>
      </c>
      <c r="B4126" s="4" t="s">
        <v>13</v>
      </c>
      <c r="I4126" s="4">
        <v>0.304</v>
      </c>
      <c r="J4126" s="4">
        <v>0.027</v>
      </c>
      <c r="K4126" s="6" t="b">
        <f t="shared" ref="K4126:M4126" si="3919">FALSE()</f>
        <v>0</v>
      </c>
      <c r="L4126" s="6" t="b">
        <f t="shared" si="3919"/>
        <v>0</v>
      </c>
      <c r="M4126" s="6" t="b">
        <f t="shared" si="3919"/>
        <v>0</v>
      </c>
      <c r="P4126" s="4">
        <v>0.265436463504461</v>
      </c>
      <c r="T4126" s="4" t="str">
        <f t="shared" si="3"/>
        <v/>
      </c>
      <c r="U4126" s="4">
        <f t="shared" si="4"/>
        <v>1353</v>
      </c>
    </row>
    <row r="4127" ht="15.75" customHeight="1">
      <c r="A4127" s="4" t="s">
        <v>5032</v>
      </c>
      <c r="B4127" s="4" t="s">
        <v>13</v>
      </c>
      <c r="I4127" s="4">
        <v>0.23669</v>
      </c>
      <c r="K4127" s="6" t="b">
        <f t="shared" ref="K4127:M4127" si="3920">FALSE()</f>
        <v>0</v>
      </c>
      <c r="L4127" s="6" t="b">
        <f t="shared" si="3920"/>
        <v>0</v>
      </c>
      <c r="M4127" s="6" t="b">
        <f t="shared" si="3920"/>
        <v>0</v>
      </c>
      <c r="P4127" s="4">
        <v>0.212438455697765</v>
      </c>
      <c r="T4127" s="4" t="str">
        <f t="shared" si="3"/>
        <v/>
      </c>
      <c r="U4127" s="4">
        <f t="shared" si="4"/>
        <v>2002</v>
      </c>
    </row>
    <row r="4128" ht="15.75" customHeight="1">
      <c r="A4128" s="4" t="s">
        <v>5033</v>
      </c>
      <c r="B4128" s="4" t="s">
        <v>13</v>
      </c>
      <c r="I4128" s="4">
        <v>0.118</v>
      </c>
      <c r="J4128" s="4">
        <v>0.006</v>
      </c>
      <c r="K4128" s="6" t="b">
        <f t="shared" ref="K4128:M4128" si="3921">FALSE()</f>
        <v>0</v>
      </c>
      <c r="L4128" s="6" t="b">
        <f t="shared" si="3921"/>
        <v>0</v>
      </c>
      <c r="M4128" s="6" t="b">
        <f t="shared" si="3921"/>
        <v>0</v>
      </c>
      <c r="P4128" s="4">
        <v>0.111541374732907</v>
      </c>
      <c r="T4128" s="4" t="str">
        <f t="shared" si="3"/>
        <v/>
      </c>
      <c r="U4128" s="4">
        <f t="shared" si="4"/>
        <v>3919</v>
      </c>
    </row>
    <row r="4129" ht="15.75" customHeight="1">
      <c r="A4129" s="4" t="s">
        <v>5034</v>
      </c>
      <c r="B4129" s="4" t="s">
        <v>13</v>
      </c>
      <c r="I4129" s="4">
        <v>0.232</v>
      </c>
      <c r="J4129" s="4">
        <v>0.037</v>
      </c>
      <c r="K4129" s="6" t="b">
        <f t="shared" ref="K4129:M4129" si="3922">FALSE()</f>
        <v>0</v>
      </c>
      <c r="L4129" s="6" t="b">
        <f t="shared" si="3922"/>
        <v>0</v>
      </c>
      <c r="M4129" s="6" t="b">
        <f t="shared" si="3922"/>
        <v>0</v>
      </c>
      <c r="P4129" s="4">
        <v>0.208638865111328</v>
      </c>
      <c r="T4129" s="4" t="str">
        <f t="shared" si="3"/>
        <v/>
      </c>
      <c r="U4129" s="4">
        <f t="shared" si="4"/>
        <v>2082</v>
      </c>
    </row>
    <row r="4130" ht="15.75" customHeight="1">
      <c r="A4130" s="4" t="s">
        <v>5035</v>
      </c>
      <c r="B4130" s="4" t="s">
        <v>13</v>
      </c>
      <c r="I4130" s="4">
        <v>0.282</v>
      </c>
      <c r="J4130" s="4">
        <v>0.028</v>
      </c>
      <c r="K4130" s="6" t="b">
        <f t="shared" ref="K4130:M4130" si="3923">FALSE()</f>
        <v>0</v>
      </c>
      <c r="L4130" s="6" t="b">
        <f t="shared" si="3923"/>
        <v>0</v>
      </c>
      <c r="M4130" s="6" t="b">
        <f t="shared" si="3923"/>
        <v>0</v>
      </c>
      <c r="P4130" s="4">
        <v>0.248421358498478</v>
      </c>
      <c r="T4130" s="4" t="str">
        <f t="shared" si="3"/>
        <v/>
      </c>
      <c r="U4130" s="4">
        <f t="shared" si="4"/>
        <v>1496</v>
      </c>
    </row>
    <row r="4131" ht="15.75" customHeight="1">
      <c r="A4131" s="4" t="s">
        <v>5036</v>
      </c>
      <c r="B4131" s="4" t="s">
        <v>13</v>
      </c>
      <c r="I4131" s="4">
        <v>0.151</v>
      </c>
      <c r="J4131" s="4">
        <v>0.015</v>
      </c>
      <c r="K4131" s="6" t="b">
        <f t="shared" ref="K4131:M4131" si="3924">FALSE()</f>
        <v>0</v>
      </c>
      <c r="L4131" s="6" t="b">
        <f t="shared" si="3924"/>
        <v>0</v>
      </c>
      <c r="M4131" s="6" t="b">
        <f t="shared" si="3924"/>
        <v>0</v>
      </c>
      <c r="P4131" s="4">
        <v>0.140631129739746</v>
      </c>
      <c r="T4131" s="4" t="str">
        <f t="shared" si="3"/>
        <v/>
      </c>
      <c r="U4131" s="4">
        <f t="shared" si="4"/>
        <v>3311</v>
      </c>
    </row>
    <row r="4132" ht="15.75" customHeight="1">
      <c r="A4132" s="4" t="s">
        <v>5037</v>
      </c>
      <c r="B4132" s="4" t="s">
        <v>13</v>
      </c>
      <c r="I4132" s="4">
        <v>0.192</v>
      </c>
      <c r="J4132" s="4">
        <v>0.0116</v>
      </c>
      <c r="K4132" s="6" t="b">
        <f t="shared" ref="K4132:M4132" si="3925">FALSE()</f>
        <v>0</v>
      </c>
      <c r="L4132" s="6" t="b">
        <f t="shared" si="3925"/>
        <v>0</v>
      </c>
      <c r="M4132" s="6" t="b">
        <f t="shared" si="3925"/>
        <v>0</v>
      </c>
      <c r="P4132" s="4">
        <v>0.175632568643158</v>
      </c>
      <c r="T4132" s="4" t="str">
        <f t="shared" si="3"/>
        <v/>
      </c>
      <c r="U4132" s="4">
        <f t="shared" si="4"/>
        <v>2720</v>
      </c>
    </row>
    <row r="4133" ht="15.75" customHeight="1">
      <c r="A4133" s="4" t="s">
        <v>5038</v>
      </c>
      <c r="B4133" s="4" t="s">
        <v>13</v>
      </c>
      <c r="I4133" s="4">
        <v>0.296</v>
      </c>
      <c r="J4133" s="4">
        <v>0.062</v>
      </c>
      <c r="K4133" s="6" t="b">
        <f t="shared" ref="K4133:M4133" si="3926">FALSE()</f>
        <v>0</v>
      </c>
      <c r="L4133" s="6" t="b">
        <f t="shared" si="3926"/>
        <v>0</v>
      </c>
      <c r="M4133" s="6" t="b">
        <f t="shared" si="3926"/>
        <v>0</v>
      </c>
      <c r="P4133" s="4">
        <v>0.259282597930083</v>
      </c>
      <c r="T4133" s="4" t="str">
        <f t="shared" si="3"/>
        <v/>
      </c>
      <c r="U4133" s="4">
        <f t="shared" si="4"/>
        <v>1403</v>
      </c>
    </row>
    <row r="4134" ht="15.75" customHeight="1">
      <c r="A4134" s="4" t="s">
        <v>5039</v>
      </c>
      <c r="B4134" s="4" t="s">
        <v>13</v>
      </c>
      <c r="I4134" s="4">
        <v>0.205</v>
      </c>
      <c r="J4134" s="4">
        <v>0.017</v>
      </c>
      <c r="K4134" s="6" t="b">
        <f t="shared" ref="K4134:M4134" si="3927">FALSE()</f>
        <v>0</v>
      </c>
      <c r="L4134" s="6" t="b">
        <f t="shared" si="3927"/>
        <v>0</v>
      </c>
      <c r="M4134" s="6" t="b">
        <f t="shared" si="3927"/>
        <v>0</v>
      </c>
      <c r="P4134" s="4">
        <v>0.186479566942618</v>
      </c>
      <c r="T4134" s="4" t="str">
        <f t="shared" si="3"/>
        <v/>
      </c>
      <c r="U4134" s="4">
        <f t="shared" si="4"/>
        <v>2496</v>
      </c>
    </row>
    <row r="4135" ht="15.75" customHeight="1">
      <c r="A4135" s="4" t="s">
        <v>5040</v>
      </c>
      <c r="B4135" s="4" t="s">
        <v>13</v>
      </c>
      <c r="I4135" s="4">
        <v>0.19</v>
      </c>
      <c r="J4135" s="4">
        <v>0.014</v>
      </c>
      <c r="K4135" s="6" t="b">
        <f t="shared" ref="K4135:M4135" si="3928">FALSE()</f>
        <v>0</v>
      </c>
      <c r="L4135" s="6" t="b">
        <f t="shared" si="3928"/>
        <v>0</v>
      </c>
      <c r="M4135" s="6" t="b">
        <f t="shared" si="3928"/>
        <v>0</v>
      </c>
      <c r="P4135" s="4">
        <v>0.173953307123438</v>
      </c>
      <c r="T4135" s="4" t="str">
        <f t="shared" si="3"/>
        <v/>
      </c>
      <c r="U4135" s="4">
        <f t="shared" si="4"/>
        <v>2741</v>
      </c>
    </row>
    <row r="4136" ht="15.75" customHeight="1">
      <c r="A4136" s="4" t="s">
        <v>5041</v>
      </c>
      <c r="B4136" s="4" t="s">
        <v>13</v>
      </c>
      <c r="I4136" s="4">
        <v>0.269</v>
      </c>
      <c r="J4136" s="4">
        <v>0.019</v>
      </c>
      <c r="K4136" s="6" t="b">
        <f t="shared" ref="K4136:M4136" si="3929">FALSE()</f>
        <v>0</v>
      </c>
      <c r="L4136" s="6" t="b">
        <f t="shared" si="3929"/>
        <v>0</v>
      </c>
      <c r="M4136" s="6" t="b">
        <f t="shared" si="3929"/>
        <v>0</v>
      </c>
      <c r="P4136" s="4">
        <v>0.238229188732251</v>
      </c>
      <c r="T4136" s="4" t="str">
        <f t="shared" si="3"/>
        <v/>
      </c>
      <c r="U4136" s="4">
        <f t="shared" si="4"/>
        <v>1606</v>
      </c>
    </row>
    <row r="4137" ht="15.75" customHeight="1">
      <c r="A4137" s="4" t="s">
        <v>5042</v>
      </c>
      <c r="B4137" s="4" t="s">
        <v>13</v>
      </c>
      <c r="I4137" s="4">
        <v>0.206</v>
      </c>
      <c r="J4137" s="4">
        <v>0.021</v>
      </c>
      <c r="K4137" s="6" t="b">
        <f t="shared" ref="K4137:M4137" si="3930">FALSE()</f>
        <v>0</v>
      </c>
      <c r="L4137" s="6" t="b">
        <f t="shared" si="3930"/>
        <v>0</v>
      </c>
      <c r="M4137" s="6" t="b">
        <f t="shared" si="3930"/>
        <v>0</v>
      </c>
      <c r="P4137" s="4">
        <v>0.187309098304994</v>
      </c>
      <c r="T4137" s="4" t="str">
        <f t="shared" si="3"/>
        <v/>
      </c>
      <c r="U4137" s="4">
        <f t="shared" si="4"/>
        <v>2482</v>
      </c>
    </row>
    <row r="4138" ht="15.75" customHeight="1">
      <c r="A4138" s="4" t="s">
        <v>5043</v>
      </c>
      <c r="B4138" s="4" t="s">
        <v>13</v>
      </c>
      <c r="I4138" s="4">
        <v>0.178</v>
      </c>
      <c r="J4138" s="4">
        <v>0.004</v>
      </c>
      <c r="K4138" s="6" t="b">
        <f t="shared" ref="K4138:M4138" si="3931">FALSE()</f>
        <v>0</v>
      </c>
      <c r="L4138" s="6" t="b">
        <f t="shared" si="3931"/>
        <v>0</v>
      </c>
      <c r="M4138" s="6" t="b">
        <f t="shared" si="3931"/>
        <v>0</v>
      </c>
      <c r="P4138" s="4">
        <v>0.163818085229395</v>
      </c>
      <c r="T4138" s="4" t="str">
        <f t="shared" si="3"/>
        <v/>
      </c>
      <c r="U4138" s="4">
        <f t="shared" si="4"/>
        <v>2935</v>
      </c>
    </row>
    <row r="4139" ht="15.75" customHeight="1">
      <c r="A4139" s="4" t="s">
        <v>5044</v>
      </c>
      <c r="B4139" s="4" t="s">
        <v>13</v>
      </c>
      <c r="I4139" s="4">
        <v>0.094</v>
      </c>
      <c r="J4139" s="4">
        <v>0.003</v>
      </c>
      <c r="K4139" s="6" t="b">
        <f t="shared" ref="K4139:M4139" si="3932">FALSE()</f>
        <v>0</v>
      </c>
      <c r="L4139" s="6" t="b">
        <f t="shared" si="3932"/>
        <v>0</v>
      </c>
      <c r="M4139" s="6" t="b">
        <f t="shared" si="3932"/>
        <v>0</v>
      </c>
      <c r="P4139" s="4">
        <v>0.0898407039997894</v>
      </c>
      <c r="T4139" s="4" t="str">
        <f t="shared" si="3"/>
        <v/>
      </c>
      <c r="U4139" s="4">
        <f t="shared" si="4"/>
        <v>4291</v>
      </c>
    </row>
    <row r="4140" ht="15.75" customHeight="1">
      <c r="A4140" s="4" t="s">
        <v>5045</v>
      </c>
      <c r="B4140" s="4" t="s">
        <v>13</v>
      </c>
      <c r="I4140" s="4">
        <v>0.2569</v>
      </c>
      <c r="J4140" s="4">
        <v>0.033</v>
      </c>
      <c r="K4140" s="6" t="b">
        <f t="shared" ref="K4140:M4140" si="3933">FALSE()</f>
        <v>0</v>
      </c>
      <c r="L4140" s="6" t="b">
        <f t="shared" si="3933"/>
        <v>0</v>
      </c>
      <c r="M4140" s="6" t="b">
        <f t="shared" si="3933"/>
        <v>0</v>
      </c>
      <c r="P4140" s="4">
        <v>0.228648371948655</v>
      </c>
      <c r="T4140" s="4" t="str">
        <f t="shared" si="3"/>
        <v/>
      </c>
      <c r="U4140" s="4">
        <f t="shared" si="4"/>
        <v>1721</v>
      </c>
    </row>
    <row r="4141" ht="15.75" customHeight="1">
      <c r="A4141" s="4" t="s">
        <v>5046</v>
      </c>
      <c r="B4141" s="4" t="s">
        <v>13</v>
      </c>
      <c r="I4141" s="4">
        <v>0.333</v>
      </c>
      <c r="J4141" s="4">
        <v>0.073</v>
      </c>
      <c r="K4141" s="6" t="b">
        <f t="shared" ref="K4141:M4141" si="3934">FALSE()</f>
        <v>0</v>
      </c>
      <c r="L4141" s="6" t="b">
        <f t="shared" si="3934"/>
        <v>0</v>
      </c>
      <c r="M4141" s="6" t="b">
        <f t="shared" si="3934"/>
        <v>0</v>
      </c>
      <c r="P4141" s="4">
        <v>0.287432041196572</v>
      </c>
      <c r="T4141" s="4" t="str">
        <f t="shared" si="3"/>
        <v/>
      </c>
      <c r="U4141" s="4">
        <f t="shared" si="4"/>
        <v>1251</v>
      </c>
    </row>
    <row r="4142" ht="15.75" customHeight="1">
      <c r="A4142" s="4" t="s">
        <v>5047</v>
      </c>
      <c r="B4142" s="4" t="s">
        <v>13</v>
      </c>
      <c r="I4142" s="4">
        <v>0.123</v>
      </c>
      <c r="J4142" s="4">
        <v>0.004</v>
      </c>
      <c r="K4142" s="6" t="b">
        <f t="shared" ref="K4142:M4142" si="3935">FALSE()</f>
        <v>0</v>
      </c>
      <c r="L4142" s="6" t="b">
        <f t="shared" si="3935"/>
        <v>0</v>
      </c>
      <c r="M4142" s="6" t="b">
        <f t="shared" si="3935"/>
        <v>0</v>
      </c>
      <c r="P4142" s="4">
        <v>0.116003675756306</v>
      </c>
      <c r="T4142" s="4" t="str">
        <f t="shared" si="3"/>
        <v/>
      </c>
      <c r="U4142" s="4">
        <f t="shared" si="4"/>
        <v>3817</v>
      </c>
    </row>
    <row r="4143" ht="15.75" customHeight="1">
      <c r="A4143" s="4" t="s">
        <v>1003</v>
      </c>
      <c r="B4143" s="4" t="s">
        <v>13</v>
      </c>
      <c r="C4143" s="4">
        <v>0.03</v>
      </c>
      <c r="F4143" s="4">
        <v>0.028</v>
      </c>
      <c r="G4143" s="4">
        <v>0.028</v>
      </c>
      <c r="H4143" s="4">
        <v>0.0</v>
      </c>
      <c r="I4143" s="4">
        <v>0.117</v>
      </c>
      <c r="J4143" s="4">
        <v>0.0036</v>
      </c>
      <c r="K4143" s="6" t="b">
        <f t="shared" ref="K4143:M4143" si="3936">FALSE()</f>
        <v>0</v>
      </c>
      <c r="L4143" s="6" t="b">
        <f t="shared" si="3936"/>
        <v>0</v>
      </c>
      <c r="M4143" s="6" t="b">
        <f t="shared" si="3936"/>
        <v>0</v>
      </c>
      <c r="N4143" s="4">
        <v>0.0295588022415444</v>
      </c>
      <c r="O4143" s="4">
        <v>0.0276151670329733</v>
      </c>
      <c r="P4143" s="4">
        <v>0.110646520087064</v>
      </c>
      <c r="Q4143" s="4">
        <v>-0.60961818303552</v>
      </c>
      <c r="R4143" s="4">
        <v>-0.634701768319046</v>
      </c>
      <c r="S4143" s="4">
        <v>-1.32519649230614</v>
      </c>
      <c r="T4143" s="4">
        <f t="shared" si="3"/>
        <v>1554</v>
      </c>
      <c r="U4143" s="4">
        <f t="shared" si="4"/>
        <v>3937</v>
      </c>
    </row>
    <row r="4144" ht="15.75" customHeight="1">
      <c r="A4144" s="4" t="s">
        <v>1005</v>
      </c>
      <c r="B4144" s="4" t="s">
        <v>13</v>
      </c>
      <c r="C4144" s="4">
        <v>0.013</v>
      </c>
      <c r="F4144" s="4">
        <v>0.0126</v>
      </c>
      <c r="G4144" s="4">
        <v>0.0126</v>
      </c>
      <c r="H4144" s="4">
        <v>0.0</v>
      </c>
      <c r="I4144" s="4">
        <v>0.048</v>
      </c>
      <c r="J4144" s="4">
        <v>0.0027</v>
      </c>
      <c r="K4144" s="6" t="b">
        <f t="shared" ref="K4144:M4144" si="3937">FALSE()</f>
        <v>0</v>
      </c>
      <c r="L4144" s="6" t="b">
        <f t="shared" si="3937"/>
        <v>0</v>
      </c>
      <c r="M4144" s="6" t="b">
        <f t="shared" si="3937"/>
        <v>0</v>
      </c>
      <c r="N4144" s="4">
        <v>0.0129162252665463</v>
      </c>
      <c r="O4144" s="4">
        <v>0.0125212805536717</v>
      </c>
      <c r="P4144" s="4">
        <v>0.0468835858988504</v>
      </c>
      <c r="Q4144" s="4">
        <v>-0.620059892729739</v>
      </c>
      <c r="R4144" s="4">
        <v>-0.644472099074508</v>
      </c>
      <c r="S4144" s="4">
        <v>-1.45429679513329</v>
      </c>
      <c r="T4144" s="4">
        <f t="shared" si="3"/>
        <v>1869</v>
      </c>
      <c r="U4144" s="4">
        <f t="shared" si="4"/>
        <v>4556</v>
      </c>
    </row>
    <row r="4145" ht="15.75" customHeight="1">
      <c r="A4145" s="4" t="s">
        <v>1006</v>
      </c>
      <c r="B4145" s="4" t="s">
        <v>13</v>
      </c>
      <c r="C4145" s="4">
        <v>0.044</v>
      </c>
      <c r="D4145" s="4">
        <v>0.044</v>
      </c>
      <c r="E4145" s="4">
        <v>0.0</v>
      </c>
      <c r="I4145" s="4">
        <v>0.174</v>
      </c>
      <c r="J4145" s="4">
        <v>0.0063</v>
      </c>
      <c r="K4145" s="6" t="b">
        <f t="shared" ref="K4145:M4145" si="3938">FALSE()</f>
        <v>0</v>
      </c>
      <c r="L4145" s="6" t="b">
        <f t="shared" si="3938"/>
        <v>0</v>
      </c>
      <c r="M4145" s="6" t="b">
        <f t="shared" si="3938"/>
        <v>0</v>
      </c>
      <c r="N4145" s="4">
        <v>0.0430594894604469</v>
      </c>
      <c r="P4145" s="4">
        <v>0.160416721405905</v>
      </c>
      <c r="T4145" s="4">
        <f t="shared" si="3"/>
        <v>1434</v>
      </c>
      <c r="U4145" s="4">
        <f t="shared" si="4"/>
        <v>2994</v>
      </c>
    </row>
    <row r="4146" ht="15.75" customHeight="1">
      <c r="A4146" s="4" t="s">
        <v>1007</v>
      </c>
      <c r="B4146" s="4" t="s">
        <v>13</v>
      </c>
      <c r="C4146" s="4">
        <v>0.113</v>
      </c>
      <c r="D4146" s="4">
        <v>0.113</v>
      </c>
      <c r="E4146" s="4">
        <v>0.0</v>
      </c>
      <c r="I4146" s="4">
        <v>0.144</v>
      </c>
      <c r="J4146" s="4">
        <v>0.0045</v>
      </c>
      <c r="K4146" s="6" t="b">
        <f t="shared" ref="K4146:M4146" si="3939">FALSE()</f>
        <v>0</v>
      </c>
      <c r="L4146" s="6" t="b">
        <f t="shared" si="3939"/>
        <v>0</v>
      </c>
      <c r="M4146" s="6" t="b">
        <f t="shared" si="3939"/>
        <v>0</v>
      </c>
      <c r="N4146" s="4">
        <v>0.107059072293408</v>
      </c>
      <c r="P4146" s="4">
        <v>0.134530892957606</v>
      </c>
      <c r="T4146" s="4">
        <f t="shared" si="3"/>
        <v>1243</v>
      </c>
      <c r="U4146" s="4">
        <f t="shared" si="4"/>
        <v>3447</v>
      </c>
    </row>
    <row r="4147" ht="15.75" customHeight="1">
      <c r="A4147" s="4" t="s">
        <v>1008</v>
      </c>
      <c r="B4147" s="4" t="s">
        <v>13</v>
      </c>
      <c r="C4147" s="4">
        <v>0.11</v>
      </c>
      <c r="D4147" s="4">
        <v>0.11</v>
      </c>
      <c r="E4147" s="4">
        <v>0.0</v>
      </c>
      <c r="I4147" s="4">
        <v>0.126</v>
      </c>
      <c r="J4147" s="4">
        <v>0.0063</v>
      </c>
      <c r="K4147" s="6" t="b">
        <f t="shared" ref="K4147:M4147" si="3940">FALSE()</f>
        <v>0</v>
      </c>
      <c r="L4147" s="6" t="b">
        <f t="shared" si="3940"/>
        <v>0</v>
      </c>
      <c r="M4147" s="6" t="b">
        <f t="shared" si="3940"/>
        <v>0</v>
      </c>
      <c r="N4147" s="4">
        <v>0.104360015324243</v>
      </c>
      <c r="P4147" s="4">
        <v>0.118671529717499</v>
      </c>
      <c r="T4147" s="4">
        <f t="shared" si="3"/>
        <v>1246</v>
      </c>
      <c r="U4147" s="4">
        <f t="shared" si="4"/>
        <v>3773</v>
      </c>
    </row>
    <row r="4148" ht="15.75" customHeight="1">
      <c r="A4148" s="4" t="s">
        <v>5048</v>
      </c>
      <c r="B4148" s="4" t="s">
        <v>13</v>
      </c>
      <c r="I4148" s="4">
        <v>0.284</v>
      </c>
      <c r="J4148" s="4">
        <v>0.03</v>
      </c>
      <c r="K4148" s="6" t="b">
        <f t="shared" ref="K4148:M4148" si="3941">FALSE()</f>
        <v>0</v>
      </c>
      <c r="L4148" s="6" t="b">
        <f t="shared" si="3941"/>
        <v>0</v>
      </c>
      <c r="M4148" s="6" t="b">
        <f t="shared" si="3941"/>
        <v>0</v>
      </c>
      <c r="P4148" s="4">
        <v>0.249980205267769</v>
      </c>
      <c r="T4148" s="4" t="str">
        <f t="shared" si="3"/>
        <v/>
      </c>
      <c r="U4148" s="4">
        <f t="shared" si="4"/>
        <v>1481</v>
      </c>
    </row>
    <row r="4149" ht="15.75" customHeight="1">
      <c r="A4149" s="4" t="s">
        <v>5049</v>
      </c>
      <c r="B4149" s="4" t="s">
        <v>13</v>
      </c>
      <c r="I4149" s="4">
        <v>0.259</v>
      </c>
      <c r="J4149" s="4">
        <v>0.021</v>
      </c>
      <c r="K4149" s="6" t="b">
        <f t="shared" ref="K4149:M4149" si="3942">FALSE()</f>
        <v>0</v>
      </c>
      <c r="L4149" s="6" t="b">
        <f t="shared" si="3942"/>
        <v>0</v>
      </c>
      <c r="M4149" s="6" t="b">
        <f t="shared" si="3942"/>
        <v>0</v>
      </c>
      <c r="P4149" s="4">
        <v>0.23031775506221</v>
      </c>
      <c r="T4149" s="4" t="str">
        <f t="shared" si="3"/>
        <v/>
      </c>
      <c r="U4149" s="4">
        <f t="shared" si="4"/>
        <v>1701</v>
      </c>
    </row>
    <row r="4150" ht="15.75" customHeight="1">
      <c r="A4150" s="4" t="s">
        <v>5050</v>
      </c>
      <c r="B4150" s="4" t="s">
        <v>13</v>
      </c>
      <c r="I4150" s="4">
        <v>0.197</v>
      </c>
      <c r="J4150" s="4">
        <v>0.007</v>
      </c>
      <c r="K4150" s="6" t="b">
        <f t="shared" ref="K4150:M4150" si="3943">FALSE()</f>
        <v>0</v>
      </c>
      <c r="L4150" s="6" t="b">
        <f t="shared" si="3943"/>
        <v>0</v>
      </c>
      <c r="M4150" s="6" t="b">
        <f t="shared" si="3943"/>
        <v>0</v>
      </c>
      <c r="P4150" s="4">
        <v>0.179818426575836</v>
      </c>
      <c r="T4150" s="4" t="str">
        <f t="shared" si="3"/>
        <v/>
      </c>
      <c r="U4150" s="4">
        <f t="shared" si="4"/>
        <v>2635</v>
      </c>
    </row>
    <row r="4151" ht="15.75" customHeight="1">
      <c r="A4151" s="4" t="s">
        <v>5051</v>
      </c>
      <c r="B4151" s="4" t="s">
        <v>13</v>
      </c>
      <c r="I4151" s="4">
        <v>0.145</v>
      </c>
      <c r="J4151" s="4">
        <v>0.019</v>
      </c>
      <c r="K4151" s="6" t="b">
        <f t="shared" ref="K4151:M4151" si="3944">FALSE()</f>
        <v>0</v>
      </c>
      <c r="L4151" s="6" t="b">
        <f t="shared" si="3944"/>
        <v>0</v>
      </c>
      <c r="M4151" s="6" t="b">
        <f t="shared" si="3944"/>
        <v>0</v>
      </c>
      <c r="P4151" s="4">
        <v>0.135404637006203</v>
      </c>
      <c r="T4151" s="4" t="str">
        <f t="shared" si="3"/>
        <v/>
      </c>
      <c r="U4151" s="4">
        <f t="shared" si="4"/>
        <v>3422</v>
      </c>
    </row>
    <row r="4152" ht="15.75" customHeight="1">
      <c r="A4152" s="4" t="s">
        <v>5052</v>
      </c>
      <c r="B4152" s="4" t="s">
        <v>13</v>
      </c>
      <c r="I4152" s="4">
        <v>0.20484</v>
      </c>
      <c r="K4152" s="6" t="b">
        <f t="shared" ref="K4152:M4152" si="3945">FALSE()</f>
        <v>0</v>
      </c>
      <c r="L4152" s="6" t="b">
        <f t="shared" si="3945"/>
        <v>0</v>
      </c>
      <c r="M4152" s="6" t="b">
        <f t="shared" si="3945"/>
        <v>0</v>
      </c>
      <c r="P4152" s="4">
        <v>0.186346778043575</v>
      </c>
      <c r="T4152" s="4" t="str">
        <f t="shared" si="3"/>
        <v/>
      </c>
      <c r="U4152" s="4">
        <f t="shared" si="4"/>
        <v>2499</v>
      </c>
    </row>
    <row r="4153" ht="15.75" customHeight="1">
      <c r="A4153" s="4" t="s">
        <v>5053</v>
      </c>
      <c r="B4153" s="4" t="s">
        <v>13</v>
      </c>
      <c r="I4153" s="4">
        <v>0.169</v>
      </c>
      <c r="J4153" s="4">
        <v>0.022</v>
      </c>
      <c r="K4153" s="6" t="b">
        <f t="shared" ref="K4153:M4153" si="3946">FALSE()</f>
        <v>0</v>
      </c>
      <c r="L4153" s="6" t="b">
        <f t="shared" si="3946"/>
        <v>0</v>
      </c>
      <c r="M4153" s="6" t="b">
        <f t="shared" si="3946"/>
        <v>0</v>
      </c>
      <c r="P4153" s="4">
        <v>0.156148682489931</v>
      </c>
      <c r="T4153" s="4" t="str">
        <f t="shared" si="3"/>
        <v/>
      </c>
      <c r="U4153" s="4">
        <f t="shared" si="4"/>
        <v>3067</v>
      </c>
    </row>
    <row r="4154" ht="15.75" customHeight="1">
      <c r="A4154" s="4" t="s">
        <v>5054</v>
      </c>
      <c r="B4154" s="4" t="s">
        <v>13</v>
      </c>
      <c r="I4154" s="4">
        <v>0.236</v>
      </c>
      <c r="J4154" s="4">
        <v>0.024</v>
      </c>
      <c r="K4154" s="6" t="b">
        <f t="shared" ref="K4154:M4154" si="3947">FALSE()</f>
        <v>0</v>
      </c>
      <c r="L4154" s="6" t="b">
        <f t="shared" si="3947"/>
        <v>0</v>
      </c>
      <c r="M4154" s="6" t="b">
        <f t="shared" si="3947"/>
        <v>0</v>
      </c>
      <c r="P4154" s="4">
        <v>0.211880359035499</v>
      </c>
      <c r="T4154" s="4" t="str">
        <f t="shared" si="3"/>
        <v/>
      </c>
      <c r="U4154" s="4">
        <f t="shared" si="4"/>
        <v>2021</v>
      </c>
    </row>
    <row r="4155" ht="15.75" customHeight="1">
      <c r="A4155" s="4" t="s">
        <v>5055</v>
      </c>
      <c r="B4155" s="4" t="s">
        <v>13</v>
      </c>
      <c r="I4155" s="4">
        <v>0.3952</v>
      </c>
      <c r="J4155" s="4">
        <v>0.0205</v>
      </c>
      <c r="K4155" s="6" t="b">
        <f t="shared" ref="K4155:M4155" si="3948">FALSE()</f>
        <v>0</v>
      </c>
      <c r="L4155" s="6" t="b">
        <f t="shared" si="3948"/>
        <v>0</v>
      </c>
      <c r="M4155" s="6" t="b">
        <f t="shared" si="3948"/>
        <v>0</v>
      </c>
      <c r="P4155" s="4">
        <v>0.333037774172578</v>
      </c>
      <c r="T4155" s="4" t="str">
        <f t="shared" si="3"/>
        <v/>
      </c>
      <c r="U4155" s="4">
        <f t="shared" si="4"/>
        <v>1123</v>
      </c>
    </row>
    <row r="4156" ht="15.75" customHeight="1">
      <c r="A4156" s="4" t="s">
        <v>5056</v>
      </c>
      <c r="B4156" s="4" t="s">
        <v>13</v>
      </c>
      <c r="I4156" s="4">
        <v>0.424</v>
      </c>
      <c r="J4156" s="4">
        <v>0.05</v>
      </c>
      <c r="K4156" s="6" t="b">
        <f t="shared" ref="K4156:M4156" si="3949">FALSE()</f>
        <v>0</v>
      </c>
      <c r="L4156" s="6" t="b">
        <f t="shared" si="3949"/>
        <v>0</v>
      </c>
      <c r="M4156" s="6" t="b">
        <f t="shared" si="3949"/>
        <v>0</v>
      </c>
      <c r="P4156" s="4">
        <v>0.353469812989784</v>
      </c>
      <c r="T4156" s="4" t="str">
        <f t="shared" si="3"/>
        <v/>
      </c>
      <c r="U4156" s="4">
        <f t="shared" si="4"/>
        <v>1087</v>
      </c>
    </row>
    <row r="4157" ht="15.75" customHeight="1">
      <c r="A4157" s="4" t="s">
        <v>5057</v>
      </c>
      <c r="B4157" s="4" t="s">
        <v>13</v>
      </c>
      <c r="I4157" s="4">
        <v>0.163</v>
      </c>
      <c r="J4157" s="4">
        <v>0.028</v>
      </c>
      <c r="K4157" s="6" t="b">
        <f t="shared" ref="K4157:M4157" si="3950">FALSE()</f>
        <v>0</v>
      </c>
      <c r="L4157" s="6" t="b">
        <f t="shared" si="3950"/>
        <v>0</v>
      </c>
      <c r="M4157" s="6" t="b">
        <f t="shared" si="3950"/>
        <v>0</v>
      </c>
      <c r="P4157" s="4">
        <v>0.151002873536527</v>
      </c>
      <c r="T4157" s="4" t="str">
        <f t="shared" si="3"/>
        <v/>
      </c>
      <c r="U4157" s="4">
        <f t="shared" si="4"/>
        <v>3142</v>
      </c>
    </row>
    <row r="4158" ht="15.75" customHeight="1">
      <c r="A4158" s="4" t="s">
        <v>5058</v>
      </c>
      <c r="B4158" s="4" t="s">
        <v>13</v>
      </c>
      <c r="I4158" s="4">
        <v>0.212</v>
      </c>
      <c r="J4158" s="4">
        <v>0.03</v>
      </c>
      <c r="K4158" s="6" t="b">
        <f t="shared" ref="K4158:M4158" si="3951">FALSE()</f>
        <v>0</v>
      </c>
      <c r="L4158" s="6" t="b">
        <f t="shared" si="3951"/>
        <v>0</v>
      </c>
      <c r="M4158" s="6" t="b">
        <f t="shared" si="3951"/>
        <v>0</v>
      </c>
      <c r="P4158" s="4">
        <v>0.192271887647123</v>
      </c>
      <c r="T4158" s="4" t="str">
        <f t="shared" si="3"/>
        <v/>
      </c>
      <c r="U4158" s="4">
        <f t="shared" si="4"/>
        <v>2381</v>
      </c>
    </row>
    <row r="4159" ht="15.75" customHeight="1">
      <c r="A4159" s="4" t="s">
        <v>1009</v>
      </c>
      <c r="B4159" s="4" t="s">
        <v>13</v>
      </c>
      <c r="C4159" s="4">
        <v>0.378</v>
      </c>
      <c r="I4159" s="4">
        <v>0.545</v>
      </c>
      <c r="J4159" s="4">
        <v>0.02</v>
      </c>
      <c r="K4159" s="6" t="b">
        <f t="shared" ref="K4159:M4159" si="3952">FALSE()</f>
        <v>0</v>
      </c>
      <c r="L4159" s="6" t="b">
        <f t="shared" si="3952"/>
        <v>0</v>
      </c>
      <c r="M4159" s="6" t="b">
        <f t="shared" si="3952"/>
        <v>0</v>
      </c>
      <c r="N4159" s="4">
        <v>0.320633172591467</v>
      </c>
      <c r="P4159" s="4">
        <v>0.435023910349709</v>
      </c>
      <c r="T4159" s="4">
        <f t="shared" si="3"/>
        <v>1031</v>
      </c>
      <c r="U4159" s="4">
        <f t="shared" si="4"/>
        <v>982</v>
      </c>
    </row>
    <row r="4160" ht="15.75" customHeight="1">
      <c r="A4160" s="4" t="s">
        <v>5059</v>
      </c>
      <c r="B4160" s="4" t="s">
        <v>13</v>
      </c>
      <c r="I4160" s="4">
        <v>0.228</v>
      </c>
      <c r="J4160" s="4">
        <v>0.02</v>
      </c>
      <c r="K4160" s="6" t="b">
        <f t="shared" ref="K4160:M4160" si="3953">FALSE()</f>
        <v>0</v>
      </c>
      <c r="L4160" s="6" t="b">
        <f t="shared" si="3953"/>
        <v>0</v>
      </c>
      <c r="M4160" s="6" t="b">
        <f t="shared" si="3953"/>
        <v>0</v>
      </c>
      <c r="P4160" s="4">
        <v>0.205386829724951</v>
      </c>
      <c r="T4160" s="4" t="str">
        <f t="shared" si="3"/>
        <v/>
      </c>
      <c r="U4160" s="4">
        <f t="shared" si="4"/>
        <v>2144</v>
      </c>
    </row>
    <row r="4161" ht="15.75" customHeight="1">
      <c r="A4161" s="4" t="s">
        <v>5060</v>
      </c>
      <c r="B4161" s="4" t="s">
        <v>13</v>
      </c>
      <c r="I4161" s="4">
        <v>0.165</v>
      </c>
      <c r="J4161" s="4">
        <v>0.022</v>
      </c>
      <c r="K4161" s="6" t="b">
        <f t="shared" ref="K4161:M4161" si="3954">FALSE()</f>
        <v>0</v>
      </c>
      <c r="L4161" s="6" t="b">
        <f t="shared" si="3954"/>
        <v>0</v>
      </c>
      <c r="M4161" s="6" t="b">
        <f t="shared" si="3954"/>
        <v>0</v>
      </c>
      <c r="P4161" s="4">
        <v>0.152721087017664</v>
      </c>
      <c r="T4161" s="4" t="str">
        <f t="shared" si="3"/>
        <v/>
      </c>
      <c r="U4161" s="4">
        <f t="shared" si="4"/>
        <v>3112</v>
      </c>
    </row>
    <row r="4162" ht="15.75" customHeight="1">
      <c r="A4162" s="4" t="s">
        <v>5061</v>
      </c>
      <c r="B4162" s="4" t="s">
        <v>13</v>
      </c>
      <c r="I4162" s="4">
        <v>0.259</v>
      </c>
      <c r="J4162" s="4">
        <v>0.05</v>
      </c>
      <c r="K4162" s="6" t="b">
        <f t="shared" ref="K4162:M4162" si="3955">FALSE()</f>
        <v>0</v>
      </c>
      <c r="L4162" s="6" t="b">
        <f t="shared" si="3955"/>
        <v>0</v>
      </c>
      <c r="M4162" s="6" t="b">
        <f t="shared" si="3955"/>
        <v>0</v>
      </c>
      <c r="P4162" s="4">
        <v>0.23031775506221</v>
      </c>
      <c r="T4162" s="4" t="str">
        <f t="shared" si="3"/>
        <v/>
      </c>
      <c r="U4162" s="4">
        <f t="shared" si="4"/>
        <v>1702</v>
      </c>
    </row>
    <row r="4163" ht="15.75" customHeight="1">
      <c r="A4163" s="4" t="s">
        <v>5062</v>
      </c>
      <c r="B4163" s="4" t="s">
        <v>13</v>
      </c>
      <c r="I4163" s="4">
        <v>0.906</v>
      </c>
      <c r="J4163" s="4">
        <v>0.024</v>
      </c>
      <c r="K4163" s="6" t="b">
        <f t="shared" ref="K4163:L4163" si="3956">FALSE()</f>
        <v>0</v>
      </c>
      <c r="L4163" s="6" t="b">
        <f t="shared" si="3956"/>
        <v>0</v>
      </c>
      <c r="M4163" s="6" t="b">
        <f>TRUE()</f>
        <v>1</v>
      </c>
      <c r="P4163" s="4">
        <v>0.64500680523201</v>
      </c>
      <c r="T4163" s="4" t="str">
        <f t="shared" si="3"/>
        <v/>
      </c>
      <c r="U4163" s="4">
        <f t="shared" si="4"/>
        <v>759</v>
      </c>
    </row>
    <row r="4164" ht="15.75" customHeight="1">
      <c r="A4164" s="4" t="s">
        <v>5063</v>
      </c>
      <c r="B4164" s="4" t="s">
        <v>13</v>
      </c>
      <c r="I4164" s="4">
        <v>0.281</v>
      </c>
      <c r="J4164" s="4">
        <v>0.054</v>
      </c>
      <c r="K4164" s="6" t="b">
        <f t="shared" ref="K4164:M4164" si="3957">FALSE()</f>
        <v>0</v>
      </c>
      <c r="L4164" s="6" t="b">
        <f t="shared" si="3957"/>
        <v>0</v>
      </c>
      <c r="M4164" s="6" t="b">
        <f t="shared" si="3957"/>
        <v>0</v>
      </c>
      <c r="P4164" s="4">
        <v>0.247641022914597</v>
      </c>
      <c r="T4164" s="4" t="str">
        <f t="shared" si="3"/>
        <v/>
      </c>
      <c r="U4164" s="4">
        <f t="shared" si="4"/>
        <v>1500</v>
      </c>
    </row>
    <row r="4165" ht="15.75" customHeight="1">
      <c r="A4165" s="4" t="s">
        <v>5064</v>
      </c>
      <c r="B4165" s="4" t="s">
        <v>13</v>
      </c>
      <c r="I4165" s="4">
        <v>0.187</v>
      </c>
      <c r="J4165" s="4">
        <v>0.025</v>
      </c>
      <c r="K4165" s="6" t="b">
        <f t="shared" ref="K4165:M4165" si="3958">FALSE()</f>
        <v>0</v>
      </c>
      <c r="L4165" s="6" t="b">
        <f t="shared" si="3958"/>
        <v>0</v>
      </c>
      <c r="M4165" s="6" t="b">
        <f t="shared" si="3958"/>
        <v>0</v>
      </c>
      <c r="P4165" s="4">
        <v>0.171429115627531</v>
      </c>
      <c r="T4165" s="4" t="str">
        <f t="shared" si="3"/>
        <v/>
      </c>
      <c r="U4165" s="4">
        <f t="shared" si="4"/>
        <v>2792</v>
      </c>
    </row>
    <row r="4166" ht="15.75" customHeight="1">
      <c r="A4166" s="4" t="s">
        <v>5065</v>
      </c>
      <c r="B4166" s="4" t="s">
        <v>13</v>
      </c>
      <c r="I4166" s="4">
        <v>0.178</v>
      </c>
      <c r="J4166" s="4">
        <v>0.017</v>
      </c>
      <c r="K4166" s="6" t="b">
        <f t="shared" ref="K4166:M4166" si="3959">FALSE()</f>
        <v>0</v>
      </c>
      <c r="L4166" s="6" t="b">
        <f t="shared" si="3959"/>
        <v>0</v>
      </c>
      <c r="M4166" s="6" t="b">
        <f t="shared" si="3959"/>
        <v>0</v>
      </c>
      <c r="P4166" s="4">
        <v>0.163818085229395</v>
      </c>
      <c r="T4166" s="4" t="str">
        <f t="shared" si="3"/>
        <v/>
      </c>
      <c r="U4166" s="4">
        <f t="shared" si="4"/>
        <v>2936</v>
      </c>
    </row>
    <row r="4167" ht="15.75" customHeight="1">
      <c r="A4167" s="4" t="s">
        <v>5066</v>
      </c>
      <c r="B4167" s="4" t="s">
        <v>13</v>
      </c>
      <c r="I4167" s="4">
        <v>0.104</v>
      </c>
      <c r="J4167" s="4">
        <v>0.01</v>
      </c>
      <c r="K4167" s="6" t="b">
        <f t="shared" ref="K4167:M4167" si="3960">FALSE()</f>
        <v>0</v>
      </c>
      <c r="L4167" s="6" t="b">
        <f t="shared" si="3960"/>
        <v>0</v>
      </c>
      <c r="M4167" s="6" t="b">
        <f t="shared" si="3960"/>
        <v>0</v>
      </c>
      <c r="P4167" s="4">
        <v>0.0989399478549035</v>
      </c>
      <c r="T4167" s="4" t="str">
        <f t="shared" si="3"/>
        <v/>
      </c>
      <c r="U4167" s="4">
        <f t="shared" si="4"/>
        <v>4158</v>
      </c>
    </row>
    <row r="4168" ht="15.75" customHeight="1">
      <c r="A4168" s="4" t="s">
        <v>5067</v>
      </c>
      <c r="B4168" s="4" t="s">
        <v>13</v>
      </c>
      <c r="I4168" s="4">
        <v>0.357</v>
      </c>
      <c r="K4168" s="6" t="b">
        <f t="shared" ref="K4168:M4168" si="3961">FALSE()</f>
        <v>0</v>
      </c>
      <c r="L4168" s="6" t="b">
        <f t="shared" si="3961"/>
        <v>0</v>
      </c>
      <c r="M4168" s="6" t="b">
        <f t="shared" si="3961"/>
        <v>0</v>
      </c>
      <c r="P4168" s="4">
        <v>0.305276380852732</v>
      </c>
      <c r="T4168" s="4" t="str">
        <f t="shared" si="3"/>
        <v/>
      </c>
      <c r="U4168" s="4">
        <f t="shared" si="4"/>
        <v>1193</v>
      </c>
    </row>
    <row r="4169" ht="15.75" customHeight="1">
      <c r="A4169" s="4" t="s">
        <v>5068</v>
      </c>
      <c r="B4169" s="4" t="s">
        <v>13</v>
      </c>
      <c r="I4169" s="4">
        <v>0.287</v>
      </c>
      <c r="J4169" s="4">
        <v>0.021</v>
      </c>
      <c r="K4169" s="6" t="b">
        <f t="shared" ref="K4169:M4169" si="3962">FALSE()</f>
        <v>0</v>
      </c>
      <c r="L4169" s="6" t="b">
        <f t="shared" si="3962"/>
        <v>0</v>
      </c>
      <c r="M4169" s="6" t="b">
        <f t="shared" si="3962"/>
        <v>0</v>
      </c>
      <c r="P4169" s="4">
        <v>0.25231392861399</v>
      </c>
      <c r="T4169" s="4" t="str">
        <f t="shared" si="3"/>
        <v/>
      </c>
      <c r="U4169" s="4">
        <f t="shared" si="4"/>
        <v>1455</v>
      </c>
    </row>
    <row r="4170" ht="15.75" customHeight="1">
      <c r="A4170" s="4" t="s">
        <v>5069</v>
      </c>
      <c r="B4170" s="4" t="s">
        <v>13</v>
      </c>
      <c r="I4170" s="4">
        <v>0.202</v>
      </c>
      <c r="J4170" s="4">
        <v>0.011</v>
      </c>
      <c r="K4170" s="6" t="b">
        <f t="shared" ref="K4170:M4170" si="3963">FALSE()</f>
        <v>0</v>
      </c>
      <c r="L4170" s="6" t="b">
        <f t="shared" si="3963"/>
        <v>0</v>
      </c>
      <c r="M4170" s="6" t="b">
        <f t="shared" si="3963"/>
        <v>0</v>
      </c>
      <c r="P4170" s="4">
        <v>0.183986836113016</v>
      </c>
      <c r="T4170" s="4" t="str">
        <f t="shared" si="3"/>
        <v/>
      </c>
      <c r="U4170" s="4">
        <f t="shared" si="4"/>
        <v>2558</v>
      </c>
    </row>
    <row r="4171" ht="15.75" customHeight="1">
      <c r="A4171" s="4" t="s">
        <v>1011</v>
      </c>
      <c r="B4171" s="4" t="s">
        <v>13</v>
      </c>
      <c r="C4171" s="4">
        <v>0.53</v>
      </c>
      <c r="D4171" s="4">
        <v>0.53</v>
      </c>
      <c r="E4171" s="4">
        <v>0.0</v>
      </c>
      <c r="I4171" s="4">
        <v>0.553</v>
      </c>
      <c r="J4171" s="4">
        <v>0.015</v>
      </c>
      <c r="K4171" s="6" t="b">
        <f t="shared" ref="K4171:M4171" si="3964">FALSE()</f>
        <v>0</v>
      </c>
      <c r="L4171" s="6" t="b">
        <f t="shared" si="3964"/>
        <v>0</v>
      </c>
      <c r="M4171" s="6" t="b">
        <f t="shared" si="3964"/>
        <v>0</v>
      </c>
      <c r="N4171" s="4">
        <v>0.425267735404344</v>
      </c>
      <c r="P4171" s="4">
        <v>0.44018854416655</v>
      </c>
      <c r="T4171" s="4">
        <f t="shared" si="3"/>
        <v>933</v>
      </c>
      <c r="U4171" s="4">
        <f t="shared" si="4"/>
        <v>972</v>
      </c>
    </row>
    <row r="4172" ht="15.75" customHeight="1">
      <c r="A4172" s="4" t="s">
        <v>5070</v>
      </c>
      <c r="B4172" s="4" t="s">
        <v>13</v>
      </c>
      <c r="I4172" s="4">
        <v>0.264</v>
      </c>
      <c r="J4172" s="4">
        <v>0.04</v>
      </c>
      <c r="K4172" s="6" t="b">
        <f t="shared" ref="K4172:M4172" si="3965">FALSE()</f>
        <v>0</v>
      </c>
      <c r="L4172" s="6" t="b">
        <f t="shared" si="3965"/>
        <v>0</v>
      </c>
      <c r="M4172" s="6" t="b">
        <f t="shared" si="3965"/>
        <v>0</v>
      </c>
      <c r="P4172" s="4">
        <v>0.234281295724666</v>
      </c>
      <c r="T4172" s="4" t="str">
        <f t="shared" si="3"/>
        <v/>
      </c>
      <c r="U4172" s="4">
        <f t="shared" si="4"/>
        <v>1635</v>
      </c>
    </row>
    <row r="4173" ht="15.75" customHeight="1">
      <c r="A4173" s="4" t="s">
        <v>5071</v>
      </c>
      <c r="B4173" s="4" t="s">
        <v>13</v>
      </c>
      <c r="I4173" s="4">
        <v>0.211</v>
      </c>
      <c r="J4173" s="4">
        <v>0.012</v>
      </c>
      <c r="K4173" s="6" t="b">
        <f t="shared" ref="K4173:M4173" si="3966">FALSE()</f>
        <v>0</v>
      </c>
      <c r="L4173" s="6" t="b">
        <f t="shared" si="3966"/>
        <v>0</v>
      </c>
      <c r="M4173" s="6" t="b">
        <f t="shared" si="3966"/>
        <v>0</v>
      </c>
      <c r="P4173" s="4">
        <v>0.191446464570955</v>
      </c>
      <c r="T4173" s="4" t="str">
        <f t="shared" si="3"/>
        <v/>
      </c>
      <c r="U4173" s="4">
        <f t="shared" si="4"/>
        <v>2404</v>
      </c>
    </row>
    <row r="4174" ht="15.75" customHeight="1">
      <c r="A4174" s="4" t="s">
        <v>5072</v>
      </c>
      <c r="B4174" s="4" t="s">
        <v>13</v>
      </c>
      <c r="I4174" s="4">
        <v>0.222</v>
      </c>
      <c r="J4174" s="4">
        <v>0.004</v>
      </c>
      <c r="K4174" s="6" t="b">
        <f t="shared" ref="K4174:M4174" si="3967">FALSE()</f>
        <v>0</v>
      </c>
      <c r="L4174" s="6" t="b">
        <f t="shared" si="3967"/>
        <v>0</v>
      </c>
      <c r="M4174" s="6" t="b">
        <f t="shared" si="3967"/>
        <v>0</v>
      </c>
      <c r="P4174" s="4">
        <v>0.200488860749404</v>
      </c>
      <c r="T4174" s="4" t="str">
        <f t="shared" si="3"/>
        <v/>
      </c>
      <c r="U4174" s="4">
        <f t="shared" si="4"/>
        <v>2237</v>
      </c>
    </row>
    <row r="4175" ht="15.75" customHeight="1">
      <c r="A4175" s="4" t="s">
        <v>5073</v>
      </c>
      <c r="B4175" s="4" t="s">
        <v>13</v>
      </c>
      <c r="I4175" s="4">
        <v>0.174</v>
      </c>
      <c r="J4175" s="4">
        <v>0.023</v>
      </c>
      <c r="K4175" s="6" t="b">
        <f t="shared" ref="K4175:M4175" si="3968">FALSE()</f>
        <v>0</v>
      </c>
      <c r="L4175" s="6" t="b">
        <f t="shared" si="3968"/>
        <v>0</v>
      </c>
      <c r="M4175" s="6" t="b">
        <f t="shared" si="3968"/>
        <v>0</v>
      </c>
      <c r="P4175" s="4">
        <v>0.160416721405905</v>
      </c>
      <c r="T4175" s="4" t="str">
        <f t="shared" si="3"/>
        <v/>
      </c>
      <c r="U4175" s="4">
        <f t="shared" si="4"/>
        <v>2995</v>
      </c>
    </row>
    <row r="4176" ht="15.75" customHeight="1">
      <c r="A4176" s="4" t="s">
        <v>5074</v>
      </c>
      <c r="B4176" s="4" t="s">
        <v>13</v>
      </c>
      <c r="I4176" s="4">
        <v>0.07</v>
      </c>
      <c r="J4176" s="4">
        <v>0.011</v>
      </c>
      <c r="K4176" s="6" t="b">
        <f t="shared" ref="K4176:M4176" si="3969">FALSE()</f>
        <v>0</v>
      </c>
      <c r="L4176" s="6" t="b">
        <f t="shared" si="3969"/>
        <v>0</v>
      </c>
      <c r="M4176" s="6" t="b">
        <f t="shared" si="3969"/>
        <v>0</v>
      </c>
      <c r="P4176" s="4">
        <v>0.0676586484738148</v>
      </c>
      <c r="T4176" s="4" t="str">
        <f t="shared" si="3"/>
        <v/>
      </c>
      <c r="U4176" s="4">
        <f t="shared" si="4"/>
        <v>4490</v>
      </c>
    </row>
    <row r="4177" ht="15.75" customHeight="1">
      <c r="A4177" s="4" t="s">
        <v>5075</v>
      </c>
      <c r="B4177" s="4" t="s">
        <v>13</v>
      </c>
      <c r="I4177" s="4">
        <v>0.185</v>
      </c>
      <c r="J4177" s="4">
        <v>0.023</v>
      </c>
      <c r="K4177" s="6" t="b">
        <f t="shared" ref="K4177:M4177" si="3970">FALSE()</f>
        <v>0</v>
      </c>
      <c r="L4177" s="6" t="b">
        <f t="shared" si="3970"/>
        <v>0</v>
      </c>
      <c r="M4177" s="6" t="b">
        <f t="shared" si="3970"/>
        <v>0</v>
      </c>
      <c r="P4177" s="4">
        <v>0.169742774587095</v>
      </c>
      <c r="T4177" s="4" t="str">
        <f t="shared" si="3"/>
        <v/>
      </c>
      <c r="U4177" s="4">
        <f t="shared" si="4"/>
        <v>2827</v>
      </c>
    </row>
    <row r="4178" ht="15.75" customHeight="1">
      <c r="A4178" s="4" t="s">
        <v>5076</v>
      </c>
      <c r="B4178" s="4" t="s">
        <v>13</v>
      </c>
      <c r="I4178" s="4">
        <v>0.242</v>
      </c>
      <c r="J4178" s="4">
        <v>0.024</v>
      </c>
      <c r="K4178" s="6" t="b">
        <f t="shared" ref="K4178:M4178" si="3971">FALSE()</f>
        <v>0</v>
      </c>
      <c r="L4178" s="6" t="b">
        <f t="shared" si="3971"/>
        <v>0</v>
      </c>
      <c r="M4178" s="6" t="b">
        <f t="shared" si="3971"/>
        <v>0</v>
      </c>
      <c r="P4178" s="4">
        <v>0.216722983511287</v>
      </c>
      <c r="T4178" s="4" t="str">
        <f t="shared" si="3"/>
        <v/>
      </c>
      <c r="U4178" s="4">
        <f t="shared" si="4"/>
        <v>1921</v>
      </c>
    </row>
    <row r="4179" ht="15.75" customHeight="1">
      <c r="A4179" s="4" t="s">
        <v>5077</v>
      </c>
      <c r="B4179" s="4" t="s">
        <v>13</v>
      </c>
      <c r="I4179" s="4">
        <v>0.278</v>
      </c>
      <c r="J4179" s="4">
        <v>0.03</v>
      </c>
      <c r="K4179" s="6" t="b">
        <f t="shared" ref="K4179:M4179" si="3972">FALSE()</f>
        <v>0</v>
      </c>
      <c r="L4179" s="6" t="b">
        <f t="shared" si="3972"/>
        <v>0</v>
      </c>
      <c r="M4179" s="6" t="b">
        <f t="shared" si="3972"/>
        <v>0</v>
      </c>
      <c r="P4179" s="4">
        <v>0.245296355955343</v>
      </c>
      <c r="T4179" s="4" t="str">
        <f t="shared" si="3"/>
        <v/>
      </c>
      <c r="U4179" s="4">
        <f t="shared" si="4"/>
        <v>1524</v>
      </c>
    </row>
    <row r="4180" ht="15.75" customHeight="1">
      <c r="A4180" s="4" t="s">
        <v>5078</v>
      </c>
      <c r="B4180" s="4" t="s">
        <v>13</v>
      </c>
      <c r="I4180" s="4">
        <v>0.314</v>
      </c>
      <c r="J4180" s="4">
        <v>0.029</v>
      </c>
      <c r="K4180" s="6" t="b">
        <f t="shared" ref="K4180:M4180" si="3973">FALSE()</f>
        <v>0</v>
      </c>
      <c r="L4180" s="6" t="b">
        <f t="shared" si="3973"/>
        <v>0</v>
      </c>
      <c r="M4180" s="6" t="b">
        <f t="shared" si="3973"/>
        <v>0</v>
      </c>
      <c r="P4180" s="4">
        <v>0.273075920062419</v>
      </c>
      <c r="T4180" s="4" t="str">
        <f t="shared" si="3"/>
        <v/>
      </c>
      <c r="U4180" s="4">
        <f t="shared" si="4"/>
        <v>1324</v>
      </c>
    </row>
    <row r="4181" ht="15.75" customHeight="1">
      <c r="A4181" s="4" t="s">
        <v>5079</v>
      </c>
      <c r="B4181" s="4" t="s">
        <v>13</v>
      </c>
      <c r="I4181" s="4">
        <v>0.145</v>
      </c>
      <c r="J4181" s="4">
        <v>0.005</v>
      </c>
      <c r="K4181" s="6" t="b">
        <f t="shared" ref="K4181:M4181" si="3974">FALSE()</f>
        <v>0</v>
      </c>
      <c r="L4181" s="6" t="b">
        <f t="shared" si="3974"/>
        <v>0</v>
      </c>
      <c r="M4181" s="6" t="b">
        <f t="shared" si="3974"/>
        <v>0</v>
      </c>
      <c r="P4181" s="4">
        <v>0.135404637006203</v>
      </c>
      <c r="T4181" s="4" t="str">
        <f t="shared" si="3"/>
        <v/>
      </c>
      <c r="U4181" s="4">
        <f t="shared" si="4"/>
        <v>3423</v>
      </c>
    </row>
    <row r="4182" ht="15.75" customHeight="1">
      <c r="A4182" s="4" t="s">
        <v>5080</v>
      </c>
      <c r="B4182" s="4" t="s">
        <v>13</v>
      </c>
      <c r="I4182" s="4">
        <v>0.223</v>
      </c>
      <c r="J4182" s="4">
        <v>0.021</v>
      </c>
      <c r="K4182" s="6" t="b">
        <f t="shared" ref="K4182:M4182" si="3975">FALSE()</f>
        <v>0</v>
      </c>
      <c r="L4182" s="6" t="b">
        <f t="shared" si="3975"/>
        <v>0</v>
      </c>
      <c r="M4182" s="6" t="b">
        <f t="shared" si="3975"/>
        <v>0</v>
      </c>
      <c r="P4182" s="4">
        <v>0.201306856705035</v>
      </c>
      <c r="T4182" s="4" t="str">
        <f t="shared" si="3"/>
        <v/>
      </c>
      <c r="U4182" s="4">
        <f t="shared" si="4"/>
        <v>2219</v>
      </c>
    </row>
    <row r="4183" ht="15.75" customHeight="1">
      <c r="A4183" s="4" t="s">
        <v>5081</v>
      </c>
      <c r="B4183" s="4" t="s">
        <v>13</v>
      </c>
      <c r="I4183" s="4">
        <v>0.127</v>
      </c>
      <c r="J4183" s="4">
        <v>0.003</v>
      </c>
      <c r="K4183" s="6" t="b">
        <f t="shared" ref="K4183:M4183" si="3976">FALSE()</f>
        <v>0</v>
      </c>
      <c r="L4183" s="6" t="b">
        <f t="shared" si="3976"/>
        <v>0</v>
      </c>
      <c r="M4183" s="6" t="b">
        <f t="shared" si="3976"/>
        <v>0</v>
      </c>
      <c r="P4183" s="4">
        <v>0.119559235057639</v>
      </c>
      <c r="T4183" s="4" t="str">
        <f t="shared" si="3"/>
        <v/>
      </c>
      <c r="U4183" s="4">
        <f t="shared" si="4"/>
        <v>3751</v>
      </c>
    </row>
    <row r="4184" ht="15.75" customHeight="1">
      <c r="A4184" s="4" t="s">
        <v>5082</v>
      </c>
      <c r="B4184" s="4" t="s">
        <v>13</v>
      </c>
      <c r="D4184" s="4">
        <v>0.058</v>
      </c>
      <c r="E4184" s="4">
        <v>0.064</v>
      </c>
      <c r="F4184" s="4">
        <v>0.084</v>
      </c>
      <c r="G4184" s="4">
        <v>0.058</v>
      </c>
      <c r="H4184" s="4">
        <v>0.064</v>
      </c>
      <c r="I4184" s="4">
        <v>0.23</v>
      </c>
      <c r="J4184" s="4">
        <v>0.005</v>
      </c>
      <c r="K4184" s="6" t="b">
        <f t="shared" ref="K4184:M4184" si="3977">FALSE()</f>
        <v>0</v>
      </c>
      <c r="L4184" s="6" t="b">
        <f t="shared" si="3977"/>
        <v>0</v>
      </c>
      <c r="M4184" s="6" t="b">
        <f t="shared" si="3977"/>
        <v>0</v>
      </c>
      <c r="O4184" s="4">
        <v>0.0806579030174544</v>
      </c>
      <c r="P4184" s="4">
        <v>0.207014169384326</v>
      </c>
      <c r="T4184" s="4" t="str">
        <f t="shared" si="3"/>
        <v/>
      </c>
      <c r="U4184" s="4">
        <f t="shared" si="4"/>
        <v>2118</v>
      </c>
    </row>
    <row r="4185" ht="15.75" customHeight="1">
      <c r="A4185" s="4" t="s">
        <v>1012</v>
      </c>
      <c r="B4185" s="4" t="s">
        <v>13</v>
      </c>
      <c r="C4185" s="4">
        <v>0.034</v>
      </c>
      <c r="D4185" s="4">
        <v>0.034</v>
      </c>
      <c r="E4185" s="4">
        <v>0.0</v>
      </c>
      <c r="I4185" s="4">
        <v>0.136</v>
      </c>
      <c r="J4185" s="4">
        <v>0.004</v>
      </c>
      <c r="K4185" s="6" t="b">
        <f t="shared" ref="K4185:M4185" si="3978">FALSE()</f>
        <v>0</v>
      </c>
      <c r="L4185" s="6" t="b">
        <f t="shared" si="3978"/>
        <v>0</v>
      </c>
      <c r="M4185" s="6" t="b">
        <f t="shared" si="3978"/>
        <v>0</v>
      </c>
      <c r="N4185" s="4">
        <v>0.0334347760862373</v>
      </c>
      <c r="P4185" s="4">
        <v>0.12751332029896</v>
      </c>
      <c r="T4185" s="4">
        <f t="shared" si="3"/>
        <v>1498</v>
      </c>
      <c r="U4185" s="4">
        <f t="shared" si="4"/>
        <v>3591</v>
      </c>
    </row>
    <row r="4186" ht="15.75" customHeight="1">
      <c r="A4186" s="4" t="s">
        <v>5083</v>
      </c>
      <c r="B4186" s="4" t="s">
        <v>13</v>
      </c>
      <c r="C4186" s="4">
        <v>0.82</v>
      </c>
      <c r="D4186" s="4">
        <v>0.16</v>
      </c>
      <c r="E4186" s="4">
        <v>0.63</v>
      </c>
      <c r="F4186" s="4">
        <v>0.653</v>
      </c>
      <c r="G4186" s="4">
        <v>0.055</v>
      </c>
      <c r="H4186" s="4">
        <v>0.056</v>
      </c>
      <c r="K4186" s="6" t="b">
        <f t="shared" ref="K4186:M4186" si="3979">FALSE()</f>
        <v>0</v>
      </c>
      <c r="L4186" s="6" t="b">
        <f t="shared" si="3979"/>
        <v>0</v>
      </c>
      <c r="M4186" s="6" t="b">
        <f t="shared" si="3979"/>
        <v>0</v>
      </c>
      <c r="N4186" s="4">
        <v>0.598836501088704</v>
      </c>
      <c r="O4186" s="4">
        <v>0.502591818838887</v>
      </c>
      <c r="T4186" s="4">
        <f t="shared" si="3"/>
        <v>756</v>
      </c>
      <c r="U4186" s="4" t="str">
        <f t="shared" si="4"/>
        <v/>
      </c>
    </row>
    <row r="4187" ht="15.75" customHeight="1">
      <c r="A4187" s="4" t="s">
        <v>5084</v>
      </c>
      <c r="B4187" s="4" t="s">
        <v>13</v>
      </c>
      <c r="I4187" s="4">
        <v>0.229</v>
      </c>
      <c r="J4187" s="4">
        <v>0.015</v>
      </c>
      <c r="K4187" s="6" t="b">
        <f t="shared" ref="K4187:M4187" si="3980">FALSE()</f>
        <v>0</v>
      </c>
      <c r="L4187" s="6" t="b">
        <f t="shared" si="3980"/>
        <v>0</v>
      </c>
      <c r="M4187" s="6" t="b">
        <f t="shared" si="3980"/>
        <v>0</v>
      </c>
      <c r="P4187" s="4">
        <v>0.206200830583898</v>
      </c>
      <c r="T4187" s="4" t="str">
        <f t="shared" si="3"/>
        <v/>
      </c>
      <c r="U4187" s="4">
        <f t="shared" si="4"/>
        <v>2131</v>
      </c>
    </row>
    <row r="4188" ht="15.75" customHeight="1">
      <c r="A4188" s="4" t="s">
        <v>5085</v>
      </c>
      <c r="B4188" s="4" t="s">
        <v>13</v>
      </c>
      <c r="I4188" s="4">
        <v>0.274</v>
      </c>
      <c r="J4188" s="4">
        <v>0.019</v>
      </c>
      <c r="K4188" s="6" t="b">
        <f t="shared" ref="K4188:M4188" si="3981">FALSE()</f>
        <v>0</v>
      </c>
      <c r="L4188" s="6" t="b">
        <f t="shared" si="3981"/>
        <v>0</v>
      </c>
      <c r="M4188" s="6" t="b">
        <f t="shared" si="3981"/>
        <v>0</v>
      </c>
      <c r="P4188" s="4">
        <v>0.242161557149972</v>
      </c>
      <c r="T4188" s="4" t="str">
        <f t="shared" si="3"/>
        <v/>
      </c>
      <c r="U4188" s="4">
        <f t="shared" si="4"/>
        <v>1556</v>
      </c>
    </row>
    <row r="4189" ht="15.75" customHeight="1">
      <c r="A4189" s="4" t="s">
        <v>5086</v>
      </c>
      <c r="B4189" s="4" t="s">
        <v>13</v>
      </c>
      <c r="I4189" s="4">
        <v>0.194</v>
      </c>
      <c r="J4189" s="4">
        <v>0.011</v>
      </c>
      <c r="K4189" s="6" t="b">
        <f t="shared" ref="K4189:M4189" si="3982">FALSE()</f>
        <v>0</v>
      </c>
      <c r="L4189" s="6" t="b">
        <f t="shared" si="3982"/>
        <v>0</v>
      </c>
      <c r="M4189" s="6" t="b">
        <f t="shared" si="3982"/>
        <v>0</v>
      </c>
      <c r="P4189" s="4">
        <v>0.17730901497041</v>
      </c>
      <c r="T4189" s="4" t="str">
        <f t="shared" si="3"/>
        <v/>
      </c>
      <c r="U4189" s="4">
        <f t="shared" si="4"/>
        <v>2693</v>
      </c>
    </row>
    <row r="4190" ht="15.75" customHeight="1">
      <c r="A4190" s="4" t="s">
        <v>5087</v>
      </c>
      <c r="B4190" s="4" t="s">
        <v>13</v>
      </c>
      <c r="I4190" s="4">
        <v>0.232</v>
      </c>
      <c r="J4190" s="4">
        <v>0.014</v>
      </c>
      <c r="K4190" s="6" t="b">
        <f t="shared" ref="K4190:M4190" si="3983">FALSE()</f>
        <v>0</v>
      </c>
      <c r="L4190" s="6" t="b">
        <f t="shared" si="3983"/>
        <v>0</v>
      </c>
      <c r="M4190" s="6" t="b">
        <f t="shared" si="3983"/>
        <v>0</v>
      </c>
      <c r="P4190" s="4">
        <v>0.208638865111328</v>
      </c>
      <c r="T4190" s="4" t="str">
        <f t="shared" si="3"/>
        <v/>
      </c>
      <c r="U4190" s="4">
        <f t="shared" si="4"/>
        <v>2083</v>
      </c>
    </row>
    <row r="4191" ht="15.75" customHeight="1">
      <c r="A4191" s="4" t="s">
        <v>5088</v>
      </c>
      <c r="B4191" s="4" t="s">
        <v>13</v>
      </c>
      <c r="I4191" s="4">
        <v>0.237</v>
      </c>
      <c r="J4191" s="4">
        <v>0.022</v>
      </c>
      <c r="K4191" s="6" t="b">
        <f t="shared" ref="K4191:M4191" si="3984">FALSE()</f>
        <v>0</v>
      </c>
      <c r="L4191" s="6" t="b">
        <f t="shared" si="3984"/>
        <v>0</v>
      </c>
      <c r="M4191" s="6" t="b">
        <f t="shared" si="3984"/>
        <v>0</v>
      </c>
      <c r="P4191" s="4">
        <v>0.212689093410351</v>
      </c>
      <c r="T4191" s="4" t="str">
        <f t="shared" si="3"/>
        <v/>
      </c>
      <c r="U4191" s="4">
        <f t="shared" si="4"/>
        <v>1996</v>
      </c>
    </row>
    <row r="4192" ht="15.75" customHeight="1">
      <c r="A4192" s="4" t="s">
        <v>5089</v>
      </c>
      <c r="B4192" s="4" t="s">
        <v>13</v>
      </c>
      <c r="I4192" s="4">
        <v>0.232</v>
      </c>
      <c r="J4192" s="4">
        <v>0.013</v>
      </c>
      <c r="K4192" s="6" t="b">
        <f t="shared" ref="K4192:M4192" si="3985">FALSE()</f>
        <v>0</v>
      </c>
      <c r="L4192" s="6" t="b">
        <f t="shared" si="3985"/>
        <v>0</v>
      </c>
      <c r="M4192" s="6" t="b">
        <f t="shared" si="3985"/>
        <v>0</v>
      </c>
      <c r="P4192" s="4">
        <v>0.208638865111328</v>
      </c>
      <c r="T4192" s="4" t="str">
        <f t="shared" si="3"/>
        <v/>
      </c>
      <c r="U4192" s="4">
        <f t="shared" si="4"/>
        <v>2084</v>
      </c>
    </row>
    <row r="4193" ht="15.75" customHeight="1">
      <c r="A4193" s="4" t="s">
        <v>5090</v>
      </c>
      <c r="B4193" s="4" t="s">
        <v>13</v>
      </c>
      <c r="I4193" s="4">
        <v>0.214</v>
      </c>
      <c r="J4193" s="4">
        <v>0.025</v>
      </c>
      <c r="K4193" s="6" t="b">
        <f t="shared" ref="K4193:M4193" si="3986">FALSE()</f>
        <v>0</v>
      </c>
      <c r="L4193" s="6" t="b">
        <f t="shared" si="3986"/>
        <v>0</v>
      </c>
      <c r="M4193" s="6" t="b">
        <f t="shared" si="3986"/>
        <v>0</v>
      </c>
      <c r="P4193" s="4">
        <v>0.193920692637307</v>
      </c>
      <c r="T4193" s="4" t="str">
        <f t="shared" si="3"/>
        <v/>
      </c>
      <c r="U4193" s="4">
        <f t="shared" si="4"/>
        <v>2349</v>
      </c>
    </row>
    <row r="4194" ht="15.75" customHeight="1">
      <c r="A4194" s="4" t="s">
        <v>5091</v>
      </c>
      <c r="B4194" s="4" t="s">
        <v>13</v>
      </c>
      <c r="I4194" s="4">
        <v>0.422</v>
      </c>
      <c r="J4194" s="4">
        <v>0.025</v>
      </c>
      <c r="K4194" s="6" t="b">
        <f t="shared" ref="K4194:M4194" si="3987">FALSE()</f>
        <v>0</v>
      </c>
      <c r="L4194" s="6" t="b">
        <f t="shared" si="3987"/>
        <v>0</v>
      </c>
      <c r="M4194" s="6" t="b">
        <f t="shared" si="3987"/>
        <v>0</v>
      </c>
      <c r="P4194" s="4">
        <v>0.352064331381049</v>
      </c>
      <c r="T4194" s="4" t="str">
        <f t="shared" si="3"/>
        <v/>
      </c>
      <c r="U4194" s="4">
        <f t="shared" si="4"/>
        <v>1088</v>
      </c>
    </row>
    <row r="4195" ht="15.75" customHeight="1">
      <c r="A4195" s="4" t="s">
        <v>5092</v>
      </c>
      <c r="B4195" s="4" t="s">
        <v>13</v>
      </c>
      <c r="I4195" s="4">
        <v>0.241</v>
      </c>
      <c r="J4195" s="4">
        <v>0.016</v>
      </c>
      <c r="K4195" s="6" t="b">
        <f t="shared" ref="K4195:M4195" si="3988">FALSE()</f>
        <v>0</v>
      </c>
      <c r="L4195" s="6" t="b">
        <f t="shared" si="3988"/>
        <v>0</v>
      </c>
      <c r="M4195" s="6" t="b">
        <f t="shared" si="3988"/>
        <v>0</v>
      </c>
      <c r="P4195" s="4">
        <v>0.21591750622247</v>
      </c>
      <c r="T4195" s="4" t="str">
        <f t="shared" si="3"/>
        <v/>
      </c>
      <c r="U4195" s="4">
        <f t="shared" si="4"/>
        <v>1937</v>
      </c>
    </row>
    <row r="4196" ht="15.75" customHeight="1">
      <c r="A4196" s="4" t="s">
        <v>5093</v>
      </c>
      <c r="B4196" s="4" t="s">
        <v>13</v>
      </c>
      <c r="I4196" s="4">
        <v>0.431</v>
      </c>
      <c r="J4196" s="4">
        <v>0.049</v>
      </c>
      <c r="K4196" s="6" t="b">
        <f t="shared" ref="K4196:M4196" si="3989">FALSE()</f>
        <v>0</v>
      </c>
      <c r="L4196" s="6" t="b">
        <f t="shared" si="3989"/>
        <v>0</v>
      </c>
      <c r="M4196" s="6" t="b">
        <f t="shared" si="3989"/>
        <v>0</v>
      </c>
      <c r="P4196" s="4">
        <v>0.358373500574314</v>
      </c>
      <c r="T4196" s="4" t="str">
        <f t="shared" si="3"/>
        <v/>
      </c>
      <c r="U4196" s="4">
        <f t="shared" si="4"/>
        <v>1076</v>
      </c>
    </row>
    <row r="4197" ht="15.75" customHeight="1">
      <c r="A4197" s="4" t="s">
        <v>1013</v>
      </c>
      <c r="B4197" s="4" t="s">
        <v>13</v>
      </c>
      <c r="C4197" s="4">
        <v>0.047</v>
      </c>
      <c r="I4197" s="4">
        <v>0.25</v>
      </c>
      <c r="J4197" s="4">
        <v>0.006</v>
      </c>
      <c r="K4197" s="6" t="b">
        <f t="shared" ref="K4197:M4197" si="3990">FALSE()</f>
        <v>0</v>
      </c>
      <c r="L4197" s="6" t="b">
        <f t="shared" si="3990"/>
        <v>0</v>
      </c>
      <c r="M4197" s="6" t="b">
        <f t="shared" si="3990"/>
        <v>0</v>
      </c>
      <c r="N4197" s="4">
        <v>0.0459289318883998</v>
      </c>
      <c r="P4197" s="4">
        <v>0.22314355131421</v>
      </c>
      <c r="T4197" s="4">
        <f t="shared" si="3"/>
        <v>1418</v>
      </c>
      <c r="U4197" s="4">
        <f t="shared" si="4"/>
        <v>1811</v>
      </c>
    </row>
    <row r="4198" ht="15.75" customHeight="1">
      <c r="A4198" s="4" t="s">
        <v>5094</v>
      </c>
      <c r="B4198" s="4" t="s">
        <v>13</v>
      </c>
      <c r="I4198" s="4">
        <v>1.176</v>
      </c>
      <c r="J4198" s="4">
        <v>0.108</v>
      </c>
      <c r="K4198" s="6" t="b">
        <f t="shared" ref="K4198:L4198" si="3991">FALSE()</f>
        <v>0</v>
      </c>
      <c r="L4198" s="6" t="b">
        <f t="shared" si="3991"/>
        <v>0</v>
      </c>
      <c r="M4198" s="6" t="b">
        <f>TRUE()</f>
        <v>1</v>
      </c>
      <c r="P4198" s="4">
        <v>0.777488328993696</v>
      </c>
      <c r="T4198" s="4" t="str">
        <f t="shared" si="3"/>
        <v/>
      </c>
      <c r="U4198" s="4">
        <f t="shared" si="4"/>
        <v>418</v>
      </c>
    </row>
    <row r="4199" ht="15.75" customHeight="1">
      <c r="A4199" s="4" t="s">
        <v>5095</v>
      </c>
      <c r="B4199" s="4" t="s">
        <v>13</v>
      </c>
      <c r="I4199" s="4">
        <v>0.24</v>
      </c>
      <c r="J4199" s="4">
        <v>0.018</v>
      </c>
      <c r="K4199" s="6" t="b">
        <f t="shared" ref="K4199:M4199" si="3992">FALSE()</f>
        <v>0</v>
      </c>
      <c r="L4199" s="6" t="b">
        <f t="shared" si="3992"/>
        <v>0</v>
      </c>
      <c r="M4199" s="6" t="b">
        <f t="shared" si="3992"/>
        <v>0</v>
      </c>
      <c r="P4199" s="4">
        <v>0.215111379616946</v>
      </c>
      <c r="T4199" s="4" t="str">
        <f t="shared" si="3"/>
        <v/>
      </c>
      <c r="U4199" s="4">
        <f t="shared" si="4"/>
        <v>1953</v>
      </c>
    </row>
    <row r="4200" ht="15.75" customHeight="1">
      <c r="A4200" s="4" t="s">
        <v>5096</v>
      </c>
      <c r="B4200" s="4" t="s">
        <v>13</v>
      </c>
      <c r="I4200" s="4">
        <v>0.223</v>
      </c>
      <c r="J4200" s="4">
        <v>0.016</v>
      </c>
      <c r="K4200" s="6" t="b">
        <f t="shared" ref="K4200:M4200" si="3993">FALSE()</f>
        <v>0</v>
      </c>
      <c r="L4200" s="6" t="b">
        <f t="shared" si="3993"/>
        <v>0</v>
      </c>
      <c r="M4200" s="6" t="b">
        <f t="shared" si="3993"/>
        <v>0</v>
      </c>
      <c r="P4200" s="4">
        <v>0.201306856705035</v>
      </c>
      <c r="T4200" s="4" t="str">
        <f t="shared" si="3"/>
        <v/>
      </c>
      <c r="U4200" s="4">
        <f t="shared" si="4"/>
        <v>2220</v>
      </c>
    </row>
    <row r="4201" ht="15.75" customHeight="1">
      <c r="A4201" s="4" t="s">
        <v>5097</v>
      </c>
      <c r="B4201" s="4" t="s">
        <v>13</v>
      </c>
      <c r="I4201" s="4">
        <v>0.583</v>
      </c>
      <c r="J4201" s="4">
        <v>0.043</v>
      </c>
      <c r="K4201" s="6" t="b">
        <f t="shared" ref="K4201:M4201" si="3994">FALSE()</f>
        <v>0</v>
      </c>
      <c r="L4201" s="6" t="b">
        <f t="shared" si="3994"/>
        <v>0</v>
      </c>
      <c r="M4201" s="6" t="b">
        <f t="shared" si="3994"/>
        <v>0</v>
      </c>
      <c r="P4201" s="4">
        <v>0.459321780898875</v>
      </c>
      <c r="T4201" s="4" t="str">
        <f t="shared" si="3"/>
        <v/>
      </c>
      <c r="U4201" s="4">
        <f t="shared" si="4"/>
        <v>953</v>
      </c>
    </row>
    <row r="4202" ht="15.75" customHeight="1">
      <c r="A4202" s="4" t="s">
        <v>5098</v>
      </c>
      <c r="B4202" s="4" t="s">
        <v>13</v>
      </c>
      <c r="I4202" s="4">
        <v>0.151</v>
      </c>
      <c r="J4202" s="4">
        <v>0.006</v>
      </c>
      <c r="K4202" s="6" t="b">
        <f t="shared" ref="K4202:M4202" si="3995">FALSE()</f>
        <v>0</v>
      </c>
      <c r="L4202" s="6" t="b">
        <f t="shared" si="3995"/>
        <v>0</v>
      </c>
      <c r="M4202" s="6" t="b">
        <f t="shared" si="3995"/>
        <v>0</v>
      </c>
      <c r="P4202" s="4">
        <v>0.140631129739746</v>
      </c>
      <c r="T4202" s="4" t="str">
        <f t="shared" si="3"/>
        <v/>
      </c>
      <c r="U4202" s="4">
        <f t="shared" si="4"/>
        <v>3312</v>
      </c>
    </row>
    <row r="4203" ht="15.75" customHeight="1">
      <c r="A4203" s="4" t="s">
        <v>5099</v>
      </c>
      <c r="B4203" s="4" t="s">
        <v>13</v>
      </c>
      <c r="I4203" s="4">
        <v>0.218</v>
      </c>
      <c r="J4203" s="4">
        <v>0.014</v>
      </c>
      <c r="K4203" s="6" t="b">
        <f t="shared" ref="K4203:M4203" si="3996">FALSE()</f>
        <v>0</v>
      </c>
      <c r="L4203" s="6" t="b">
        <f t="shared" si="3996"/>
        <v>0</v>
      </c>
      <c r="M4203" s="6" t="b">
        <f t="shared" si="3996"/>
        <v>0</v>
      </c>
      <c r="P4203" s="4">
        <v>0.197210169287705</v>
      </c>
      <c r="T4203" s="4" t="str">
        <f t="shared" si="3"/>
        <v/>
      </c>
      <c r="U4203" s="4">
        <f t="shared" si="4"/>
        <v>2294</v>
      </c>
    </row>
    <row r="4204" ht="15.75" customHeight="1">
      <c r="A4204" s="4" t="s">
        <v>5100</v>
      </c>
      <c r="B4204" s="4" t="s">
        <v>13</v>
      </c>
      <c r="I4204" s="4">
        <v>0.271</v>
      </c>
      <c r="J4204" s="4">
        <v>0.03</v>
      </c>
      <c r="K4204" s="6" t="b">
        <f t="shared" ref="K4204:M4204" si="3997">FALSE()</f>
        <v>0</v>
      </c>
      <c r="L4204" s="6" t="b">
        <f t="shared" si="3997"/>
        <v>0</v>
      </c>
      <c r="M4204" s="6" t="b">
        <f t="shared" si="3997"/>
        <v>0</v>
      </c>
      <c r="P4204" s="4">
        <v>0.239803992207317</v>
      </c>
      <c r="T4204" s="4" t="str">
        <f t="shared" si="3"/>
        <v/>
      </c>
      <c r="U4204" s="4">
        <f t="shared" si="4"/>
        <v>1581</v>
      </c>
    </row>
    <row r="4205" ht="15.75" customHeight="1">
      <c r="A4205" s="4" t="s">
        <v>5101</v>
      </c>
      <c r="B4205" s="4" t="s">
        <v>13</v>
      </c>
      <c r="I4205" s="4">
        <v>0.48</v>
      </c>
      <c r="J4205" s="4">
        <v>0.037</v>
      </c>
      <c r="K4205" s="6" t="b">
        <f t="shared" ref="K4205:M4205" si="3998">FALSE()</f>
        <v>0</v>
      </c>
      <c r="L4205" s="6" t="b">
        <f t="shared" si="3998"/>
        <v>0</v>
      </c>
      <c r="M4205" s="6" t="b">
        <f t="shared" si="3998"/>
        <v>0</v>
      </c>
      <c r="P4205" s="4">
        <v>0.392042087776024</v>
      </c>
      <c r="T4205" s="4" t="str">
        <f t="shared" si="3"/>
        <v/>
      </c>
      <c r="U4205" s="4">
        <f t="shared" si="4"/>
        <v>1029</v>
      </c>
    </row>
    <row r="4206" ht="15.75" customHeight="1">
      <c r="A4206" s="4" t="s">
        <v>5102</v>
      </c>
      <c r="B4206" s="4" t="s">
        <v>13</v>
      </c>
      <c r="I4206" s="4">
        <v>0.459</v>
      </c>
      <c r="J4206" s="4">
        <v>0.031</v>
      </c>
      <c r="K4206" s="6" t="b">
        <f t="shared" ref="K4206:M4206" si="3999">FALSE()</f>
        <v>0</v>
      </c>
      <c r="L4206" s="6" t="b">
        <f t="shared" si="3999"/>
        <v>0</v>
      </c>
      <c r="M4206" s="6" t="b">
        <f t="shared" si="3999"/>
        <v>0</v>
      </c>
      <c r="P4206" s="4">
        <v>0.377751269540649</v>
      </c>
      <c r="T4206" s="4" t="str">
        <f t="shared" si="3"/>
        <v/>
      </c>
      <c r="U4206" s="4">
        <f t="shared" si="4"/>
        <v>1051</v>
      </c>
    </row>
    <row r="4207" ht="15.75" customHeight="1">
      <c r="A4207" s="4" t="s">
        <v>5103</v>
      </c>
      <c r="B4207" s="4" t="s">
        <v>13</v>
      </c>
      <c r="I4207" s="4">
        <v>0.269</v>
      </c>
      <c r="J4207" s="4">
        <v>0.035</v>
      </c>
      <c r="K4207" s="6" t="b">
        <f t="shared" ref="K4207:M4207" si="4000">FALSE()</f>
        <v>0</v>
      </c>
      <c r="L4207" s="6" t="b">
        <f t="shared" si="4000"/>
        <v>0</v>
      </c>
      <c r="M4207" s="6" t="b">
        <f t="shared" si="4000"/>
        <v>0</v>
      </c>
      <c r="P4207" s="4">
        <v>0.238229188732251</v>
      </c>
      <c r="T4207" s="4" t="str">
        <f t="shared" si="3"/>
        <v/>
      </c>
      <c r="U4207" s="4">
        <f t="shared" si="4"/>
        <v>1607</v>
      </c>
    </row>
    <row r="4208" ht="15.75" customHeight="1">
      <c r="A4208" s="4" t="s">
        <v>1014</v>
      </c>
      <c r="B4208" s="4" t="s">
        <v>13</v>
      </c>
      <c r="C4208" s="4">
        <v>0.047</v>
      </c>
      <c r="I4208" s="4">
        <v>0.262</v>
      </c>
      <c r="J4208" s="4">
        <v>0.014</v>
      </c>
      <c r="K4208" s="6" t="b">
        <f t="shared" ref="K4208:M4208" si="4001">FALSE()</f>
        <v>0</v>
      </c>
      <c r="L4208" s="6" t="b">
        <f t="shared" si="4001"/>
        <v>0</v>
      </c>
      <c r="M4208" s="6" t="b">
        <f t="shared" si="4001"/>
        <v>0</v>
      </c>
      <c r="N4208" s="4">
        <v>0.0459289318883998</v>
      </c>
      <c r="P4208" s="4">
        <v>0.232697764119021</v>
      </c>
      <c r="T4208" s="4">
        <f t="shared" si="3"/>
        <v>1419</v>
      </c>
      <c r="U4208" s="4">
        <f t="shared" si="4"/>
        <v>1663</v>
      </c>
    </row>
    <row r="4209" ht="15.75" customHeight="1">
      <c r="A4209" s="4" t="s">
        <v>5104</v>
      </c>
      <c r="B4209" s="4" t="s">
        <v>13</v>
      </c>
      <c r="I4209" s="4">
        <v>0.216</v>
      </c>
      <c r="J4209" s="4">
        <v>0.022</v>
      </c>
      <c r="K4209" s="6" t="b">
        <f t="shared" ref="K4209:M4209" si="4002">FALSE()</f>
        <v>0</v>
      </c>
      <c r="L4209" s="6" t="b">
        <f t="shared" si="4002"/>
        <v>0</v>
      </c>
      <c r="M4209" s="6" t="b">
        <f t="shared" si="4002"/>
        <v>0</v>
      </c>
      <c r="P4209" s="4">
        <v>0.195566783543975</v>
      </c>
      <c r="T4209" s="4" t="str">
        <f t="shared" si="3"/>
        <v/>
      </c>
      <c r="U4209" s="4">
        <f t="shared" si="4"/>
        <v>2316</v>
      </c>
    </row>
    <row r="4210" ht="15.75" customHeight="1">
      <c r="A4210" s="4" t="s">
        <v>5105</v>
      </c>
      <c r="B4210" s="4" t="s">
        <v>13</v>
      </c>
      <c r="I4210" s="4">
        <v>0.275</v>
      </c>
      <c r="J4210" s="4">
        <v>0.014</v>
      </c>
      <c r="K4210" s="6" t="b">
        <f t="shared" ref="K4210:M4210" si="4003">FALSE()</f>
        <v>0</v>
      </c>
      <c r="L4210" s="6" t="b">
        <f t="shared" si="4003"/>
        <v>0</v>
      </c>
      <c r="M4210" s="6" t="b">
        <f t="shared" si="4003"/>
        <v>0</v>
      </c>
      <c r="P4210" s="4">
        <v>0.242946178610389</v>
      </c>
      <c r="T4210" s="4" t="str">
        <f t="shared" si="3"/>
        <v/>
      </c>
      <c r="U4210" s="4">
        <f t="shared" si="4"/>
        <v>1544</v>
      </c>
    </row>
    <row r="4211" ht="15.75" customHeight="1">
      <c r="A4211" s="4" t="s">
        <v>5106</v>
      </c>
      <c r="B4211" s="4" t="s">
        <v>13</v>
      </c>
      <c r="I4211" s="4">
        <v>0.658</v>
      </c>
      <c r="J4211" s="4">
        <v>0.045</v>
      </c>
      <c r="K4211" s="6" t="b">
        <f t="shared" ref="K4211:M4211" si="4004">FALSE()</f>
        <v>0</v>
      </c>
      <c r="L4211" s="6" t="b">
        <f t="shared" si="4004"/>
        <v>0</v>
      </c>
      <c r="M4211" s="6" t="b">
        <f t="shared" si="4004"/>
        <v>0</v>
      </c>
      <c r="P4211" s="4">
        <v>0.505612056713103</v>
      </c>
      <c r="T4211" s="4" t="str">
        <f t="shared" si="3"/>
        <v/>
      </c>
      <c r="U4211" s="4">
        <f t="shared" si="4"/>
        <v>911</v>
      </c>
    </row>
    <row r="4212" ht="15.75" customHeight="1">
      <c r="A4212" s="4" t="s">
        <v>5107</v>
      </c>
      <c r="B4212" s="4" t="s">
        <v>13</v>
      </c>
      <c r="I4212" s="4">
        <v>0.176</v>
      </c>
      <c r="J4212" s="4">
        <v>0.015</v>
      </c>
      <c r="K4212" s="6" t="b">
        <f t="shared" ref="K4212:M4212" si="4005">FALSE()</f>
        <v>0</v>
      </c>
      <c r="L4212" s="6" t="b">
        <f t="shared" si="4005"/>
        <v>0</v>
      </c>
      <c r="M4212" s="6" t="b">
        <f t="shared" si="4005"/>
        <v>0</v>
      </c>
      <c r="P4212" s="4">
        <v>0.162118849476435</v>
      </c>
      <c r="T4212" s="4" t="str">
        <f t="shared" si="3"/>
        <v/>
      </c>
      <c r="U4212" s="4">
        <f t="shared" si="4"/>
        <v>2961</v>
      </c>
    </row>
    <row r="4213" ht="15.75" customHeight="1">
      <c r="A4213" s="4" t="s">
        <v>5108</v>
      </c>
      <c r="B4213" s="4" t="s">
        <v>13</v>
      </c>
      <c r="I4213" s="4">
        <v>0.3</v>
      </c>
      <c r="J4213" s="4">
        <v>0.027</v>
      </c>
      <c r="K4213" s="6" t="b">
        <f t="shared" ref="K4213:M4213" si="4006">FALSE()</f>
        <v>0</v>
      </c>
      <c r="L4213" s="6" t="b">
        <f t="shared" si="4006"/>
        <v>0</v>
      </c>
      <c r="M4213" s="6" t="b">
        <f t="shared" si="4006"/>
        <v>0</v>
      </c>
      <c r="P4213" s="4">
        <v>0.262364264467491</v>
      </c>
      <c r="T4213" s="4" t="str">
        <f t="shared" si="3"/>
        <v/>
      </c>
      <c r="U4213" s="4">
        <f t="shared" si="4"/>
        <v>1384</v>
      </c>
    </row>
    <row r="4214" ht="15.75" customHeight="1">
      <c r="A4214" s="4" t="s">
        <v>5109</v>
      </c>
      <c r="B4214" s="4" t="s">
        <v>13</v>
      </c>
      <c r="I4214" s="4">
        <v>0.944</v>
      </c>
      <c r="J4214" s="4">
        <v>0.106</v>
      </c>
      <c r="K4214" s="6" t="b">
        <f t="shared" ref="K4214:L4214" si="4007">FALSE()</f>
        <v>0</v>
      </c>
      <c r="L4214" s="6" t="b">
        <f t="shared" si="4007"/>
        <v>0</v>
      </c>
      <c r="M4214" s="6" t="b">
        <f t="shared" ref="M4214:M4215" si="4009">TRUE()</f>
        <v>1</v>
      </c>
      <c r="P4214" s="4">
        <v>0.664747706038247</v>
      </c>
      <c r="T4214" s="4" t="str">
        <f t="shared" si="3"/>
        <v/>
      </c>
      <c r="U4214" s="4">
        <f t="shared" si="4"/>
        <v>734</v>
      </c>
    </row>
    <row r="4215" ht="15.75" customHeight="1">
      <c r="A4215" s="4" t="s">
        <v>5110</v>
      </c>
      <c r="B4215" s="4" t="s">
        <v>13</v>
      </c>
      <c r="I4215" s="4">
        <v>1.084</v>
      </c>
      <c r="J4215" s="4">
        <v>0.09</v>
      </c>
      <c r="K4215" s="6" t="b">
        <f t="shared" ref="K4215:L4215" si="4008">FALSE()</f>
        <v>0</v>
      </c>
      <c r="L4215" s="6" t="b">
        <f t="shared" si="4008"/>
        <v>0</v>
      </c>
      <c r="M4215" s="6" t="b">
        <f t="shared" si="4009"/>
        <v>1</v>
      </c>
      <c r="P4215" s="4">
        <v>0.734289123891121</v>
      </c>
      <c r="T4215" s="4" t="str">
        <f t="shared" si="3"/>
        <v/>
      </c>
      <c r="U4215" s="4">
        <f t="shared" si="4"/>
        <v>544</v>
      </c>
    </row>
    <row r="4216" ht="15.75" customHeight="1">
      <c r="A4216" s="4" t="s">
        <v>5111</v>
      </c>
      <c r="B4216" s="4" t="s">
        <v>13</v>
      </c>
      <c r="I4216" s="4">
        <v>0.314</v>
      </c>
      <c r="J4216" s="4">
        <v>0.018</v>
      </c>
      <c r="K4216" s="6" t="b">
        <f t="shared" ref="K4216:M4216" si="4010">FALSE()</f>
        <v>0</v>
      </c>
      <c r="L4216" s="6" t="b">
        <f t="shared" si="4010"/>
        <v>0</v>
      </c>
      <c r="M4216" s="6" t="b">
        <f t="shared" si="4010"/>
        <v>0</v>
      </c>
      <c r="P4216" s="4">
        <v>0.273075920062419</v>
      </c>
      <c r="T4216" s="4" t="str">
        <f t="shared" si="3"/>
        <v/>
      </c>
      <c r="U4216" s="4">
        <f t="shared" si="4"/>
        <v>1325</v>
      </c>
    </row>
    <row r="4217" ht="15.75" customHeight="1">
      <c r="A4217" s="4" t="s">
        <v>5112</v>
      </c>
      <c r="B4217" s="4" t="s">
        <v>13</v>
      </c>
      <c r="I4217" s="4">
        <v>0.871</v>
      </c>
      <c r="J4217" s="4">
        <v>0.087</v>
      </c>
      <c r="K4217" s="6" t="b">
        <f t="shared" ref="K4217:L4217" si="4011">FALSE()</f>
        <v>0</v>
      </c>
      <c r="L4217" s="6" t="b">
        <f t="shared" si="4011"/>
        <v>0</v>
      </c>
      <c r="M4217" s="6" t="b">
        <f>TRUE()</f>
        <v>1</v>
      </c>
      <c r="P4217" s="4">
        <v>0.626473047291953</v>
      </c>
      <c r="T4217" s="4" t="str">
        <f t="shared" si="3"/>
        <v/>
      </c>
      <c r="U4217" s="4">
        <f t="shared" si="4"/>
        <v>785</v>
      </c>
    </row>
    <row r="4218" ht="15.75" customHeight="1">
      <c r="A4218" s="4" t="s">
        <v>5113</v>
      </c>
      <c r="B4218" s="4" t="s">
        <v>13</v>
      </c>
      <c r="I4218" s="4">
        <v>0.258</v>
      </c>
      <c r="J4218" s="4">
        <v>0.021</v>
      </c>
      <c r="K4218" s="6" t="b">
        <f t="shared" ref="K4218:M4218" si="4012">FALSE()</f>
        <v>0</v>
      </c>
      <c r="L4218" s="6" t="b">
        <f t="shared" si="4012"/>
        <v>0</v>
      </c>
      <c r="M4218" s="6" t="b">
        <f t="shared" si="4012"/>
        <v>0</v>
      </c>
      <c r="P4218" s="4">
        <v>0.229523158278249</v>
      </c>
      <c r="T4218" s="4" t="str">
        <f t="shared" si="3"/>
        <v/>
      </c>
      <c r="U4218" s="4">
        <f t="shared" si="4"/>
        <v>1709</v>
      </c>
    </row>
    <row r="4219" ht="15.75" customHeight="1">
      <c r="A4219" s="4" t="s">
        <v>1015</v>
      </c>
      <c r="B4219" s="4" t="s">
        <v>13</v>
      </c>
      <c r="C4219" s="4">
        <v>0.02407</v>
      </c>
      <c r="D4219" s="4">
        <v>0.00415</v>
      </c>
      <c r="E4219" s="4">
        <v>0.00431</v>
      </c>
      <c r="I4219" s="4">
        <v>0.206</v>
      </c>
      <c r="J4219" s="4">
        <v>0.05</v>
      </c>
      <c r="K4219" s="6" t="b">
        <f t="shared" ref="K4219:M4219" si="4013">FALSE()</f>
        <v>0</v>
      </c>
      <c r="L4219" s="6" t="b">
        <f t="shared" si="4013"/>
        <v>0</v>
      </c>
      <c r="M4219" s="6" t="b">
        <f t="shared" si="4013"/>
        <v>0</v>
      </c>
      <c r="N4219" s="4">
        <v>0.0237848836559204</v>
      </c>
      <c r="P4219" s="4">
        <v>0.187309098304994</v>
      </c>
      <c r="T4219" s="4">
        <f t="shared" si="3"/>
        <v>1651</v>
      </c>
      <c r="U4219" s="4">
        <f t="shared" si="4"/>
        <v>2483</v>
      </c>
    </row>
    <row r="4220" ht="15.75" customHeight="1">
      <c r="A4220" s="4" t="s">
        <v>1016</v>
      </c>
      <c r="B4220" s="4" t="s">
        <v>13</v>
      </c>
      <c r="C4220" s="4">
        <v>0.00642</v>
      </c>
      <c r="D4220" s="4">
        <v>0.0056</v>
      </c>
      <c r="E4220" s="4">
        <v>0.00541</v>
      </c>
      <c r="I4220" s="4">
        <v>0.0827</v>
      </c>
      <c r="J4220" s="4">
        <v>0.0022</v>
      </c>
      <c r="K4220" s="6" t="b">
        <f t="shared" ref="K4220:M4220" si="4014">FALSE()</f>
        <v>0</v>
      </c>
      <c r="L4220" s="6" t="b">
        <f t="shared" si="4014"/>
        <v>0</v>
      </c>
      <c r="M4220" s="6" t="b">
        <f t="shared" si="4014"/>
        <v>0</v>
      </c>
      <c r="N4220" s="4">
        <v>0.0063994795805677</v>
      </c>
      <c r="P4220" s="4">
        <v>0.0794579213347155</v>
      </c>
      <c r="T4220" s="4">
        <f t="shared" si="3"/>
        <v>2000</v>
      </c>
      <c r="U4220" s="4">
        <f t="shared" si="4"/>
        <v>4395</v>
      </c>
    </row>
    <row r="4221" ht="15.75" customHeight="1">
      <c r="A4221" s="4" t="s">
        <v>5114</v>
      </c>
      <c r="B4221" s="4" t="s">
        <v>13</v>
      </c>
      <c r="D4221" s="4">
        <v>0.03</v>
      </c>
      <c r="E4221" s="4">
        <v>0.03</v>
      </c>
      <c r="F4221" s="4">
        <v>0.77</v>
      </c>
      <c r="G4221" s="4">
        <v>0.03</v>
      </c>
      <c r="H4221" s="4">
        <v>0.03</v>
      </c>
      <c r="K4221" s="6" t="b">
        <f t="shared" ref="K4221:M4221" si="4015">FALSE()</f>
        <v>0</v>
      </c>
      <c r="L4221" s="6" t="b">
        <f t="shared" si="4015"/>
        <v>0</v>
      </c>
      <c r="M4221" s="6" t="b">
        <f t="shared" si="4015"/>
        <v>0</v>
      </c>
      <c r="O4221" s="4">
        <v>0.570979546585738</v>
      </c>
      <c r="T4221" s="4" t="str">
        <f t="shared" si="3"/>
        <v/>
      </c>
      <c r="U4221" s="4" t="str">
        <f t="shared" si="4"/>
        <v/>
      </c>
    </row>
    <row r="4222" ht="15.75" customHeight="1">
      <c r="A4222" s="4" t="s">
        <v>5115</v>
      </c>
      <c r="B4222" s="4" t="s">
        <v>13</v>
      </c>
      <c r="D4222" s="4">
        <v>0.1418</v>
      </c>
      <c r="E4222" s="4">
        <v>0.1418</v>
      </c>
      <c r="F4222" s="4">
        <v>0.51597</v>
      </c>
      <c r="G4222" s="4">
        <v>0.1418</v>
      </c>
      <c r="H4222" s="4">
        <v>0.1418</v>
      </c>
      <c r="K4222" s="6" t="b">
        <f t="shared" ref="K4222:M4222" si="4016">FALSE()</f>
        <v>0</v>
      </c>
      <c r="L4222" s="6" t="b">
        <f t="shared" si="4016"/>
        <v>0</v>
      </c>
      <c r="M4222" s="6" t="b">
        <f t="shared" si="4016"/>
        <v>0</v>
      </c>
      <c r="O4222" s="4">
        <v>0.416055498106171</v>
      </c>
      <c r="T4222" s="4" t="str">
        <f t="shared" si="3"/>
        <v/>
      </c>
      <c r="U4222" s="4" t="str">
        <f t="shared" si="4"/>
        <v/>
      </c>
    </row>
    <row r="4223" ht="15.75" customHeight="1">
      <c r="A4223" s="4" t="s">
        <v>5116</v>
      </c>
      <c r="B4223" s="4" t="s">
        <v>13</v>
      </c>
      <c r="I4223" s="4">
        <v>0.531</v>
      </c>
      <c r="J4223" s="4">
        <v>0.067</v>
      </c>
      <c r="K4223" s="6" t="b">
        <f t="shared" ref="K4223:M4223" si="4017">FALSE()</f>
        <v>0</v>
      </c>
      <c r="L4223" s="6" t="b">
        <f t="shared" si="4017"/>
        <v>0</v>
      </c>
      <c r="M4223" s="6" t="b">
        <f t="shared" si="4017"/>
        <v>0</v>
      </c>
      <c r="P4223" s="4">
        <v>0.425921116675547</v>
      </c>
      <c r="T4223" s="4" t="str">
        <f t="shared" si="3"/>
        <v/>
      </c>
      <c r="U4223" s="4">
        <f t="shared" si="4"/>
        <v>991</v>
      </c>
    </row>
    <row r="4224" ht="15.75" customHeight="1">
      <c r="A4224" s="4" t="s">
        <v>5117</v>
      </c>
      <c r="B4224" s="4" t="s">
        <v>13</v>
      </c>
      <c r="I4224" s="4">
        <v>0.186</v>
      </c>
      <c r="J4224" s="4">
        <v>0.008</v>
      </c>
      <c r="K4224" s="6" t="b">
        <f t="shared" ref="K4224:M4224" si="4018">FALSE()</f>
        <v>0</v>
      </c>
      <c r="L4224" s="6" t="b">
        <f t="shared" si="4018"/>
        <v>0</v>
      </c>
      <c r="M4224" s="6" t="b">
        <f t="shared" si="4018"/>
        <v>0</v>
      </c>
      <c r="P4224" s="4">
        <v>0.170586300575534</v>
      </c>
      <c r="T4224" s="4" t="str">
        <f t="shared" si="3"/>
        <v/>
      </c>
      <c r="U4224" s="4">
        <f t="shared" si="4"/>
        <v>2812</v>
      </c>
    </row>
    <row r="4225" ht="15.75" customHeight="1">
      <c r="A4225" s="4" t="s">
        <v>5118</v>
      </c>
      <c r="B4225" s="4" t="s">
        <v>13</v>
      </c>
      <c r="I4225" s="4">
        <v>0.277</v>
      </c>
      <c r="J4225" s="4">
        <v>0.021</v>
      </c>
      <c r="K4225" s="6" t="b">
        <f t="shared" ref="K4225:M4225" si="4019">FALSE()</f>
        <v>0</v>
      </c>
      <c r="L4225" s="6" t="b">
        <f t="shared" si="4019"/>
        <v>0</v>
      </c>
      <c r="M4225" s="6" t="b">
        <f t="shared" si="4019"/>
        <v>0</v>
      </c>
      <c r="P4225" s="4">
        <v>0.244513577050402</v>
      </c>
      <c r="T4225" s="4" t="str">
        <f t="shared" si="3"/>
        <v/>
      </c>
      <c r="U4225" s="4">
        <f t="shared" si="4"/>
        <v>1535</v>
      </c>
    </row>
    <row r="4226" ht="15.75" customHeight="1">
      <c r="A4226" s="4" t="s">
        <v>5119</v>
      </c>
      <c r="B4226" s="4" t="s">
        <v>13</v>
      </c>
      <c r="I4226" s="4">
        <v>0.908</v>
      </c>
      <c r="J4226" s="4">
        <v>0.069</v>
      </c>
      <c r="K4226" s="6" t="b">
        <f t="shared" ref="K4226:L4226" si="4020">FALSE()</f>
        <v>0</v>
      </c>
      <c r="L4226" s="6" t="b">
        <f t="shared" si="4020"/>
        <v>0</v>
      </c>
      <c r="M4226" s="6" t="b">
        <f>TRUE()</f>
        <v>1</v>
      </c>
      <c r="P4226" s="4">
        <v>0.646055573026095</v>
      </c>
      <c r="T4226" s="4" t="str">
        <f t="shared" si="3"/>
        <v/>
      </c>
      <c r="U4226" s="4">
        <f t="shared" si="4"/>
        <v>757</v>
      </c>
    </row>
    <row r="4227" ht="15.75" customHeight="1">
      <c r="A4227" s="4" t="s">
        <v>5120</v>
      </c>
      <c r="B4227" s="4" t="s">
        <v>13</v>
      </c>
      <c r="I4227" s="4">
        <v>0.25</v>
      </c>
      <c r="J4227" s="4">
        <v>0.02</v>
      </c>
      <c r="K4227" s="6" t="b">
        <f t="shared" ref="K4227:M4227" si="4021">FALSE()</f>
        <v>0</v>
      </c>
      <c r="L4227" s="6" t="b">
        <f t="shared" si="4021"/>
        <v>0</v>
      </c>
      <c r="M4227" s="6" t="b">
        <f t="shared" si="4021"/>
        <v>0</v>
      </c>
      <c r="P4227" s="4">
        <v>0.22314355131421</v>
      </c>
      <c r="T4227" s="4" t="str">
        <f t="shared" si="3"/>
        <v/>
      </c>
      <c r="U4227" s="4">
        <f t="shared" si="4"/>
        <v>1812</v>
      </c>
    </row>
    <row r="4228" ht="15.75" customHeight="1">
      <c r="A4228" s="4" t="s">
        <v>5121</v>
      </c>
      <c r="B4228" s="4" t="s">
        <v>13</v>
      </c>
      <c r="I4228" s="4">
        <v>0.822</v>
      </c>
      <c r="J4228" s="4">
        <v>0.05</v>
      </c>
      <c r="K4228" s="6" t="b">
        <f t="shared" ref="K4228:L4228" si="4022">FALSE()</f>
        <v>0</v>
      </c>
      <c r="L4228" s="6" t="b">
        <f t="shared" si="4022"/>
        <v>0</v>
      </c>
      <c r="M4228" s="6" t="b">
        <f>TRUE()</f>
        <v>1</v>
      </c>
      <c r="P4228" s="4">
        <v>0.599934798837767</v>
      </c>
      <c r="T4228" s="4" t="str">
        <f t="shared" si="3"/>
        <v/>
      </c>
      <c r="U4228" s="4">
        <f t="shared" si="4"/>
        <v>823</v>
      </c>
    </row>
    <row r="4229" ht="15.75" customHeight="1">
      <c r="A4229" s="4" t="s">
        <v>5122</v>
      </c>
      <c r="B4229" s="4" t="s">
        <v>13</v>
      </c>
      <c r="I4229" s="4">
        <v>0.548</v>
      </c>
      <c r="J4229" s="4">
        <v>0.062</v>
      </c>
      <c r="K4229" s="6" t="b">
        <f t="shared" ref="K4229:M4229" si="4023">FALSE()</f>
        <v>0</v>
      </c>
      <c r="L4229" s="6" t="b">
        <f t="shared" si="4023"/>
        <v>0</v>
      </c>
      <c r="M4229" s="6" t="b">
        <f t="shared" si="4023"/>
        <v>0</v>
      </c>
      <c r="P4229" s="4">
        <v>0.436963775167535</v>
      </c>
      <c r="T4229" s="4" t="str">
        <f t="shared" si="3"/>
        <v/>
      </c>
      <c r="U4229" s="4">
        <f t="shared" si="4"/>
        <v>978</v>
      </c>
    </row>
    <row r="4230" ht="15.75" customHeight="1">
      <c r="A4230" s="4" t="s">
        <v>5123</v>
      </c>
      <c r="B4230" s="4" t="s">
        <v>13</v>
      </c>
      <c r="I4230" s="4">
        <v>0.368</v>
      </c>
      <c r="J4230" s="4">
        <v>0.028</v>
      </c>
      <c r="K4230" s="6" t="b">
        <f t="shared" ref="K4230:M4230" si="4024">FALSE()</f>
        <v>0</v>
      </c>
      <c r="L4230" s="6" t="b">
        <f t="shared" si="4024"/>
        <v>0</v>
      </c>
      <c r="M4230" s="6" t="b">
        <f t="shared" si="4024"/>
        <v>0</v>
      </c>
      <c r="P4230" s="4">
        <v>0.313349819200359</v>
      </c>
      <c r="T4230" s="4" t="str">
        <f t="shared" si="3"/>
        <v/>
      </c>
      <c r="U4230" s="4">
        <f t="shared" si="4"/>
        <v>1167</v>
      </c>
    </row>
    <row r="4231" ht="15.75" customHeight="1">
      <c r="A4231" s="4" t="s">
        <v>5124</v>
      </c>
      <c r="B4231" s="4" t="s">
        <v>13</v>
      </c>
      <c r="I4231" s="4">
        <v>0.328</v>
      </c>
      <c r="J4231" s="4">
        <v>0.04</v>
      </c>
      <c r="K4231" s="6" t="b">
        <f t="shared" ref="K4231:M4231" si="4025">FALSE()</f>
        <v>0</v>
      </c>
      <c r="L4231" s="6" t="b">
        <f t="shared" si="4025"/>
        <v>0</v>
      </c>
      <c r="M4231" s="6" t="b">
        <f t="shared" si="4025"/>
        <v>0</v>
      </c>
      <c r="P4231" s="4">
        <v>0.283674051054242</v>
      </c>
      <c r="T4231" s="4" t="str">
        <f t="shared" si="3"/>
        <v/>
      </c>
      <c r="U4231" s="4">
        <f t="shared" si="4"/>
        <v>1268</v>
      </c>
    </row>
    <row r="4232" ht="15.75" customHeight="1">
      <c r="A4232" s="4" t="s">
        <v>5125</v>
      </c>
      <c r="B4232" s="4" t="s">
        <v>13</v>
      </c>
      <c r="I4232" s="4">
        <v>0.2</v>
      </c>
      <c r="J4232" s="4">
        <v>0.026</v>
      </c>
      <c r="K4232" s="6" t="b">
        <f t="shared" ref="K4232:M4232" si="4026">FALSE()</f>
        <v>0</v>
      </c>
      <c r="L4232" s="6" t="b">
        <f t="shared" si="4026"/>
        <v>0</v>
      </c>
      <c r="M4232" s="6" t="b">
        <f t="shared" si="4026"/>
        <v>0</v>
      </c>
      <c r="P4232" s="4">
        <v>0.182321556793955</v>
      </c>
      <c r="T4232" s="4" t="str">
        <f t="shared" si="3"/>
        <v/>
      </c>
      <c r="U4232" s="4">
        <f t="shared" si="4"/>
        <v>2591</v>
      </c>
    </row>
    <row r="4233" ht="15.75" customHeight="1">
      <c r="A4233" s="4" t="s">
        <v>5126</v>
      </c>
      <c r="B4233" s="4" t="s">
        <v>13</v>
      </c>
      <c r="I4233" s="4">
        <v>0.153</v>
      </c>
      <c r="J4233" s="4">
        <v>0.021</v>
      </c>
      <c r="K4233" s="6" t="b">
        <f t="shared" ref="K4233:M4233" si="4027">FALSE()</f>
        <v>0</v>
      </c>
      <c r="L4233" s="6" t="b">
        <f t="shared" si="4027"/>
        <v>0</v>
      </c>
      <c r="M4233" s="6" t="b">
        <f t="shared" si="4027"/>
        <v>0</v>
      </c>
      <c r="P4233" s="4">
        <v>0.142367241286922</v>
      </c>
      <c r="T4233" s="4" t="str">
        <f t="shared" si="3"/>
        <v/>
      </c>
      <c r="U4233" s="4">
        <f t="shared" si="4"/>
        <v>3284</v>
      </c>
    </row>
    <row r="4234" ht="15.75" customHeight="1">
      <c r="A4234" s="4" t="s">
        <v>1017</v>
      </c>
      <c r="B4234" s="4" t="s">
        <v>13</v>
      </c>
      <c r="C4234" s="4">
        <v>0.668</v>
      </c>
      <c r="D4234" s="4">
        <v>0.035</v>
      </c>
      <c r="E4234" s="4">
        <v>0.038</v>
      </c>
      <c r="I4234" s="4">
        <v>1.304</v>
      </c>
      <c r="J4234" s="4">
        <v>0.033</v>
      </c>
      <c r="K4234" s="6" t="b">
        <f t="shared" ref="K4234:L4234" si="4028">FALSE()</f>
        <v>0</v>
      </c>
      <c r="L4234" s="6" t="b">
        <f t="shared" si="4028"/>
        <v>0</v>
      </c>
      <c r="M4234" s="6" t="b">
        <f>TRUE()</f>
        <v>1</v>
      </c>
      <c r="N4234" s="4">
        <v>0.511625303936555</v>
      </c>
      <c r="P4234" s="4">
        <v>0.834646742833645</v>
      </c>
      <c r="T4234" s="4">
        <f t="shared" si="3"/>
        <v>841</v>
      </c>
      <c r="U4234" s="4">
        <f t="shared" si="4"/>
        <v>245</v>
      </c>
    </row>
    <row r="4235" ht="15.75" customHeight="1">
      <c r="A4235" s="4" t="s">
        <v>5127</v>
      </c>
      <c r="B4235" s="4" t="s">
        <v>13</v>
      </c>
      <c r="I4235" s="4">
        <v>0.534</v>
      </c>
      <c r="J4235" s="4">
        <v>0.045</v>
      </c>
      <c r="K4235" s="6" t="b">
        <f t="shared" ref="K4235:M4235" si="4029">FALSE()</f>
        <v>0</v>
      </c>
      <c r="L4235" s="6" t="b">
        <f t="shared" si="4029"/>
        <v>0</v>
      </c>
      <c r="M4235" s="6" t="b">
        <f t="shared" si="4029"/>
        <v>0</v>
      </c>
      <c r="P4235" s="4">
        <v>0.427878702945064</v>
      </c>
      <c r="T4235" s="4" t="str">
        <f t="shared" si="3"/>
        <v/>
      </c>
      <c r="U4235" s="4">
        <f t="shared" si="4"/>
        <v>990</v>
      </c>
    </row>
    <row r="4236" ht="15.75" customHeight="1">
      <c r="A4236" s="4" t="s">
        <v>5128</v>
      </c>
      <c r="B4236" s="4" t="s">
        <v>13</v>
      </c>
      <c r="I4236" s="4">
        <v>0.253</v>
      </c>
      <c r="J4236" s="4">
        <v>0.04</v>
      </c>
      <c r="K4236" s="6" t="b">
        <f t="shared" ref="K4236:M4236" si="4030">FALSE()</f>
        <v>0</v>
      </c>
      <c r="L4236" s="6" t="b">
        <f t="shared" si="4030"/>
        <v>0</v>
      </c>
      <c r="M4236" s="6" t="b">
        <f t="shared" si="4030"/>
        <v>0</v>
      </c>
      <c r="P4236" s="4">
        <v>0.225540675913931</v>
      </c>
      <c r="T4236" s="4" t="str">
        <f t="shared" si="3"/>
        <v/>
      </c>
      <c r="U4236" s="4">
        <f t="shared" si="4"/>
        <v>1773</v>
      </c>
    </row>
    <row r="4237" ht="15.75" customHeight="1">
      <c r="A4237" s="4" t="s">
        <v>5129</v>
      </c>
      <c r="B4237" s="4" t="s">
        <v>13</v>
      </c>
      <c r="I4237" s="4">
        <v>0.818</v>
      </c>
      <c r="J4237" s="4">
        <v>0.052</v>
      </c>
      <c r="K4237" s="6" t="b">
        <f t="shared" ref="K4237:L4237" si="4031">FALSE()</f>
        <v>0</v>
      </c>
      <c r="L4237" s="6" t="b">
        <f t="shared" si="4031"/>
        <v>0</v>
      </c>
      <c r="M4237" s="6" t="b">
        <f>TRUE()</f>
        <v>1</v>
      </c>
      <c r="P4237" s="4">
        <v>0.597736995755287</v>
      </c>
      <c r="T4237" s="4" t="str">
        <f t="shared" si="3"/>
        <v/>
      </c>
      <c r="U4237" s="4">
        <f t="shared" si="4"/>
        <v>828</v>
      </c>
    </row>
    <row r="4238" ht="15.75" customHeight="1">
      <c r="A4238" s="4" t="s">
        <v>5130</v>
      </c>
      <c r="B4238" s="4" t="s">
        <v>13</v>
      </c>
      <c r="I4238" s="4">
        <v>0.732</v>
      </c>
      <c r="J4238" s="4">
        <v>0.124</v>
      </c>
      <c r="K4238" s="6" t="b">
        <f t="shared" ref="K4238:M4238" si="4032">FALSE()</f>
        <v>0</v>
      </c>
      <c r="L4238" s="6" t="b">
        <f t="shared" si="4032"/>
        <v>0</v>
      </c>
      <c r="M4238" s="6" t="b">
        <f t="shared" si="4032"/>
        <v>0</v>
      </c>
      <c r="P4238" s="4">
        <v>0.549276810140243</v>
      </c>
      <c r="T4238" s="4" t="str">
        <f t="shared" si="3"/>
        <v/>
      </c>
      <c r="U4238" s="4">
        <f t="shared" si="4"/>
        <v>883</v>
      </c>
    </row>
    <row r="4239" ht="15.75" customHeight="1">
      <c r="A4239" s="4" t="s">
        <v>5131</v>
      </c>
      <c r="B4239" s="4" t="s">
        <v>13</v>
      </c>
      <c r="I4239" s="4">
        <v>0.233</v>
      </c>
      <c r="J4239" s="4">
        <v>0.038</v>
      </c>
      <c r="K4239" s="6" t="b">
        <f t="shared" ref="K4239:M4239" si="4033">FALSE()</f>
        <v>0</v>
      </c>
      <c r="L4239" s="6" t="b">
        <f t="shared" si="4033"/>
        <v>0</v>
      </c>
      <c r="M4239" s="6" t="b">
        <f t="shared" si="4033"/>
        <v>0</v>
      </c>
      <c r="P4239" s="4">
        <v>0.209450224182207</v>
      </c>
      <c r="T4239" s="4" t="str">
        <f t="shared" si="3"/>
        <v/>
      </c>
      <c r="U4239" s="4">
        <f t="shared" si="4"/>
        <v>2060</v>
      </c>
    </row>
    <row r="4240" ht="15.75" customHeight="1">
      <c r="A4240" s="4" t="s">
        <v>5132</v>
      </c>
      <c r="B4240" s="4" t="s">
        <v>13</v>
      </c>
      <c r="I4240" s="4">
        <v>0.188</v>
      </c>
      <c r="J4240" s="4">
        <v>0.007</v>
      </c>
      <c r="K4240" s="6" t="b">
        <f t="shared" ref="K4240:M4240" si="4034">FALSE()</f>
        <v>0</v>
      </c>
      <c r="L4240" s="6" t="b">
        <f t="shared" si="4034"/>
        <v>0</v>
      </c>
      <c r="M4240" s="6" t="b">
        <f t="shared" si="4034"/>
        <v>0</v>
      </c>
      <c r="P4240" s="4">
        <v>0.172271220940453</v>
      </c>
      <c r="T4240" s="4" t="str">
        <f t="shared" si="3"/>
        <v/>
      </c>
      <c r="U4240" s="4">
        <f t="shared" si="4"/>
        <v>2776</v>
      </c>
    </row>
    <row r="4241" ht="15.75" customHeight="1">
      <c r="A4241" s="4" t="s">
        <v>5133</v>
      </c>
      <c r="B4241" s="4" t="s">
        <v>13</v>
      </c>
      <c r="I4241" s="4">
        <v>0.119</v>
      </c>
      <c r="J4241" s="4">
        <v>0.009</v>
      </c>
      <c r="K4241" s="6" t="b">
        <f t="shared" ref="K4241:M4241" si="4035">FALSE()</f>
        <v>0</v>
      </c>
      <c r="L4241" s="6" t="b">
        <f t="shared" si="4035"/>
        <v>0</v>
      </c>
      <c r="M4241" s="6" t="b">
        <f t="shared" si="4035"/>
        <v>0</v>
      </c>
      <c r="P4241" s="4">
        <v>0.112435429329788</v>
      </c>
      <c r="T4241" s="4" t="str">
        <f t="shared" si="3"/>
        <v/>
      </c>
      <c r="U4241" s="4">
        <f t="shared" si="4"/>
        <v>3895</v>
      </c>
    </row>
    <row r="4242" ht="15.75" customHeight="1">
      <c r="A4242" s="4" t="s">
        <v>5134</v>
      </c>
      <c r="B4242" s="4" t="s">
        <v>13</v>
      </c>
      <c r="I4242" s="4">
        <v>0.261</v>
      </c>
      <c r="J4242" s="4">
        <v>0.025</v>
      </c>
      <c r="K4242" s="6" t="b">
        <f t="shared" ref="K4242:M4242" si="4036">FALSE()</f>
        <v>0</v>
      </c>
      <c r="L4242" s="6" t="b">
        <f t="shared" si="4036"/>
        <v>0</v>
      </c>
      <c r="M4242" s="6" t="b">
        <f t="shared" si="4036"/>
        <v>0</v>
      </c>
      <c r="P4242" s="4">
        <v>0.231905056982783</v>
      </c>
      <c r="T4242" s="4" t="str">
        <f t="shared" si="3"/>
        <v/>
      </c>
      <c r="U4242" s="4">
        <f t="shared" si="4"/>
        <v>1676</v>
      </c>
    </row>
    <row r="4243" ht="15.75" customHeight="1">
      <c r="A4243" s="4" t="s">
        <v>5135</v>
      </c>
      <c r="B4243" s="4" t="s">
        <v>13</v>
      </c>
      <c r="I4243" s="4">
        <v>0.261</v>
      </c>
      <c r="J4243" s="4">
        <v>0.017</v>
      </c>
      <c r="K4243" s="6" t="b">
        <f t="shared" ref="K4243:M4243" si="4037">FALSE()</f>
        <v>0</v>
      </c>
      <c r="L4243" s="6" t="b">
        <f t="shared" si="4037"/>
        <v>0</v>
      </c>
      <c r="M4243" s="6" t="b">
        <f t="shared" si="4037"/>
        <v>0</v>
      </c>
      <c r="P4243" s="4">
        <v>0.231905056982783</v>
      </c>
      <c r="T4243" s="4" t="str">
        <f t="shared" si="3"/>
        <v/>
      </c>
      <c r="U4243" s="4">
        <f t="shared" si="4"/>
        <v>1677</v>
      </c>
    </row>
    <row r="4244" ht="15.75" customHeight="1">
      <c r="A4244" s="4" t="s">
        <v>1018</v>
      </c>
      <c r="B4244" s="4" t="s">
        <v>13</v>
      </c>
      <c r="C4244" s="4">
        <v>0.0014</v>
      </c>
      <c r="I4244" s="4">
        <v>0.068</v>
      </c>
      <c r="K4244" s="6" t="b">
        <f t="shared" ref="K4244:M4244" si="4038">FALSE()</f>
        <v>0</v>
      </c>
      <c r="L4244" s="6" t="b">
        <f t="shared" si="4038"/>
        <v>0</v>
      </c>
      <c r="M4244" s="6" t="b">
        <f t="shared" si="4038"/>
        <v>0</v>
      </c>
      <c r="N4244" s="4">
        <v>0.0013990209137073</v>
      </c>
      <c r="P4244" s="4">
        <v>0.0657877405380031</v>
      </c>
      <c r="T4244" s="4">
        <f t="shared" si="3"/>
        <v>2070</v>
      </c>
      <c r="U4244" s="4">
        <f t="shared" si="4"/>
        <v>4501</v>
      </c>
    </row>
    <row r="4245" ht="15.75" customHeight="1">
      <c r="A4245" s="4" t="s">
        <v>1019</v>
      </c>
      <c r="B4245" s="4" t="s">
        <v>13</v>
      </c>
      <c r="C4245" s="4">
        <v>0.0021</v>
      </c>
      <c r="I4245" s="4">
        <v>0.077</v>
      </c>
      <c r="K4245" s="6" t="b">
        <f t="shared" ref="K4245:M4245" si="4039">FALSE()</f>
        <v>0</v>
      </c>
      <c r="L4245" s="6" t="b">
        <f t="shared" si="4039"/>
        <v>0</v>
      </c>
      <c r="M4245" s="6" t="b">
        <f t="shared" si="4039"/>
        <v>0</v>
      </c>
      <c r="N4245" s="4">
        <v>0.0020977980821461</v>
      </c>
      <c r="P4245" s="4">
        <v>0.0741793981742515</v>
      </c>
      <c r="T4245" s="4">
        <f t="shared" si="3"/>
        <v>2064</v>
      </c>
      <c r="U4245" s="4">
        <f t="shared" si="4"/>
        <v>4446</v>
      </c>
    </row>
    <row r="4246" ht="15.75" customHeight="1">
      <c r="A4246" s="4" t="s">
        <v>5136</v>
      </c>
      <c r="B4246" s="4" t="s">
        <v>13</v>
      </c>
      <c r="I4246" s="4">
        <v>0.168</v>
      </c>
      <c r="J4246" s="4">
        <v>0.013</v>
      </c>
      <c r="K4246" s="6" t="b">
        <f t="shared" ref="K4246:M4246" si="4040">FALSE()</f>
        <v>0</v>
      </c>
      <c r="L4246" s="6" t="b">
        <f t="shared" si="4040"/>
        <v>0</v>
      </c>
      <c r="M4246" s="6" t="b">
        <f t="shared" si="4040"/>
        <v>0</v>
      </c>
      <c r="P4246" s="4">
        <v>0.155292884406035</v>
      </c>
      <c r="T4246" s="4" t="str">
        <f t="shared" si="3"/>
        <v/>
      </c>
      <c r="U4246" s="4">
        <f t="shared" si="4"/>
        <v>3081</v>
      </c>
    </row>
    <row r="4247" ht="15.75" customHeight="1">
      <c r="A4247" s="4" t="s">
        <v>5137</v>
      </c>
      <c r="B4247" s="4" t="s">
        <v>13</v>
      </c>
      <c r="I4247" s="4">
        <v>0.304</v>
      </c>
      <c r="J4247" s="4">
        <v>0.056</v>
      </c>
      <c r="K4247" s="6" t="b">
        <f t="shared" ref="K4247:M4247" si="4041">FALSE()</f>
        <v>0</v>
      </c>
      <c r="L4247" s="6" t="b">
        <f t="shared" si="4041"/>
        <v>0</v>
      </c>
      <c r="M4247" s="6" t="b">
        <f t="shared" si="4041"/>
        <v>0</v>
      </c>
      <c r="P4247" s="4">
        <v>0.265436463504461</v>
      </c>
      <c r="T4247" s="4" t="str">
        <f t="shared" si="3"/>
        <v/>
      </c>
      <c r="U4247" s="4">
        <f t="shared" si="4"/>
        <v>1354</v>
      </c>
    </row>
    <row r="4248" ht="15.75" customHeight="1">
      <c r="A4248" s="4" t="s">
        <v>5138</v>
      </c>
      <c r="B4248" s="4" t="s">
        <v>13</v>
      </c>
      <c r="I4248" s="4">
        <v>0.304</v>
      </c>
      <c r="J4248" s="4">
        <v>0.01</v>
      </c>
      <c r="K4248" s="6" t="b">
        <f t="shared" ref="K4248:M4248" si="4042">FALSE()</f>
        <v>0</v>
      </c>
      <c r="L4248" s="6" t="b">
        <f t="shared" si="4042"/>
        <v>0</v>
      </c>
      <c r="M4248" s="6" t="b">
        <f t="shared" si="4042"/>
        <v>0</v>
      </c>
      <c r="P4248" s="4">
        <v>0.265436463504461</v>
      </c>
      <c r="T4248" s="4" t="str">
        <f t="shared" si="3"/>
        <v/>
      </c>
      <c r="U4248" s="4">
        <f t="shared" si="4"/>
        <v>1355</v>
      </c>
    </row>
    <row r="4249" ht="15.75" customHeight="1">
      <c r="A4249" s="4" t="s">
        <v>5139</v>
      </c>
      <c r="B4249" s="4" t="s">
        <v>13</v>
      </c>
      <c r="I4249" s="4">
        <v>0.433</v>
      </c>
      <c r="J4249" s="4">
        <v>0.037</v>
      </c>
      <c r="K4249" s="6" t="b">
        <f t="shared" ref="K4249:M4249" si="4043">FALSE()</f>
        <v>0</v>
      </c>
      <c r="L4249" s="6" t="b">
        <f t="shared" si="4043"/>
        <v>0</v>
      </c>
      <c r="M4249" s="6" t="b">
        <f t="shared" si="4043"/>
        <v>0</v>
      </c>
      <c r="P4249" s="4">
        <v>0.359770148846035</v>
      </c>
      <c r="T4249" s="4" t="str">
        <f t="shared" si="3"/>
        <v/>
      </c>
      <c r="U4249" s="4">
        <f t="shared" si="4"/>
        <v>1075</v>
      </c>
    </row>
    <row r="4250" ht="15.75" customHeight="1">
      <c r="A4250" s="4" t="s">
        <v>5140</v>
      </c>
      <c r="B4250" s="4" t="s">
        <v>13</v>
      </c>
      <c r="I4250" s="4">
        <v>0.221</v>
      </c>
      <c r="J4250" s="4">
        <v>0.026</v>
      </c>
      <c r="K4250" s="6" t="b">
        <f t="shared" ref="K4250:M4250" si="4044">FALSE()</f>
        <v>0</v>
      </c>
      <c r="L4250" s="6" t="b">
        <f t="shared" si="4044"/>
        <v>0</v>
      </c>
      <c r="M4250" s="6" t="b">
        <f t="shared" si="4044"/>
        <v>0</v>
      </c>
      <c r="P4250" s="4">
        <v>0.199670195128568</v>
      </c>
      <c r="T4250" s="4" t="str">
        <f t="shared" si="3"/>
        <v/>
      </c>
      <c r="U4250" s="4">
        <f t="shared" si="4"/>
        <v>2250</v>
      </c>
    </row>
    <row r="4251" ht="15.75" customHeight="1">
      <c r="A4251" s="4" t="s">
        <v>5141</v>
      </c>
      <c r="B4251" s="4" t="s">
        <v>13</v>
      </c>
      <c r="I4251" s="4">
        <v>0.863</v>
      </c>
      <c r="J4251" s="4">
        <v>0.09</v>
      </c>
      <c r="K4251" s="6" t="b">
        <f t="shared" ref="K4251:L4251" si="4045">FALSE()</f>
        <v>0</v>
      </c>
      <c r="L4251" s="6" t="b">
        <f t="shared" si="4045"/>
        <v>0</v>
      </c>
      <c r="M4251" s="6" t="b">
        <f>TRUE()</f>
        <v>1</v>
      </c>
      <c r="P4251" s="4">
        <v>0.622188091619451</v>
      </c>
      <c r="T4251" s="4" t="str">
        <f t="shared" si="3"/>
        <v/>
      </c>
      <c r="U4251" s="4">
        <f t="shared" si="4"/>
        <v>793</v>
      </c>
    </row>
    <row r="4252" ht="15.75" customHeight="1">
      <c r="A4252" s="4" t="s">
        <v>5142</v>
      </c>
      <c r="B4252" s="4" t="s">
        <v>13</v>
      </c>
      <c r="I4252" s="4">
        <v>0.335</v>
      </c>
      <c r="J4252" s="4">
        <v>0.045</v>
      </c>
      <c r="K4252" s="6" t="b">
        <f t="shared" ref="K4252:M4252" si="4046">FALSE()</f>
        <v>0</v>
      </c>
      <c r="L4252" s="6" t="b">
        <f t="shared" si="4046"/>
        <v>0</v>
      </c>
      <c r="M4252" s="6" t="b">
        <f t="shared" si="4046"/>
        <v>0</v>
      </c>
      <c r="P4252" s="4">
        <v>0.288931291852213</v>
      </c>
      <c r="T4252" s="4" t="str">
        <f t="shared" si="3"/>
        <v/>
      </c>
      <c r="U4252" s="4">
        <f t="shared" si="4"/>
        <v>1247</v>
      </c>
    </row>
    <row r="4253" ht="15.75" customHeight="1">
      <c r="A4253" s="4" t="s">
        <v>5143</v>
      </c>
      <c r="B4253" s="4" t="s">
        <v>13</v>
      </c>
      <c r="I4253" s="4">
        <v>0.259</v>
      </c>
      <c r="J4253" s="4">
        <v>0.015</v>
      </c>
      <c r="K4253" s="6" t="b">
        <f t="shared" ref="K4253:M4253" si="4047">FALSE()</f>
        <v>0</v>
      </c>
      <c r="L4253" s="6" t="b">
        <f t="shared" si="4047"/>
        <v>0</v>
      </c>
      <c r="M4253" s="6" t="b">
        <f t="shared" si="4047"/>
        <v>0</v>
      </c>
      <c r="P4253" s="4">
        <v>0.23031775506221</v>
      </c>
      <c r="T4253" s="4" t="str">
        <f t="shared" si="3"/>
        <v/>
      </c>
      <c r="U4253" s="4">
        <f t="shared" si="4"/>
        <v>1703</v>
      </c>
    </row>
    <row r="4254" ht="15.75" customHeight="1">
      <c r="A4254" s="4" t="s">
        <v>5144</v>
      </c>
      <c r="B4254" s="4" t="s">
        <v>13</v>
      </c>
      <c r="I4254" s="4">
        <v>0.124</v>
      </c>
      <c r="K4254" s="6" t="b">
        <f t="shared" ref="K4254:M4254" si="4048">FALSE()</f>
        <v>0</v>
      </c>
      <c r="L4254" s="6" t="b">
        <f t="shared" si="4048"/>
        <v>0</v>
      </c>
      <c r="M4254" s="6" t="b">
        <f t="shared" si="4048"/>
        <v>0</v>
      </c>
      <c r="P4254" s="4">
        <v>0.116893751471499</v>
      </c>
      <c r="T4254" s="4" t="str">
        <f t="shared" si="3"/>
        <v/>
      </c>
      <c r="U4254" s="4">
        <f t="shared" si="4"/>
        <v>3804</v>
      </c>
    </row>
    <row r="4255" ht="15.75" customHeight="1">
      <c r="A4255" s="4" t="s">
        <v>5145</v>
      </c>
      <c r="B4255" s="4" t="s">
        <v>13</v>
      </c>
      <c r="I4255" s="4">
        <v>0.216</v>
      </c>
      <c r="J4255" s="4">
        <v>0.031</v>
      </c>
      <c r="K4255" s="6" t="b">
        <f t="shared" ref="K4255:M4255" si="4049">FALSE()</f>
        <v>0</v>
      </c>
      <c r="L4255" s="6" t="b">
        <f t="shared" si="4049"/>
        <v>0</v>
      </c>
      <c r="M4255" s="6" t="b">
        <f t="shared" si="4049"/>
        <v>0</v>
      </c>
      <c r="P4255" s="4">
        <v>0.195566783543975</v>
      </c>
      <c r="T4255" s="4" t="str">
        <f t="shared" si="3"/>
        <v/>
      </c>
      <c r="U4255" s="4">
        <f t="shared" si="4"/>
        <v>2317</v>
      </c>
    </row>
    <row r="4256" ht="15.75" customHeight="1">
      <c r="A4256" s="4" t="s">
        <v>5146</v>
      </c>
      <c r="B4256" s="4" t="s">
        <v>13</v>
      </c>
      <c r="I4256" s="4">
        <v>1.477</v>
      </c>
      <c r="J4256" s="4">
        <v>0.278</v>
      </c>
      <c r="K4256" s="6" t="b">
        <f t="shared" ref="K4256:L4256" si="4050">FALSE()</f>
        <v>0</v>
      </c>
      <c r="L4256" s="6" t="b">
        <f t="shared" si="4050"/>
        <v>0</v>
      </c>
      <c r="M4256" s="6" t="b">
        <f t="shared" ref="M4256:M4259" si="4052">TRUE()</f>
        <v>1</v>
      </c>
      <c r="P4256" s="4">
        <v>0.907048150507222</v>
      </c>
      <c r="T4256" s="4" t="str">
        <f t="shared" si="3"/>
        <v/>
      </c>
      <c r="U4256" s="4">
        <f t="shared" si="4"/>
        <v>129</v>
      </c>
    </row>
    <row r="4257" ht="15.75" customHeight="1">
      <c r="A4257" s="4" t="s">
        <v>5147</v>
      </c>
      <c r="B4257" s="4" t="s">
        <v>13</v>
      </c>
      <c r="I4257" s="4">
        <v>0.76</v>
      </c>
      <c r="J4257" s="4">
        <v>0.08</v>
      </c>
      <c r="K4257" s="6" t="b">
        <f t="shared" ref="K4257:L4257" si="4051">FALSE()</f>
        <v>0</v>
      </c>
      <c r="L4257" s="6" t="b">
        <f t="shared" si="4051"/>
        <v>0</v>
      </c>
      <c r="M4257" s="6" t="b">
        <f t="shared" si="4052"/>
        <v>1</v>
      </c>
      <c r="P4257" s="4">
        <v>0.565313809050061</v>
      </c>
      <c r="T4257" s="4" t="str">
        <f t="shared" si="3"/>
        <v/>
      </c>
      <c r="U4257" s="4">
        <f t="shared" si="4"/>
        <v>868</v>
      </c>
    </row>
    <row r="4258" ht="15.75" customHeight="1">
      <c r="A4258" s="4" t="s">
        <v>5148</v>
      </c>
      <c r="B4258" s="4" t="s">
        <v>13</v>
      </c>
      <c r="I4258" s="4">
        <v>1.11001</v>
      </c>
      <c r="J4258" s="4">
        <v>0.01998</v>
      </c>
      <c r="K4258" s="6" t="b">
        <f t="shared" ref="K4258:L4258" si="4053">FALSE()</f>
        <v>0</v>
      </c>
      <c r="L4258" s="6" t="b">
        <f t="shared" si="4053"/>
        <v>0</v>
      </c>
      <c r="M4258" s="6" t="b">
        <f t="shared" si="4052"/>
        <v>1</v>
      </c>
      <c r="P4258" s="4">
        <v>0.746692686813237</v>
      </c>
      <c r="T4258" s="4" t="str">
        <f t="shared" si="3"/>
        <v/>
      </c>
      <c r="U4258" s="4">
        <f t="shared" si="4"/>
        <v>500</v>
      </c>
    </row>
    <row r="4259" ht="15.75" customHeight="1">
      <c r="A4259" s="4" t="s">
        <v>5149</v>
      </c>
      <c r="B4259" s="4" t="s">
        <v>13</v>
      </c>
      <c r="I4259" s="4">
        <v>0.75</v>
      </c>
      <c r="J4259" s="4">
        <v>0.071</v>
      </c>
      <c r="K4259" s="6" t="b">
        <f t="shared" ref="K4259:L4259" si="4054">FALSE()</f>
        <v>0</v>
      </c>
      <c r="L4259" s="6" t="b">
        <f t="shared" si="4054"/>
        <v>0</v>
      </c>
      <c r="M4259" s="6" t="b">
        <f t="shared" si="4052"/>
        <v>1</v>
      </c>
      <c r="P4259" s="4">
        <v>0.559615787935423</v>
      </c>
      <c r="T4259" s="4" t="str">
        <f t="shared" si="3"/>
        <v/>
      </c>
      <c r="U4259" s="4">
        <f t="shared" si="4"/>
        <v>872</v>
      </c>
    </row>
    <row r="4260" ht="15.75" customHeight="1">
      <c r="A4260" s="4" t="s">
        <v>5150</v>
      </c>
      <c r="B4260" s="4" t="s">
        <v>13</v>
      </c>
      <c r="I4260" s="4">
        <v>0.236</v>
      </c>
      <c r="J4260" s="4">
        <v>0.012</v>
      </c>
      <c r="K4260" s="6" t="b">
        <f t="shared" ref="K4260:M4260" si="4055">FALSE()</f>
        <v>0</v>
      </c>
      <c r="L4260" s="6" t="b">
        <f t="shared" si="4055"/>
        <v>0</v>
      </c>
      <c r="M4260" s="6" t="b">
        <f t="shared" si="4055"/>
        <v>0</v>
      </c>
      <c r="P4260" s="4">
        <v>0.211880359035499</v>
      </c>
      <c r="T4260" s="4" t="str">
        <f t="shared" si="3"/>
        <v/>
      </c>
      <c r="U4260" s="4">
        <f t="shared" si="4"/>
        <v>2022</v>
      </c>
    </row>
    <row r="4261" ht="15.75" customHeight="1">
      <c r="A4261" s="4" t="s">
        <v>5151</v>
      </c>
      <c r="B4261" s="4" t="s">
        <v>13</v>
      </c>
      <c r="I4261" s="4">
        <v>0.235</v>
      </c>
      <c r="J4261" s="4">
        <v>0.026</v>
      </c>
      <c r="K4261" s="6" t="b">
        <f t="shared" ref="K4261:M4261" si="4056">FALSE()</f>
        <v>0</v>
      </c>
      <c r="L4261" s="6" t="b">
        <f t="shared" si="4056"/>
        <v>0</v>
      </c>
      <c r="M4261" s="6" t="b">
        <f t="shared" si="4056"/>
        <v>0</v>
      </c>
      <c r="P4261" s="4">
        <v>0.211070970079941</v>
      </c>
      <c r="T4261" s="4" t="str">
        <f t="shared" si="3"/>
        <v/>
      </c>
      <c r="U4261" s="4">
        <f t="shared" si="4"/>
        <v>2037</v>
      </c>
    </row>
    <row r="4262" ht="15.75" customHeight="1">
      <c r="A4262" s="4" t="s">
        <v>5152</v>
      </c>
      <c r="B4262" s="4" t="s">
        <v>13</v>
      </c>
      <c r="I4262" s="4">
        <v>0.252</v>
      </c>
      <c r="J4262" s="4">
        <v>0.029</v>
      </c>
      <c r="K4262" s="6" t="b">
        <f t="shared" ref="K4262:M4262" si="4057">FALSE()</f>
        <v>0</v>
      </c>
      <c r="L4262" s="6" t="b">
        <f t="shared" si="4057"/>
        <v>0</v>
      </c>
      <c r="M4262" s="6" t="b">
        <f t="shared" si="4057"/>
        <v>0</v>
      </c>
      <c r="P4262" s="4">
        <v>0.224742272677907</v>
      </c>
      <c r="T4262" s="4" t="str">
        <f t="shared" si="3"/>
        <v/>
      </c>
      <c r="U4262" s="4">
        <f t="shared" si="4"/>
        <v>1789</v>
      </c>
    </row>
    <row r="4263" ht="15.75" customHeight="1">
      <c r="A4263" s="4" t="s">
        <v>5153</v>
      </c>
      <c r="B4263" s="4" t="s">
        <v>13</v>
      </c>
      <c r="I4263" s="4">
        <v>1.088</v>
      </c>
      <c r="J4263" s="4">
        <v>0.07</v>
      </c>
      <c r="K4263" s="6" t="b">
        <f t="shared" ref="K4263:L4263" si="4058">FALSE()</f>
        <v>0</v>
      </c>
      <c r="L4263" s="6" t="b">
        <f t="shared" si="4058"/>
        <v>0</v>
      </c>
      <c r="M4263" s="6" t="b">
        <f>TRUE()</f>
        <v>1</v>
      </c>
      <c r="P4263" s="4">
        <v>0.736206670020392</v>
      </c>
      <c r="T4263" s="4" t="str">
        <f t="shared" si="3"/>
        <v/>
      </c>
      <c r="U4263" s="4">
        <f t="shared" si="4"/>
        <v>539</v>
      </c>
    </row>
    <row r="4264" ht="15.75" customHeight="1">
      <c r="A4264" s="4" t="s">
        <v>5154</v>
      </c>
      <c r="B4264" s="4" t="s">
        <v>13</v>
      </c>
      <c r="I4264" s="4">
        <v>0.294</v>
      </c>
      <c r="J4264" s="4">
        <v>0.021</v>
      </c>
      <c r="K4264" s="6" t="b">
        <f t="shared" ref="K4264:M4264" si="4059">FALSE()</f>
        <v>0</v>
      </c>
      <c r="L4264" s="6" t="b">
        <f t="shared" si="4059"/>
        <v>0</v>
      </c>
      <c r="M4264" s="6" t="b">
        <f t="shared" si="4059"/>
        <v>0</v>
      </c>
      <c r="P4264" s="4">
        <v>0.257738196078709</v>
      </c>
      <c r="T4264" s="4" t="str">
        <f t="shared" si="3"/>
        <v/>
      </c>
      <c r="U4264" s="4">
        <f t="shared" si="4"/>
        <v>1416</v>
      </c>
    </row>
    <row r="4265" ht="15.75" customHeight="1">
      <c r="A4265" s="4" t="s">
        <v>5155</v>
      </c>
      <c r="B4265" s="4" t="s">
        <v>13</v>
      </c>
      <c r="I4265" s="4">
        <v>0.948</v>
      </c>
      <c r="J4265" s="4">
        <v>0.053</v>
      </c>
      <c r="K4265" s="6" t="b">
        <f t="shared" ref="K4265:L4265" si="4060">FALSE()</f>
        <v>0</v>
      </c>
      <c r="L4265" s="6" t="b">
        <f t="shared" si="4060"/>
        <v>0</v>
      </c>
      <c r="M4265" s="6" t="b">
        <f>TRUE()</f>
        <v>1</v>
      </c>
      <c r="P4265" s="4">
        <v>0.666803205220343</v>
      </c>
      <c r="T4265" s="4" t="str">
        <f t="shared" si="3"/>
        <v/>
      </c>
      <c r="U4265" s="4">
        <f t="shared" si="4"/>
        <v>729</v>
      </c>
    </row>
    <row r="4266" ht="15.75" customHeight="1">
      <c r="A4266" s="4" t="s">
        <v>5156</v>
      </c>
      <c r="B4266" s="4" t="s">
        <v>13</v>
      </c>
      <c r="D4266" s="4">
        <v>0.009</v>
      </c>
      <c r="E4266" s="4">
        <v>0.009</v>
      </c>
      <c r="F4266" s="4">
        <v>0.031</v>
      </c>
      <c r="G4266" s="4">
        <v>0.009</v>
      </c>
      <c r="H4266" s="4">
        <v>0.009</v>
      </c>
      <c r="K4266" s="6" t="b">
        <f t="shared" ref="K4266:M4266" si="4061">FALSE()</f>
        <v>0</v>
      </c>
      <c r="L4266" s="6" t="b">
        <f t="shared" si="4061"/>
        <v>0</v>
      </c>
      <c r="M4266" s="6" t="b">
        <f t="shared" si="4061"/>
        <v>0</v>
      </c>
      <c r="O4266" s="4">
        <v>0.0305292050348228</v>
      </c>
      <c r="T4266" s="4" t="str">
        <f t="shared" si="3"/>
        <v/>
      </c>
      <c r="U4266" s="4" t="str">
        <f t="shared" si="4"/>
        <v/>
      </c>
    </row>
    <row r="4267" ht="15.75" customHeight="1">
      <c r="A4267" s="4" t="s">
        <v>5157</v>
      </c>
      <c r="B4267" s="4" t="s">
        <v>13</v>
      </c>
      <c r="I4267" s="4">
        <v>0.291</v>
      </c>
      <c r="J4267" s="4">
        <v>0.031</v>
      </c>
      <c r="K4267" s="6" t="b">
        <f t="shared" ref="K4267:M4267" si="4062">FALSE()</f>
        <v>0</v>
      </c>
      <c r="L4267" s="6" t="b">
        <f t="shared" si="4062"/>
        <v>0</v>
      </c>
      <c r="M4267" s="6" t="b">
        <f t="shared" si="4062"/>
        <v>0</v>
      </c>
      <c r="P4267" s="4">
        <v>0.255417111864505</v>
      </c>
      <c r="T4267" s="4" t="str">
        <f t="shared" si="3"/>
        <v/>
      </c>
      <c r="U4267" s="4">
        <f t="shared" si="4"/>
        <v>1432</v>
      </c>
    </row>
    <row r="4268" ht="15.75" customHeight="1">
      <c r="A4268" s="4" t="s">
        <v>5158</v>
      </c>
      <c r="B4268" s="4" t="s">
        <v>13</v>
      </c>
      <c r="I4268" s="4">
        <v>0.226</v>
      </c>
      <c r="J4268" s="4">
        <v>0.028</v>
      </c>
      <c r="K4268" s="6" t="b">
        <f t="shared" ref="K4268:M4268" si="4063">FALSE()</f>
        <v>0</v>
      </c>
      <c r="L4268" s="6" t="b">
        <f t="shared" si="4063"/>
        <v>0</v>
      </c>
      <c r="M4268" s="6" t="b">
        <f t="shared" si="4063"/>
        <v>0</v>
      </c>
      <c r="P4268" s="4">
        <v>0.20375683751402</v>
      </c>
      <c r="T4268" s="4" t="str">
        <f t="shared" si="3"/>
        <v/>
      </c>
      <c r="U4268" s="4">
        <f t="shared" si="4"/>
        <v>2178</v>
      </c>
    </row>
    <row r="4269" ht="15.75" customHeight="1">
      <c r="A4269" s="4" t="s">
        <v>5159</v>
      </c>
      <c r="B4269" s="4" t="s">
        <v>13</v>
      </c>
      <c r="I4269" s="4">
        <v>0.298</v>
      </c>
      <c r="J4269" s="4">
        <v>0.023</v>
      </c>
      <c r="K4269" s="6" t="b">
        <f t="shared" ref="K4269:M4269" si="4064">FALSE()</f>
        <v>0</v>
      </c>
      <c r="L4269" s="6" t="b">
        <f t="shared" si="4064"/>
        <v>0</v>
      </c>
      <c r="M4269" s="6" t="b">
        <f t="shared" si="4064"/>
        <v>0</v>
      </c>
      <c r="P4269" s="4">
        <v>0.260824618281898</v>
      </c>
      <c r="T4269" s="4" t="str">
        <f t="shared" si="3"/>
        <v/>
      </c>
      <c r="U4269" s="4">
        <f t="shared" si="4"/>
        <v>1393</v>
      </c>
    </row>
    <row r="4270" ht="15.75" customHeight="1">
      <c r="A4270" s="4" t="s">
        <v>5160</v>
      </c>
      <c r="B4270" s="4" t="s">
        <v>13</v>
      </c>
      <c r="I4270" s="4">
        <v>0.319</v>
      </c>
      <c r="J4270" s="4">
        <v>0.022</v>
      </c>
      <c r="K4270" s="6" t="b">
        <f t="shared" ref="K4270:M4270" si="4065">FALSE()</f>
        <v>0</v>
      </c>
      <c r="L4270" s="6" t="b">
        <f t="shared" si="4065"/>
        <v>0</v>
      </c>
      <c r="M4270" s="6" t="b">
        <f t="shared" si="4065"/>
        <v>0</v>
      </c>
      <c r="P4270" s="4">
        <v>0.276873873735178</v>
      </c>
      <c r="T4270" s="4" t="str">
        <f t="shared" si="3"/>
        <v/>
      </c>
      <c r="U4270" s="4">
        <f t="shared" si="4"/>
        <v>1305</v>
      </c>
    </row>
    <row r="4271" ht="15.75" customHeight="1">
      <c r="A4271" s="4" t="s">
        <v>5161</v>
      </c>
      <c r="B4271" s="4" t="s">
        <v>13</v>
      </c>
      <c r="I4271" s="4">
        <v>1.1</v>
      </c>
      <c r="J4271" s="4">
        <v>0.05</v>
      </c>
      <c r="K4271" s="6" t="b">
        <f t="shared" ref="K4271:L4271" si="4066">FALSE()</f>
        <v>0</v>
      </c>
      <c r="L4271" s="6" t="b">
        <f t="shared" si="4066"/>
        <v>0</v>
      </c>
      <c r="M4271" s="6" t="b">
        <f>TRUE()</f>
        <v>1</v>
      </c>
      <c r="P4271" s="4">
        <v>0.741937344729377</v>
      </c>
      <c r="T4271" s="4" t="str">
        <f t="shared" si="3"/>
        <v/>
      </c>
      <c r="U4271" s="4">
        <f t="shared" si="4"/>
        <v>511</v>
      </c>
    </row>
    <row r="4272" ht="15.75" customHeight="1">
      <c r="A4272" s="4" t="s">
        <v>5162</v>
      </c>
      <c r="B4272" s="4" t="s">
        <v>13</v>
      </c>
      <c r="I4272" s="4">
        <v>0.14</v>
      </c>
      <c r="J4272" s="4">
        <v>0.012</v>
      </c>
      <c r="K4272" s="6" t="b">
        <f t="shared" ref="K4272:M4272" si="4067">FALSE()</f>
        <v>0</v>
      </c>
      <c r="L4272" s="6" t="b">
        <f t="shared" si="4067"/>
        <v>0</v>
      </c>
      <c r="M4272" s="6" t="b">
        <f t="shared" si="4067"/>
        <v>0</v>
      </c>
      <c r="P4272" s="4">
        <v>0.131028262406404</v>
      </c>
      <c r="T4272" s="4" t="str">
        <f t="shared" si="3"/>
        <v/>
      </c>
      <c r="U4272" s="4">
        <f t="shared" si="4"/>
        <v>3511</v>
      </c>
    </row>
    <row r="4273" ht="15.75" customHeight="1">
      <c r="A4273" s="4" t="s">
        <v>5163</v>
      </c>
      <c r="B4273" s="4" t="s">
        <v>13</v>
      </c>
      <c r="I4273" s="4">
        <v>1.238</v>
      </c>
      <c r="J4273" s="4">
        <v>0.136</v>
      </c>
      <c r="K4273" s="6" t="b">
        <f t="shared" ref="K4273:L4273" si="4068">FALSE()</f>
        <v>0</v>
      </c>
      <c r="L4273" s="6" t="b">
        <f t="shared" si="4068"/>
        <v>0</v>
      </c>
      <c r="M4273" s="6" t="b">
        <f>TRUE()</f>
        <v>1</v>
      </c>
      <c r="P4273" s="4">
        <v>0.805582609889734</v>
      </c>
      <c r="T4273" s="4" t="str">
        <f t="shared" si="3"/>
        <v/>
      </c>
      <c r="U4273" s="4">
        <f t="shared" si="4"/>
        <v>331</v>
      </c>
    </row>
    <row r="4274" ht="15.75" customHeight="1">
      <c r="A4274" s="4" t="s">
        <v>5164</v>
      </c>
      <c r="B4274" s="4" t="s">
        <v>13</v>
      </c>
      <c r="I4274" s="4">
        <v>0.194</v>
      </c>
      <c r="J4274" s="4">
        <v>0.014</v>
      </c>
      <c r="K4274" s="6" t="b">
        <f t="shared" ref="K4274:M4274" si="4069">FALSE()</f>
        <v>0</v>
      </c>
      <c r="L4274" s="6" t="b">
        <f t="shared" si="4069"/>
        <v>0</v>
      </c>
      <c r="M4274" s="6" t="b">
        <f t="shared" si="4069"/>
        <v>0</v>
      </c>
      <c r="P4274" s="4">
        <v>0.17730901497041</v>
      </c>
      <c r="T4274" s="4" t="str">
        <f t="shared" si="3"/>
        <v/>
      </c>
      <c r="U4274" s="4">
        <f t="shared" si="4"/>
        <v>2694</v>
      </c>
    </row>
    <row r="4275" ht="15.75" customHeight="1">
      <c r="A4275" s="4" t="s">
        <v>5165</v>
      </c>
      <c r="B4275" s="4" t="s">
        <v>13</v>
      </c>
      <c r="I4275" s="4">
        <v>0.113</v>
      </c>
      <c r="J4275" s="4">
        <v>0.009</v>
      </c>
      <c r="K4275" s="6" t="b">
        <f t="shared" ref="K4275:M4275" si="4070">FALSE()</f>
        <v>0</v>
      </c>
      <c r="L4275" s="6" t="b">
        <f t="shared" si="4070"/>
        <v>0</v>
      </c>
      <c r="M4275" s="6" t="b">
        <f t="shared" si="4070"/>
        <v>0</v>
      </c>
      <c r="P4275" s="4">
        <v>0.107059072293408</v>
      </c>
      <c r="T4275" s="4" t="str">
        <f t="shared" si="3"/>
        <v/>
      </c>
      <c r="U4275" s="4">
        <f t="shared" si="4"/>
        <v>3997</v>
      </c>
    </row>
    <row r="4276" ht="15.75" customHeight="1">
      <c r="A4276" s="4" t="s">
        <v>5166</v>
      </c>
      <c r="B4276" s="4" t="s">
        <v>13</v>
      </c>
      <c r="I4276" s="4">
        <v>0.252</v>
      </c>
      <c r="J4276" s="4">
        <v>0.017</v>
      </c>
      <c r="K4276" s="6" t="b">
        <f t="shared" ref="K4276:M4276" si="4071">FALSE()</f>
        <v>0</v>
      </c>
      <c r="L4276" s="6" t="b">
        <f t="shared" si="4071"/>
        <v>0</v>
      </c>
      <c r="M4276" s="6" t="b">
        <f t="shared" si="4071"/>
        <v>0</v>
      </c>
      <c r="P4276" s="4">
        <v>0.224742272677907</v>
      </c>
      <c r="T4276" s="4" t="str">
        <f t="shared" si="3"/>
        <v/>
      </c>
      <c r="U4276" s="4">
        <f t="shared" si="4"/>
        <v>1790</v>
      </c>
    </row>
    <row r="4277" ht="15.75" customHeight="1">
      <c r="A4277" s="4" t="s">
        <v>5167</v>
      </c>
      <c r="B4277" s="4" t="s">
        <v>13</v>
      </c>
      <c r="I4277" s="4">
        <v>0.318</v>
      </c>
      <c r="J4277" s="4">
        <v>0.012</v>
      </c>
      <c r="K4277" s="6" t="b">
        <f t="shared" ref="K4277:M4277" si="4072">FALSE()</f>
        <v>0</v>
      </c>
      <c r="L4277" s="6" t="b">
        <f t="shared" si="4072"/>
        <v>0</v>
      </c>
      <c r="M4277" s="6" t="b">
        <f t="shared" si="4072"/>
        <v>0</v>
      </c>
      <c r="P4277" s="4">
        <v>0.276115436080315</v>
      </c>
      <c r="T4277" s="4" t="str">
        <f t="shared" si="3"/>
        <v/>
      </c>
      <c r="U4277" s="4">
        <f t="shared" si="4"/>
        <v>1307</v>
      </c>
    </row>
    <row r="4278" ht="15.75" customHeight="1">
      <c r="A4278" s="4" t="s">
        <v>5168</v>
      </c>
      <c r="B4278" s="4" t="s">
        <v>13</v>
      </c>
      <c r="I4278" s="4">
        <v>0.263</v>
      </c>
      <c r="J4278" s="4">
        <v>0.011</v>
      </c>
      <c r="K4278" s="6" t="b">
        <f t="shared" ref="K4278:M4278" si="4073">FALSE()</f>
        <v>0</v>
      </c>
      <c r="L4278" s="6" t="b">
        <f t="shared" si="4073"/>
        <v>0</v>
      </c>
      <c r="M4278" s="6" t="b">
        <f t="shared" si="4073"/>
        <v>0</v>
      </c>
      <c r="P4278" s="4">
        <v>0.233489843368354</v>
      </c>
      <c r="T4278" s="4" t="str">
        <f t="shared" si="3"/>
        <v/>
      </c>
      <c r="U4278" s="4">
        <f t="shared" si="4"/>
        <v>1648</v>
      </c>
    </row>
    <row r="4279" ht="15.75" customHeight="1">
      <c r="A4279" s="4" t="s">
        <v>5169</v>
      </c>
      <c r="B4279" s="4" t="s">
        <v>13</v>
      </c>
      <c r="I4279" s="4">
        <v>0.261</v>
      </c>
      <c r="J4279" s="4">
        <v>0.047</v>
      </c>
      <c r="K4279" s="6" t="b">
        <f t="shared" ref="K4279:M4279" si="4074">FALSE()</f>
        <v>0</v>
      </c>
      <c r="L4279" s="6" t="b">
        <f t="shared" si="4074"/>
        <v>0</v>
      </c>
      <c r="M4279" s="6" t="b">
        <f t="shared" si="4074"/>
        <v>0</v>
      </c>
      <c r="P4279" s="4">
        <v>0.231905056982783</v>
      </c>
      <c r="T4279" s="4" t="str">
        <f t="shared" si="3"/>
        <v/>
      </c>
      <c r="U4279" s="4">
        <f t="shared" si="4"/>
        <v>1678</v>
      </c>
    </row>
    <row r="4280" ht="15.75" customHeight="1">
      <c r="A4280" s="4" t="s">
        <v>5170</v>
      </c>
      <c r="B4280" s="4" t="s">
        <v>13</v>
      </c>
      <c r="I4280" s="4">
        <v>0.175</v>
      </c>
      <c r="J4280" s="4">
        <v>0.01</v>
      </c>
      <c r="K4280" s="6" t="b">
        <f t="shared" ref="K4280:M4280" si="4075">FALSE()</f>
        <v>0</v>
      </c>
      <c r="L4280" s="6" t="b">
        <f t="shared" si="4075"/>
        <v>0</v>
      </c>
      <c r="M4280" s="6" t="b">
        <f t="shared" si="4075"/>
        <v>0</v>
      </c>
      <c r="P4280" s="4">
        <v>0.161268147596122</v>
      </c>
      <c r="T4280" s="4" t="str">
        <f t="shared" si="3"/>
        <v/>
      </c>
      <c r="U4280" s="4">
        <f t="shared" si="4"/>
        <v>2981</v>
      </c>
    </row>
    <row r="4281" ht="15.75" customHeight="1">
      <c r="A4281" s="4" t="s">
        <v>5171</v>
      </c>
      <c r="B4281" s="4" t="s">
        <v>13</v>
      </c>
      <c r="I4281" s="4">
        <v>0.223</v>
      </c>
      <c r="J4281" s="4">
        <v>0.015</v>
      </c>
      <c r="K4281" s="6" t="b">
        <f t="shared" ref="K4281:M4281" si="4076">FALSE()</f>
        <v>0</v>
      </c>
      <c r="L4281" s="6" t="b">
        <f t="shared" si="4076"/>
        <v>0</v>
      </c>
      <c r="M4281" s="6" t="b">
        <f t="shared" si="4076"/>
        <v>0</v>
      </c>
      <c r="P4281" s="4">
        <v>0.201306856705035</v>
      </c>
      <c r="T4281" s="4" t="str">
        <f t="shared" si="3"/>
        <v/>
      </c>
      <c r="U4281" s="4">
        <f t="shared" si="4"/>
        <v>2221</v>
      </c>
    </row>
    <row r="4282" ht="15.75" customHeight="1">
      <c r="A4282" s="4" t="s">
        <v>5172</v>
      </c>
      <c r="B4282" s="4" t="s">
        <v>13</v>
      </c>
      <c r="I4282" s="4">
        <v>0.296</v>
      </c>
      <c r="J4282" s="4">
        <v>0.026</v>
      </c>
      <c r="K4282" s="6" t="b">
        <f t="shared" ref="K4282:M4282" si="4077">FALSE()</f>
        <v>0</v>
      </c>
      <c r="L4282" s="6" t="b">
        <f t="shared" si="4077"/>
        <v>0</v>
      </c>
      <c r="M4282" s="6" t="b">
        <f t="shared" si="4077"/>
        <v>0</v>
      </c>
      <c r="P4282" s="4">
        <v>0.259282597930083</v>
      </c>
      <c r="T4282" s="4" t="str">
        <f t="shared" si="3"/>
        <v/>
      </c>
      <c r="U4282" s="4">
        <f t="shared" si="4"/>
        <v>1404</v>
      </c>
    </row>
    <row r="4283" ht="15.75" customHeight="1">
      <c r="A4283" s="4" t="s">
        <v>5173</v>
      </c>
      <c r="B4283" s="4" t="s">
        <v>13</v>
      </c>
      <c r="I4283" s="4">
        <v>0.408</v>
      </c>
      <c r="J4283" s="4">
        <v>0.024</v>
      </c>
      <c r="K4283" s="6" t="b">
        <f t="shared" ref="K4283:M4283" si="4078">FALSE()</f>
        <v>0</v>
      </c>
      <c r="L4283" s="6" t="b">
        <f t="shared" si="4078"/>
        <v>0</v>
      </c>
      <c r="M4283" s="6" t="b">
        <f t="shared" si="4078"/>
        <v>0</v>
      </c>
      <c r="P4283" s="4">
        <v>0.342170257735851</v>
      </c>
      <c r="T4283" s="4" t="str">
        <f t="shared" si="3"/>
        <v/>
      </c>
      <c r="U4283" s="4">
        <f t="shared" si="4"/>
        <v>1111</v>
      </c>
    </row>
    <row r="4284" ht="15.75" customHeight="1">
      <c r="A4284" s="4" t="s">
        <v>5174</v>
      </c>
      <c r="B4284" s="4" t="s">
        <v>13</v>
      </c>
      <c r="I4284" s="4">
        <v>0.265</v>
      </c>
      <c r="J4284" s="4">
        <v>0.031</v>
      </c>
      <c r="K4284" s="6" t="b">
        <f t="shared" ref="K4284:M4284" si="4079">FALSE()</f>
        <v>0</v>
      </c>
      <c r="L4284" s="6" t="b">
        <f t="shared" si="4079"/>
        <v>0</v>
      </c>
      <c r="M4284" s="6" t="b">
        <f t="shared" si="4079"/>
        <v>0</v>
      </c>
      <c r="P4284" s="4">
        <v>0.235072122179484</v>
      </c>
      <c r="T4284" s="4" t="str">
        <f t="shared" si="3"/>
        <v/>
      </c>
      <c r="U4284" s="4">
        <f t="shared" si="4"/>
        <v>1632</v>
      </c>
    </row>
    <row r="4285" ht="15.75" customHeight="1">
      <c r="A4285" s="4" t="s">
        <v>5175</v>
      </c>
      <c r="B4285" s="4" t="s">
        <v>13</v>
      </c>
      <c r="I4285" s="4">
        <v>0.289</v>
      </c>
      <c r="J4285" s="4">
        <v>0.015</v>
      </c>
      <c r="K4285" s="6" t="b">
        <f t="shared" ref="K4285:M4285" si="4080">FALSE()</f>
        <v>0</v>
      </c>
      <c r="L4285" s="6" t="b">
        <f t="shared" si="4080"/>
        <v>0</v>
      </c>
      <c r="M4285" s="6" t="b">
        <f t="shared" si="4080"/>
        <v>0</v>
      </c>
      <c r="P4285" s="4">
        <v>0.25386672395705</v>
      </c>
      <c r="T4285" s="4" t="str">
        <f t="shared" si="3"/>
        <v/>
      </c>
      <c r="U4285" s="4">
        <f t="shared" si="4"/>
        <v>1444</v>
      </c>
    </row>
    <row r="4286" ht="15.75" customHeight="1">
      <c r="A4286" s="4" t="s">
        <v>5176</v>
      </c>
      <c r="B4286" s="4" t="s">
        <v>13</v>
      </c>
      <c r="I4286" s="4">
        <v>0.1079</v>
      </c>
      <c r="J4286" s="4">
        <v>0.0054</v>
      </c>
      <c r="K4286" s="6" t="b">
        <f t="shared" ref="K4286:M4286" si="4081">FALSE()</f>
        <v>0</v>
      </c>
      <c r="L4286" s="6" t="b">
        <f t="shared" si="4081"/>
        <v>0</v>
      </c>
      <c r="M4286" s="6" t="b">
        <f t="shared" si="4081"/>
        <v>0</v>
      </c>
      <c r="P4286" s="4">
        <v>0.10246633154449</v>
      </c>
      <c r="T4286" s="4" t="str">
        <f t="shared" si="3"/>
        <v/>
      </c>
      <c r="U4286" s="4">
        <f t="shared" si="4"/>
        <v>4088</v>
      </c>
    </row>
    <row r="4287" ht="15.75" customHeight="1">
      <c r="A4287" s="4" t="s">
        <v>5177</v>
      </c>
      <c r="B4287" s="4" t="s">
        <v>13</v>
      </c>
      <c r="I4287" s="4">
        <v>0.145</v>
      </c>
      <c r="J4287" s="4">
        <v>0.008</v>
      </c>
      <c r="K4287" s="6" t="b">
        <f t="shared" ref="K4287:M4287" si="4082">FALSE()</f>
        <v>0</v>
      </c>
      <c r="L4287" s="6" t="b">
        <f t="shared" si="4082"/>
        <v>0</v>
      </c>
      <c r="M4287" s="6" t="b">
        <f t="shared" si="4082"/>
        <v>0</v>
      </c>
      <c r="P4287" s="4">
        <v>0.135404637006203</v>
      </c>
      <c r="T4287" s="4" t="str">
        <f t="shared" si="3"/>
        <v/>
      </c>
      <c r="U4287" s="4">
        <f t="shared" si="4"/>
        <v>3424</v>
      </c>
    </row>
    <row r="4288" ht="15.75" customHeight="1">
      <c r="A4288" s="4" t="s">
        <v>5178</v>
      </c>
      <c r="B4288" s="4" t="s">
        <v>13</v>
      </c>
      <c r="I4288" s="4">
        <v>0.193</v>
      </c>
      <c r="J4288" s="4">
        <v>0.02</v>
      </c>
      <c r="K4288" s="6" t="b">
        <f t="shared" ref="K4288:M4288" si="4083">FALSE()</f>
        <v>0</v>
      </c>
      <c r="L4288" s="6" t="b">
        <f t="shared" si="4083"/>
        <v>0</v>
      </c>
      <c r="M4288" s="6" t="b">
        <f t="shared" si="4083"/>
        <v>0</v>
      </c>
      <c r="P4288" s="4">
        <v>0.176471143115779</v>
      </c>
      <c r="T4288" s="4" t="str">
        <f t="shared" si="3"/>
        <v/>
      </c>
      <c r="U4288" s="4">
        <f t="shared" si="4"/>
        <v>2705</v>
      </c>
    </row>
    <row r="4289" ht="15.75" customHeight="1">
      <c r="A4289" s="4" t="s">
        <v>5179</v>
      </c>
      <c r="B4289" s="4" t="s">
        <v>13</v>
      </c>
      <c r="I4289" s="4">
        <v>0.099</v>
      </c>
      <c r="J4289" s="4">
        <v>0.008</v>
      </c>
      <c r="K4289" s="6" t="b">
        <f t="shared" ref="K4289:M4289" si="4084">FALSE()</f>
        <v>0</v>
      </c>
      <c r="L4289" s="6" t="b">
        <f t="shared" si="4084"/>
        <v>0</v>
      </c>
      <c r="M4289" s="6" t="b">
        <f t="shared" si="4084"/>
        <v>0</v>
      </c>
      <c r="P4289" s="4">
        <v>0.0944006754214843</v>
      </c>
      <c r="T4289" s="4" t="str">
        <f t="shared" si="3"/>
        <v/>
      </c>
      <c r="U4289" s="4">
        <f t="shared" si="4"/>
        <v>4237</v>
      </c>
    </row>
    <row r="4290" ht="15.75" customHeight="1">
      <c r="A4290" s="4" t="s">
        <v>5180</v>
      </c>
      <c r="B4290" s="4" t="s">
        <v>13</v>
      </c>
      <c r="I4290" s="4">
        <v>0.225</v>
      </c>
      <c r="J4290" s="4">
        <v>0.026</v>
      </c>
      <c r="K4290" s="6" t="b">
        <f t="shared" ref="K4290:M4290" si="4085">FALSE()</f>
        <v>0</v>
      </c>
      <c r="L4290" s="6" t="b">
        <f t="shared" si="4085"/>
        <v>0</v>
      </c>
      <c r="M4290" s="6" t="b">
        <f t="shared" si="4085"/>
        <v>0</v>
      </c>
      <c r="P4290" s="4">
        <v>0.20294084399669</v>
      </c>
      <c r="T4290" s="4" t="str">
        <f t="shared" si="3"/>
        <v/>
      </c>
      <c r="U4290" s="4">
        <f t="shared" si="4"/>
        <v>2188</v>
      </c>
    </row>
    <row r="4291" ht="15.75" customHeight="1">
      <c r="A4291" s="4" t="s">
        <v>5181</v>
      </c>
      <c r="B4291" s="4" t="s">
        <v>13</v>
      </c>
      <c r="I4291" s="4">
        <v>0.277</v>
      </c>
      <c r="J4291" s="4">
        <v>0.023</v>
      </c>
      <c r="K4291" s="6" t="b">
        <f t="shared" ref="K4291:M4291" si="4086">FALSE()</f>
        <v>0</v>
      </c>
      <c r="L4291" s="6" t="b">
        <f t="shared" si="4086"/>
        <v>0</v>
      </c>
      <c r="M4291" s="6" t="b">
        <f t="shared" si="4086"/>
        <v>0</v>
      </c>
      <c r="P4291" s="4">
        <v>0.244513577050402</v>
      </c>
      <c r="T4291" s="4" t="str">
        <f t="shared" si="3"/>
        <v/>
      </c>
      <c r="U4291" s="4">
        <f t="shared" si="4"/>
        <v>1536</v>
      </c>
    </row>
    <row r="4292" ht="15.75" customHeight="1">
      <c r="A4292" s="4" t="s">
        <v>1020</v>
      </c>
      <c r="B4292" s="4" t="s">
        <v>13</v>
      </c>
      <c r="C4292" s="4">
        <v>0.63</v>
      </c>
      <c r="D4292" s="4">
        <v>0.12</v>
      </c>
      <c r="E4292" s="4">
        <v>0.12</v>
      </c>
      <c r="I4292" s="4">
        <v>0.96</v>
      </c>
      <c r="J4292" s="4">
        <v>0.02</v>
      </c>
      <c r="K4292" s="6" t="b">
        <f t="shared" ref="K4292:L4292" si="4087">FALSE()</f>
        <v>0</v>
      </c>
      <c r="L4292" s="6" t="b">
        <f t="shared" si="4087"/>
        <v>0</v>
      </c>
      <c r="M4292" s="6" t="b">
        <f>TRUE()</f>
        <v>1</v>
      </c>
      <c r="N4292" s="4">
        <v>0.488580014818671</v>
      </c>
      <c r="P4292" s="4">
        <v>0.672944473242426</v>
      </c>
      <c r="T4292" s="4">
        <f t="shared" si="3"/>
        <v>865</v>
      </c>
      <c r="U4292" s="4">
        <f t="shared" si="4"/>
        <v>713</v>
      </c>
    </row>
    <row r="4293" ht="15.75" customHeight="1">
      <c r="A4293" s="4" t="s">
        <v>5182</v>
      </c>
      <c r="B4293" s="4" t="s">
        <v>13</v>
      </c>
      <c r="I4293" s="4">
        <v>0.274</v>
      </c>
      <c r="J4293" s="4">
        <v>0.036</v>
      </c>
      <c r="K4293" s="6" t="b">
        <f t="shared" ref="K4293:M4293" si="4088">FALSE()</f>
        <v>0</v>
      </c>
      <c r="L4293" s="6" t="b">
        <f t="shared" si="4088"/>
        <v>0</v>
      </c>
      <c r="M4293" s="6" t="b">
        <f t="shared" si="4088"/>
        <v>0</v>
      </c>
      <c r="P4293" s="4">
        <v>0.242161557149972</v>
      </c>
      <c r="T4293" s="4" t="str">
        <f t="shared" si="3"/>
        <v/>
      </c>
      <c r="U4293" s="4">
        <f t="shared" si="4"/>
        <v>1557</v>
      </c>
    </row>
    <row r="4294" ht="15.75" customHeight="1">
      <c r="A4294" s="4" t="s">
        <v>5183</v>
      </c>
      <c r="B4294" s="4" t="s">
        <v>13</v>
      </c>
      <c r="I4294" s="4">
        <v>0.145</v>
      </c>
      <c r="J4294" s="4">
        <v>0.02</v>
      </c>
      <c r="K4294" s="6" t="b">
        <f t="shared" ref="K4294:M4294" si="4089">FALSE()</f>
        <v>0</v>
      </c>
      <c r="L4294" s="6" t="b">
        <f t="shared" si="4089"/>
        <v>0</v>
      </c>
      <c r="M4294" s="6" t="b">
        <f t="shared" si="4089"/>
        <v>0</v>
      </c>
      <c r="P4294" s="4">
        <v>0.135404637006203</v>
      </c>
      <c r="T4294" s="4" t="str">
        <f t="shared" si="3"/>
        <v/>
      </c>
      <c r="U4294" s="4">
        <f t="shared" si="4"/>
        <v>3425</v>
      </c>
    </row>
    <row r="4295" ht="15.75" customHeight="1">
      <c r="A4295" s="4" t="s">
        <v>5184</v>
      </c>
      <c r="B4295" s="4" t="s">
        <v>13</v>
      </c>
      <c r="I4295" s="4">
        <v>0.219</v>
      </c>
      <c r="J4295" s="4">
        <v>0.016</v>
      </c>
      <c r="K4295" s="6" t="b">
        <f t="shared" ref="K4295:M4295" si="4090">FALSE()</f>
        <v>0</v>
      </c>
      <c r="L4295" s="6" t="b">
        <f t="shared" si="4090"/>
        <v>0</v>
      </c>
      <c r="M4295" s="6" t="b">
        <f t="shared" si="4090"/>
        <v>0</v>
      </c>
      <c r="P4295" s="4">
        <v>0.198030850499134</v>
      </c>
      <c r="T4295" s="4" t="str">
        <f t="shared" si="3"/>
        <v/>
      </c>
      <c r="U4295" s="4">
        <f t="shared" si="4"/>
        <v>2284</v>
      </c>
    </row>
    <row r="4296" ht="15.75" customHeight="1">
      <c r="A4296" s="4" t="s">
        <v>5185</v>
      </c>
      <c r="B4296" s="4" t="s">
        <v>13</v>
      </c>
      <c r="I4296" s="4">
        <v>0.251</v>
      </c>
      <c r="J4296" s="4">
        <v>0.019</v>
      </c>
      <c r="K4296" s="6" t="b">
        <f t="shared" ref="K4296:M4296" si="4091">FALSE()</f>
        <v>0</v>
      </c>
      <c r="L4296" s="6" t="b">
        <f t="shared" si="4091"/>
        <v>0</v>
      </c>
      <c r="M4296" s="6" t="b">
        <f t="shared" si="4091"/>
        <v>0</v>
      </c>
      <c r="P4296" s="4">
        <v>0.223943231484774</v>
      </c>
      <c r="T4296" s="4" t="str">
        <f t="shared" si="3"/>
        <v/>
      </c>
      <c r="U4296" s="4">
        <f t="shared" si="4"/>
        <v>1801</v>
      </c>
    </row>
    <row r="4297" ht="15.75" customHeight="1">
      <c r="A4297" s="4" t="s">
        <v>5186</v>
      </c>
      <c r="B4297" s="4" t="s">
        <v>13</v>
      </c>
      <c r="I4297" s="4">
        <v>0.17</v>
      </c>
      <c r="J4297" s="4">
        <v>0.008</v>
      </c>
      <c r="K4297" s="6" t="b">
        <f t="shared" ref="K4297:M4297" si="4092">FALSE()</f>
        <v>0</v>
      </c>
      <c r="L4297" s="6" t="b">
        <f t="shared" si="4092"/>
        <v>0</v>
      </c>
      <c r="M4297" s="6" t="b">
        <f t="shared" si="4092"/>
        <v>0</v>
      </c>
      <c r="P4297" s="4">
        <v>0.157003748809665</v>
      </c>
      <c r="T4297" s="4" t="str">
        <f t="shared" si="3"/>
        <v/>
      </c>
      <c r="U4297" s="4">
        <f t="shared" si="4"/>
        <v>3056</v>
      </c>
    </row>
    <row r="4298" ht="15.75" customHeight="1">
      <c r="A4298" s="4" t="s">
        <v>5187</v>
      </c>
      <c r="B4298" s="4" t="s">
        <v>13</v>
      </c>
      <c r="I4298" s="4">
        <v>0.179</v>
      </c>
      <c r="J4298" s="4">
        <v>0.023</v>
      </c>
      <c r="K4298" s="6" t="b">
        <f t="shared" ref="K4298:M4298" si="4093">FALSE()</f>
        <v>0</v>
      </c>
      <c r="L4298" s="6" t="b">
        <f t="shared" si="4093"/>
        <v>0</v>
      </c>
      <c r="M4298" s="6" t="b">
        <f t="shared" si="4093"/>
        <v>0</v>
      </c>
      <c r="P4298" s="4">
        <v>0.164666621555234</v>
      </c>
      <c r="T4298" s="4" t="str">
        <f t="shared" si="3"/>
        <v/>
      </c>
      <c r="U4298" s="4">
        <f t="shared" si="4"/>
        <v>2904</v>
      </c>
    </row>
    <row r="4299" ht="15.75" customHeight="1">
      <c r="A4299" s="4" t="s">
        <v>5188</v>
      </c>
      <c r="B4299" s="4" t="s">
        <v>13</v>
      </c>
      <c r="I4299" s="4">
        <v>0.1258</v>
      </c>
      <c r="J4299" s="4">
        <v>0.0054</v>
      </c>
      <c r="K4299" s="6" t="b">
        <f t="shared" ref="K4299:M4299" si="4094">FALSE()</f>
        <v>0</v>
      </c>
      <c r="L4299" s="6" t="b">
        <f t="shared" si="4094"/>
        <v>0</v>
      </c>
      <c r="M4299" s="6" t="b">
        <f t="shared" si="4094"/>
        <v>0</v>
      </c>
      <c r="P4299" s="4">
        <v>0.118493894047789</v>
      </c>
      <c r="T4299" s="4" t="str">
        <f t="shared" si="3"/>
        <v/>
      </c>
      <c r="U4299" s="4">
        <f t="shared" si="4"/>
        <v>3776</v>
      </c>
    </row>
    <row r="4300" ht="15.75" customHeight="1">
      <c r="A4300" s="4" t="s">
        <v>5189</v>
      </c>
      <c r="B4300" s="4" t="s">
        <v>13</v>
      </c>
      <c r="I4300" s="4">
        <v>0.1213</v>
      </c>
      <c r="J4300" s="4">
        <v>0.0054</v>
      </c>
      <c r="K4300" s="6" t="b">
        <f t="shared" ref="K4300:M4300" si="4095">FALSE()</f>
        <v>0</v>
      </c>
      <c r="L4300" s="6" t="b">
        <f t="shared" si="4095"/>
        <v>0</v>
      </c>
      <c r="M4300" s="6" t="b">
        <f t="shared" si="4095"/>
        <v>0</v>
      </c>
      <c r="P4300" s="4">
        <v>0.114488726484698</v>
      </c>
      <c r="T4300" s="4" t="str">
        <f t="shared" si="3"/>
        <v/>
      </c>
      <c r="U4300" s="4">
        <f t="shared" si="4"/>
        <v>3838</v>
      </c>
    </row>
    <row r="4301" ht="15.75" customHeight="1">
      <c r="A4301" s="4" t="s">
        <v>5190</v>
      </c>
      <c r="B4301" s="4" t="s">
        <v>13</v>
      </c>
      <c r="I4301" s="4">
        <v>0.1</v>
      </c>
      <c r="J4301" s="4">
        <v>0.009</v>
      </c>
      <c r="K4301" s="6" t="b">
        <f t="shared" ref="K4301:M4301" si="4096">FALSE()</f>
        <v>0</v>
      </c>
      <c r="L4301" s="6" t="b">
        <f t="shared" si="4096"/>
        <v>0</v>
      </c>
      <c r="M4301" s="6" t="b">
        <f t="shared" si="4096"/>
        <v>0</v>
      </c>
      <c r="P4301" s="4">
        <v>0.0953101798043248</v>
      </c>
      <c r="T4301" s="4" t="str">
        <f t="shared" si="3"/>
        <v/>
      </c>
      <c r="U4301" s="4">
        <f t="shared" si="4"/>
        <v>4223</v>
      </c>
    </row>
    <row r="4302" ht="15.75" customHeight="1">
      <c r="A4302" s="4" t="s">
        <v>5191</v>
      </c>
      <c r="B4302" s="4" t="s">
        <v>13</v>
      </c>
      <c r="I4302" s="4">
        <v>0.121</v>
      </c>
      <c r="J4302" s="4">
        <v>0.02</v>
      </c>
      <c r="K4302" s="6" t="b">
        <f t="shared" ref="K4302:M4302" si="4097">FALSE()</f>
        <v>0</v>
      </c>
      <c r="L4302" s="6" t="b">
        <f t="shared" si="4097"/>
        <v>0</v>
      </c>
      <c r="M4302" s="6" t="b">
        <f t="shared" si="4097"/>
        <v>0</v>
      </c>
      <c r="P4302" s="4">
        <v>0.114221144090023</v>
      </c>
      <c r="T4302" s="4" t="str">
        <f t="shared" si="3"/>
        <v/>
      </c>
      <c r="U4302" s="4">
        <f t="shared" si="4"/>
        <v>3850</v>
      </c>
    </row>
    <row r="4303" ht="15.75" customHeight="1">
      <c r="A4303" s="4" t="s">
        <v>5192</v>
      </c>
      <c r="B4303" s="4" t="s">
        <v>13</v>
      </c>
      <c r="I4303" s="4">
        <v>0.221</v>
      </c>
      <c r="J4303" s="4">
        <v>0.036</v>
      </c>
      <c r="K4303" s="6" t="b">
        <f t="shared" ref="K4303:M4303" si="4098">FALSE()</f>
        <v>0</v>
      </c>
      <c r="L4303" s="6" t="b">
        <f t="shared" si="4098"/>
        <v>0</v>
      </c>
      <c r="M4303" s="6" t="b">
        <f t="shared" si="4098"/>
        <v>0</v>
      </c>
      <c r="P4303" s="4">
        <v>0.199670195128568</v>
      </c>
      <c r="T4303" s="4" t="str">
        <f t="shared" si="3"/>
        <v/>
      </c>
      <c r="U4303" s="4">
        <f t="shared" si="4"/>
        <v>2251</v>
      </c>
    </row>
    <row r="4304" ht="15.75" customHeight="1">
      <c r="A4304" s="4" t="s">
        <v>5193</v>
      </c>
      <c r="B4304" s="4" t="s">
        <v>13</v>
      </c>
      <c r="I4304" s="4">
        <v>0.151</v>
      </c>
      <c r="J4304" s="4">
        <v>0.026</v>
      </c>
      <c r="K4304" s="6" t="b">
        <f t="shared" ref="K4304:M4304" si="4099">FALSE()</f>
        <v>0</v>
      </c>
      <c r="L4304" s="6" t="b">
        <f t="shared" si="4099"/>
        <v>0</v>
      </c>
      <c r="M4304" s="6" t="b">
        <f t="shared" si="4099"/>
        <v>0</v>
      </c>
      <c r="P4304" s="4">
        <v>0.140631129739746</v>
      </c>
      <c r="T4304" s="4" t="str">
        <f t="shared" si="3"/>
        <v/>
      </c>
      <c r="U4304" s="4">
        <f t="shared" si="4"/>
        <v>3313</v>
      </c>
    </row>
    <row r="4305" ht="15.75" customHeight="1">
      <c r="A4305" s="4" t="s">
        <v>5194</v>
      </c>
      <c r="B4305" s="4" t="s">
        <v>13</v>
      </c>
      <c r="I4305" s="4">
        <v>0.189</v>
      </c>
      <c r="J4305" s="4">
        <v>0.029</v>
      </c>
      <c r="K4305" s="6" t="b">
        <f t="shared" ref="K4305:M4305" si="4100">FALSE()</f>
        <v>0</v>
      </c>
      <c r="L4305" s="6" t="b">
        <f t="shared" si="4100"/>
        <v>0</v>
      </c>
      <c r="M4305" s="6" t="b">
        <f t="shared" si="4100"/>
        <v>0</v>
      </c>
      <c r="P4305" s="4">
        <v>0.173112617708645</v>
      </c>
      <c r="T4305" s="4" t="str">
        <f t="shared" si="3"/>
        <v/>
      </c>
      <c r="U4305" s="4">
        <f t="shared" si="4"/>
        <v>2761</v>
      </c>
    </row>
    <row r="4306" ht="15.75" customHeight="1">
      <c r="A4306" s="4" t="s">
        <v>5195</v>
      </c>
      <c r="B4306" s="4" t="s">
        <v>13</v>
      </c>
      <c r="I4306" s="4">
        <v>0.136</v>
      </c>
      <c r="J4306" s="4">
        <v>0.022</v>
      </c>
      <c r="K4306" s="6" t="b">
        <f t="shared" ref="K4306:M4306" si="4101">FALSE()</f>
        <v>0</v>
      </c>
      <c r="L4306" s="6" t="b">
        <f t="shared" si="4101"/>
        <v>0</v>
      </c>
      <c r="M4306" s="6" t="b">
        <f t="shared" si="4101"/>
        <v>0</v>
      </c>
      <c r="P4306" s="4">
        <v>0.12751332029896</v>
      </c>
      <c r="T4306" s="4" t="str">
        <f t="shared" si="3"/>
        <v/>
      </c>
      <c r="U4306" s="4">
        <f t="shared" si="4"/>
        <v>3592</v>
      </c>
    </row>
    <row r="4307" ht="15.75" customHeight="1">
      <c r="A4307" s="4" t="s">
        <v>5196</v>
      </c>
      <c r="B4307" s="4" t="s">
        <v>13</v>
      </c>
      <c r="I4307" s="4">
        <v>0.203</v>
      </c>
      <c r="J4307" s="4">
        <v>0.021</v>
      </c>
      <c r="K4307" s="6" t="b">
        <f t="shared" ref="K4307:M4307" si="4102">FALSE()</f>
        <v>0</v>
      </c>
      <c r="L4307" s="6" t="b">
        <f t="shared" si="4102"/>
        <v>0</v>
      </c>
      <c r="M4307" s="6" t="b">
        <f t="shared" si="4102"/>
        <v>0</v>
      </c>
      <c r="P4307" s="4">
        <v>0.184818436992542</v>
      </c>
      <c r="T4307" s="4" t="str">
        <f t="shared" si="3"/>
        <v/>
      </c>
      <c r="U4307" s="4">
        <f t="shared" si="4"/>
        <v>2536</v>
      </c>
    </row>
    <row r="4308" ht="15.75" customHeight="1">
      <c r="A4308" s="4" t="s">
        <v>1021</v>
      </c>
      <c r="B4308" s="4" t="s">
        <v>13</v>
      </c>
      <c r="C4308" s="4">
        <v>10.1</v>
      </c>
      <c r="D4308" s="4">
        <v>0.4</v>
      </c>
      <c r="E4308" s="4">
        <v>0.4</v>
      </c>
      <c r="I4308" s="4">
        <v>1.05</v>
      </c>
      <c r="J4308" s="4">
        <v>0.03</v>
      </c>
      <c r="K4308" s="6" t="b">
        <f>TRUE()</f>
        <v>1</v>
      </c>
      <c r="L4308" s="6" t="b">
        <f>FALSE()</f>
        <v>0</v>
      </c>
      <c r="M4308" s="6" t="b">
        <f>TRUE()</f>
        <v>1</v>
      </c>
      <c r="N4308" s="4">
        <v>2.40694510831829</v>
      </c>
      <c r="P4308" s="4">
        <v>0.717839793150317</v>
      </c>
      <c r="T4308" s="4">
        <f t="shared" si="3"/>
        <v>54</v>
      </c>
      <c r="U4308" s="4">
        <f t="shared" si="4"/>
        <v>606</v>
      </c>
    </row>
    <row r="4309" ht="15.75" customHeight="1">
      <c r="A4309" s="4" t="s">
        <v>5197</v>
      </c>
      <c r="B4309" s="4" t="s">
        <v>13</v>
      </c>
      <c r="I4309" s="4">
        <v>0.273</v>
      </c>
      <c r="J4309" s="4">
        <v>0.021</v>
      </c>
      <c r="K4309" s="6" t="b">
        <f t="shared" ref="K4309:M4309" si="4103">FALSE()</f>
        <v>0</v>
      </c>
      <c r="L4309" s="6" t="b">
        <f t="shared" si="4103"/>
        <v>0</v>
      </c>
      <c r="M4309" s="6" t="b">
        <f t="shared" si="4103"/>
        <v>0</v>
      </c>
      <c r="P4309" s="4">
        <v>0.241376319575269</v>
      </c>
      <c r="T4309" s="4" t="str">
        <f t="shared" si="3"/>
        <v/>
      </c>
      <c r="U4309" s="4">
        <f t="shared" si="4"/>
        <v>1564</v>
      </c>
    </row>
    <row r="4310" ht="15.75" customHeight="1">
      <c r="A4310" s="4" t="s">
        <v>5198</v>
      </c>
      <c r="B4310" s="4" t="s">
        <v>13</v>
      </c>
      <c r="I4310" s="4">
        <v>0.132</v>
      </c>
      <c r="J4310" s="4">
        <v>0.008</v>
      </c>
      <c r="K4310" s="6" t="b">
        <f t="shared" ref="K4310:M4310" si="4104">FALSE()</f>
        <v>0</v>
      </c>
      <c r="L4310" s="6" t="b">
        <f t="shared" si="4104"/>
        <v>0</v>
      </c>
      <c r="M4310" s="6" t="b">
        <f t="shared" si="4104"/>
        <v>0</v>
      </c>
      <c r="P4310" s="4">
        <v>0.123985979780991</v>
      </c>
      <c r="T4310" s="4" t="str">
        <f t="shared" si="3"/>
        <v/>
      </c>
      <c r="U4310" s="4">
        <f t="shared" si="4"/>
        <v>3663</v>
      </c>
    </row>
    <row r="4311" ht="15.75" customHeight="1">
      <c r="A4311" s="4" t="s">
        <v>5199</v>
      </c>
      <c r="B4311" s="4" t="s">
        <v>13</v>
      </c>
      <c r="I4311" s="4">
        <v>0.181</v>
      </c>
      <c r="J4311" s="4">
        <v>0.015</v>
      </c>
      <c r="K4311" s="6" t="b">
        <f t="shared" ref="K4311:M4311" si="4105">FALSE()</f>
        <v>0</v>
      </c>
      <c r="L4311" s="6" t="b">
        <f t="shared" si="4105"/>
        <v>0</v>
      </c>
      <c r="M4311" s="6" t="b">
        <f t="shared" si="4105"/>
        <v>0</v>
      </c>
      <c r="P4311" s="4">
        <v>0.166361537215225</v>
      </c>
      <c r="T4311" s="4" t="str">
        <f t="shared" si="3"/>
        <v/>
      </c>
      <c r="U4311" s="4">
        <f t="shared" si="4"/>
        <v>2882</v>
      </c>
    </row>
    <row r="4312" ht="15.75" customHeight="1">
      <c r="A4312" s="4" t="s">
        <v>5200</v>
      </c>
      <c r="B4312" s="4" t="s">
        <v>13</v>
      </c>
      <c r="I4312" s="4">
        <v>1.131</v>
      </c>
      <c r="J4312" s="4">
        <v>0.112</v>
      </c>
      <c r="K4312" s="6" t="b">
        <f t="shared" ref="K4312:L4312" si="4106">FALSE()</f>
        <v>0</v>
      </c>
      <c r="L4312" s="6" t="b">
        <f t="shared" si="4106"/>
        <v>0</v>
      </c>
      <c r="M4312" s="6" t="b">
        <f>TRUE()</f>
        <v>1</v>
      </c>
      <c r="P4312" s="4">
        <v>0.75659135311648</v>
      </c>
      <c r="T4312" s="4" t="str">
        <f t="shared" si="3"/>
        <v/>
      </c>
      <c r="U4312" s="4">
        <f t="shared" si="4"/>
        <v>472</v>
      </c>
    </row>
    <row r="4313" ht="15.75" customHeight="1">
      <c r="A4313" s="4" t="s">
        <v>5201</v>
      </c>
      <c r="B4313" s="4" t="s">
        <v>13</v>
      </c>
      <c r="I4313" s="4">
        <v>0.109</v>
      </c>
      <c r="J4313" s="4">
        <v>0.007</v>
      </c>
      <c r="K4313" s="6" t="b">
        <f t="shared" ref="K4313:M4313" si="4107">FALSE()</f>
        <v>0</v>
      </c>
      <c r="L4313" s="6" t="b">
        <f t="shared" si="4107"/>
        <v>0</v>
      </c>
      <c r="M4313" s="6" t="b">
        <f t="shared" si="4107"/>
        <v>0</v>
      </c>
      <c r="P4313" s="4">
        <v>0.10345870836823</v>
      </c>
      <c r="T4313" s="4" t="str">
        <f t="shared" si="3"/>
        <v/>
      </c>
      <c r="U4313" s="4">
        <f t="shared" si="4"/>
        <v>4066</v>
      </c>
    </row>
    <row r="4314" ht="15.75" customHeight="1">
      <c r="A4314" s="4" t="s">
        <v>5202</v>
      </c>
      <c r="B4314" s="4" t="s">
        <v>13</v>
      </c>
      <c r="I4314" s="4">
        <v>0.146</v>
      </c>
      <c r="J4314" s="4">
        <v>0.012</v>
      </c>
      <c r="K4314" s="6" t="b">
        <f t="shared" ref="K4314:M4314" si="4108">FALSE()</f>
        <v>0</v>
      </c>
      <c r="L4314" s="6" t="b">
        <f t="shared" si="4108"/>
        <v>0</v>
      </c>
      <c r="M4314" s="6" t="b">
        <f t="shared" si="4108"/>
        <v>0</v>
      </c>
      <c r="P4314" s="4">
        <v>0.136277618292548</v>
      </c>
      <c r="T4314" s="4" t="str">
        <f t="shared" si="3"/>
        <v/>
      </c>
      <c r="U4314" s="4">
        <f t="shared" si="4"/>
        <v>3402</v>
      </c>
    </row>
    <row r="4315" ht="15.75" customHeight="1">
      <c r="A4315" s="4" t="s">
        <v>5203</v>
      </c>
      <c r="B4315" s="4" t="s">
        <v>13</v>
      </c>
      <c r="I4315" s="4">
        <v>0.217</v>
      </c>
      <c r="J4315" s="4">
        <v>0.02</v>
      </c>
      <c r="K4315" s="6" t="b">
        <f t="shared" ref="K4315:M4315" si="4109">FALSE()</f>
        <v>0</v>
      </c>
      <c r="L4315" s="6" t="b">
        <f t="shared" si="4109"/>
        <v>0</v>
      </c>
      <c r="M4315" s="6" t="b">
        <f t="shared" si="4109"/>
        <v>0</v>
      </c>
      <c r="P4315" s="4">
        <v>0.19638881400539</v>
      </c>
      <c r="T4315" s="4" t="str">
        <f t="shared" si="3"/>
        <v/>
      </c>
      <c r="U4315" s="4">
        <f t="shared" si="4"/>
        <v>2307</v>
      </c>
    </row>
    <row r="4316" ht="15.75" customHeight="1">
      <c r="A4316" s="4" t="s">
        <v>5204</v>
      </c>
      <c r="B4316" s="4" t="s">
        <v>13</v>
      </c>
      <c r="I4316" s="4">
        <v>0.302</v>
      </c>
      <c r="J4316" s="4">
        <v>0.036</v>
      </c>
      <c r="K4316" s="6" t="b">
        <f t="shared" ref="K4316:M4316" si="4110">FALSE()</f>
        <v>0</v>
      </c>
      <c r="L4316" s="6" t="b">
        <f t="shared" si="4110"/>
        <v>0</v>
      </c>
      <c r="M4316" s="6" t="b">
        <f t="shared" si="4110"/>
        <v>0</v>
      </c>
      <c r="P4316" s="4">
        <v>0.263901543786378</v>
      </c>
      <c r="T4316" s="4" t="str">
        <f t="shared" si="3"/>
        <v/>
      </c>
      <c r="U4316" s="4">
        <f t="shared" si="4"/>
        <v>1371</v>
      </c>
    </row>
    <row r="4317" ht="15.75" customHeight="1">
      <c r="A4317" s="4" t="s">
        <v>5205</v>
      </c>
      <c r="B4317" s="4" t="s">
        <v>13</v>
      </c>
      <c r="I4317" s="4">
        <v>0.592</v>
      </c>
      <c r="J4317" s="4">
        <v>0.049</v>
      </c>
      <c r="K4317" s="6" t="b">
        <f t="shared" ref="K4317:M4317" si="4111">FALSE()</f>
        <v>0</v>
      </c>
      <c r="L4317" s="6" t="b">
        <f t="shared" si="4111"/>
        <v>0</v>
      </c>
      <c r="M4317" s="6" t="b">
        <f t="shared" si="4111"/>
        <v>0</v>
      </c>
      <c r="P4317" s="4">
        <v>0.464991087422191</v>
      </c>
      <c r="T4317" s="4" t="str">
        <f t="shared" si="3"/>
        <v/>
      </c>
      <c r="U4317" s="4">
        <f t="shared" si="4"/>
        <v>950</v>
      </c>
    </row>
    <row r="4318" ht="15.75" customHeight="1">
      <c r="A4318" s="4" t="s">
        <v>5206</v>
      </c>
      <c r="B4318" s="4" t="s">
        <v>13</v>
      </c>
      <c r="I4318" s="4">
        <v>0.16</v>
      </c>
      <c r="J4318" s="4">
        <v>0.012</v>
      </c>
      <c r="K4318" s="6" t="b">
        <f t="shared" ref="K4318:M4318" si="4112">FALSE()</f>
        <v>0</v>
      </c>
      <c r="L4318" s="6" t="b">
        <f t="shared" si="4112"/>
        <v>0</v>
      </c>
      <c r="M4318" s="6" t="b">
        <f t="shared" si="4112"/>
        <v>0</v>
      </c>
      <c r="P4318" s="4">
        <v>0.148420005118273</v>
      </c>
      <c r="T4318" s="4" t="str">
        <f t="shared" si="3"/>
        <v/>
      </c>
      <c r="U4318" s="4">
        <f t="shared" si="4"/>
        <v>3182</v>
      </c>
    </row>
    <row r="4319" ht="15.75" customHeight="1">
      <c r="A4319" s="4" t="s">
        <v>5207</v>
      </c>
      <c r="B4319" s="4" t="s">
        <v>13</v>
      </c>
      <c r="I4319" s="4">
        <v>0.261</v>
      </c>
      <c r="J4319" s="4">
        <v>0.041</v>
      </c>
      <c r="K4319" s="6" t="b">
        <f t="shared" ref="K4319:M4319" si="4113">FALSE()</f>
        <v>0</v>
      </c>
      <c r="L4319" s="6" t="b">
        <f t="shared" si="4113"/>
        <v>0</v>
      </c>
      <c r="M4319" s="6" t="b">
        <f t="shared" si="4113"/>
        <v>0</v>
      </c>
      <c r="P4319" s="4">
        <v>0.231905056982783</v>
      </c>
      <c r="T4319" s="4" t="str">
        <f t="shared" si="3"/>
        <v/>
      </c>
      <c r="U4319" s="4">
        <f t="shared" si="4"/>
        <v>1679</v>
      </c>
    </row>
    <row r="4320" ht="15.75" customHeight="1">
      <c r="A4320" s="4" t="s">
        <v>5208</v>
      </c>
      <c r="B4320" s="4" t="s">
        <v>13</v>
      </c>
      <c r="I4320" s="4">
        <v>0.16</v>
      </c>
      <c r="J4320" s="4">
        <v>0.024</v>
      </c>
      <c r="K4320" s="6" t="b">
        <f t="shared" ref="K4320:M4320" si="4114">FALSE()</f>
        <v>0</v>
      </c>
      <c r="L4320" s="6" t="b">
        <f t="shared" si="4114"/>
        <v>0</v>
      </c>
      <c r="M4320" s="6" t="b">
        <f t="shared" si="4114"/>
        <v>0</v>
      </c>
      <c r="P4320" s="4">
        <v>0.148420005118273</v>
      </c>
      <c r="T4320" s="4" t="str">
        <f t="shared" si="3"/>
        <v/>
      </c>
      <c r="U4320" s="4">
        <f t="shared" si="4"/>
        <v>3183</v>
      </c>
    </row>
    <row r="4321" ht="15.75" customHeight="1">
      <c r="A4321" s="4" t="s">
        <v>1022</v>
      </c>
      <c r="B4321" s="4" t="s">
        <v>13</v>
      </c>
      <c r="C4321" s="4">
        <v>2.01</v>
      </c>
      <c r="D4321" s="4">
        <v>0.35</v>
      </c>
      <c r="E4321" s="4">
        <v>0.37</v>
      </c>
      <c r="I4321" s="4">
        <v>1.36</v>
      </c>
      <c r="J4321" s="4">
        <v>0.12</v>
      </c>
      <c r="K4321" s="6" t="b">
        <f t="shared" ref="K4321:L4321" si="4115">FALSE()</f>
        <v>0</v>
      </c>
      <c r="L4321" s="6" t="b">
        <f t="shared" si="4115"/>
        <v>0</v>
      </c>
      <c r="M4321" s="6" t="b">
        <f>TRUE()</f>
        <v>1</v>
      </c>
      <c r="N4321" s="4">
        <v>1.10194007876078</v>
      </c>
      <c r="P4321" s="4">
        <v>0.858661619037519</v>
      </c>
      <c r="T4321" s="4">
        <f t="shared" si="3"/>
        <v>437</v>
      </c>
      <c r="U4321" s="4">
        <f t="shared" si="4"/>
        <v>202</v>
      </c>
    </row>
    <row r="4322" ht="15.75" customHeight="1">
      <c r="A4322" s="4" t="s">
        <v>5209</v>
      </c>
      <c r="B4322" s="4" t="s">
        <v>13</v>
      </c>
      <c r="I4322" s="4">
        <v>0.205</v>
      </c>
      <c r="J4322" s="4">
        <v>0.015</v>
      </c>
      <c r="K4322" s="6" t="b">
        <f t="shared" ref="K4322:M4322" si="4116">FALSE()</f>
        <v>0</v>
      </c>
      <c r="L4322" s="6" t="b">
        <f t="shared" si="4116"/>
        <v>0</v>
      </c>
      <c r="M4322" s="6" t="b">
        <f t="shared" si="4116"/>
        <v>0</v>
      </c>
      <c r="P4322" s="4">
        <v>0.186479566942618</v>
      </c>
      <c r="T4322" s="4" t="str">
        <f t="shared" si="3"/>
        <v/>
      </c>
      <c r="U4322" s="4">
        <f t="shared" si="4"/>
        <v>2497</v>
      </c>
    </row>
    <row r="4323" ht="15.75" customHeight="1">
      <c r="A4323" s="4" t="s">
        <v>5210</v>
      </c>
      <c r="B4323" s="4" t="s">
        <v>13</v>
      </c>
      <c r="I4323" s="4">
        <v>0.107</v>
      </c>
      <c r="J4323" s="4">
        <v>0.009</v>
      </c>
      <c r="K4323" s="6" t="b">
        <f t="shared" ref="K4323:M4323" si="4117">FALSE()</f>
        <v>0</v>
      </c>
      <c r="L4323" s="6" t="b">
        <f t="shared" si="4117"/>
        <v>0</v>
      </c>
      <c r="M4323" s="6" t="b">
        <f t="shared" si="4117"/>
        <v>0</v>
      </c>
      <c r="P4323" s="4">
        <v>0.1016536537265</v>
      </c>
      <c r="T4323" s="4" t="str">
        <f t="shared" si="3"/>
        <v/>
      </c>
      <c r="U4323" s="4">
        <f t="shared" si="4"/>
        <v>4106</v>
      </c>
    </row>
    <row r="4324" ht="15.75" customHeight="1">
      <c r="A4324" s="4" t="s">
        <v>5211</v>
      </c>
      <c r="B4324" s="4" t="s">
        <v>13</v>
      </c>
      <c r="I4324" s="4">
        <v>0.125</v>
      </c>
      <c r="J4324" s="4">
        <v>0.01</v>
      </c>
      <c r="K4324" s="6" t="b">
        <f t="shared" ref="K4324:M4324" si="4118">FALSE()</f>
        <v>0</v>
      </c>
      <c r="L4324" s="6" t="b">
        <f t="shared" si="4118"/>
        <v>0</v>
      </c>
      <c r="M4324" s="6" t="b">
        <f t="shared" si="4118"/>
        <v>0</v>
      </c>
      <c r="P4324" s="4">
        <v>0.117783035656383</v>
      </c>
      <c r="T4324" s="4" t="str">
        <f t="shared" si="3"/>
        <v/>
      </c>
      <c r="U4324" s="4">
        <f t="shared" si="4"/>
        <v>3790</v>
      </c>
    </row>
    <row r="4325" ht="15.75" customHeight="1">
      <c r="A4325" s="4" t="s">
        <v>5212</v>
      </c>
      <c r="B4325" s="4" t="s">
        <v>13</v>
      </c>
      <c r="I4325" s="4">
        <v>0.162</v>
      </c>
      <c r="J4325" s="4">
        <v>0.019</v>
      </c>
      <c r="K4325" s="6" t="b">
        <f t="shared" ref="K4325:M4325" si="4119">FALSE()</f>
        <v>0</v>
      </c>
      <c r="L4325" s="6" t="b">
        <f t="shared" si="4119"/>
        <v>0</v>
      </c>
      <c r="M4325" s="6" t="b">
        <f t="shared" si="4119"/>
        <v>0</v>
      </c>
      <c r="P4325" s="4">
        <v>0.15014265842972</v>
      </c>
      <c r="T4325" s="4" t="str">
        <f t="shared" si="3"/>
        <v/>
      </c>
      <c r="U4325" s="4">
        <f t="shared" si="4"/>
        <v>3154</v>
      </c>
    </row>
    <row r="4326" ht="15.75" customHeight="1">
      <c r="A4326" s="4" t="s">
        <v>5213</v>
      </c>
      <c r="B4326" s="4" t="s">
        <v>13</v>
      </c>
      <c r="I4326" s="4">
        <v>0.162</v>
      </c>
      <c r="J4326" s="4">
        <v>0.021</v>
      </c>
      <c r="K4326" s="6" t="b">
        <f t="shared" ref="K4326:M4326" si="4120">FALSE()</f>
        <v>0</v>
      </c>
      <c r="L4326" s="6" t="b">
        <f t="shared" si="4120"/>
        <v>0</v>
      </c>
      <c r="M4326" s="6" t="b">
        <f t="shared" si="4120"/>
        <v>0</v>
      </c>
      <c r="P4326" s="4">
        <v>0.15014265842972</v>
      </c>
      <c r="T4326" s="4" t="str">
        <f t="shared" si="3"/>
        <v/>
      </c>
      <c r="U4326" s="4">
        <f t="shared" si="4"/>
        <v>3155</v>
      </c>
    </row>
    <row r="4327" ht="15.75" customHeight="1">
      <c r="A4327" s="4" t="s">
        <v>5214</v>
      </c>
      <c r="B4327" s="4" t="s">
        <v>13</v>
      </c>
      <c r="I4327" s="4">
        <v>0.128</v>
      </c>
      <c r="J4327" s="4">
        <v>0.006</v>
      </c>
      <c r="K4327" s="6" t="b">
        <f t="shared" ref="K4327:M4327" si="4121">FALSE()</f>
        <v>0</v>
      </c>
      <c r="L4327" s="6" t="b">
        <f t="shared" si="4121"/>
        <v>0</v>
      </c>
      <c r="M4327" s="6" t="b">
        <f t="shared" si="4121"/>
        <v>0</v>
      </c>
      <c r="P4327" s="4">
        <v>0.120446153075867</v>
      </c>
      <c r="T4327" s="4" t="str">
        <f t="shared" si="3"/>
        <v/>
      </c>
      <c r="U4327" s="4">
        <f t="shared" si="4"/>
        <v>3737</v>
      </c>
    </row>
    <row r="4328" ht="15.75" customHeight="1">
      <c r="A4328" s="4" t="s">
        <v>5215</v>
      </c>
      <c r="B4328" s="4" t="s">
        <v>13</v>
      </c>
      <c r="I4328" s="4">
        <v>0.283</v>
      </c>
      <c r="J4328" s="4">
        <v>0.048</v>
      </c>
      <c r="K4328" s="6" t="b">
        <f t="shared" ref="K4328:M4328" si="4122">FALSE()</f>
        <v>0</v>
      </c>
      <c r="L4328" s="6" t="b">
        <f t="shared" si="4122"/>
        <v>0</v>
      </c>
      <c r="M4328" s="6" t="b">
        <f t="shared" si="4122"/>
        <v>0</v>
      </c>
      <c r="P4328" s="4">
        <v>0.249201085633499</v>
      </c>
      <c r="T4328" s="4" t="str">
        <f t="shared" si="3"/>
        <v/>
      </c>
      <c r="U4328" s="4">
        <f t="shared" si="4"/>
        <v>1491</v>
      </c>
    </row>
    <row r="4329" ht="15.75" customHeight="1">
      <c r="A4329" s="4" t="s">
        <v>5216</v>
      </c>
      <c r="B4329" s="4" t="s">
        <v>13</v>
      </c>
      <c r="I4329" s="4">
        <v>0.106</v>
      </c>
      <c r="J4329" s="4">
        <v>0.004</v>
      </c>
      <c r="K4329" s="6" t="b">
        <f t="shared" ref="K4329:M4329" si="4123">FALSE()</f>
        <v>0</v>
      </c>
      <c r="L4329" s="6" t="b">
        <f t="shared" si="4123"/>
        <v>0</v>
      </c>
      <c r="M4329" s="6" t="b">
        <f t="shared" si="4123"/>
        <v>0</v>
      </c>
      <c r="P4329" s="4">
        <v>0.100749903100143</v>
      </c>
      <c r="T4329" s="4" t="str">
        <f t="shared" si="3"/>
        <v/>
      </c>
      <c r="U4329" s="4">
        <f t="shared" si="4"/>
        <v>4126</v>
      </c>
    </row>
    <row r="4330" ht="15.75" customHeight="1">
      <c r="A4330" s="4" t="s">
        <v>5217</v>
      </c>
      <c r="B4330" s="4" t="s">
        <v>13</v>
      </c>
      <c r="I4330" s="4">
        <v>0.114</v>
      </c>
      <c r="J4330" s="4">
        <v>0.006</v>
      </c>
      <c r="K4330" s="6" t="b">
        <f t="shared" ref="K4330:M4330" si="4124">FALSE()</f>
        <v>0</v>
      </c>
      <c r="L4330" s="6" t="b">
        <f t="shared" si="4124"/>
        <v>0</v>
      </c>
      <c r="M4330" s="6" t="b">
        <f t="shared" si="4124"/>
        <v>0</v>
      </c>
      <c r="P4330" s="4">
        <v>0.107957141505092</v>
      </c>
      <c r="T4330" s="4" t="str">
        <f t="shared" si="3"/>
        <v/>
      </c>
      <c r="U4330" s="4">
        <f t="shared" si="4"/>
        <v>3986</v>
      </c>
    </row>
    <row r="4331" ht="15.75" customHeight="1">
      <c r="A4331" s="4" t="s">
        <v>5218</v>
      </c>
      <c r="B4331" s="4" t="s">
        <v>13</v>
      </c>
      <c r="I4331" s="4">
        <v>0.131</v>
      </c>
      <c r="J4331" s="4">
        <v>0.007</v>
      </c>
      <c r="K4331" s="6" t="b">
        <f t="shared" ref="K4331:M4331" si="4125">FALSE()</f>
        <v>0</v>
      </c>
      <c r="L4331" s="6" t="b">
        <f t="shared" si="4125"/>
        <v>0</v>
      </c>
      <c r="M4331" s="6" t="b">
        <f t="shared" si="4125"/>
        <v>0</v>
      </c>
      <c r="P4331" s="4">
        <v>0.123102197133983</v>
      </c>
      <c r="T4331" s="4" t="str">
        <f t="shared" si="3"/>
        <v/>
      </c>
      <c r="U4331" s="4">
        <f t="shared" si="4"/>
        <v>3680</v>
      </c>
    </row>
    <row r="4332" ht="15.75" customHeight="1">
      <c r="A4332" s="4" t="s">
        <v>5219</v>
      </c>
      <c r="B4332" s="4" t="s">
        <v>13</v>
      </c>
      <c r="I4332" s="4">
        <v>0.15</v>
      </c>
      <c r="J4332" s="4">
        <v>0.012</v>
      </c>
      <c r="K4332" s="6" t="b">
        <f t="shared" ref="K4332:M4332" si="4126">FALSE()</f>
        <v>0</v>
      </c>
      <c r="L4332" s="6" t="b">
        <f t="shared" si="4126"/>
        <v>0</v>
      </c>
      <c r="M4332" s="6" t="b">
        <f t="shared" si="4126"/>
        <v>0</v>
      </c>
      <c r="P4332" s="4">
        <v>0.139761942375159</v>
      </c>
      <c r="T4332" s="4" t="str">
        <f t="shared" si="3"/>
        <v/>
      </c>
      <c r="U4332" s="4">
        <f t="shared" si="4"/>
        <v>3330</v>
      </c>
    </row>
    <row r="4333" ht="15.75" customHeight="1">
      <c r="A4333" s="4" t="s">
        <v>5220</v>
      </c>
      <c r="B4333" s="4" t="s">
        <v>13</v>
      </c>
      <c r="I4333" s="4">
        <v>0.066</v>
      </c>
      <c r="J4333" s="4">
        <v>0.0098</v>
      </c>
      <c r="K4333" s="6" t="b">
        <f t="shared" ref="K4333:M4333" si="4127">FALSE()</f>
        <v>0</v>
      </c>
      <c r="L4333" s="6" t="b">
        <f t="shared" si="4127"/>
        <v>0</v>
      </c>
      <c r="M4333" s="6" t="b">
        <f t="shared" si="4127"/>
        <v>0</v>
      </c>
      <c r="P4333" s="4">
        <v>0.0639133257436528</v>
      </c>
      <c r="T4333" s="4" t="str">
        <f t="shared" si="3"/>
        <v/>
      </c>
      <c r="U4333" s="4">
        <f t="shared" si="4"/>
        <v>4514</v>
      </c>
    </row>
    <row r="4334" ht="15.75" customHeight="1">
      <c r="A4334" s="4" t="s">
        <v>1023</v>
      </c>
      <c r="B4334" s="4" t="s">
        <v>13</v>
      </c>
      <c r="C4334" s="4">
        <v>0.43</v>
      </c>
      <c r="D4334" s="4">
        <v>0.032</v>
      </c>
      <c r="E4334" s="4">
        <v>0.032</v>
      </c>
      <c r="I4334" s="4">
        <v>0.96</v>
      </c>
      <c r="J4334" s="4">
        <v>0.016</v>
      </c>
      <c r="K4334" s="6" t="b">
        <f t="shared" ref="K4334:L4334" si="4128">FALSE()</f>
        <v>0</v>
      </c>
      <c r="L4334" s="6" t="b">
        <f t="shared" si="4128"/>
        <v>0</v>
      </c>
      <c r="M4334" s="6" t="b">
        <f>TRUE()</f>
        <v>1</v>
      </c>
      <c r="N4334" s="4">
        <v>0.357674444271816</v>
      </c>
      <c r="P4334" s="4">
        <v>0.672944473242426</v>
      </c>
      <c r="T4334" s="4">
        <f t="shared" si="3"/>
        <v>994</v>
      </c>
      <c r="U4334" s="4">
        <f t="shared" si="4"/>
        <v>714</v>
      </c>
    </row>
    <row r="4335" ht="15.75" customHeight="1">
      <c r="A4335" s="4" t="s">
        <v>5221</v>
      </c>
      <c r="B4335" s="4" t="s">
        <v>13</v>
      </c>
      <c r="I4335" s="4">
        <v>0.079</v>
      </c>
      <c r="J4335" s="4">
        <v>0.005</v>
      </c>
      <c r="K4335" s="6" t="b">
        <f t="shared" ref="K4335:M4335" si="4129">FALSE()</f>
        <v>0</v>
      </c>
      <c r="L4335" s="6" t="b">
        <f t="shared" si="4129"/>
        <v>0</v>
      </c>
      <c r="M4335" s="6" t="b">
        <f t="shared" si="4129"/>
        <v>0</v>
      </c>
      <c r="P4335" s="4">
        <v>0.0760346862759976</v>
      </c>
      <c r="T4335" s="4" t="str">
        <f t="shared" si="3"/>
        <v/>
      </c>
      <c r="U4335" s="4">
        <f t="shared" si="4"/>
        <v>4430</v>
      </c>
    </row>
    <row r="4336" ht="15.75" customHeight="1">
      <c r="A4336" s="4" t="s">
        <v>5222</v>
      </c>
      <c r="B4336" s="4" t="s">
        <v>13</v>
      </c>
      <c r="I4336" s="4">
        <v>0.258</v>
      </c>
      <c r="J4336" s="4">
        <v>0.021</v>
      </c>
      <c r="K4336" s="6" t="b">
        <f t="shared" ref="K4336:M4336" si="4130">FALSE()</f>
        <v>0</v>
      </c>
      <c r="L4336" s="6" t="b">
        <f t="shared" si="4130"/>
        <v>0</v>
      </c>
      <c r="M4336" s="6" t="b">
        <f t="shared" si="4130"/>
        <v>0</v>
      </c>
      <c r="P4336" s="4">
        <v>0.229523158278249</v>
      </c>
      <c r="T4336" s="4" t="str">
        <f t="shared" si="3"/>
        <v/>
      </c>
      <c r="U4336" s="4">
        <f t="shared" si="4"/>
        <v>1710</v>
      </c>
    </row>
    <row r="4337" ht="15.75" customHeight="1">
      <c r="A4337" s="4" t="s">
        <v>5223</v>
      </c>
      <c r="B4337" s="4" t="s">
        <v>13</v>
      </c>
      <c r="I4337" s="4">
        <v>0.286</v>
      </c>
      <c r="J4337" s="4">
        <v>0.027</v>
      </c>
      <c r="K4337" s="6" t="b">
        <f t="shared" ref="K4337:M4337" si="4131">FALSE()</f>
        <v>0</v>
      </c>
      <c r="L4337" s="6" t="b">
        <f t="shared" si="4131"/>
        <v>0</v>
      </c>
      <c r="M4337" s="6" t="b">
        <f t="shared" si="4131"/>
        <v>0</v>
      </c>
      <c r="P4337" s="4">
        <v>0.251536625815428</v>
      </c>
      <c r="T4337" s="4" t="str">
        <f t="shared" si="3"/>
        <v/>
      </c>
      <c r="U4337" s="4">
        <f t="shared" si="4"/>
        <v>1462</v>
      </c>
    </row>
    <row r="4338" ht="15.75" customHeight="1">
      <c r="A4338" s="4" t="s">
        <v>5224</v>
      </c>
      <c r="B4338" s="4" t="s">
        <v>13</v>
      </c>
      <c r="I4338" s="4">
        <v>0.07</v>
      </c>
      <c r="J4338" s="4">
        <v>0.007</v>
      </c>
      <c r="K4338" s="6" t="b">
        <f t="shared" ref="K4338:M4338" si="4132">FALSE()</f>
        <v>0</v>
      </c>
      <c r="L4338" s="6" t="b">
        <f t="shared" si="4132"/>
        <v>0</v>
      </c>
      <c r="M4338" s="6" t="b">
        <f t="shared" si="4132"/>
        <v>0</v>
      </c>
      <c r="P4338" s="4">
        <v>0.0676586484738148</v>
      </c>
      <c r="T4338" s="4" t="str">
        <f t="shared" si="3"/>
        <v/>
      </c>
      <c r="U4338" s="4">
        <f t="shared" si="4"/>
        <v>4491</v>
      </c>
    </row>
    <row r="4339" ht="15.75" customHeight="1">
      <c r="A4339" s="4" t="s">
        <v>5225</v>
      </c>
      <c r="B4339" s="4" t="s">
        <v>13</v>
      </c>
      <c r="I4339" s="4">
        <v>0.208</v>
      </c>
      <c r="K4339" s="6" t="b">
        <f t="shared" ref="K4339:M4339" si="4133">FALSE()</f>
        <v>0</v>
      </c>
      <c r="L4339" s="6" t="b">
        <f t="shared" si="4133"/>
        <v>0</v>
      </c>
      <c r="M4339" s="6" t="b">
        <f t="shared" si="4133"/>
        <v>0</v>
      </c>
      <c r="P4339" s="4">
        <v>0.188966099512623</v>
      </c>
      <c r="T4339" s="4" t="str">
        <f t="shared" si="3"/>
        <v/>
      </c>
      <c r="U4339" s="4">
        <f t="shared" si="4"/>
        <v>2451</v>
      </c>
    </row>
    <row r="4340" ht="15.75" customHeight="1">
      <c r="A4340" s="4" t="s">
        <v>5226</v>
      </c>
      <c r="B4340" s="4" t="s">
        <v>13</v>
      </c>
      <c r="I4340" s="4">
        <v>0.141</v>
      </c>
      <c r="J4340" s="4">
        <v>0.029</v>
      </c>
      <c r="K4340" s="6" t="b">
        <f t="shared" ref="K4340:M4340" si="4134">FALSE()</f>
        <v>0</v>
      </c>
      <c r="L4340" s="6" t="b">
        <f t="shared" si="4134"/>
        <v>0</v>
      </c>
      <c r="M4340" s="6" t="b">
        <f t="shared" si="4134"/>
        <v>0</v>
      </c>
      <c r="P4340" s="4">
        <v>0.131905070879939</v>
      </c>
      <c r="T4340" s="4" t="str">
        <f t="shared" si="3"/>
        <v/>
      </c>
      <c r="U4340" s="4">
        <f t="shared" si="4"/>
        <v>3493</v>
      </c>
    </row>
    <row r="4341" ht="15.75" customHeight="1">
      <c r="A4341" s="4" t="s">
        <v>5227</v>
      </c>
      <c r="B4341" s="4" t="s">
        <v>13</v>
      </c>
      <c r="I4341" s="4">
        <v>1.162</v>
      </c>
      <c r="J4341" s="4">
        <v>0.047</v>
      </c>
      <c r="K4341" s="6" t="b">
        <f t="shared" ref="K4341:L4341" si="4135">FALSE()</f>
        <v>0</v>
      </c>
      <c r="L4341" s="6" t="b">
        <f t="shared" si="4135"/>
        <v>0</v>
      </c>
      <c r="M4341" s="6" t="b">
        <f>TRUE()</f>
        <v>1</v>
      </c>
      <c r="P4341" s="4">
        <v>0.771033719217017</v>
      </c>
      <c r="T4341" s="4" t="str">
        <f t="shared" si="3"/>
        <v/>
      </c>
      <c r="U4341" s="4">
        <f t="shared" si="4"/>
        <v>439</v>
      </c>
    </row>
    <row r="4342" ht="15.75" customHeight="1">
      <c r="A4342" s="4" t="s">
        <v>5228</v>
      </c>
      <c r="B4342" s="4" t="s">
        <v>13</v>
      </c>
      <c r="I4342" s="4">
        <v>0.217</v>
      </c>
      <c r="J4342" s="4">
        <v>0.006</v>
      </c>
      <c r="K4342" s="6" t="b">
        <f t="shared" ref="K4342:M4342" si="4136">FALSE()</f>
        <v>0</v>
      </c>
      <c r="L4342" s="6" t="b">
        <f t="shared" si="4136"/>
        <v>0</v>
      </c>
      <c r="M4342" s="6" t="b">
        <f t="shared" si="4136"/>
        <v>0</v>
      </c>
      <c r="P4342" s="4">
        <v>0.19638881400539</v>
      </c>
      <c r="T4342" s="4" t="str">
        <f t="shared" si="3"/>
        <v/>
      </c>
      <c r="U4342" s="4">
        <f t="shared" si="4"/>
        <v>2308</v>
      </c>
    </row>
    <row r="4343" ht="15.75" customHeight="1">
      <c r="A4343" s="4" t="s">
        <v>5229</v>
      </c>
      <c r="B4343" s="4" t="s">
        <v>13</v>
      </c>
      <c r="I4343" s="4">
        <v>0.114</v>
      </c>
      <c r="J4343" s="4">
        <v>0.006</v>
      </c>
      <c r="K4343" s="6" t="b">
        <f t="shared" ref="K4343:M4343" si="4137">FALSE()</f>
        <v>0</v>
      </c>
      <c r="L4343" s="6" t="b">
        <f t="shared" si="4137"/>
        <v>0</v>
      </c>
      <c r="M4343" s="6" t="b">
        <f t="shared" si="4137"/>
        <v>0</v>
      </c>
      <c r="P4343" s="4">
        <v>0.107957141505092</v>
      </c>
      <c r="T4343" s="4" t="str">
        <f t="shared" si="3"/>
        <v/>
      </c>
      <c r="U4343" s="4">
        <f t="shared" si="4"/>
        <v>3987</v>
      </c>
    </row>
    <row r="4344" ht="15.75" customHeight="1">
      <c r="A4344" s="4" t="s">
        <v>5230</v>
      </c>
      <c r="B4344" s="4" t="s">
        <v>13</v>
      </c>
      <c r="I4344" s="4">
        <v>0.227</v>
      </c>
      <c r="J4344" s="4">
        <v>0.036</v>
      </c>
      <c r="K4344" s="6" t="b">
        <f t="shared" ref="K4344:M4344" si="4138">FALSE()</f>
        <v>0</v>
      </c>
      <c r="L4344" s="6" t="b">
        <f t="shared" si="4138"/>
        <v>0</v>
      </c>
      <c r="M4344" s="6" t="b">
        <f t="shared" si="4138"/>
        <v>0</v>
      </c>
      <c r="P4344" s="4">
        <v>0.204572165728774</v>
      </c>
      <c r="T4344" s="4" t="str">
        <f t="shared" si="3"/>
        <v/>
      </c>
      <c r="U4344" s="4">
        <f t="shared" si="4"/>
        <v>2163</v>
      </c>
    </row>
    <row r="4345" ht="15.75" customHeight="1">
      <c r="A4345" s="4" t="s">
        <v>5231</v>
      </c>
      <c r="B4345" s="4" t="s">
        <v>13</v>
      </c>
      <c r="I4345" s="4">
        <v>0.189</v>
      </c>
      <c r="J4345" s="4">
        <v>0.021</v>
      </c>
      <c r="K4345" s="6" t="b">
        <f t="shared" ref="K4345:M4345" si="4139">FALSE()</f>
        <v>0</v>
      </c>
      <c r="L4345" s="6" t="b">
        <f t="shared" si="4139"/>
        <v>0</v>
      </c>
      <c r="M4345" s="6" t="b">
        <f t="shared" si="4139"/>
        <v>0</v>
      </c>
      <c r="P4345" s="4">
        <v>0.173112617708645</v>
      </c>
      <c r="T4345" s="4" t="str">
        <f t="shared" si="3"/>
        <v/>
      </c>
      <c r="U4345" s="4">
        <f t="shared" si="4"/>
        <v>2762</v>
      </c>
    </row>
    <row r="4346" ht="15.75" customHeight="1">
      <c r="A4346" s="4" t="s">
        <v>1024</v>
      </c>
      <c r="B4346" s="4" t="s">
        <v>13</v>
      </c>
      <c r="C4346" s="4">
        <v>0.00619</v>
      </c>
      <c r="D4346" s="4">
        <v>0.00168</v>
      </c>
      <c r="E4346" s="4">
        <v>0.00168</v>
      </c>
      <c r="I4346" s="4">
        <v>0.1</v>
      </c>
      <c r="J4346" s="4">
        <v>0.01</v>
      </c>
      <c r="K4346" s="6" t="b">
        <f t="shared" ref="K4346:M4346" si="4140">FALSE()</f>
        <v>0</v>
      </c>
      <c r="L4346" s="6" t="b">
        <f t="shared" si="4140"/>
        <v>0</v>
      </c>
      <c r="M4346" s="6" t="b">
        <f t="shared" si="4140"/>
        <v>0</v>
      </c>
      <c r="N4346" s="4">
        <v>0.0061709206436636</v>
      </c>
      <c r="P4346" s="4">
        <v>0.0953101798043248</v>
      </c>
      <c r="T4346" s="4">
        <f t="shared" si="3"/>
        <v>2006</v>
      </c>
      <c r="U4346" s="4">
        <f t="shared" si="4"/>
        <v>4224</v>
      </c>
    </row>
    <row r="4347" ht="15.75" customHeight="1">
      <c r="A4347" s="4" t="s">
        <v>5232</v>
      </c>
      <c r="B4347" s="4" t="s">
        <v>13</v>
      </c>
      <c r="I4347" s="4">
        <v>0.194</v>
      </c>
      <c r="J4347" s="4">
        <v>0.012</v>
      </c>
      <c r="K4347" s="6" t="b">
        <f t="shared" ref="K4347:M4347" si="4141">FALSE()</f>
        <v>0</v>
      </c>
      <c r="L4347" s="6" t="b">
        <f t="shared" si="4141"/>
        <v>0</v>
      </c>
      <c r="M4347" s="6" t="b">
        <f t="shared" si="4141"/>
        <v>0</v>
      </c>
      <c r="P4347" s="4">
        <v>0.17730901497041</v>
      </c>
      <c r="T4347" s="4" t="str">
        <f t="shared" si="3"/>
        <v/>
      </c>
      <c r="U4347" s="4">
        <f t="shared" si="4"/>
        <v>2695</v>
      </c>
    </row>
    <row r="4348" ht="15.75" customHeight="1">
      <c r="A4348" s="4" t="s">
        <v>5233</v>
      </c>
      <c r="B4348" s="4" t="s">
        <v>13</v>
      </c>
      <c r="I4348" s="4">
        <v>0.272</v>
      </c>
      <c r="J4348" s="4">
        <v>0.062</v>
      </c>
      <c r="K4348" s="6" t="b">
        <f t="shared" ref="K4348:M4348" si="4142">FALSE()</f>
        <v>0</v>
      </c>
      <c r="L4348" s="6" t="b">
        <f t="shared" si="4142"/>
        <v>0</v>
      </c>
      <c r="M4348" s="6" t="b">
        <f t="shared" si="4142"/>
        <v>0</v>
      </c>
      <c r="P4348" s="4">
        <v>0.24059046491793</v>
      </c>
      <c r="T4348" s="4" t="str">
        <f t="shared" si="3"/>
        <v/>
      </c>
      <c r="U4348" s="4">
        <f t="shared" si="4"/>
        <v>1574</v>
      </c>
    </row>
    <row r="4349" ht="15.75" customHeight="1">
      <c r="A4349" s="4" t="s">
        <v>5234</v>
      </c>
      <c r="B4349" s="4" t="s">
        <v>13</v>
      </c>
      <c r="I4349" s="4">
        <v>0.175</v>
      </c>
      <c r="J4349" s="4">
        <v>0.021</v>
      </c>
      <c r="K4349" s="6" t="b">
        <f t="shared" ref="K4349:M4349" si="4143">FALSE()</f>
        <v>0</v>
      </c>
      <c r="L4349" s="6" t="b">
        <f t="shared" si="4143"/>
        <v>0</v>
      </c>
      <c r="M4349" s="6" t="b">
        <f t="shared" si="4143"/>
        <v>0</v>
      </c>
      <c r="P4349" s="4">
        <v>0.161268147596122</v>
      </c>
      <c r="T4349" s="4" t="str">
        <f t="shared" si="3"/>
        <v/>
      </c>
      <c r="U4349" s="4">
        <f t="shared" si="4"/>
        <v>2982</v>
      </c>
    </row>
    <row r="4350" ht="15.75" customHeight="1">
      <c r="A4350" s="4" t="s">
        <v>5235</v>
      </c>
      <c r="B4350" s="4" t="s">
        <v>13</v>
      </c>
      <c r="I4350" s="4">
        <v>0.122</v>
      </c>
      <c r="J4350" s="4">
        <v>0.014</v>
      </c>
      <c r="K4350" s="6" t="b">
        <f t="shared" ref="K4350:M4350" si="4144">FALSE()</f>
        <v>0</v>
      </c>
      <c r="L4350" s="6" t="b">
        <f t="shared" si="4144"/>
        <v>0</v>
      </c>
      <c r="M4350" s="6" t="b">
        <f t="shared" si="4144"/>
        <v>0</v>
      </c>
      <c r="P4350" s="4">
        <v>0.115112807100505</v>
      </c>
      <c r="T4350" s="4" t="str">
        <f t="shared" si="3"/>
        <v/>
      </c>
      <c r="U4350" s="4">
        <f t="shared" si="4"/>
        <v>3832</v>
      </c>
    </row>
    <row r="4351" ht="15.75" customHeight="1">
      <c r="A4351" s="4" t="s">
        <v>5236</v>
      </c>
      <c r="B4351" s="4" t="s">
        <v>13</v>
      </c>
      <c r="I4351" s="4">
        <v>0.188</v>
      </c>
      <c r="J4351" s="4">
        <v>0.03</v>
      </c>
      <c r="K4351" s="6" t="b">
        <f t="shared" ref="K4351:M4351" si="4145">FALSE()</f>
        <v>0</v>
      </c>
      <c r="L4351" s="6" t="b">
        <f t="shared" si="4145"/>
        <v>0</v>
      </c>
      <c r="M4351" s="6" t="b">
        <f t="shared" si="4145"/>
        <v>0</v>
      </c>
      <c r="P4351" s="4">
        <v>0.172271220940453</v>
      </c>
      <c r="T4351" s="4" t="str">
        <f t="shared" si="3"/>
        <v/>
      </c>
      <c r="U4351" s="4">
        <f t="shared" si="4"/>
        <v>2777</v>
      </c>
    </row>
    <row r="4352" ht="15.75" customHeight="1">
      <c r="A4352" s="4" t="s">
        <v>5237</v>
      </c>
      <c r="B4352" s="4" t="s">
        <v>13</v>
      </c>
      <c r="I4352" s="4">
        <v>0.1552</v>
      </c>
      <c r="J4352" s="4">
        <v>0.017</v>
      </c>
      <c r="K4352" s="6" t="b">
        <f t="shared" ref="K4352:M4352" si="4146">FALSE()</f>
        <v>0</v>
      </c>
      <c r="L4352" s="6" t="b">
        <f t="shared" si="4146"/>
        <v>0</v>
      </c>
      <c r="M4352" s="6" t="b">
        <f t="shared" si="4146"/>
        <v>0</v>
      </c>
      <c r="P4352" s="4">
        <v>0.144273489156425</v>
      </c>
      <c r="T4352" s="4" t="str">
        <f t="shared" si="3"/>
        <v/>
      </c>
      <c r="U4352" s="4">
        <f t="shared" si="4"/>
        <v>3238</v>
      </c>
    </row>
    <row r="4353" ht="15.75" customHeight="1">
      <c r="A4353" s="4" t="s">
        <v>5238</v>
      </c>
      <c r="B4353" s="4" t="s">
        <v>13</v>
      </c>
      <c r="I4353" s="4">
        <v>0.116</v>
      </c>
      <c r="J4353" s="4">
        <v>0.02</v>
      </c>
      <c r="K4353" s="6" t="b">
        <f t="shared" ref="K4353:M4353" si="4147">FALSE()</f>
        <v>0</v>
      </c>
      <c r="L4353" s="6" t="b">
        <f t="shared" si="4147"/>
        <v>0</v>
      </c>
      <c r="M4353" s="6" t="b">
        <f t="shared" si="4147"/>
        <v>0</v>
      </c>
      <c r="P4353" s="4">
        <v>0.109750863959119</v>
      </c>
      <c r="T4353" s="4" t="str">
        <f t="shared" si="3"/>
        <v/>
      </c>
      <c r="U4353" s="4">
        <f t="shared" si="4"/>
        <v>3958</v>
      </c>
    </row>
    <row r="4354" ht="15.75" customHeight="1">
      <c r="A4354" s="4" t="s">
        <v>5239</v>
      </c>
      <c r="B4354" s="4" t="s">
        <v>13</v>
      </c>
      <c r="I4354" s="4">
        <v>0.194</v>
      </c>
      <c r="J4354" s="4">
        <v>0.02</v>
      </c>
      <c r="K4354" s="6" t="b">
        <f t="shared" ref="K4354:M4354" si="4148">FALSE()</f>
        <v>0</v>
      </c>
      <c r="L4354" s="6" t="b">
        <f t="shared" si="4148"/>
        <v>0</v>
      </c>
      <c r="M4354" s="6" t="b">
        <f t="shared" si="4148"/>
        <v>0</v>
      </c>
      <c r="P4354" s="4">
        <v>0.17730901497041</v>
      </c>
      <c r="T4354" s="4" t="str">
        <f t="shared" si="3"/>
        <v/>
      </c>
      <c r="U4354" s="4">
        <f t="shared" si="4"/>
        <v>2696</v>
      </c>
    </row>
    <row r="4355" ht="15.75" customHeight="1">
      <c r="A4355" s="4" t="s">
        <v>5240</v>
      </c>
      <c r="B4355" s="4" t="s">
        <v>13</v>
      </c>
      <c r="I4355" s="4">
        <v>0.213</v>
      </c>
      <c r="J4355" s="4">
        <v>0.03</v>
      </c>
      <c r="K4355" s="6" t="b">
        <f t="shared" ref="K4355:M4355" si="4149">FALSE()</f>
        <v>0</v>
      </c>
      <c r="L4355" s="6" t="b">
        <f t="shared" si="4149"/>
        <v>0</v>
      </c>
      <c r="M4355" s="6" t="b">
        <f t="shared" si="4149"/>
        <v>0</v>
      </c>
      <c r="P4355" s="4">
        <v>0.193096629961913</v>
      </c>
      <c r="T4355" s="4" t="str">
        <f t="shared" si="3"/>
        <v/>
      </c>
      <c r="U4355" s="4">
        <f t="shared" si="4"/>
        <v>2366</v>
      </c>
    </row>
    <row r="4356" ht="15.75" customHeight="1">
      <c r="A4356" s="4" t="s">
        <v>5241</v>
      </c>
      <c r="B4356" s="4" t="s">
        <v>13</v>
      </c>
      <c r="I4356" s="4">
        <v>0.614</v>
      </c>
      <c r="J4356" s="4">
        <v>0.051</v>
      </c>
      <c r="K4356" s="6" t="b">
        <f t="shared" ref="K4356:M4356" si="4150">FALSE()</f>
        <v>0</v>
      </c>
      <c r="L4356" s="6" t="b">
        <f t="shared" si="4150"/>
        <v>0</v>
      </c>
      <c r="M4356" s="6" t="b">
        <f t="shared" si="4150"/>
        <v>0</v>
      </c>
      <c r="P4356" s="4">
        <v>0.478715569847757</v>
      </c>
      <c r="T4356" s="4" t="str">
        <f t="shared" si="3"/>
        <v/>
      </c>
      <c r="U4356" s="4">
        <f t="shared" si="4"/>
        <v>940</v>
      </c>
    </row>
    <row r="4357" ht="15.75" customHeight="1">
      <c r="A4357" s="4" t="s">
        <v>5242</v>
      </c>
      <c r="B4357" s="4" t="s">
        <v>13</v>
      </c>
      <c r="I4357" s="4">
        <v>0.248</v>
      </c>
      <c r="K4357" s="6" t="b">
        <f t="shared" ref="K4357:M4357" si="4151">FALSE()</f>
        <v>0</v>
      </c>
      <c r="L4357" s="6" t="b">
        <f t="shared" si="4151"/>
        <v>0</v>
      </c>
      <c r="M4357" s="6" t="b">
        <f t="shared" si="4151"/>
        <v>0</v>
      </c>
      <c r="P4357" s="4">
        <v>0.221542269947236</v>
      </c>
      <c r="T4357" s="4" t="str">
        <f t="shared" si="3"/>
        <v/>
      </c>
      <c r="U4357" s="4">
        <f t="shared" si="4"/>
        <v>1837</v>
      </c>
    </row>
    <row r="4358" ht="15.75" customHeight="1">
      <c r="A4358" s="4" t="s">
        <v>1025</v>
      </c>
      <c r="B4358" s="4" t="s">
        <v>13</v>
      </c>
      <c r="C4358" s="4">
        <v>0.0343</v>
      </c>
      <c r="D4358" s="4">
        <v>0.019</v>
      </c>
      <c r="E4358" s="4">
        <v>0.023</v>
      </c>
      <c r="I4358" s="4">
        <v>0.31</v>
      </c>
      <c r="J4358" s="4">
        <v>0.006</v>
      </c>
      <c r="K4358" s="6" t="b">
        <f t="shared" ref="K4358:M4358" si="4152">FALSE()</f>
        <v>0</v>
      </c>
      <c r="L4358" s="6" t="b">
        <f t="shared" si="4152"/>
        <v>0</v>
      </c>
      <c r="M4358" s="6" t="b">
        <f t="shared" si="4152"/>
        <v>0</v>
      </c>
      <c r="N4358" s="4">
        <v>0.0337248694016208</v>
      </c>
      <c r="P4358" s="4">
        <v>0.27002713721306</v>
      </c>
      <c r="T4358" s="4">
        <f t="shared" si="3"/>
        <v>1495</v>
      </c>
      <c r="U4358" s="4">
        <f t="shared" si="4"/>
        <v>1340</v>
      </c>
    </row>
    <row r="4359" ht="15.75" customHeight="1">
      <c r="A4359" s="4" t="s">
        <v>1026</v>
      </c>
      <c r="B4359" s="4" t="s">
        <v>13</v>
      </c>
      <c r="C4359" s="4">
        <v>0.019</v>
      </c>
      <c r="D4359" s="4">
        <v>0.0072</v>
      </c>
      <c r="E4359" s="4">
        <v>0.006</v>
      </c>
      <c r="I4359" s="4">
        <v>0.332</v>
      </c>
      <c r="J4359" s="4">
        <v>0.007</v>
      </c>
      <c r="K4359" s="6" t="b">
        <f t="shared" ref="K4359:M4359" si="4153">FALSE()</f>
        <v>0</v>
      </c>
      <c r="L4359" s="6" t="b">
        <f t="shared" si="4153"/>
        <v>0</v>
      </c>
      <c r="M4359" s="6" t="b">
        <f t="shared" si="4153"/>
        <v>0</v>
      </c>
      <c r="N4359" s="4">
        <v>0.0188217542405877</v>
      </c>
      <c r="P4359" s="4">
        <v>0.286681572118197</v>
      </c>
      <c r="T4359" s="4">
        <f t="shared" si="3"/>
        <v>1755</v>
      </c>
      <c r="U4359" s="4">
        <f t="shared" si="4"/>
        <v>1252</v>
      </c>
    </row>
    <row r="4360" ht="15.75" customHeight="1">
      <c r="A4360" s="4" t="s">
        <v>1027</v>
      </c>
      <c r="B4360" s="4" t="s">
        <v>13</v>
      </c>
      <c r="C4360" s="4">
        <v>0.019</v>
      </c>
      <c r="D4360" s="4">
        <v>0.005</v>
      </c>
      <c r="E4360" s="4">
        <v>0.0066</v>
      </c>
      <c r="I4360" s="4">
        <v>0.639</v>
      </c>
      <c r="J4360" s="4">
        <v>0.014</v>
      </c>
      <c r="K4360" s="6" t="b">
        <f t="shared" ref="K4360:M4360" si="4154">FALSE()</f>
        <v>0</v>
      </c>
      <c r="L4360" s="6" t="b">
        <f t="shared" si="4154"/>
        <v>0</v>
      </c>
      <c r="M4360" s="6" t="b">
        <f t="shared" si="4154"/>
        <v>0</v>
      </c>
      <c r="N4360" s="4">
        <v>0.0188217542405877</v>
      </c>
      <c r="P4360" s="4">
        <v>0.494086299761693</v>
      </c>
      <c r="T4360" s="4">
        <f t="shared" si="3"/>
        <v>1756</v>
      </c>
      <c r="U4360" s="4">
        <f t="shared" si="4"/>
        <v>922</v>
      </c>
    </row>
    <row r="4361" ht="15.75" customHeight="1">
      <c r="A4361" s="4" t="s">
        <v>1028</v>
      </c>
      <c r="B4361" s="4" t="s">
        <v>13</v>
      </c>
      <c r="C4361" s="4">
        <v>0.013</v>
      </c>
      <c r="D4361" s="4">
        <v>0.0035</v>
      </c>
      <c r="E4361" s="4">
        <v>0.0038</v>
      </c>
      <c r="I4361" s="4">
        <v>0.311</v>
      </c>
      <c r="J4361" s="4">
        <v>0.012</v>
      </c>
      <c r="K4361" s="6" t="b">
        <f t="shared" ref="K4361:M4361" si="4155">FALSE()</f>
        <v>0</v>
      </c>
      <c r="L4361" s="6" t="b">
        <f t="shared" si="4155"/>
        <v>0</v>
      </c>
      <c r="M4361" s="6" t="b">
        <f t="shared" si="4155"/>
        <v>0</v>
      </c>
      <c r="N4361" s="4">
        <v>0.0129162252665463</v>
      </c>
      <c r="P4361" s="4">
        <v>0.270790204781563</v>
      </c>
      <c r="T4361" s="4">
        <f t="shared" si="3"/>
        <v>1870</v>
      </c>
      <c r="U4361" s="4">
        <f t="shared" si="4"/>
        <v>1338</v>
      </c>
    </row>
    <row r="4362" ht="15.75" customHeight="1">
      <c r="A4362" s="4" t="s">
        <v>1029</v>
      </c>
      <c r="B4362" s="4" t="s">
        <v>13</v>
      </c>
      <c r="C4362" s="4">
        <v>0.441</v>
      </c>
      <c r="D4362" s="4">
        <v>0.042</v>
      </c>
      <c r="E4362" s="4">
        <v>0.043</v>
      </c>
      <c r="I4362" s="4">
        <v>1.622</v>
      </c>
      <c r="J4362" s="4">
        <v>0.013</v>
      </c>
      <c r="K4362" s="6" t="b">
        <f t="shared" ref="K4362:L4362" si="4156">FALSE()</f>
        <v>0</v>
      </c>
      <c r="L4362" s="6" t="b">
        <f t="shared" si="4156"/>
        <v>0</v>
      </c>
      <c r="M4362" s="6" t="b">
        <f>TRUE()</f>
        <v>1</v>
      </c>
      <c r="N4362" s="4">
        <v>0.365337317017385</v>
      </c>
      <c r="P4362" s="4">
        <v>0.963937385341508</v>
      </c>
      <c r="T4362" s="4">
        <f t="shared" si="3"/>
        <v>985</v>
      </c>
      <c r="U4362" s="4">
        <f t="shared" si="4"/>
        <v>69</v>
      </c>
    </row>
    <row r="4363" ht="15.75" customHeight="1">
      <c r="A4363" s="4" t="s">
        <v>5243</v>
      </c>
      <c r="B4363" s="4" t="s">
        <v>13</v>
      </c>
      <c r="I4363" s="4">
        <v>0.254</v>
      </c>
      <c r="J4363" s="4">
        <v>0.023</v>
      </c>
      <c r="K4363" s="6" t="b">
        <f t="shared" ref="K4363:M4363" si="4157">FALSE()</f>
        <v>0</v>
      </c>
      <c r="L4363" s="6" t="b">
        <f t="shared" si="4157"/>
        <v>0</v>
      </c>
      <c r="M4363" s="6" t="b">
        <f t="shared" si="4157"/>
        <v>0</v>
      </c>
      <c r="P4363" s="4">
        <v>0.226338442210729</v>
      </c>
      <c r="T4363" s="4" t="str">
        <f t="shared" si="3"/>
        <v/>
      </c>
      <c r="U4363" s="4">
        <f t="shared" si="4"/>
        <v>1762</v>
      </c>
    </row>
    <row r="4364" ht="15.75" customHeight="1">
      <c r="A4364" s="4" t="s">
        <v>5244</v>
      </c>
      <c r="B4364" s="4" t="s">
        <v>13</v>
      </c>
      <c r="I4364" s="4">
        <v>0.178</v>
      </c>
      <c r="J4364" s="4">
        <v>0.009</v>
      </c>
      <c r="K4364" s="6" t="b">
        <f t="shared" ref="K4364:M4364" si="4158">FALSE()</f>
        <v>0</v>
      </c>
      <c r="L4364" s="6" t="b">
        <f t="shared" si="4158"/>
        <v>0</v>
      </c>
      <c r="M4364" s="6" t="b">
        <f t="shared" si="4158"/>
        <v>0</v>
      </c>
      <c r="P4364" s="4">
        <v>0.163818085229395</v>
      </c>
      <c r="T4364" s="4" t="str">
        <f t="shared" si="3"/>
        <v/>
      </c>
      <c r="U4364" s="4">
        <f t="shared" si="4"/>
        <v>2937</v>
      </c>
    </row>
    <row r="4365" ht="15.75" customHeight="1">
      <c r="A4365" s="4" t="s">
        <v>5245</v>
      </c>
      <c r="B4365" s="4" t="s">
        <v>13</v>
      </c>
      <c r="I4365" s="4">
        <v>0.316</v>
      </c>
      <c r="J4365" s="4">
        <v>0.036</v>
      </c>
      <c r="K4365" s="6" t="b">
        <f t="shared" ref="K4365:M4365" si="4159">FALSE()</f>
        <v>0</v>
      </c>
      <c r="L4365" s="6" t="b">
        <f t="shared" si="4159"/>
        <v>0</v>
      </c>
      <c r="M4365" s="6" t="b">
        <f t="shared" si="4159"/>
        <v>0</v>
      </c>
      <c r="P4365" s="4">
        <v>0.274596832903126</v>
      </c>
      <c r="T4365" s="4" t="str">
        <f t="shared" si="3"/>
        <v/>
      </c>
      <c r="U4365" s="4">
        <f t="shared" si="4"/>
        <v>1316</v>
      </c>
    </row>
    <row r="4366" ht="15.75" customHeight="1">
      <c r="A4366" s="4" t="s">
        <v>5246</v>
      </c>
      <c r="B4366" s="4" t="s">
        <v>13</v>
      </c>
      <c r="I4366" s="4">
        <v>0.338</v>
      </c>
      <c r="J4366" s="4">
        <v>0.034</v>
      </c>
      <c r="K4366" s="6" t="b">
        <f t="shared" ref="K4366:M4366" si="4160">FALSE()</f>
        <v>0</v>
      </c>
      <c r="L4366" s="6" t="b">
        <f t="shared" si="4160"/>
        <v>0</v>
      </c>
      <c r="M4366" s="6" t="b">
        <f t="shared" si="4160"/>
        <v>0</v>
      </c>
      <c r="P4366" s="4">
        <v>0.291175961706037</v>
      </c>
      <c r="T4366" s="4" t="str">
        <f t="shared" si="3"/>
        <v/>
      </c>
      <c r="U4366" s="4">
        <f t="shared" si="4"/>
        <v>1240</v>
      </c>
    </row>
    <row r="4367" ht="15.75" customHeight="1">
      <c r="A4367" s="4" t="s">
        <v>5247</v>
      </c>
      <c r="B4367" s="4" t="s">
        <v>13</v>
      </c>
      <c r="I4367" s="4">
        <v>0.173</v>
      </c>
      <c r="J4367" s="4">
        <v>0.014</v>
      </c>
      <c r="K4367" s="6" t="b">
        <f t="shared" ref="K4367:M4367" si="4161">FALSE()</f>
        <v>0</v>
      </c>
      <c r="L4367" s="6" t="b">
        <f t="shared" si="4161"/>
        <v>0</v>
      </c>
      <c r="M4367" s="6" t="b">
        <f t="shared" si="4161"/>
        <v>0</v>
      </c>
      <c r="P4367" s="4">
        <v>0.159564569671338</v>
      </c>
      <c r="T4367" s="4" t="str">
        <f t="shared" si="3"/>
        <v/>
      </c>
      <c r="U4367" s="4">
        <f t="shared" si="4"/>
        <v>3007</v>
      </c>
    </row>
    <row r="4368" ht="15.75" customHeight="1">
      <c r="A4368" s="4" t="s">
        <v>5248</v>
      </c>
      <c r="B4368" s="4" t="s">
        <v>13</v>
      </c>
      <c r="I4368" s="4">
        <v>0.102</v>
      </c>
      <c r="J4368" s="4">
        <v>0.012</v>
      </c>
      <c r="K4368" s="6" t="b">
        <f t="shared" ref="K4368:M4368" si="4162">FALSE()</f>
        <v>0</v>
      </c>
      <c r="L4368" s="6" t="b">
        <f t="shared" si="4162"/>
        <v>0</v>
      </c>
      <c r="M4368" s="6" t="b">
        <f t="shared" si="4162"/>
        <v>0</v>
      </c>
      <c r="P4368" s="4">
        <v>0.0971267107307227</v>
      </c>
      <c r="T4368" s="4" t="str">
        <f t="shared" si="3"/>
        <v/>
      </c>
      <c r="U4368" s="4">
        <f t="shared" si="4"/>
        <v>4194</v>
      </c>
    </row>
    <row r="4369" ht="15.75" customHeight="1">
      <c r="A4369" s="4" t="s">
        <v>5249</v>
      </c>
      <c r="B4369" s="4" t="s">
        <v>13</v>
      </c>
      <c r="I4369" s="4">
        <v>0.258</v>
      </c>
      <c r="J4369" s="4">
        <v>0.022</v>
      </c>
      <c r="K4369" s="6" t="b">
        <f t="shared" ref="K4369:M4369" si="4163">FALSE()</f>
        <v>0</v>
      </c>
      <c r="L4369" s="6" t="b">
        <f t="shared" si="4163"/>
        <v>0</v>
      </c>
      <c r="M4369" s="6" t="b">
        <f t="shared" si="4163"/>
        <v>0</v>
      </c>
      <c r="P4369" s="4">
        <v>0.229523158278249</v>
      </c>
      <c r="T4369" s="4" t="str">
        <f t="shared" si="3"/>
        <v/>
      </c>
      <c r="U4369" s="4">
        <f t="shared" si="4"/>
        <v>1711</v>
      </c>
    </row>
    <row r="4370" ht="15.75" customHeight="1">
      <c r="A4370" s="4" t="s">
        <v>5250</v>
      </c>
      <c r="B4370" s="4" t="s">
        <v>13</v>
      </c>
      <c r="I4370" s="4">
        <v>0.102</v>
      </c>
      <c r="J4370" s="4">
        <v>0.021</v>
      </c>
      <c r="K4370" s="6" t="b">
        <f t="shared" ref="K4370:M4370" si="4164">FALSE()</f>
        <v>0</v>
      </c>
      <c r="L4370" s="6" t="b">
        <f t="shared" si="4164"/>
        <v>0</v>
      </c>
      <c r="M4370" s="6" t="b">
        <f t="shared" si="4164"/>
        <v>0</v>
      </c>
      <c r="P4370" s="4">
        <v>0.0971267107307227</v>
      </c>
      <c r="T4370" s="4" t="str">
        <f t="shared" si="3"/>
        <v/>
      </c>
      <c r="U4370" s="4">
        <f t="shared" si="4"/>
        <v>4195</v>
      </c>
    </row>
    <row r="4371" ht="15.75" customHeight="1">
      <c r="A4371" s="4" t="s">
        <v>5251</v>
      </c>
      <c r="B4371" s="4" t="s">
        <v>13</v>
      </c>
      <c r="I4371" s="4">
        <v>0.107</v>
      </c>
      <c r="J4371" s="4">
        <v>0.009</v>
      </c>
      <c r="K4371" s="6" t="b">
        <f t="shared" ref="K4371:M4371" si="4165">FALSE()</f>
        <v>0</v>
      </c>
      <c r="L4371" s="6" t="b">
        <f t="shared" si="4165"/>
        <v>0</v>
      </c>
      <c r="M4371" s="6" t="b">
        <f t="shared" si="4165"/>
        <v>0</v>
      </c>
      <c r="P4371" s="4">
        <v>0.1016536537265</v>
      </c>
      <c r="T4371" s="4" t="str">
        <f t="shared" si="3"/>
        <v/>
      </c>
      <c r="U4371" s="4">
        <f t="shared" si="4"/>
        <v>4107</v>
      </c>
    </row>
    <row r="4372" ht="15.75" customHeight="1">
      <c r="A4372" s="4" t="s">
        <v>5252</v>
      </c>
      <c r="B4372" s="4" t="s">
        <v>13</v>
      </c>
      <c r="I4372" s="4">
        <v>0.269</v>
      </c>
      <c r="J4372" s="4">
        <v>0.022</v>
      </c>
      <c r="K4372" s="6" t="b">
        <f t="shared" ref="K4372:M4372" si="4166">FALSE()</f>
        <v>0</v>
      </c>
      <c r="L4372" s="6" t="b">
        <f t="shared" si="4166"/>
        <v>0</v>
      </c>
      <c r="M4372" s="6" t="b">
        <f t="shared" si="4166"/>
        <v>0</v>
      </c>
      <c r="P4372" s="4">
        <v>0.238229188732251</v>
      </c>
      <c r="T4372" s="4" t="str">
        <f t="shared" si="3"/>
        <v/>
      </c>
      <c r="U4372" s="4">
        <f t="shared" si="4"/>
        <v>1608</v>
      </c>
    </row>
    <row r="4373" ht="15.75" customHeight="1">
      <c r="A4373" s="4" t="s">
        <v>1030</v>
      </c>
      <c r="B4373" s="4" t="s">
        <v>13</v>
      </c>
      <c r="C4373" s="4">
        <v>0.0218</v>
      </c>
      <c r="D4373" s="4">
        <v>0.0022</v>
      </c>
      <c r="E4373" s="4">
        <v>0.0033</v>
      </c>
      <c r="I4373" s="4">
        <v>0.238</v>
      </c>
      <c r="J4373" s="4">
        <v>0.009</v>
      </c>
      <c r="K4373" s="6" t="b">
        <f t="shared" ref="K4373:M4373" si="4167">FALSE()</f>
        <v>0</v>
      </c>
      <c r="L4373" s="6" t="b">
        <f t="shared" si="4167"/>
        <v>0</v>
      </c>
      <c r="M4373" s="6" t="b">
        <f t="shared" si="4167"/>
        <v>0</v>
      </c>
      <c r="N4373" s="4">
        <v>0.0215657779145605</v>
      </c>
      <c r="P4373" s="4">
        <v>0.213497174262404</v>
      </c>
      <c r="T4373" s="4">
        <f t="shared" si="3"/>
        <v>1685</v>
      </c>
      <c r="U4373" s="4">
        <f t="shared" si="4"/>
        <v>1982</v>
      </c>
    </row>
    <row r="4374" ht="15.75" customHeight="1">
      <c r="A4374" s="4" t="s">
        <v>1031</v>
      </c>
      <c r="B4374" s="4" t="s">
        <v>13</v>
      </c>
      <c r="C4374" s="4">
        <v>0.02121</v>
      </c>
      <c r="D4374" s="4">
        <v>0.00271</v>
      </c>
      <c r="E4374" s="4">
        <v>0.00387</v>
      </c>
      <c r="I4374" s="4">
        <v>0.244</v>
      </c>
      <c r="J4374" s="4">
        <v>0.009</v>
      </c>
      <c r="K4374" s="6" t="b">
        <f t="shared" ref="K4374:M4374" si="4168">FALSE()</f>
        <v>0</v>
      </c>
      <c r="L4374" s="6" t="b">
        <f t="shared" si="4168"/>
        <v>0</v>
      </c>
      <c r="M4374" s="6" t="b">
        <f t="shared" si="4168"/>
        <v>0</v>
      </c>
      <c r="N4374" s="4">
        <v>0.0209881987383432</v>
      </c>
      <c r="P4374" s="4">
        <v>0.218331994316988</v>
      </c>
      <c r="T4374" s="4">
        <f t="shared" si="3"/>
        <v>1703</v>
      </c>
      <c r="U4374" s="4">
        <f t="shared" si="4"/>
        <v>1893</v>
      </c>
    </row>
    <row r="4375" ht="15.75" customHeight="1">
      <c r="A4375" s="4" t="s">
        <v>1032</v>
      </c>
      <c r="B4375" s="4" t="s">
        <v>13</v>
      </c>
      <c r="C4375" s="4">
        <v>0.02124</v>
      </c>
      <c r="D4375" s="4">
        <v>0.0016</v>
      </c>
      <c r="E4375" s="4">
        <v>0.00217</v>
      </c>
      <c r="I4375" s="4">
        <v>0.136</v>
      </c>
      <c r="J4375" s="4">
        <v>0.006</v>
      </c>
      <c r="K4375" s="6" t="b">
        <f t="shared" ref="K4375:M4375" si="4169">FALSE()</f>
        <v>0</v>
      </c>
      <c r="L4375" s="6" t="b">
        <f t="shared" si="4169"/>
        <v>0</v>
      </c>
      <c r="M4375" s="6" t="b">
        <f t="shared" si="4169"/>
        <v>0</v>
      </c>
      <c r="N4375" s="4">
        <v>0.0210175752224697</v>
      </c>
      <c r="P4375" s="4">
        <v>0.12751332029896</v>
      </c>
      <c r="T4375" s="4">
        <f t="shared" si="3"/>
        <v>1700</v>
      </c>
      <c r="U4375" s="4">
        <f t="shared" si="4"/>
        <v>3593</v>
      </c>
    </row>
    <row r="4376" ht="15.75" customHeight="1">
      <c r="A4376" s="4" t="s">
        <v>1033</v>
      </c>
      <c r="B4376" s="4" t="s">
        <v>13</v>
      </c>
      <c r="C4376" s="4">
        <v>0.01299</v>
      </c>
      <c r="D4376" s="4">
        <v>0.00299</v>
      </c>
      <c r="E4376" s="4">
        <v>0.00255</v>
      </c>
      <c r="I4376" s="4">
        <v>0.143</v>
      </c>
      <c r="J4376" s="4">
        <v>0.006</v>
      </c>
      <c r="K4376" s="6" t="b">
        <f t="shared" ref="K4376:M4376" si="4170">FALSE()</f>
        <v>0</v>
      </c>
      <c r="L4376" s="6" t="b">
        <f t="shared" si="4170"/>
        <v>0</v>
      </c>
      <c r="M4376" s="6" t="b">
        <f t="shared" si="4170"/>
        <v>0</v>
      </c>
      <c r="N4376" s="4">
        <v>0.0129063535495091</v>
      </c>
      <c r="P4376" s="4">
        <v>0.133656384812674</v>
      </c>
      <c r="T4376" s="4">
        <f t="shared" si="3"/>
        <v>1874</v>
      </c>
      <c r="U4376" s="4">
        <f t="shared" si="4"/>
        <v>3462</v>
      </c>
    </row>
    <row r="4377" ht="15.75" customHeight="1">
      <c r="A4377" s="4" t="s">
        <v>5253</v>
      </c>
      <c r="B4377" s="4" t="s">
        <v>13</v>
      </c>
      <c r="I4377" s="4">
        <v>0.108</v>
      </c>
      <c r="J4377" s="4">
        <v>0.004</v>
      </c>
      <c r="K4377" s="6" t="b">
        <f t="shared" ref="K4377:M4377" si="4171">FALSE()</f>
        <v>0</v>
      </c>
      <c r="L4377" s="6" t="b">
        <f t="shared" si="4171"/>
        <v>0</v>
      </c>
      <c r="M4377" s="6" t="b">
        <f t="shared" si="4171"/>
        <v>0</v>
      </c>
      <c r="P4377" s="4">
        <v>0.102556588325092</v>
      </c>
      <c r="T4377" s="4" t="str">
        <f t="shared" si="3"/>
        <v/>
      </c>
      <c r="U4377" s="4">
        <f t="shared" si="4"/>
        <v>4085</v>
      </c>
    </row>
    <row r="4378" ht="15.75" customHeight="1">
      <c r="A4378" s="4" t="s">
        <v>5254</v>
      </c>
      <c r="B4378" s="4" t="s">
        <v>13</v>
      </c>
      <c r="I4378" s="4">
        <v>0.101</v>
      </c>
      <c r="J4378" s="4">
        <v>0.012</v>
      </c>
      <c r="K4378" s="6" t="b">
        <f t="shared" ref="K4378:M4378" si="4172">FALSE()</f>
        <v>0</v>
      </c>
      <c r="L4378" s="6" t="b">
        <f t="shared" si="4172"/>
        <v>0</v>
      </c>
      <c r="M4378" s="6" t="b">
        <f t="shared" si="4172"/>
        <v>0</v>
      </c>
      <c r="P4378" s="4">
        <v>0.0962188577405429</v>
      </c>
      <c r="T4378" s="4" t="str">
        <f t="shared" si="3"/>
        <v/>
      </c>
      <c r="U4378" s="4">
        <f t="shared" si="4"/>
        <v>4204</v>
      </c>
    </row>
    <row r="4379" ht="15.75" customHeight="1">
      <c r="A4379" s="4" t="s">
        <v>5255</v>
      </c>
      <c r="B4379" s="4" t="s">
        <v>13</v>
      </c>
      <c r="I4379" s="4">
        <v>0.172</v>
      </c>
      <c r="J4379" s="4">
        <v>0.017</v>
      </c>
      <c r="K4379" s="6" t="b">
        <f t="shared" ref="K4379:M4379" si="4173">FALSE()</f>
        <v>0</v>
      </c>
      <c r="L4379" s="6" t="b">
        <f t="shared" si="4173"/>
        <v>0</v>
      </c>
      <c r="M4379" s="6" t="b">
        <f t="shared" si="4173"/>
        <v>0</v>
      </c>
      <c r="P4379" s="4">
        <v>0.158711691154821</v>
      </c>
      <c r="T4379" s="4" t="str">
        <f t="shared" si="3"/>
        <v/>
      </c>
      <c r="U4379" s="4">
        <f t="shared" si="4"/>
        <v>3020</v>
      </c>
    </row>
    <row r="4380" ht="15.75" customHeight="1">
      <c r="A4380" s="4" t="s">
        <v>5256</v>
      </c>
      <c r="B4380" s="4" t="s">
        <v>13</v>
      </c>
      <c r="I4380" s="4">
        <v>0.241</v>
      </c>
      <c r="J4380" s="4">
        <v>0.043</v>
      </c>
      <c r="K4380" s="6" t="b">
        <f t="shared" ref="K4380:M4380" si="4174">FALSE()</f>
        <v>0</v>
      </c>
      <c r="L4380" s="6" t="b">
        <f t="shared" si="4174"/>
        <v>0</v>
      </c>
      <c r="M4380" s="6" t="b">
        <f t="shared" si="4174"/>
        <v>0</v>
      </c>
      <c r="P4380" s="4">
        <v>0.21591750622247</v>
      </c>
      <c r="T4380" s="4" t="str">
        <f t="shared" si="3"/>
        <v/>
      </c>
      <c r="U4380" s="4">
        <f t="shared" si="4"/>
        <v>1938</v>
      </c>
    </row>
    <row r="4381" ht="15.75" customHeight="1">
      <c r="A4381" s="4" t="s">
        <v>5257</v>
      </c>
      <c r="B4381" s="4" t="s">
        <v>13</v>
      </c>
      <c r="I4381" s="4">
        <v>0.317</v>
      </c>
      <c r="J4381" s="4">
        <v>0.061</v>
      </c>
      <c r="K4381" s="6" t="b">
        <f t="shared" ref="K4381:M4381" si="4175">FALSE()</f>
        <v>0</v>
      </c>
      <c r="L4381" s="6" t="b">
        <f t="shared" si="4175"/>
        <v>0</v>
      </c>
      <c r="M4381" s="6" t="b">
        <f t="shared" si="4175"/>
        <v>0</v>
      </c>
      <c r="P4381" s="4">
        <v>0.275356422761144</v>
      </c>
      <c r="T4381" s="4" t="str">
        <f t="shared" si="3"/>
        <v/>
      </c>
      <c r="U4381" s="4">
        <f t="shared" si="4"/>
        <v>1311</v>
      </c>
    </row>
    <row r="4382" ht="15.75" customHeight="1">
      <c r="A4382" s="4" t="s">
        <v>5258</v>
      </c>
      <c r="B4382" s="4" t="s">
        <v>13</v>
      </c>
      <c r="I4382" s="4">
        <v>0.191</v>
      </c>
      <c r="J4382" s="4">
        <v>0.017</v>
      </c>
      <c r="K4382" s="6" t="b">
        <f t="shared" ref="K4382:M4382" si="4176">FALSE()</f>
        <v>0</v>
      </c>
      <c r="L4382" s="6" t="b">
        <f t="shared" si="4176"/>
        <v>0</v>
      </c>
      <c r="M4382" s="6" t="b">
        <f t="shared" si="4176"/>
        <v>0</v>
      </c>
      <c r="P4382" s="4">
        <v>0.174793290373163</v>
      </c>
      <c r="T4382" s="4" t="str">
        <f t="shared" si="3"/>
        <v/>
      </c>
      <c r="U4382" s="4">
        <f t="shared" si="4"/>
        <v>2727</v>
      </c>
    </row>
    <row r="4383" ht="15.75" customHeight="1">
      <c r="A4383" s="4" t="s">
        <v>5259</v>
      </c>
      <c r="B4383" s="4" t="s">
        <v>13</v>
      </c>
      <c r="I4383" s="4">
        <v>0.189</v>
      </c>
      <c r="J4383" s="4">
        <v>0.027</v>
      </c>
      <c r="K4383" s="6" t="b">
        <f t="shared" ref="K4383:M4383" si="4177">FALSE()</f>
        <v>0</v>
      </c>
      <c r="L4383" s="6" t="b">
        <f t="shared" si="4177"/>
        <v>0</v>
      </c>
      <c r="M4383" s="6" t="b">
        <f t="shared" si="4177"/>
        <v>0</v>
      </c>
      <c r="P4383" s="4">
        <v>0.173112617708645</v>
      </c>
      <c r="T4383" s="4" t="str">
        <f t="shared" si="3"/>
        <v/>
      </c>
      <c r="U4383" s="4">
        <f t="shared" si="4"/>
        <v>2763</v>
      </c>
    </row>
    <row r="4384" ht="15.75" customHeight="1">
      <c r="A4384" s="4" t="s">
        <v>5260</v>
      </c>
      <c r="B4384" s="4" t="s">
        <v>13</v>
      </c>
      <c r="I4384" s="4">
        <v>0.367</v>
      </c>
      <c r="J4384" s="4">
        <v>0.029</v>
      </c>
      <c r="K4384" s="6" t="b">
        <f t="shared" ref="K4384:M4384" si="4178">FALSE()</f>
        <v>0</v>
      </c>
      <c r="L4384" s="6" t="b">
        <f t="shared" si="4178"/>
        <v>0</v>
      </c>
      <c r="M4384" s="6" t="b">
        <f t="shared" si="4178"/>
        <v>0</v>
      </c>
      <c r="P4384" s="4">
        <v>0.312618557741813</v>
      </c>
      <c r="T4384" s="4" t="str">
        <f t="shared" si="3"/>
        <v/>
      </c>
      <c r="U4384" s="4">
        <f t="shared" si="4"/>
        <v>1169</v>
      </c>
    </row>
    <row r="4385" ht="15.75" customHeight="1">
      <c r="A4385" s="4" t="s">
        <v>5261</v>
      </c>
      <c r="B4385" s="4" t="s">
        <v>13</v>
      </c>
      <c r="I4385" s="4">
        <v>0.914</v>
      </c>
      <c r="J4385" s="4">
        <v>0.048</v>
      </c>
      <c r="K4385" s="6" t="b">
        <f t="shared" ref="K4385:L4385" si="4179">FALSE()</f>
        <v>0</v>
      </c>
      <c r="L4385" s="6" t="b">
        <f t="shared" si="4179"/>
        <v>0</v>
      </c>
      <c r="M4385" s="6" t="b">
        <f t="shared" ref="M4385:M4386" si="4181">TRUE()</f>
        <v>1</v>
      </c>
      <c r="P4385" s="4">
        <v>0.649195293030763</v>
      </c>
      <c r="T4385" s="4" t="str">
        <f t="shared" si="3"/>
        <v/>
      </c>
      <c r="U4385" s="4">
        <f t="shared" si="4"/>
        <v>755</v>
      </c>
    </row>
    <row r="4386" ht="15.75" customHeight="1">
      <c r="A4386" s="4" t="s">
        <v>5262</v>
      </c>
      <c r="B4386" s="4" t="s">
        <v>13</v>
      </c>
      <c r="I4386" s="4">
        <v>0.806</v>
      </c>
      <c r="J4386" s="4">
        <v>0.101</v>
      </c>
      <c r="K4386" s="6" t="b">
        <f t="shared" ref="K4386:L4386" si="4180">FALSE()</f>
        <v>0</v>
      </c>
      <c r="L4386" s="6" t="b">
        <f t="shared" si="4180"/>
        <v>0</v>
      </c>
      <c r="M4386" s="6" t="b">
        <f t="shared" si="4181"/>
        <v>1</v>
      </c>
      <c r="P4386" s="4">
        <v>0.591114454994794</v>
      </c>
      <c r="T4386" s="4" t="str">
        <f t="shared" si="3"/>
        <v/>
      </c>
      <c r="U4386" s="4">
        <f t="shared" si="4"/>
        <v>836</v>
      </c>
    </row>
    <row r="4387" ht="15.75" customHeight="1">
      <c r="A4387" s="4" t="s">
        <v>5263</v>
      </c>
      <c r="B4387" s="4" t="s">
        <v>13</v>
      </c>
      <c r="I4387" s="4">
        <v>0.456</v>
      </c>
      <c r="J4387" s="4">
        <v>0.038</v>
      </c>
      <c r="K4387" s="6" t="b">
        <f t="shared" ref="K4387:M4387" si="4182">FALSE()</f>
        <v>0</v>
      </c>
      <c r="L4387" s="6" t="b">
        <f t="shared" si="4182"/>
        <v>0</v>
      </c>
      <c r="M4387" s="6" t="b">
        <f t="shared" si="4182"/>
        <v>0</v>
      </c>
      <c r="P4387" s="4">
        <v>0.375692949774494</v>
      </c>
      <c r="T4387" s="4" t="str">
        <f t="shared" si="3"/>
        <v/>
      </c>
      <c r="U4387" s="4">
        <f t="shared" si="4"/>
        <v>1054</v>
      </c>
    </row>
    <row r="4388" ht="15.75" customHeight="1">
      <c r="A4388" s="4" t="s">
        <v>5264</v>
      </c>
      <c r="B4388" s="4" t="s">
        <v>13</v>
      </c>
      <c r="I4388" s="4">
        <v>0.246</v>
      </c>
      <c r="J4388" s="4">
        <v>0.015</v>
      </c>
      <c r="K4388" s="6" t="b">
        <f t="shared" ref="K4388:M4388" si="4183">FALSE()</f>
        <v>0</v>
      </c>
      <c r="L4388" s="6" t="b">
        <f t="shared" si="4183"/>
        <v>0</v>
      </c>
      <c r="M4388" s="6" t="b">
        <f t="shared" si="4183"/>
        <v>0</v>
      </c>
      <c r="P4388" s="4">
        <v>0.219938420365261</v>
      </c>
      <c r="T4388" s="4" t="str">
        <f t="shared" si="3"/>
        <v/>
      </c>
      <c r="U4388" s="4">
        <f t="shared" si="4"/>
        <v>1866</v>
      </c>
    </row>
    <row r="4389" ht="15.75" customHeight="1">
      <c r="A4389" s="4" t="s">
        <v>5265</v>
      </c>
      <c r="B4389" s="4" t="s">
        <v>13</v>
      </c>
      <c r="I4389" s="4">
        <v>0.216</v>
      </c>
      <c r="J4389" s="4">
        <v>0.034</v>
      </c>
      <c r="K4389" s="6" t="b">
        <f t="shared" ref="K4389:M4389" si="4184">FALSE()</f>
        <v>0</v>
      </c>
      <c r="L4389" s="6" t="b">
        <f t="shared" si="4184"/>
        <v>0</v>
      </c>
      <c r="M4389" s="6" t="b">
        <f t="shared" si="4184"/>
        <v>0</v>
      </c>
      <c r="P4389" s="4">
        <v>0.195566783543975</v>
      </c>
      <c r="T4389" s="4" t="str">
        <f t="shared" si="3"/>
        <v/>
      </c>
      <c r="U4389" s="4">
        <f t="shared" si="4"/>
        <v>2318</v>
      </c>
    </row>
    <row r="4390" ht="15.75" customHeight="1">
      <c r="A4390" s="4" t="s">
        <v>5266</v>
      </c>
      <c r="B4390" s="4" t="s">
        <v>13</v>
      </c>
      <c r="I4390" s="4">
        <v>0.211</v>
      </c>
      <c r="J4390" s="4">
        <v>0.033</v>
      </c>
      <c r="K4390" s="6" t="b">
        <f t="shared" ref="K4390:M4390" si="4185">FALSE()</f>
        <v>0</v>
      </c>
      <c r="L4390" s="6" t="b">
        <f t="shared" si="4185"/>
        <v>0</v>
      </c>
      <c r="M4390" s="6" t="b">
        <f t="shared" si="4185"/>
        <v>0</v>
      </c>
      <c r="P4390" s="4">
        <v>0.191446464570955</v>
      </c>
      <c r="T4390" s="4" t="str">
        <f t="shared" si="3"/>
        <v/>
      </c>
      <c r="U4390" s="4">
        <f t="shared" si="4"/>
        <v>2405</v>
      </c>
    </row>
    <row r="4391" ht="15.75" customHeight="1">
      <c r="A4391" s="4" t="s">
        <v>5267</v>
      </c>
      <c r="B4391" s="4" t="s">
        <v>13</v>
      </c>
      <c r="I4391" s="4">
        <v>0.108</v>
      </c>
      <c r="J4391" s="4">
        <v>0.024</v>
      </c>
      <c r="K4391" s="6" t="b">
        <f t="shared" ref="K4391:M4391" si="4186">FALSE()</f>
        <v>0</v>
      </c>
      <c r="L4391" s="6" t="b">
        <f t="shared" si="4186"/>
        <v>0</v>
      </c>
      <c r="M4391" s="6" t="b">
        <f t="shared" si="4186"/>
        <v>0</v>
      </c>
      <c r="P4391" s="4">
        <v>0.102556588325092</v>
      </c>
      <c r="T4391" s="4" t="str">
        <f t="shared" si="3"/>
        <v/>
      </c>
      <c r="U4391" s="4">
        <f t="shared" si="4"/>
        <v>4086</v>
      </c>
    </row>
    <row r="4392" ht="15.75" customHeight="1">
      <c r="A4392" s="4" t="s">
        <v>5268</v>
      </c>
      <c r="B4392" s="4" t="s">
        <v>13</v>
      </c>
      <c r="I4392" s="4">
        <v>0.543</v>
      </c>
      <c r="J4392" s="4">
        <v>0.079</v>
      </c>
      <c r="K4392" s="6" t="b">
        <f t="shared" ref="K4392:M4392" si="4187">FALSE()</f>
        <v>0</v>
      </c>
      <c r="L4392" s="6" t="b">
        <f t="shared" si="4187"/>
        <v>0</v>
      </c>
      <c r="M4392" s="6" t="b">
        <f t="shared" si="4187"/>
        <v>0</v>
      </c>
      <c r="P4392" s="4">
        <v>0.433728573381024</v>
      </c>
      <c r="T4392" s="4" t="str">
        <f t="shared" si="3"/>
        <v/>
      </c>
      <c r="U4392" s="4">
        <f t="shared" si="4"/>
        <v>983</v>
      </c>
    </row>
    <row r="4393" ht="15.75" customHeight="1">
      <c r="A4393" s="4" t="s">
        <v>5269</v>
      </c>
      <c r="B4393" s="4" t="s">
        <v>13</v>
      </c>
      <c r="I4393" s="4">
        <v>0.117</v>
      </c>
      <c r="J4393" s="4">
        <v>0.007</v>
      </c>
      <c r="K4393" s="6" t="b">
        <f t="shared" ref="K4393:M4393" si="4188">FALSE()</f>
        <v>0</v>
      </c>
      <c r="L4393" s="6" t="b">
        <f t="shared" si="4188"/>
        <v>0</v>
      </c>
      <c r="M4393" s="6" t="b">
        <f t="shared" si="4188"/>
        <v>0</v>
      </c>
      <c r="P4393" s="4">
        <v>0.110646520087064</v>
      </c>
      <c r="T4393" s="4" t="str">
        <f t="shared" si="3"/>
        <v/>
      </c>
      <c r="U4393" s="4">
        <f t="shared" si="4"/>
        <v>3938</v>
      </c>
    </row>
    <row r="4394" ht="15.75" customHeight="1">
      <c r="A4394" s="4" t="s">
        <v>5270</v>
      </c>
      <c r="B4394" s="4" t="s">
        <v>13</v>
      </c>
      <c r="I4394" s="4">
        <v>0.158</v>
      </c>
      <c r="J4394" s="4">
        <v>0.019</v>
      </c>
      <c r="K4394" s="6" t="b">
        <f t="shared" ref="K4394:M4394" si="4189">FALSE()</f>
        <v>0</v>
      </c>
      <c r="L4394" s="6" t="b">
        <f t="shared" si="4189"/>
        <v>0</v>
      </c>
      <c r="M4394" s="6" t="b">
        <f t="shared" si="4189"/>
        <v>0</v>
      </c>
      <c r="P4394" s="4">
        <v>0.146694379150804</v>
      </c>
      <c r="T4394" s="4" t="str">
        <f t="shared" si="3"/>
        <v/>
      </c>
      <c r="U4394" s="4">
        <f t="shared" si="4"/>
        <v>3207</v>
      </c>
    </row>
    <row r="4395" ht="15.75" customHeight="1">
      <c r="A4395" s="4" t="s">
        <v>5271</v>
      </c>
      <c r="B4395" s="4" t="s">
        <v>13</v>
      </c>
      <c r="I4395" s="4">
        <v>0.14</v>
      </c>
      <c r="J4395" s="4">
        <v>0.012</v>
      </c>
      <c r="K4395" s="6" t="b">
        <f t="shared" ref="K4395:M4395" si="4190">FALSE()</f>
        <v>0</v>
      </c>
      <c r="L4395" s="6" t="b">
        <f t="shared" si="4190"/>
        <v>0</v>
      </c>
      <c r="M4395" s="6" t="b">
        <f t="shared" si="4190"/>
        <v>0</v>
      </c>
      <c r="P4395" s="4">
        <v>0.131028262406404</v>
      </c>
      <c r="T4395" s="4" t="str">
        <f t="shared" si="3"/>
        <v/>
      </c>
      <c r="U4395" s="4">
        <f t="shared" si="4"/>
        <v>3512</v>
      </c>
    </row>
    <row r="4396" ht="15.75" customHeight="1">
      <c r="A4396" s="4" t="s">
        <v>5272</v>
      </c>
      <c r="B4396" s="4" t="s">
        <v>13</v>
      </c>
      <c r="I4396" s="4">
        <v>0.167</v>
      </c>
      <c r="J4396" s="4">
        <v>0.021</v>
      </c>
      <c r="K4396" s="6" t="b">
        <f t="shared" ref="K4396:M4396" si="4191">FALSE()</f>
        <v>0</v>
      </c>
      <c r="L4396" s="6" t="b">
        <f t="shared" si="4191"/>
        <v>0</v>
      </c>
      <c r="M4396" s="6" t="b">
        <f t="shared" si="4191"/>
        <v>0</v>
      </c>
      <c r="P4396" s="4">
        <v>0.154436353304419</v>
      </c>
      <c r="T4396" s="4" t="str">
        <f t="shared" si="3"/>
        <v/>
      </c>
      <c r="U4396" s="4">
        <f t="shared" si="4"/>
        <v>3091</v>
      </c>
    </row>
    <row r="4397" ht="15.75" customHeight="1">
      <c r="A4397" s="4" t="s">
        <v>5273</v>
      </c>
      <c r="B4397" s="4" t="s">
        <v>13</v>
      </c>
      <c r="I4397" s="4">
        <v>0.136</v>
      </c>
      <c r="J4397" s="4">
        <v>0.02</v>
      </c>
      <c r="K4397" s="6" t="b">
        <f t="shared" ref="K4397:M4397" si="4192">FALSE()</f>
        <v>0</v>
      </c>
      <c r="L4397" s="6" t="b">
        <f t="shared" si="4192"/>
        <v>0</v>
      </c>
      <c r="M4397" s="6" t="b">
        <f t="shared" si="4192"/>
        <v>0</v>
      </c>
      <c r="P4397" s="4">
        <v>0.12751332029896</v>
      </c>
      <c r="T4397" s="4" t="str">
        <f t="shared" si="3"/>
        <v/>
      </c>
      <c r="U4397" s="4">
        <f t="shared" si="4"/>
        <v>3594</v>
      </c>
    </row>
    <row r="4398" ht="15.75" customHeight="1">
      <c r="A4398" s="4" t="s">
        <v>5274</v>
      </c>
      <c r="B4398" s="4" t="s">
        <v>13</v>
      </c>
      <c r="I4398" s="4">
        <v>0.164</v>
      </c>
      <c r="J4398" s="4">
        <v>0.021</v>
      </c>
      <c r="K4398" s="6" t="b">
        <f t="shared" ref="K4398:M4398" si="4193">FALSE()</f>
        <v>0</v>
      </c>
      <c r="L4398" s="6" t="b">
        <f t="shared" si="4193"/>
        <v>0</v>
      </c>
      <c r="M4398" s="6" t="b">
        <f t="shared" si="4193"/>
        <v>0</v>
      </c>
      <c r="P4398" s="4">
        <v>0.151862349309246</v>
      </c>
      <c r="T4398" s="4" t="str">
        <f t="shared" si="3"/>
        <v/>
      </c>
      <c r="U4398" s="4">
        <f t="shared" si="4"/>
        <v>3131</v>
      </c>
    </row>
    <row r="4399" ht="15.75" customHeight="1">
      <c r="A4399" s="4" t="s">
        <v>5275</v>
      </c>
      <c r="B4399" s="4" t="s">
        <v>13</v>
      </c>
      <c r="I4399" s="4">
        <v>0.112</v>
      </c>
      <c r="J4399" s="4">
        <v>0.012</v>
      </c>
      <c r="K4399" s="6" t="b">
        <f t="shared" ref="K4399:M4399" si="4194">FALSE()</f>
        <v>0</v>
      </c>
      <c r="L4399" s="6" t="b">
        <f t="shared" si="4194"/>
        <v>0</v>
      </c>
      <c r="M4399" s="6" t="b">
        <f t="shared" si="4194"/>
        <v>0</v>
      </c>
      <c r="P4399" s="4">
        <v>0.106160195828391</v>
      </c>
      <c r="T4399" s="4" t="str">
        <f t="shared" si="3"/>
        <v/>
      </c>
      <c r="U4399" s="4">
        <f t="shared" si="4"/>
        <v>4020</v>
      </c>
    </row>
    <row r="4400" ht="15.75" customHeight="1">
      <c r="A4400" s="4" t="s">
        <v>5276</v>
      </c>
      <c r="B4400" s="4" t="s">
        <v>13</v>
      </c>
      <c r="I4400" s="4">
        <v>0.502</v>
      </c>
      <c r="J4400" s="4">
        <v>0.041</v>
      </c>
      <c r="K4400" s="6" t="b">
        <f t="shared" ref="K4400:M4400" si="4195">FALSE()</f>
        <v>0</v>
      </c>
      <c r="L4400" s="6" t="b">
        <f t="shared" si="4195"/>
        <v>0</v>
      </c>
      <c r="M4400" s="6" t="b">
        <f t="shared" si="4195"/>
        <v>0</v>
      </c>
      <c r="P4400" s="4">
        <v>0.406797553341943</v>
      </c>
      <c r="T4400" s="4" t="str">
        <f t="shared" si="3"/>
        <v/>
      </c>
      <c r="U4400" s="4">
        <f t="shared" si="4"/>
        <v>1014</v>
      </c>
    </row>
    <row r="4401" ht="15.75" customHeight="1">
      <c r="A4401" s="4" t="s">
        <v>5277</v>
      </c>
      <c r="B4401" s="4" t="s">
        <v>13</v>
      </c>
      <c r="I4401" s="4">
        <v>0.135</v>
      </c>
      <c r="J4401" s="4">
        <v>0.01</v>
      </c>
      <c r="K4401" s="6" t="b">
        <f t="shared" ref="K4401:M4401" si="4196">FALSE()</f>
        <v>0</v>
      </c>
      <c r="L4401" s="6" t="b">
        <f t="shared" si="4196"/>
        <v>0</v>
      </c>
      <c r="M4401" s="6" t="b">
        <f t="shared" si="4196"/>
        <v>0</v>
      </c>
      <c r="P4401" s="4">
        <v>0.126632650933366</v>
      </c>
      <c r="T4401" s="4" t="str">
        <f t="shared" si="3"/>
        <v/>
      </c>
      <c r="U4401" s="4">
        <f t="shared" si="4"/>
        <v>3618</v>
      </c>
    </row>
    <row r="4402" ht="15.75" customHeight="1">
      <c r="A4402" s="4" t="s">
        <v>5278</v>
      </c>
      <c r="B4402" s="4" t="s">
        <v>13</v>
      </c>
      <c r="I4402" s="4">
        <v>0.188</v>
      </c>
      <c r="J4402" s="4">
        <v>0.016</v>
      </c>
      <c r="K4402" s="6" t="b">
        <f t="shared" ref="K4402:M4402" si="4197">FALSE()</f>
        <v>0</v>
      </c>
      <c r="L4402" s="6" t="b">
        <f t="shared" si="4197"/>
        <v>0</v>
      </c>
      <c r="M4402" s="6" t="b">
        <f t="shared" si="4197"/>
        <v>0</v>
      </c>
      <c r="P4402" s="4">
        <v>0.172271220940453</v>
      </c>
      <c r="T4402" s="4" t="str">
        <f t="shared" si="3"/>
        <v/>
      </c>
      <c r="U4402" s="4">
        <f t="shared" si="4"/>
        <v>2778</v>
      </c>
    </row>
    <row r="4403" ht="15.75" customHeight="1">
      <c r="A4403" s="4" t="s">
        <v>1034</v>
      </c>
      <c r="B4403" s="4" t="s">
        <v>13</v>
      </c>
      <c r="C4403" s="4">
        <v>0.03823</v>
      </c>
      <c r="D4403" s="4">
        <v>0.00274</v>
      </c>
      <c r="E4403" s="4">
        <v>0.00302</v>
      </c>
      <c r="I4403" s="4">
        <v>0.363</v>
      </c>
      <c r="J4403" s="4">
        <v>0.009</v>
      </c>
      <c r="K4403" s="6" t="b">
        <f t="shared" ref="K4403:M4403" si="4198">FALSE()</f>
        <v>0</v>
      </c>
      <c r="L4403" s="6" t="b">
        <f t="shared" si="4198"/>
        <v>0</v>
      </c>
      <c r="M4403" s="6" t="b">
        <f t="shared" si="4198"/>
        <v>0</v>
      </c>
      <c r="N4403" s="4">
        <v>0.0375173401599473</v>
      </c>
      <c r="P4403" s="4">
        <v>0.309688152714396</v>
      </c>
      <c r="T4403" s="4">
        <f t="shared" si="3"/>
        <v>1463</v>
      </c>
      <c r="U4403" s="4">
        <f t="shared" si="4"/>
        <v>1179</v>
      </c>
    </row>
    <row r="4404" ht="15.75" customHeight="1">
      <c r="A4404" s="4" t="s">
        <v>1035</v>
      </c>
      <c r="B4404" s="4" t="s">
        <v>13</v>
      </c>
      <c r="C4404" s="4">
        <v>0.04373</v>
      </c>
      <c r="D4404" s="4">
        <v>0.00378</v>
      </c>
      <c r="E4404" s="4">
        <v>0.00409</v>
      </c>
      <c r="I4404" s="4">
        <v>0.476</v>
      </c>
      <c r="J4404" s="4">
        <v>0.012</v>
      </c>
      <c r="K4404" s="6" t="b">
        <f t="shared" ref="K4404:M4404" si="4199">FALSE()</f>
        <v>0</v>
      </c>
      <c r="L4404" s="6" t="b">
        <f t="shared" si="4199"/>
        <v>0</v>
      </c>
      <c r="M4404" s="6" t="b">
        <f t="shared" si="4199"/>
        <v>0</v>
      </c>
      <c r="N4404" s="4">
        <v>0.0428008353226942</v>
      </c>
      <c r="P4404" s="4">
        <v>0.389335726178281</v>
      </c>
      <c r="T4404" s="4">
        <f t="shared" si="3"/>
        <v>1435</v>
      </c>
      <c r="U4404" s="4">
        <f t="shared" si="4"/>
        <v>1033</v>
      </c>
    </row>
    <row r="4405" ht="15.75" customHeight="1">
      <c r="A4405" s="4" t="s">
        <v>5279</v>
      </c>
      <c r="B4405" s="4" t="s">
        <v>13</v>
      </c>
      <c r="I4405" s="4">
        <v>0.158</v>
      </c>
      <c r="J4405" s="4">
        <v>0.024</v>
      </c>
      <c r="K4405" s="6" t="b">
        <f t="shared" ref="K4405:M4405" si="4200">FALSE()</f>
        <v>0</v>
      </c>
      <c r="L4405" s="6" t="b">
        <f t="shared" si="4200"/>
        <v>0</v>
      </c>
      <c r="M4405" s="6" t="b">
        <f t="shared" si="4200"/>
        <v>0</v>
      </c>
      <c r="P4405" s="4">
        <v>0.146694379150804</v>
      </c>
      <c r="T4405" s="4" t="str">
        <f t="shared" si="3"/>
        <v/>
      </c>
      <c r="U4405" s="4">
        <f t="shared" si="4"/>
        <v>3208</v>
      </c>
    </row>
    <row r="4406" ht="15.75" customHeight="1">
      <c r="A4406" s="4" t="s">
        <v>5280</v>
      </c>
      <c r="B4406" s="4" t="s">
        <v>13</v>
      </c>
      <c r="I4406" s="4">
        <v>0.22</v>
      </c>
      <c r="J4406" s="4">
        <v>0.033</v>
      </c>
      <c r="K4406" s="6" t="b">
        <f t="shared" ref="K4406:M4406" si="4201">FALSE()</f>
        <v>0</v>
      </c>
      <c r="L4406" s="6" t="b">
        <f t="shared" si="4201"/>
        <v>0</v>
      </c>
      <c r="M4406" s="6" t="b">
        <f t="shared" si="4201"/>
        <v>0</v>
      </c>
      <c r="P4406" s="4">
        <v>0.198850858745165</v>
      </c>
      <c r="T4406" s="4" t="str">
        <f t="shared" si="3"/>
        <v/>
      </c>
      <c r="U4406" s="4">
        <f t="shared" si="4"/>
        <v>2269</v>
      </c>
    </row>
    <row r="4407" ht="15.75" customHeight="1">
      <c r="A4407" s="4" t="s">
        <v>5281</v>
      </c>
      <c r="B4407" s="4" t="s">
        <v>13</v>
      </c>
      <c r="C4407" s="4">
        <v>0.06576</v>
      </c>
      <c r="D4407" s="4">
        <v>0.00315</v>
      </c>
      <c r="E4407" s="4">
        <v>0.00315</v>
      </c>
      <c r="K4407" s="6" t="b">
        <f t="shared" ref="K4407:M4407" si="4202">FALSE()</f>
        <v>0</v>
      </c>
      <c r="L4407" s="6" t="b">
        <f t="shared" si="4202"/>
        <v>0</v>
      </c>
      <c r="M4407" s="6" t="b">
        <f t="shared" si="4202"/>
        <v>0</v>
      </c>
      <c r="N4407" s="4">
        <v>0.0636881596827322</v>
      </c>
      <c r="T4407" s="4">
        <f t="shared" si="3"/>
        <v>1338</v>
      </c>
      <c r="U4407" s="4" t="str">
        <f t="shared" si="4"/>
        <v/>
      </c>
    </row>
    <row r="4408" ht="15.75" customHeight="1">
      <c r="A4408" s="4" t="s">
        <v>5282</v>
      </c>
      <c r="B4408" s="4" t="s">
        <v>13</v>
      </c>
      <c r="I4408" s="4">
        <v>0.152</v>
      </c>
      <c r="J4408" s="4">
        <v>0.022</v>
      </c>
      <c r="K4408" s="6" t="b">
        <f t="shared" ref="K4408:M4408" si="4203">FALSE()</f>
        <v>0</v>
      </c>
      <c r="L4408" s="6" t="b">
        <f t="shared" si="4203"/>
        <v>0</v>
      </c>
      <c r="M4408" s="6" t="b">
        <f t="shared" si="4203"/>
        <v>0</v>
      </c>
      <c r="P4408" s="4">
        <v>0.1414995622737</v>
      </c>
      <c r="T4408" s="4" t="str">
        <f t="shared" si="3"/>
        <v/>
      </c>
      <c r="U4408" s="4">
        <f t="shared" si="4"/>
        <v>3300</v>
      </c>
    </row>
    <row r="4409" ht="15.75" customHeight="1">
      <c r="A4409" s="4" t="s">
        <v>5283</v>
      </c>
      <c r="B4409" s="4" t="s">
        <v>13</v>
      </c>
      <c r="I4409" s="4">
        <v>0.113</v>
      </c>
      <c r="J4409" s="4">
        <v>0.006</v>
      </c>
      <c r="K4409" s="6" t="b">
        <f t="shared" ref="K4409:M4409" si="4204">FALSE()</f>
        <v>0</v>
      </c>
      <c r="L4409" s="6" t="b">
        <f t="shared" si="4204"/>
        <v>0</v>
      </c>
      <c r="M4409" s="6" t="b">
        <f t="shared" si="4204"/>
        <v>0</v>
      </c>
      <c r="P4409" s="4">
        <v>0.107059072293408</v>
      </c>
      <c r="T4409" s="4" t="str">
        <f t="shared" si="3"/>
        <v/>
      </c>
      <c r="U4409" s="4">
        <f t="shared" si="4"/>
        <v>3998</v>
      </c>
    </row>
    <row r="4410" ht="15.75" customHeight="1">
      <c r="A4410" s="4" t="s">
        <v>5284</v>
      </c>
      <c r="B4410" s="4" t="s">
        <v>13</v>
      </c>
      <c r="I4410" s="4">
        <v>0.184</v>
      </c>
      <c r="J4410" s="4">
        <v>0.015</v>
      </c>
      <c r="K4410" s="6" t="b">
        <f t="shared" ref="K4410:M4410" si="4205">FALSE()</f>
        <v>0</v>
      </c>
      <c r="L4410" s="6" t="b">
        <f t="shared" si="4205"/>
        <v>0</v>
      </c>
      <c r="M4410" s="6" t="b">
        <f t="shared" si="4205"/>
        <v>0</v>
      </c>
      <c r="P4410" s="4">
        <v>0.168898536461814</v>
      </c>
      <c r="T4410" s="4" t="str">
        <f t="shared" si="3"/>
        <v/>
      </c>
      <c r="U4410" s="4">
        <f t="shared" si="4"/>
        <v>2839</v>
      </c>
    </row>
    <row r="4411" ht="15.75" customHeight="1">
      <c r="A4411" s="4" t="s">
        <v>5285</v>
      </c>
      <c r="B4411" s="4" t="s">
        <v>13</v>
      </c>
      <c r="I4411" s="4">
        <v>0.18</v>
      </c>
      <c r="J4411" s="4">
        <v>0.008</v>
      </c>
      <c r="K4411" s="6" t="b">
        <f t="shared" ref="K4411:M4411" si="4206">FALSE()</f>
        <v>0</v>
      </c>
      <c r="L4411" s="6" t="b">
        <f t="shared" si="4206"/>
        <v>0</v>
      </c>
      <c r="M4411" s="6" t="b">
        <f t="shared" si="4206"/>
        <v>0</v>
      </c>
      <c r="P4411" s="4">
        <v>0.165514438477573</v>
      </c>
      <c r="T4411" s="4" t="str">
        <f t="shared" si="3"/>
        <v/>
      </c>
      <c r="U4411" s="4">
        <f t="shared" si="4"/>
        <v>2889</v>
      </c>
    </row>
    <row r="4412" ht="15.75" customHeight="1">
      <c r="A4412" s="4" t="s">
        <v>5286</v>
      </c>
      <c r="B4412" s="4" t="s">
        <v>13</v>
      </c>
      <c r="I4412" s="4">
        <v>0.18</v>
      </c>
      <c r="J4412" s="4">
        <v>0.009</v>
      </c>
      <c r="K4412" s="6" t="b">
        <f t="shared" ref="K4412:M4412" si="4207">FALSE()</f>
        <v>0</v>
      </c>
      <c r="L4412" s="6" t="b">
        <f t="shared" si="4207"/>
        <v>0</v>
      </c>
      <c r="M4412" s="6" t="b">
        <f t="shared" si="4207"/>
        <v>0</v>
      </c>
      <c r="P4412" s="4">
        <v>0.165514438477573</v>
      </c>
      <c r="T4412" s="4" t="str">
        <f t="shared" si="3"/>
        <v/>
      </c>
      <c r="U4412" s="4">
        <f t="shared" si="4"/>
        <v>2890</v>
      </c>
    </row>
    <row r="4413" ht="15.75" customHeight="1">
      <c r="A4413" s="4" t="s">
        <v>5287</v>
      </c>
      <c r="B4413" s="4" t="s">
        <v>13</v>
      </c>
      <c r="I4413" s="4">
        <v>0.249</v>
      </c>
      <c r="J4413" s="4">
        <v>0.026</v>
      </c>
      <c r="K4413" s="6" t="b">
        <f t="shared" ref="K4413:M4413" si="4208">FALSE()</f>
        <v>0</v>
      </c>
      <c r="L4413" s="6" t="b">
        <f t="shared" si="4208"/>
        <v>0</v>
      </c>
      <c r="M4413" s="6" t="b">
        <f t="shared" si="4208"/>
        <v>0</v>
      </c>
      <c r="P4413" s="4">
        <v>0.222343231143441</v>
      </c>
      <c r="T4413" s="4" t="str">
        <f t="shared" si="3"/>
        <v/>
      </c>
      <c r="U4413" s="4">
        <f t="shared" si="4"/>
        <v>1826</v>
      </c>
    </row>
    <row r="4414" ht="15.75" customHeight="1">
      <c r="A4414" s="4" t="s">
        <v>5288</v>
      </c>
      <c r="B4414" s="4" t="s">
        <v>13</v>
      </c>
      <c r="I4414" s="4">
        <v>0.244</v>
      </c>
      <c r="J4414" s="4">
        <v>0.029</v>
      </c>
      <c r="K4414" s="6" t="b">
        <f t="shared" ref="K4414:M4414" si="4209">FALSE()</f>
        <v>0</v>
      </c>
      <c r="L4414" s="6" t="b">
        <f t="shared" si="4209"/>
        <v>0</v>
      </c>
      <c r="M4414" s="6" t="b">
        <f t="shared" si="4209"/>
        <v>0</v>
      </c>
      <c r="P4414" s="4">
        <v>0.218331994316988</v>
      </c>
      <c r="T4414" s="4" t="str">
        <f t="shared" si="3"/>
        <v/>
      </c>
      <c r="U4414" s="4">
        <f t="shared" si="4"/>
        <v>1894</v>
      </c>
    </row>
    <row r="4415" ht="15.75" customHeight="1">
      <c r="A4415" s="4" t="s">
        <v>5289</v>
      </c>
      <c r="B4415" s="4" t="s">
        <v>13</v>
      </c>
      <c r="I4415" s="4">
        <v>0.228</v>
      </c>
      <c r="J4415" s="4">
        <v>0.038</v>
      </c>
      <c r="K4415" s="6" t="b">
        <f t="shared" ref="K4415:M4415" si="4210">FALSE()</f>
        <v>0</v>
      </c>
      <c r="L4415" s="6" t="b">
        <f t="shared" si="4210"/>
        <v>0</v>
      </c>
      <c r="M4415" s="6" t="b">
        <f t="shared" si="4210"/>
        <v>0</v>
      </c>
      <c r="P4415" s="4">
        <v>0.205386829724951</v>
      </c>
      <c r="T4415" s="4" t="str">
        <f t="shared" si="3"/>
        <v/>
      </c>
      <c r="U4415" s="4">
        <f t="shared" si="4"/>
        <v>2145</v>
      </c>
    </row>
    <row r="4416" ht="15.75" customHeight="1">
      <c r="A4416" s="4" t="s">
        <v>5290</v>
      </c>
      <c r="B4416" s="4" t="s">
        <v>13</v>
      </c>
      <c r="I4416" s="4">
        <v>0.244</v>
      </c>
      <c r="J4416" s="4">
        <v>0.022</v>
      </c>
      <c r="K4416" s="6" t="b">
        <f t="shared" ref="K4416:M4416" si="4211">FALSE()</f>
        <v>0</v>
      </c>
      <c r="L4416" s="6" t="b">
        <f t="shared" si="4211"/>
        <v>0</v>
      </c>
      <c r="M4416" s="6" t="b">
        <f t="shared" si="4211"/>
        <v>0</v>
      </c>
      <c r="P4416" s="4">
        <v>0.218331994316988</v>
      </c>
      <c r="T4416" s="4" t="str">
        <f t="shared" si="3"/>
        <v/>
      </c>
      <c r="U4416" s="4">
        <f t="shared" si="4"/>
        <v>1895</v>
      </c>
    </row>
    <row r="4417" ht="15.75" customHeight="1">
      <c r="A4417" s="4" t="s">
        <v>5291</v>
      </c>
      <c r="B4417" s="4" t="s">
        <v>13</v>
      </c>
      <c r="I4417" s="4">
        <v>0.229</v>
      </c>
      <c r="J4417" s="4">
        <v>0.022</v>
      </c>
      <c r="K4417" s="6" t="b">
        <f t="shared" ref="K4417:M4417" si="4212">FALSE()</f>
        <v>0</v>
      </c>
      <c r="L4417" s="6" t="b">
        <f t="shared" si="4212"/>
        <v>0</v>
      </c>
      <c r="M4417" s="6" t="b">
        <f t="shared" si="4212"/>
        <v>0</v>
      </c>
      <c r="P4417" s="4">
        <v>0.206200830583898</v>
      </c>
      <c r="T4417" s="4" t="str">
        <f t="shared" si="3"/>
        <v/>
      </c>
      <c r="U4417" s="4">
        <f t="shared" si="4"/>
        <v>2132</v>
      </c>
    </row>
    <row r="4418" ht="15.75" customHeight="1">
      <c r="A4418" s="4" t="s">
        <v>5292</v>
      </c>
      <c r="B4418" s="4" t="s">
        <v>13</v>
      </c>
      <c r="I4418" s="4">
        <v>0.1989</v>
      </c>
      <c r="J4418" s="4">
        <v>0.018</v>
      </c>
      <c r="K4418" s="6" t="b">
        <f t="shared" ref="K4418:M4418" si="4213">FALSE()</f>
        <v>0</v>
      </c>
      <c r="L4418" s="6" t="b">
        <f t="shared" si="4213"/>
        <v>0</v>
      </c>
      <c r="M4418" s="6" t="b">
        <f t="shared" si="4213"/>
        <v>0</v>
      </c>
      <c r="P4418" s="4">
        <v>0.181404469731471</v>
      </c>
      <c r="T4418" s="4" t="str">
        <f t="shared" si="3"/>
        <v/>
      </c>
      <c r="U4418" s="4">
        <f t="shared" si="4"/>
        <v>2605</v>
      </c>
    </row>
    <row r="4419" ht="15.75" customHeight="1">
      <c r="A4419" s="4" t="s">
        <v>5293</v>
      </c>
      <c r="B4419" s="4" t="s">
        <v>13</v>
      </c>
      <c r="I4419" s="4">
        <v>0.2007</v>
      </c>
      <c r="J4419" s="4">
        <v>0.0187</v>
      </c>
      <c r="K4419" s="6" t="b">
        <f t="shared" ref="K4419:M4419" si="4214">FALSE()</f>
        <v>0</v>
      </c>
      <c r="L4419" s="6" t="b">
        <f t="shared" si="4214"/>
        <v>0</v>
      </c>
      <c r="M4419" s="6" t="b">
        <f t="shared" si="4214"/>
        <v>0</v>
      </c>
      <c r="P4419" s="4">
        <v>0.182904720054535</v>
      </c>
      <c r="T4419" s="4" t="str">
        <f t="shared" si="3"/>
        <v/>
      </c>
      <c r="U4419" s="4">
        <f t="shared" si="4"/>
        <v>2579</v>
      </c>
    </row>
    <row r="4420" ht="15.75" customHeight="1">
      <c r="A4420" s="4" t="s">
        <v>5294</v>
      </c>
      <c r="B4420" s="4" t="s">
        <v>13</v>
      </c>
      <c r="I4420" s="4">
        <v>0.1481</v>
      </c>
      <c r="J4420" s="4">
        <v>0.0134</v>
      </c>
      <c r="K4420" s="6" t="b">
        <f t="shared" ref="K4420:M4420" si="4215">FALSE()</f>
        <v>0</v>
      </c>
      <c r="L4420" s="6" t="b">
        <f t="shared" si="4215"/>
        <v>0</v>
      </c>
      <c r="M4420" s="6" t="b">
        <f t="shared" si="4215"/>
        <v>0</v>
      </c>
      <c r="P4420" s="4">
        <v>0.138108402117629</v>
      </c>
      <c r="T4420" s="4" t="str">
        <f t="shared" si="3"/>
        <v/>
      </c>
      <c r="U4420" s="4">
        <f t="shared" si="4"/>
        <v>3356</v>
      </c>
    </row>
    <row r="4421" ht="15.75" customHeight="1">
      <c r="A4421" s="4" t="s">
        <v>5295</v>
      </c>
      <c r="B4421" s="4" t="s">
        <v>13</v>
      </c>
      <c r="I4421" s="4">
        <v>0.467</v>
      </c>
      <c r="J4421" s="4">
        <v>0.032</v>
      </c>
      <c r="K4421" s="6" t="b">
        <f t="shared" ref="K4421:M4421" si="4216">FALSE()</f>
        <v>0</v>
      </c>
      <c r="L4421" s="6" t="b">
        <f t="shared" si="4216"/>
        <v>0</v>
      </c>
      <c r="M4421" s="6" t="b">
        <f t="shared" si="4216"/>
        <v>0</v>
      </c>
      <c r="P4421" s="4">
        <v>0.383219499160845</v>
      </c>
      <c r="T4421" s="4" t="str">
        <f t="shared" si="3"/>
        <v/>
      </c>
      <c r="U4421" s="4">
        <f t="shared" si="4"/>
        <v>1044</v>
      </c>
    </row>
    <row r="4422" ht="15.75" customHeight="1">
      <c r="A4422" s="4" t="s">
        <v>5296</v>
      </c>
      <c r="B4422" s="4" t="s">
        <v>13</v>
      </c>
      <c r="I4422" s="4">
        <v>0.143</v>
      </c>
      <c r="J4422" s="4">
        <v>0.008</v>
      </c>
      <c r="K4422" s="6" t="b">
        <f t="shared" ref="K4422:M4422" si="4217">FALSE()</f>
        <v>0</v>
      </c>
      <c r="L4422" s="6" t="b">
        <f t="shared" si="4217"/>
        <v>0</v>
      </c>
      <c r="M4422" s="6" t="b">
        <f t="shared" si="4217"/>
        <v>0</v>
      </c>
      <c r="P4422" s="4">
        <v>0.133656384812674</v>
      </c>
      <c r="T4422" s="4" t="str">
        <f t="shared" si="3"/>
        <v/>
      </c>
      <c r="U4422" s="4">
        <f t="shared" si="4"/>
        <v>3463</v>
      </c>
    </row>
    <row r="4423" ht="15.75" customHeight="1">
      <c r="A4423" s="4" t="s">
        <v>5297</v>
      </c>
      <c r="B4423" s="4" t="s">
        <v>13</v>
      </c>
      <c r="I4423" s="4">
        <v>0.231</v>
      </c>
      <c r="J4423" s="4">
        <v>0.022</v>
      </c>
      <c r="K4423" s="6" t="b">
        <f t="shared" ref="K4423:M4423" si="4218">FALSE()</f>
        <v>0</v>
      </c>
      <c r="L4423" s="6" t="b">
        <f t="shared" si="4218"/>
        <v>0</v>
      </c>
      <c r="M4423" s="6" t="b">
        <f t="shared" si="4218"/>
        <v>0</v>
      </c>
      <c r="P4423" s="4">
        <v>0.207826847202316</v>
      </c>
      <c r="T4423" s="4" t="str">
        <f t="shared" si="3"/>
        <v/>
      </c>
      <c r="U4423" s="4">
        <f t="shared" si="4"/>
        <v>2100</v>
      </c>
    </row>
    <row r="4424" ht="15.75" customHeight="1">
      <c r="A4424" s="4" t="s">
        <v>5298</v>
      </c>
      <c r="B4424" s="4" t="s">
        <v>13</v>
      </c>
      <c r="I4424" s="4">
        <v>0.15</v>
      </c>
      <c r="J4424" s="4">
        <v>0.021</v>
      </c>
      <c r="K4424" s="6" t="b">
        <f t="shared" ref="K4424:M4424" si="4219">FALSE()</f>
        <v>0</v>
      </c>
      <c r="L4424" s="6" t="b">
        <f t="shared" si="4219"/>
        <v>0</v>
      </c>
      <c r="M4424" s="6" t="b">
        <f t="shared" si="4219"/>
        <v>0</v>
      </c>
      <c r="P4424" s="4">
        <v>0.139761942375159</v>
      </c>
      <c r="T4424" s="4" t="str">
        <f t="shared" si="3"/>
        <v/>
      </c>
      <c r="U4424" s="4">
        <f t="shared" si="4"/>
        <v>3331</v>
      </c>
    </row>
    <row r="4425" ht="15.75" customHeight="1">
      <c r="A4425" s="4" t="s">
        <v>5299</v>
      </c>
      <c r="B4425" s="4" t="s">
        <v>13</v>
      </c>
      <c r="I4425" s="4">
        <v>0.182</v>
      </c>
      <c r="J4425" s="4">
        <v>0.026</v>
      </c>
      <c r="K4425" s="6" t="b">
        <f t="shared" ref="K4425:M4425" si="4220">FALSE()</f>
        <v>0</v>
      </c>
      <c r="L4425" s="6" t="b">
        <f t="shared" si="4220"/>
        <v>0</v>
      </c>
      <c r="M4425" s="6" t="b">
        <f t="shared" si="4220"/>
        <v>0</v>
      </c>
      <c r="P4425" s="4">
        <v>0.167207918983906</v>
      </c>
      <c r="T4425" s="4" t="str">
        <f t="shared" si="3"/>
        <v/>
      </c>
      <c r="U4425" s="4">
        <f t="shared" si="4"/>
        <v>2869</v>
      </c>
    </row>
    <row r="4426" ht="15.75" customHeight="1">
      <c r="A4426" s="4" t="s">
        <v>5300</v>
      </c>
      <c r="B4426" s="4" t="s">
        <v>13</v>
      </c>
      <c r="I4426" s="4">
        <v>0.221</v>
      </c>
      <c r="J4426" s="4">
        <v>0.016</v>
      </c>
      <c r="K4426" s="6" t="b">
        <f t="shared" ref="K4426:M4426" si="4221">FALSE()</f>
        <v>0</v>
      </c>
      <c r="L4426" s="6" t="b">
        <f t="shared" si="4221"/>
        <v>0</v>
      </c>
      <c r="M4426" s="6" t="b">
        <f t="shared" si="4221"/>
        <v>0</v>
      </c>
      <c r="P4426" s="4">
        <v>0.199670195128568</v>
      </c>
      <c r="T4426" s="4" t="str">
        <f t="shared" si="3"/>
        <v/>
      </c>
      <c r="U4426" s="4">
        <f t="shared" si="4"/>
        <v>2252</v>
      </c>
    </row>
    <row r="4427" ht="15.75" customHeight="1">
      <c r="A4427" s="4" t="s">
        <v>5301</v>
      </c>
      <c r="B4427" s="4" t="s">
        <v>13</v>
      </c>
      <c r="I4427" s="4">
        <v>0.1053</v>
      </c>
      <c r="J4427" s="4">
        <v>0.0062</v>
      </c>
      <c r="K4427" s="6" t="b">
        <f t="shared" ref="K4427:M4427" si="4222">FALSE()</f>
        <v>0</v>
      </c>
      <c r="L4427" s="6" t="b">
        <f t="shared" si="4222"/>
        <v>0</v>
      </c>
      <c r="M4427" s="6" t="b">
        <f t="shared" si="4222"/>
        <v>0</v>
      </c>
      <c r="P4427" s="4">
        <v>0.100116791334773</v>
      </c>
      <c r="T4427" s="4" t="str">
        <f t="shared" si="3"/>
        <v/>
      </c>
      <c r="U4427" s="4">
        <f t="shared" si="4"/>
        <v>4134</v>
      </c>
    </row>
    <row r="4428" ht="15.75" customHeight="1">
      <c r="A4428" s="4" t="s">
        <v>5302</v>
      </c>
      <c r="B4428" s="4" t="s">
        <v>13</v>
      </c>
      <c r="I4428" s="4">
        <v>0.152</v>
      </c>
      <c r="J4428" s="4">
        <v>0.022</v>
      </c>
      <c r="K4428" s="6" t="b">
        <f t="shared" ref="K4428:M4428" si="4223">FALSE()</f>
        <v>0</v>
      </c>
      <c r="L4428" s="6" t="b">
        <f t="shared" si="4223"/>
        <v>0</v>
      </c>
      <c r="M4428" s="6" t="b">
        <f t="shared" si="4223"/>
        <v>0</v>
      </c>
      <c r="P4428" s="4">
        <v>0.1414995622737</v>
      </c>
      <c r="T4428" s="4" t="str">
        <f t="shared" si="3"/>
        <v/>
      </c>
      <c r="U4428" s="4">
        <f t="shared" si="4"/>
        <v>3301</v>
      </c>
    </row>
    <row r="4429" ht="15.75" customHeight="1">
      <c r="A4429" s="4" t="s">
        <v>5303</v>
      </c>
      <c r="B4429" s="4" t="s">
        <v>13</v>
      </c>
      <c r="I4429" s="4">
        <v>0.637</v>
      </c>
      <c r="J4429" s="4">
        <v>0.122</v>
      </c>
      <c r="K4429" s="6" t="b">
        <f t="shared" ref="K4429:M4429" si="4224">FALSE()</f>
        <v>0</v>
      </c>
      <c r="L4429" s="6" t="b">
        <f t="shared" si="4224"/>
        <v>0</v>
      </c>
      <c r="M4429" s="6" t="b">
        <f t="shared" si="4224"/>
        <v>0</v>
      </c>
      <c r="P4429" s="4">
        <v>0.492865298388998</v>
      </c>
      <c r="T4429" s="4" t="str">
        <f t="shared" si="3"/>
        <v/>
      </c>
      <c r="U4429" s="4">
        <f t="shared" si="4"/>
        <v>925</v>
      </c>
    </row>
    <row r="4430" ht="15.75" customHeight="1">
      <c r="A4430" s="4" t="s">
        <v>5304</v>
      </c>
      <c r="B4430" s="4" t="s">
        <v>13</v>
      </c>
      <c r="I4430" s="4">
        <v>0.2552</v>
      </c>
      <c r="J4430" s="4">
        <v>0.036</v>
      </c>
      <c r="K4430" s="6" t="b">
        <f t="shared" ref="K4430:M4430" si="4225">FALSE()</f>
        <v>0</v>
      </c>
      <c r="L4430" s="6" t="b">
        <f t="shared" si="4225"/>
        <v>0</v>
      </c>
      <c r="M4430" s="6" t="b">
        <f t="shared" si="4225"/>
        <v>0</v>
      </c>
      <c r="P4430" s="4">
        <v>0.227294922436686</v>
      </c>
      <c r="T4430" s="4" t="str">
        <f t="shared" si="3"/>
        <v/>
      </c>
      <c r="U4430" s="4">
        <f t="shared" si="4"/>
        <v>1741</v>
      </c>
    </row>
    <row r="4431" ht="15.75" customHeight="1">
      <c r="A4431" s="4" t="s">
        <v>1037</v>
      </c>
      <c r="B4431" s="4" t="s">
        <v>13</v>
      </c>
      <c r="C4431" s="4">
        <v>0.0636</v>
      </c>
      <c r="D4431" s="4">
        <v>0.0321</v>
      </c>
      <c r="E4431" s="4">
        <v>0.0425</v>
      </c>
      <c r="I4431" s="4">
        <v>0.281</v>
      </c>
      <c r="J4431" s="4">
        <v>0.0393</v>
      </c>
      <c r="K4431" s="6" t="b">
        <f t="shared" ref="K4431:M4431" si="4226">FALSE()</f>
        <v>0</v>
      </c>
      <c r="L4431" s="6" t="b">
        <f t="shared" si="4226"/>
        <v>0</v>
      </c>
      <c r="M4431" s="6" t="b">
        <f t="shared" si="4226"/>
        <v>0</v>
      </c>
      <c r="N4431" s="4">
        <v>0.0616593803867277</v>
      </c>
      <c r="P4431" s="4">
        <v>0.247641022914597</v>
      </c>
      <c r="T4431" s="4">
        <f t="shared" si="3"/>
        <v>1345</v>
      </c>
      <c r="U4431" s="4">
        <f t="shared" si="4"/>
        <v>1501</v>
      </c>
    </row>
    <row r="4432" ht="15.75" customHeight="1">
      <c r="A4432" s="4" t="s">
        <v>5305</v>
      </c>
      <c r="B4432" s="4" t="s">
        <v>13</v>
      </c>
      <c r="I4432" s="4">
        <v>0.143</v>
      </c>
      <c r="J4432" s="4">
        <v>0.0205</v>
      </c>
      <c r="K4432" s="6" t="b">
        <f t="shared" ref="K4432:M4432" si="4227">FALSE()</f>
        <v>0</v>
      </c>
      <c r="L4432" s="6" t="b">
        <f t="shared" si="4227"/>
        <v>0</v>
      </c>
      <c r="M4432" s="6" t="b">
        <f t="shared" si="4227"/>
        <v>0</v>
      </c>
      <c r="P4432" s="4">
        <v>0.133656384812674</v>
      </c>
      <c r="T4432" s="4" t="str">
        <f t="shared" si="3"/>
        <v/>
      </c>
      <c r="U4432" s="4">
        <f t="shared" si="4"/>
        <v>3464</v>
      </c>
    </row>
    <row r="4433" ht="15.75" customHeight="1">
      <c r="A4433" s="4" t="s">
        <v>5306</v>
      </c>
      <c r="B4433" s="4" t="s">
        <v>13</v>
      </c>
      <c r="I4433" s="4">
        <v>0.2284</v>
      </c>
      <c r="J4433" s="4">
        <v>0.0312</v>
      </c>
      <c r="K4433" s="6" t="b">
        <f t="shared" ref="K4433:M4433" si="4228">FALSE()</f>
        <v>0</v>
      </c>
      <c r="L4433" s="6" t="b">
        <f t="shared" si="4228"/>
        <v>0</v>
      </c>
      <c r="M4433" s="6" t="b">
        <f t="shared" si="4228"/>
        <v>0</v>
      </c>
      <c r="P4433" s="4">
        <v>0.20571250958453</v>
      </c>
      <c r="T4433" s="4" t="str">
        <f t="shared" si="3"/>
        <v/>
      </c>
      <c r="U4433" s="4">
        <f t="shared" si="4"/>
        <v>2134</v>
      </c>
    </row>
    <row r="4434" ht="15.75" customHeight="1">
      <c r="A4434" s="4" t="s">
        <v>5307</v>
      </c>
      <c r="B4434" s="4" t="s">
        <v>13</v>
      </c>
      <c r="I4434" s="4">
        <v>0.2043</v>
      </c>
      <c r="J4434" s="4">
        <v>0.0285</v>
      </c>
      <c r="K4434" s="6" t="b">
        <f t="shared" ref="K4434:M4434" si="4229">FALSE()</f>
        <v>0</v>
      </c>
      <c r="L4434" s="6" t="b">
        <f t="shared" si="4229"/>
        <v>0</v>
      </c>
      <c r="M4434" s="6" t="b">
        <f t="shared" si="4229"/>
        <v>0</v>
      </c>
      <c r="P4434" s="4">
        <v>0.185898485284297</v>
      </c>
      <c r="T4434" s="4" t="str">
        <f t="shared" si="3"/>
        <v/>
      </c>
      <c r="U4434" s="4">
        <f t="shared" si="4"/>
        <v>2503</v>
      </c>
    </row>
    <row r="4435" ht="15.75" customHeight="1">
      <c r="A4435" s="4" t="s">
        <v>5308</v>
      </c>
      <c r="B4435" s="4" t="s">
        <v>13</v>
      </c>
      <c r="I4435" s="4">
        <v>0.159</v>
      </c>
      <c r="J4435" s="4">
        <v>0.019</v>
      </c>
      <c r="K4435" s="6" t="b">
        <f t="shared" ref="K4435:M4435" si="4230">FALSE()</f>
        <v>0</v>
      </c>
      <c r="L4435" s="6" t="b">
        <f t="shared" si="4230"/>
        <v>0</v>
      </c>
      <c r="M4435" s="6" t="b">
        <f t="shared" si="4230"/>
        <v>0</v>
      </c>
      <c r="P4435" s="4">
        <v>0.147557564357615</v>
      </c>
      <c r="T4435" s="4" t="str">
        <f t="shared" si="3"/>
        <v/>
      </c>
      <c r="U4435" s="4">
        <f t="shared" si="4"/>
        <v>3192</v>
      </c>
    </row>
    <row r="4436" ht="15.75" customHeight="1">
      <c r="A4436" s="4" t="s">
        <v>5309</v>
      </c>
      <c r="B4436" s="4" t="s">
        <v>13</v>
      </c>
      <c r="I4436" s="4">
        <v>0.15</v>
      </c>
      <c r="J4436" s="4">
        <v>0.019</v>
      </c>
      <c r="K4436" s="6" t="b">
        <f t="shared" ref="K4436:M4436" si="4231">FALSE()</f>
        <v>0</v>
      </c>
      <c r="L4436" s="6" t="b">
        <f t="shared" si="4231"/>
        <v>0</v>
      </c>
      <c r="M4436" s="6" t="b">
        <f t="shared" si="4231"/>
        <v>0</v>
      </c>
      <c r="P4436" s="4">
        <v>0.139761942375159</v>
      </c>
      <c r="T4436" s="4" t="str">
        <f t="shared" si="3"/>
        <v/>
      </c>
      <c r="U4436" s="4">
        <f t="shared" si="4"/>
        <v>3332</v>
      </c>
    </row>
    <row r="4437" ht="15.75" customHeight="1">
      <c r="A4437" s="4" t="s">
        <v>5310</v>
      </c>
      <c r="B4437" s="4" t="s">
        <v>13</v>
      </c>
      <c r="I4437" s="4">
        <v>0.227</v>
      </c>
      <c r="J4437" s="4">
        <v>0.015</v>
      </c>
      <c r="K4437" s="6" t="b">
        <f t="shared" ref="K4437:M4437" si="4232">FALSE()</f>
        <v>0</v>
      </c>
      <c r="L4437" s="6" t="b">
        <f t="shared" si="4232"/>
        <v>0</v>
      </c>
      <c r="M4437" s="6" t="b">
        <f t="shared" si="4232"/>
        <v>0</v>
      </c>
      <c r="P4437" s="4">
        <v>0.204572165728774</v>
      </c>
      <c r="T4437" s="4" t="str">
        <f t="shared" si="3"/>
        <v/>
      </c>
      <c r="U4437" s="4">
        <f t="shared" si="4"/>
        <v>2164</v>
      </c>
    </row>
    <row r="4438" ht="15.75" customHeight="1">
      <c r="A4438" s="4" t="s">
        <v>5311</v>
      </c>
      <c r="B4438" s="4" t="s">
        <v>13</v>
      </c>
      <c r="I4438" s="4">
        <v>0.151</v>
      </c>
      <c r="J4438" s="4">
        <v>0.025</v>
      </c>
      <c r="K4438" s="6" t="b">
        <f t="shared" ref="K4438:M4438" si="4233">FALSE()</f>
        <v>0</v>
      </c>
      <c r="L4438" s="6" t="b">
        <f t="shared" si="4233"/>
        <v>0</v>
      </c>
      <c r="M4438" s="6" t="b">
        <f t="shared" si="4233"/>
        <v>0</v>
      </c>
      <c r="P4438" s="4">
        <v>0.140631129739746</v>
      </c>
      <c r="T4438" s="4" t="str">
        <f t="shared" si="3"/>
        <v/>
      </c>
      <c r="U4438" s="4">
        <f t="shared" si="4"/>
        <v>3314</v>
      </c>
    </row>
    <row r="4439" ht="15.75" customHeight="1">
      <c r="A4439" s="4" t="s">
        <v>5312</v>
      </c>
      <c r="B4439" s="4" t="s">
        <v>13</v>
      </c>
      <c r="I4439" s="4">
        <v>0.745</v>
      </c>
      <c r="J4439" s="4">
        <v>0.072</v>
      </c>
      <c r="K4439" s="6" t="b">
        <f t="shared" ref="K4439:L4439" si="4234">FALSE()</f>
        <v>0</v>
      </c>
      <c r="L4439" s="6" t="b">
        <f t="shared" si="4234"/>
        <v>0</v>
      </c>
      <c r="M4439" s="6" t="b">
        <f t="shared" ref="M4439:M4440" si="4236">TRUE()</f>
        <v>1</v>
      </c>
      <c r="P4439" s="4">
        <v>0.556754555654391</v>
      </c>
      <c r="T4439" s="4" t="str">
        <f t="shared" si="3"/>
        <v/>
      </c>
      <c r="U4439" s="4">
        <f t="shared" si="4"/>
        <v>875</v>
      </c>
    </row>
    <row r="4440" ht="15.75" customHeight="1">
      <c r="A4440" s="4" t="s">
        <v>5313</v>
      </c>
      <c r="B4440" s="4" t="s">
        <v>13</v>
      </c>
      <c r="I4440" s="4">
        <v>0.83</v>
      </c>
      <c r="J4440" s="4">
        <v>0.054</v>
      </c>
      <c r="K4440" s="6" t="b">
        <f t="shared" ref="K4440:L4440" si="4235">FALSE()</f>
        <v>0</v>
      </c>
      <c r="L4440" s="6" t="b">
        <f t="shared" si="4235"/>
        <v>0</v>
      </c>
      <c r="M4440" s="6" t="b">
        <f t="shared" si="4236"/>
        <v>1</v>
      </c>
      <c r="P4440" s="4">
        <v>0.60431596685333</v>
      </c>
      <c r="T4440" s="4" t="str">
        <f t="shared" si="3"/>
        <v/>
      </c>
      <c r="U4440" s="4">
        <f t="shared" si="4"/>
        <v>816</v>
      </c>
    </row>
    <row r="4441" ht="15.75" customHeight="1">
      <c r="A4441" s="4" t="s">
        <v>5314</v>
      </c>
      <c r="B4441" s="4" t="s">
        <v>13</v>
      </c>
      <c r="I4441" s="4">
        <v>0.607</v>
      </c>
      <c r="J4441" s="4">
        <v>0.061</v>
      </c>
      <c r="K4441" s="6" t="b">
        <f t="shared" ref="K4441:M4441" si="4237">FALSE()</f>
        <v>0</v>
      </c>
      <c r="L4441" s="6" t="b">
        <f t="shared" si="4237"/>
        <v>0</v>
      </c>
      <c r="M4441" s="6" t="b">
        <f t="shared" si="4237"/>
        <v>0</v>
      </c>
      <c r="P4441" s="4">
        <v>0.474369086755376</v>
      </c>
      <c r="T4441" s="4" t="str">
        <f t="shared" si="3"/>
        <v/>
      </c>
      <c r="U4441" s="4">
        <f t="shared" si="4"/>
        <v>942</v>
      </c>
    </row>
    <row r="4442" ht="15.75" customHeight="1">
      <c r="A4442" s="4" t="s">
        <v>5315</v>
      </c>
      <c r="B4442" s="4" t="s">
        <v>13</v>
      </c>
      <c r="I4442" s="4">
        <v>0.434</v>
      </c>
      <c r="J4442" s="4">
        <v>0.018</v>
      </c>
      <c r="K4442" s="6" t="b">
        <f t="shared" ref="K4442:M4442" si="4238">FALSE()</f>
        <v>0</v>
      </c>
      <c r="L4442" s="6" t="b">
        <f t="shared" si="4238"/>
        <v>0</v>
      </c>
      <c r="M4442" s="6" t="b">
        <f t="shared" si="4238"/>
        <v>0</v>
      </c>
      <c r="P4442" s="4">
        <v>0.360467742177429</v>
      </c>
      <c r="T4442" s="4" t="str">
        <f t="shared" si="3"/>
        <v/>
      </c>
      <c r="U4442" s="4">
        <f t="shared" si="4"/>
        <v>1074</v>
      </c>
    </row>
    <row r="4443" ht="15.75" customHeight="1">
      <c r="A4443" s="4" t="s">
        <v>5316</v>
      </c>
      <c r="B4443" s="4" t="s">
        <v>13</v>
      </c>
      <c r="I4443" s="4">
        <v>0.276</v>
      </c>
      <c r="J4443" s="4">
        <v>0.013</v>
      </c>
      <c r="K4443" s="6" t="b">
        <f t="shared" ref="K4443:M4443" si="4239">FALSE()</f>
        <v>0</v>
      </c>
      <c r="L4443" s="6" t="b">
        <f t="shared" si="4239"/>
        <v>0</v>
      </c>
      <c r="M4443" s="6" t="b">
        <f t="shared" si="4239"/>
        <v>0</v>
      </c>
      <c r="P4443" s="4">
        <v>0.243730184922598</v>
      </c>
      <c r="T4443" s="4" t="str">
        <f t="shared" si="3"/>
        <v/>
      </c>
      <c r="U4443" s="4">
        <f t="shared" si="4"/>
        <v>1539</v>
      </c>
    </row>
    <row r="4444" ht="15.75" customHeight="1">
      <c r="A4444" s="4" t="s">
        <v>1038</v>
      </c>
      <c r="B4444" s="4" t="s">
        <v>13</v>
      </c>
      <c r="C4444" s="4">
        <v>0.0465</v>
      </c>
      <c r="I4444" s="4">
        <v>0.176</v>
      </c>
      <c r="J4444" s="4">
        <v>0.009</v>
      </c>
      <c r="K4444" s="6" t="b">
        <f t="shared" ref="K4444:M4444" si="4240">FALSE()</f>
        <v>0</v>
      </c>
      <c r="L4444" s="6" t="b">
        <f t="shared" si="4240"/>
        <v>0</v>
      </c>
      <c r="M4444" s="6" t="b">
        <f t="shared" si="4240"/>
        <v>0</v>
      </c>
      <c r="N4444" s="4">
        <v>0.0454512629039173</v>
      </c>
      <c r="P4444" s="4">
        <v>0.162118849476435</v>
      </c>
      <c r="T4444" s="4">
        <f t="shared" si="3"/>
        <v>1422</v>
      </c>
      <c r="U4444" s="4">
        <f t="shared" si="4"/>
        <v>2962</v>
      </c>
    </row>
    <row r="4445" ht="15.75" customHeight="1">
      <c r="A4445" s="4" t="s">
        <v>1039</v>
      </c>
      <c r="B4445" s="4" t="s">
        <v>13</v>
      </c>
      <c r="C4445" s="4">
        <v>0.059</v>
      </c>
      <c r="I4445" s="4">
        <v>0.194</v>
      </c>
      <c r="J4445" s="4">
        <v>0.009</v>
      </c>
      <c r="K4445" s="6" t="b">
        <f t="shared" ref="K4445:M4445" si="4241">FALSE()</f>
        <v>0</v>
      </c>
      <c r="L4445" s="6" t="b">
        <f t="shared" si="4241"/>
        <v>0</v>
      </c>
      <c r="M4445" s="6" t="b">
        <f t="shared" si="4241"/>
        <v>0</v>
      </c>
      <c r="N4445" s="4">
        <v>0.0573250666192694</v>
      </c>
      <c r="P4445" s="4">
        <v>0.17730901497041</v>
      </c>
      <c r="T4445" s="4">
        <f t="shared" si="3"/>
        <v>1364</v>
      </c>
      <c r="U4445" s="4">
        <f t="shared" si="4"/>
        <v>2697</v>
      </c>
    </row>
    <row r="4446" ht="15.75" customHeight="1">
      <c r="A4446" s="4" t="s">
        <v>5317</v>
      </c>
      <c r="B4446" s="4" t="s">
        <v>13</v>
      </c>
      <c r="I4446" s="4">
        <v>0.107</v>
      </c>
      <c r="J4446" s="4">
        <v>0.017</v>
      </c>
      <c r="K4446" s="6" t="b">
        <f t="shared" ref="K4446:M4446" si="4242">FALSE()</f>
        <v>0</v>
      </c>
      <c r="L4446" s="6" t="b">
        <f t="shared" si="4242"/>
        <v>0</v>
      </c>
      <c r="M4446" s="6" t="b">
        <f t="shared" si="4242"/>
        <v>0</v>
      </c>
      <c r="P4446" s="4">
        <v>0.1016536537265</v>
      </c>
      <c r="T4446" s="4" t="str">
        <f t="shared" si="3"/>
        <v/>
      </c>
      <c r="U4446" s="4">
        <f t="shared" si="4"/>
        <v>4108</v>
      </c>
    </row>
    <row r="4447" ht="15.75" customHeight="1">
      <c r="A4447" s="4" t="s">
        <v>5318</v>
      </c>
      <c r="B4447" s="4" t="s">
        <v>13</v>
      </c>
      <c r="I4447" s="4">
        <v>0.113</v>
      </c>
      <c r="J4447" s="4">
        <v>0.018</v>
      </c>
      <c r="K4447" s="6" t="b">
        <f t="shared" ref="K4447:M4447" si="4243">FALSE()</f>
        <v>0</v>
      </c>
      <c r="L4447" s="6" t="b">
        <f t="shared" si="4243"/>
        <v>0</v>
      </c>
      <c r="M4447" s="6" t="b">
        <f t="shared" si="4243"/>
        <v>0</v>
      </c>
      <c r="P4447" s="4">
        <v>0.107059072293408</v>
      </c>
      <c r="T4447" s="4" t="str">
        <f t="shared" si="3"/>
        <v/>
      </c>
      <c r="U4447" s="4">
        <f t="shared" si="4"/>
        <v>3999</v>
      </c>
    </row>
    <row r="4448" ht="15.75" customHeight="1">
      <c r="A4448" s="4" t="s">
        <v>5319</v>
      </c>
      <c r="B4448" s="4" t="s">
        <v>13</v>
      </c>
      <c r="I4448" s="4">
        <v>0.289</v>
      </c>
      <c r="J4448" s="4">
        <v>0.029</v>
      </c>
      <c r="K4448" s="6" t="b">
        <f t="shared" ref="K4448:M4448" si="4244">FALSE()</f>
        <v>0</v>
      </c>
      <c r="L4448" s="6" t="b">
        <f t="shared" si="4244"/>
        <v>0</v>
      </c>
      <c r="M4448" s="6" t="b">
        <f t="shared" si="4244"/>
        <v>0</v>
      </c>
      <c r="P4448" s="4">
        <v>0.25386672395705</v>
      </c>
      <c r="T4448" s="4" t="str">
        <f t="shared" si="3"/>
        <v/>
      </c>
      <c r="U4448" s="4">
        <f t="shared" si="4"/>
        <v>1445</v>
      </c>
    </row>
    <row r="4449" ht="15.75" customHeight="1">
      <c r="A4449" s="4" t="s">
        <v>5320</v>
      </c>
      <c r="B4449" s="4" t="s">
        <v>13</v>
      </c>
      <c r="I4449" s="4">
        <v>0.203</v>
      </c>
      <c r="J4449" s="4">
        <v>0.012</v>
      </c>
      <c r="K4449" s="6" t="b">
        <f t="shared" ref="K4449:M4449" si="4245">FALSE()</f>
        <v>0</v>
      </c>
      <c r="L4449" s="6" t="b">
        <f t="shared" si="4245"/>
        <v>0</v>
      </c>
      <c r="M4449" s="6" t="b">
        <f t="shared" si="4245"/>
        <v>0</v>
      </c>
      <c r="P4449" s="4">
        <v>0.184818436992542</v>
      </c>
      <c r="T4449" s="4" t="str">
        <f t="shared" si="3"/>
        <v/>
      </c>
      <c r="U4449" s="4">
        <f t="shared" si="4"/>
        <v>2537</v>
      </c>
    </row>
    <row r="4450" ht="15.75" customHeight="1">
      <c r="A4450" s="4" t="s">
        <v>5321</v>
      </c>
      <c r="B4450" s="4" t="s">
        <v>13</v>
      </c>
      <c r="I4450" s="4">
        <v>0.197</v>
      </c>
      <c r="J4450" s="4">
        <v>0.015</v>
      </c>
      <c r="K4450" s="6" t="b">
        <f t="shared" ref="K4450:M4450" si="4246">FALSE()</f>
        <v>0</v>
      </c>
      <c r="L4450" s="6" t="b">
        <f t="shared" si="4246"/>
        <v>0</v>
      </c>
      <c r="M4450" s="6" t="b">
        <f t="shared" si="4246"/>
        <v>0</v>
      </c>
      <c r="P4450" s="4">
        <v>0.179818426575836</v>
      </c>
      <c r="T4450" s="4" t="str">
        <f t="shared" si="3"/>
        <v/>
      </c>
      <c r="U4450" s="4">
        <f t="shared" si="4"/>
        <v>2636</v>
      </c>
    </row>
    <row r="4451" ht="15.75" customHeight="1">
      <c r="A4451" s="4" t="s">
        <v>5322</v>
      </c>
      <c r="B4451" s="4" t="s">
        <v>13</v>
      </c>
      <c r="I4451" s="4">
        <v>0.259</v>
      </c>
      <c r="J4451" s="4">
        <v>0.029</v>
      </c>
      <c r="K4451" s="6" t="b">
        <f t="shared" ref="K4451:M4451" si="4247">FALSE()</f>
        <v>0</v>
      </c>
      <c r="L4451" s="6" t="b">
        <f t="shared" si="4247"/>
        <v>0</v>
      </c>
      <c r="M4451" s="6" t="b">
        <f t="shared" si="4247"/>
        <v>0</v>
      </c>
      <c r="P4451" s="4">
        <v>0.23031775506221</v>
      </c>
      <c r="T4451" s="4" t="str">
        <f t="shared" si="3"/>
        <v/>
      </c>
      <c r="U4451" s="4">
        <f t="shared" si="4"/>
        <v>1704</v>
      </c>
    </row>
    <row r="4452" ht="15.75" customHeight="1">
      <c r="A4452" s="4" t="s">
        <v>5323</v>
      </c>
      <c r="B4452" s="4" t="s">
        <v>13</v>
      </c>
      <c r="I4452" s="4">
        <v>0.214</v>
      </c>
      <c r="J4452" s="4">
        <v>0.02</v>
      </c>
      <c r="K4452" s="6" t="b">
        <f t="shared" ref="K4452:M4452" si="4248">FALSE()</f>
        <v>0</v>
      </c>
      <c r="L4452" s="6" t="b">
        <f t="shared" si="4248"/>
        <v>0</v>
      </c>
      <c r="M4452" s="6" t="b">
        <f t="shared" si="4248"/>
        <v>0</v>
      </c>
      <c r="P4452" s="4">
        <v>0.193920692637307</v>
      </c>
      <c r="T4452" s="4" t="str">
        <f t="shared" si="3"/>
        <v/>
      </c>
      <c r="U4452" s="4">
        <f t="shared" si="4"/>
        <v>2350</v>
      </c>
    </row>
    <row r="4453" ht="15.75" customHeight="1">
      <c r="A4453" s="4" t="s">
        <v>5324</v>
      </c>
      <c r="B4453" s="4" t="s">
        <v>13</v>
      </c>
      <c r="I4453" s="4">
        <v>0.222</v>
      </c>
      <c r="J4453" s="4">
        <v>0.021</v>
      </c>
      <c r="K4453" s="6" t="b">
        <f t="shared" ref="K4453:M4453" si="4249">FALSE()</f>
        <v>0</v>
      </c>
      <c r="L4453" s="6" t="b">
        <f t="shared" si="4249"/>
        <v>0</v>
      </c>
      <c r="M4453" s="6" t="b">
        <f t="shared" si="4249"/>
        <v>0</v>
      </c>
      <c r="P4453" s="4">
        <v>0.200488860749404</v>
      </c>
      <c r="T4453" s="4" t="str">
        <f t="shared" si="3"/>
        <v/>
      </c>
      <c r="U4453" s="4">
        <f t="shared" si="4"/>
        <v>2238</v>
      </c>
    </row>
    <row r="4454" ht="15.75" customHeight="1">
      <c r="A4454" s="4" t="s">
        <v>5325</v>
      </c>
      <c r="B4454" s="4" t="s">
        <v>13</v>
      </c>
      <c r="I4454" s="4">
        <v>0.145</v>
      </c>
      <c r="J4454" s="4">
        <v>0.011</v>
      </c>
      <c r="K4454" s="6" t="b">
        <f t="shared" ref="K4454:M4454" si="4250">FALSE()</f>
        <v>0</v>
      </c>
      <c r="L4454" s="6" t="b">
        <f t="shared" si="4250"/>
        <v>0</v>
      </c>
      <c r="M4454" s="6" t="b">
        <f t="shared" si="4250"/>
        <v>0</v>
      </c>
      <c r="P4454" s="4">
        <v>0.135404637006203</v>
      </c>
      <c r="T4454" s="4" t="str">
        <f t="shared" si="3"/>
        <v/>
      </c>
      <c r="U4454" s="4">
        <f t="shared" si="4"/>
        <v>3426</v>
      </c>
    </row>
    <row r="4455" ht="15.75" customHeight="1">
      <c r="A4455" s="4" t="s">
        <v>5326</v>
      </c>
      <c r="B4455" s="4" t="s">
        <v>13</v>
      </c>
      <c r="I4455" s="4">
        <v>0.414</v>
      </c>
      <c r="J4455" s="4">
        <v>0.027</v>
      </c>
      <c r="K4455" s="6" t="b">
        <f t="shared" ref="K4455:M4455" si="4251">FALSE()</f>
        <v>0</v>
      </c>
      <c r="L4455" s="6" t="b">
        <f t="shared" si="4251"/>
        <v>0</v>
      </c>
      <c r="M4455" s="6" t="b">
        <f t="shared" si="4251"/>
        <v>0</v>
      </c>
      <c r="P4455" s="4">
        <v>0.346422567474381</v>
      </c>
      <c r="T4455" s="4" t="str">
        <f t="shared" si="3"/>
        <v/>
      </c>
      <c r="U4455" s="4">
        <f t="shared" si="4"/>
        <v>1100</v>
      </c>
    </row>
    <row r="4456" ht="15.75" customHeight="1">
      <c r="A4456" s="4" t="s">
        <v>5327</v>
      </c>
      <c r="B4456" s="4" t="s">
        <v>13</v>
      </c>
      <c r="I4456" s="4">
        <v>0.183</v>
      </c>
      <c r="J4456" s="4">
        <v>0.015</v>
      </c>
      <c r="K4456" s="6" t="b">
        <f t="shared" ref="K4456:M4456" si="4252">FALSE()</f>
        <v>0</v>
      </c>
      <c r="L4456" s="6" t="b">
        <f t="shared" si="4252"/>
        <v>0</v>
      </c>
      <c r="M4456" s="6" t="b">
        <f t="shared" si="4252"/>
        <v>0</v>
      </c>
      <c r="P4456" s="4">
        <v>0.16805358499625</v>
      </c>
      <c r="T4456" s="4" t="str">
        <f t="shared" si="3"/>
        <v/>
      </c>
      <c r="U4456" s="4">
        <f t="shared" si="4"/>
        <v>2856</v>
      </c>
    </row>
    <row r="4457" ht="15.75" customHeight="1">
      <c r="A4457" s="4" t="s">
        <v>5328</v>
      </c>
      <c r="B4457" s="4" t="s">
        <v>13</v>
      </c>
      <c r="I4457" s="4">
        <v>0.322</v>
      </c>
      <c r="J4457" s="4">
        <v>0.055</v>
      </c>
      <c r="K4457" s="6" t="b">
        <f t="shared" ref="K4457:M4457" si="4253">FALSE()</f>
        <v>0</v>
      </c>
      <c r="L4457" s="6" t="b">
        <f t="shared" si="4253"/>
        <v>0</v>
      </c>
      <c r="M4457" s="6" t="b">
        <f t="shared" si="4253"/>
        <v>0</v>
      </c>
      <c r="P4457" s="4">
        <v>0.279145741429495</v>
      </c>
      <c r="T4457" s="4" t="str">
        <f t="shared" si="3"/>
        <v/>
      </c>
      <c r="U4457" s="4">
        <f t="shared" si="4"/>
        <v>1292</v>
      </c>
    </row>
    <row r="4458" ht="15.75" customHeight="1">
      <c r="A4458" s="4" t="s">
        <v>1040</v>
      </c>
      <c r="B4458" s="4" t="s">
        <v>13</v>
      </c>
      <c r="C4458" s="4">
        <v>0.34235</v>
      </c>
      <c r="D4458" s="4">
        <v>0.101</v>
      </c>
      <c r="E4458" s="4">
        <v>0.094</v>
      </c>
      <c r="I4458" s="4">
        <v>0.8466</v>
      </c>
      <c r="J4458" s="4">
        <v>0.0143</v>
      </c>
      <c r="K4458" s="6" t="b">
        <f t="shared" ref="K4458:L4458" si="4254">FALSE()</f>
        <v>0</v>
      </c>
      <c r="L4458" s="6" t="b">
        <f t="shared" si="4254"/>
        <v>0</v>
      </c>
      <c r="M4458" s="6" t="b">
        <f>TRUE()</f>
        <v>1</v>
      </c>
      <c r="N4458" s="4">
        <v>0.29442180931484</v>
      </c>
      <c r="P4458" s="4">
        <v>0.613346110356391</v>
      </c>
      <c r="T4458" s="4">
        <f t="shared" si="3"/>
        <v>1050</v>
      </c>
      <c r="U4458" s="4">
        <f t="shared" si="4"/>
        <v>807</v>
      </c>
    </row>
    <row r="4459" ht="15.75" customHeight="1">
      <c r="A4459" s="4" t="s">
        <v>5329</v>
      </c>
      <c r="B4459" s="4" t="s">
        <v>13</v>
      </c>
      <c r="I4459" s="4">
        <v>0.248</v>
      </c>
      <c r="J4459" s="4">
        <v>0.026</v>
      </c>
      <c r="K4459" s="6" t="b">
        <f t="shared" ref="K4459:M4459" si="4255">FALSE()</f>
        <v>0</v>
      </c>
      <c r="L4459" s="6" t="b">
        <f t="shared" si="4255"/>
        <v>0</v>
      </c>
      <c r="M4459" s="6" t="b">
        <f t="shared" si="4255"/>
        <v>0</v>
      </c>
      <c r="P4459" s="4">
        <v>0.221542269947236</v>
      </c>
      <c r="T4459" s="4" t="str">
        <f t="shared" si="3"/>
        <v/>
      </c>
      <c r="U4459" s="4">
        <f t="shared" si="4"/>
        <v>1838</v>
      </c>
    </row>
    <row r="4460" ht="15.75" customHeight="1">
      <c r="A4460" s="4" t="s">
        <v>5330</v>
      </c>
      <c r="B4460" s="4" t="s">
        <v>13</v>
      </c>
      <c r="I4460" s="4">
        <v>0.334</v>
      </c>
      <c r="J4460" s="4">
        <v>0.049</v>
      </c>
      <c r="K4460" s="6" t="b">
        <f t="shared" ref="K4460:M4460" si="4256">FALSE()</f>
        <v>0</v>
      </c>
      <c r="L4460" s="6" t="b">
        <f t="shared" si="4256"/>
        <v>0</v>
      </c>
      <c r="M4460" s="6" t="b">
        <f t="shared" si="4256"/>
        <v>0</v>
      </c>
      <c r="P4460" s="4">
        <v>0.288181947493432</v>
      </c>
      <c r="T4460" s="4" t="str">
        <f t="shared" si="3"/>
        <v/>
      </c>
      <c r="U4460" s="4">
        <f t="shared" si="4"/>
        <v>1249</v>
      </c>
    </row>
    <row r="4461" ht="15.75" customHeight="1">
      <c r="A4461" s="4" t="s">
        <v>5331</v>
      </c>
      <c r="B4461" s="4" t="s">
        <v>13</v>
      </c>
      <c r="I4461" s="4">
        <v>0.178</v>
      </c>
      <c r="J4461" s="4">
        <v>0.021</v>
      </c>
      <c r="K4461" s="6" t="b">
        <f t="shared" ref="K4461:M4461" si="4257">FALSE()</f>
        <v>0</v>
      </c>
      <c r="L4461" s="6" t="b">
        <f t="shared" si="4257"/>
        <v>0</v>
      </c>
      <c r="M4461" s="6" t="b">
        <f t="shared" si="4257"/>
        <v>0</v>
      </c>
      <c r="P4461" s="4">
        <v>0.163818085229395</v>
      </c>
      <c r="T4461" s="4" t="str">
        <f t="shared" si="3"/>
        <v/>
      </c>
      <c r="U4461" s="4">
        <f t="shared" si="4"/>
        <v>2938</v>
      </c>
    </row>
    <row r="4462" ht="15.75" customHeight="1">
      <c r="A4462" s="4" t="s">
        <v>5332</v>
      </c>
      <c r="B4462" s="4" t="s">
        <v>13</v>
      </c>
      <c r="I4462" s="4">
        <v>0.335</v>
      </c>
      <c r="J4462" s="4">
        <v>0.049</v>
      </c>
      <c r="K4462" s="6" t="b">
        <f t="shared" ref="K4462:M4462" si="4258">FALSE()</f>
        <v>0</v>
      </c>
      <c r="L4462" s="6" t="b">
        <f t="shared" si="4258"/>
        <v>0</v>
      </c>
      <c r="M4462" s="6" t="b">
        <f t="shared" si="4258"/>
        <v>0</v>
      </c>
      <c r="P4462" s="4">
        <v>0.288931291852213</v>
      </c>
      <c r="T4462" s="4" t="str">
        <f t="shared" si="3"/>
        <v/>
      </c>
      <c r="U4462" s="4">
        <f t="shared" si="4"/>
        <v>1248</v>
      </c>
    </row>
    <row r="4463" ht="15.75" customHeight="1">
      <c r="A4463" s="4" t="s">
        <v>5333</v>
      </c>
      <c r="B4463" s="4" t="s">
        <v>13</v>
      </c>
      <c r="I4463" s="4">
        <v>0.352</v>
      </c>
      <c r="J4463" s="4">
        <v>0.053</v>
      </c>
      <c r="K4463" s="6" t="b">
        <f t="shared" ref="K4463:M4463" si="4259">FALSE()</f>
        <v>0</v>
      </c>
      <c r="L4463" s="6" t="b">
        <f t="shared" si="4259"/>
        <v>0</v>
      </c>
      <c r="M4463" s="6" t="b">
        <f t="shared" si="4259"/>
        <v>0</v>
      </c>
      <c r="P4463" s="4">
        <v>0.301584977620772</v>
      </c>
      <c r="T4463" s="4" t="str">
        <f t="shared" si="3"/>
        <v/>
      </c>
      <c r="U4463" s="4">
        <f t="shared" si="4"/>
        <v>1204</v>
      </c>
    </row>
    <row r="4464" ht="15.75" customHeight="1">
      <c r="A4464" s="4" t="s">
        <v>5334</v>
      </c>
      <c r="B4464" s="4" t="s">
        <v>13</v>
      </c>
      <c r="I4464" s="4">
        <v>0.259</v>
      </c>
      <c r="J4464" s="4">
        <v>0.04</v>
      </c>
      <c r="K4464" s="6" t="b">
        <f t="shared" ref="K4464:M4464" si="4260">FALSE()</f>
        <v>0</v>
      </c>
      <c r="L4464" s="6" t="b">
        <f t="shared" si="4260"/>
        <v>0</v>
      </c>
      <c r="M4464" s="6" t="b">
        <f t="shared" si="4260"/>
        <v>0</v>
      </c>
      <c r="P4464" s="4">
        <v>0.23031775506221</v>
      </c>
      <c r="T4464" s="4" t="str">
        <f t="shared" si="3"/>
        <v/>
      </c>
      <c r="U4464" s="4">
        <f t="shared" si="4"/>
        <v>1705</v>
      </c>
    </row>
    <row r="4465" ht="15.75" customHeight="1">
      <c r="A4465" s="4" t="s">
        <v>5335</v>
      </c>
      <c r="B4465" s="4" t="s">
        <v>13</v>
      </c>
      <c r="I4465" s="4">
        <v>0.128</v>
      </c>
      <c r="J4465" s="4">
        <v>0.008</v>
      </c>
      <c r="K4465" s="6" t="b">
        <f t="shared" ref="K4465:M4465" si="4261">FALSE()</f>
        <v>0</v>
      </c>
      <c r="L4465" s="6" t="b">
        <f t="shared" si="4261"/>
        <v>0</v>
      </c>
      <c r="M4465" s="6" t="b">
        <f t="shared" si="4261"/>
        <v>0</v>
      </c>
      <c r="P4465" s="4">
        <v>0.120446153075867</v>
      </c>
      <c r="T4465" s="4" t="str">
        <f t="shared" si="3"/>
        <v/>
      </c>
      <c r="U4465" s="4">
        <f t="shared" si="4"/>
        <v>3738</v>
      </c>
    </row>
    <row r="4466" ht="15.75" customHeight="1">
      <c r="A4466" s="4" t="s">
        <v>5336</v>
      </c>
      <c r="B4466" s="4" t="s">
        <v>13</v>
      </c>
      <c r="I4466" s="4">
        <v>0.189</v>
      </c>
      <c r="J4466" s="4">
        <v>0.024</v>
      </c>
      <c r="K4466" s="6" t="b">
        <f t="shared" ref="K4466:M4466" si="4262">FALSE()</f>
        <v>0</v>
      </c>
      <c r="L4466" s="6" t="b">
        <f t="shared" si="4262"/>
        <v>0</v>
      </c>
      <c r="M4466" s="6" t="b">
        <f t="shared" si="4262"/>
        <v>0</v>
      </c>
      <c r="P4466" s="4">
        <v>0.173112617708645</v>
      </c>
      <c r="T4466" s="4" t="str">
        <f t="shared" si="3"/>
        <v/>
      </c>
      <c r="U4466" s="4">
        <f t="shared" si="4"/>
        <v>2764</v>
      </c>
    </row>
    <row r="4467" ht="15.75" customHeight="1">
      <c r="A4467" s="4" t="s">
        <v>5337</v>
      </c>
      <c r="B4467" s="4" t="s">
        <v>13</v>
      </c>
      <c r="I4467" s="4">
        <v>0.172</v>
      </c>
      <c r="J4467" s="4">
        <v>0.009</v>
      </c>
      <c r="K4467" s="6" t="b">
        <f t="shared" ref="K4467:M4467" si="4263">FALSE()</f>
        <v>0</v>
      </c>
      <c r="L4467" s="6" t="b">
        <f t="shared" si="4263"/>
        <v>0</v>
      </c>
      <c r="M4467" s="6" t="b">
        <f t="shared" si="4263"/>
        <v>0</v>
      </c>
      <c r="P4467" s="4">
        <v>0.158711691154821</v>
      </c>
      <c r="T4467" s="4" t="str">
        <f t="shared" si="3"/>
        <v/>
      </c>
      <c r="U4467" s="4">
        <f t="shared" si="4"/>
        <v>3021</v>
      </c>
    </row>
    <row r="4468" ht="15.75" customHeight="1">
      <c r="A4468" s="4" t="s">
        <v>5338</v>
      </c>
      <c r="B4468" s="4" t="s">
        <v>13</v>
      </c>
      <c r="I4468" s="4">
        <v>0.229</v>
      </c>
      <c r="J4468" s="4">
        <v>0.025</v>
      </c>
      <c r="K4468" s="6" t="b">
        <f t="shared" ref="K4468:M4468" si="4264">FALSE()</f>
        <v>0</v>
      </c>
      <c r="L4468" s="6" t="b">
        <f t="shared" si="4264"/>
        <v>0</v>
      </c>
      <c r="M4468" s="6" t="b">
        <f t="shared" si="4264"/>
        <v>0</v>
      </c>
      <c r="P4468" s="4">
        <v>0.206200830583898</v>
      </c>
      <c r="T4468" s="4" t="str">
        <f t="shared" si="3"/>
        <v/>
      </c>
      <c r="U4468" s="4">
        <f t="shared" si="4"/>
        <v>2133</v>
      </c>
    </row>
    <row r="4469" ht="15.75" customHeight="1">
      <c r="A4469" s="4" t="s">
        <v>1041</v>
      </c>
      <c r="B4469" s="4" t="s">
        <v>13</v>
      </c>
      <c r="C4469" s="4">
        <v>1.02</v>
      </c>
      <c r="D4469" s="4">
        <v>0.16</v>
      </c>
      <c r="E4469" s="4">
        <v>0.16</v>
      </c>
      <c r="I4469" s="4">
        <v>1.204</v>
      </c>
      <c r="J4469" s="4">
        <v>0.049</v>
      </c>
      <c r="K4469" s="6" t="b">
        <f t="shared" ref="K4469:L4469" si="4265">FALSE()</f>
        <v>0</v>
      </c>
      <c r="L4469" s="6" t="b">
        <f t="shared" si="4265"/>
        <v>0</v>
      </c>
      <c r="M4469" s="6" t="b">
        <f>TRUE()</f>
        <v>1</v>
      </c>
      <c r="N4469" s="4">
        <v>0.703097511413113</v>
      </c>
      <c r="P4469" s="4">
        <v>0.790273891290668</v>
      </c>
      <c r="T4469" s="4">
        <f t="shared" si="3"/>
        <v>654</v>
      </c>
      <c r="U4469" s="4">
        <f t="shared" si="4"/>
        <v>375</v>
      </c>
    </row>
    <row r="4470" ht="15.75" customHeight="1">
      <c r="A4470" s="4" t="s">
        <v>1043</v>
      </c>
      <c r="B4470" s="4" t="s">
        <v>13</v>
      </c>
      <c r="C4470" s="4">
        <v>0.02</v>
      </c>
      <c r="D4470" s="4">
        <v>0.003</v>
      </c>
      <c r="E4470" s="4">
        <v>0.003</v>
      </c>
      <c r="I4470" s="4">
        <v>0.548</v>
      </c>
      <c r="J4470" s="4">
        <v>0.026</v>
      </c>
      <c r="K4470" s="6" t="b">
        <f t="shared" ref="K4470:M4470" si="4266">FALSE()</f>
        <v>0</v>
      </c>
      <c r="L4470" s="6" t="b">
        <f t="shared" si="4266"/>
        <v>0</v>
      </c>
      <c r="M4470" s="6" t="b">
        <f t="shared" si="4266"/>
        <v>0</v>
      </c>
      <c r="N4470" s="4">
        <v>0.0198026272961797</v>
      </c>
      <c r="P4470" s="4">
        <v>0.436963775167535</v>
      </c>
      <c r="T4470" s="4">
        <f t="shared" si="3"/>
        <v>1733</v>
      </c>
      <c r="U4470" s="4">
        <f t="shared" si="4"/>
        <v>979</v>
      </c>
    </row>
    <row r="4471" ht="15.75" customHeight="1">
      <c r="A4471" s="4" t="s">
        <v>5339</v>
      </c>
      <c r="B4471" s="4" t="s">
        <v>13</v>
      </c>
      <c r="I4471" s="4">
        <v>0.237</v>
      </c>
      <c r="J4471" s="4">
        <v>0.039</v>
      </c>
      <c r="K4471" s="6" t="b">
        <f t="shared" ref="K4471:M4471" si="4267">FALSE()</f>
        <v>0</v>
      </c>
      <c r="L4471" s="6" t="b">
        <f t="shared" si="4267"/>
        <v>0</v>
      </c>
      <c r="M4471" s="6" t="b">
        <f t="shared" si="4267"/>
        <v>0</v>
      </c>
      <c r="P4471" s="4">
        <v>0.212689093410351</v>
      </c>
      <c r="T4471" s="4" t="str">
        <f t="shared" si="3"/>
        <v/>
      </c>
      <c r="U4471" s="4">
        <f t="shared" si="4"/>
        <v>1997</v>
      </c>
    </row>
    <row r="4472" ht="15.75" customHeight="1">
      <c r="A4472" s="4" t="s">
        <v>5340</v>
      </c>
      <c r="B4472" s="4" t="s">
        <v>13</v>
      </c>
      <c r="I4472" s="4">
        <v>0.159</v>
      </c>
      <c r="J4472" s="4">
        <v>0.029</v>
      </c>
      <c r="K4472" s="6" t="b">
        <f t="shared" ref="K4472:M4472" si="4268">FALSE()</f>
        <v>0</v>
      </c>
      <c r="L4472" s="6" t="b">
        <f t="shared" si="4268"/>
        <v>0</v>
      </c>
      <c r="M4472" s="6" t="b">
        <f t="shared" si="4268"/>
        <v>0</v>
      </c>
      <c r="P4472" s="4">
        <v>0.147557564357615</v>
      </c>
      <c r="T4472" s="4" t="str">
        <f t="shared" si="3"/>
        <v/>
      </c>
      <c r="U4472" s="4">
        <f t="shared" si="4"/>
        <v>3193</v>
      </c>
    </row>
    <row r="4473" ht="15.75" customHeight="1">
      <c r="A4473" s="4" t="s">
        <v>5341</v>
      </c>
      <c r="B4473" s="4" t="s">
        <v>13</v>
      </c>
      <c r="I4473" s="4">
        <v>0.11</v>
      </c>
      <c r="J4473" s="4">
        <v>0.008</v>
      </c>
      <c r="K4473" s="6" t="b">
        <f t="shared" ref="K4473:M4473" si="4269">FALSE()</f>
        <v>0</v>
      </c>
      <c r="L4473" s="6" t="b">
        <f t="shared" si="4269"/>
        <v>0</v>
      </c>
      <c r="M4473" s="6" t="b">
        <f t="shared" si="4269"/>
        <v>0</v>
      </c>
      <c r="P4473" s="4">
        <v>0.104360015324243</v>
      </c>
      <c r="T4473" s="4" t="str">
        <f t="shared" si="3"/>
        <v/>
      </c>
      <c r="U4473" s="4">
        <f t="shared" si="4"/>
        <v>4051</v>
      </c>
    </row>
    <row r="4474" ht="15.75" customHeight="1">
      <c r="A4474" s="4" t="s">
        <v>5342</v>
      </c>
      <c r="B4474" s="4" t="s">
        <v>13</v>
      </c>
      <c r="I4474" s="4">
        <v>0.159</v>
      </c>
      <c r="J4474" s="4">
        <v>0.012</v>
      </c>
      <c r="K4474" s="6" t="b">
        <f t="shared" ref="K4474:M4474" si="4270">FALSE()</f>
        <v>0</v>
      </c>
      <c r="L4474" s="6" t="b">
        <f t="shared" si="4270"/>
        <v>0</v>
      </c>
      <c r="M4474" s="6" t="b">
        <f t="shared" si="4270"/>
        <v>0</v>
      </c>
      <c r="P4474" s="4">
        <v>0.147557564357615</v>
      </c>
      <c r="T4474" s="4" t="str">
        <f t="shared" si="3"/>
        <v/>
      </c>
      <c r="U4474" s="4">
        <f t="shared" si="4"/>
        <v>3194</v>
      </c>
    </row>
    <row r="4475" ht="15.75" customHeight="1">
      <c r="A4475" s="4" t="s">
        <v>5343</v>
      </c>
      <c r="B4475" s="4" t="s">
        <v>13</v>
      </c>
      <c r="I4475" s="4">
        <v>0.11</v>
      </c>
      <c r="J4475" s="4">
        <v>0.004</v>
      </c>
      <c r="K4475" s="6" t="b">
        <f t="shared" ref="K4475:M4475" si="4271">FALSE()</f>
        <v>0</v>
      </c>
      <c r="L4475" s="6" t="b">
        <f t="shared" si="4271"/>
        <v>0</v>
      </c>
      <c r="M4475" s="6" t="b">
        <f t="shared" si="4271"/>
        <v>0</v>
      </c>
      <c r="P4475" s="4">
        <v>0.104360015324243</v>
      </c>
      <c r="T4475" s="4" t="str">
        <f t="shared" si="3"/>
        <v/>
      </c>
      <c r="U4475" s="4">
        <f t="shared" si="4"/>
        <v>4052</v>
      </c>
    </row>
    <row r="4476" ht="15.75" customHeight="1">
      <c r="A4476" s="4" t="s">
        <v>5344</v>
      </c>
      <c r="B4476" s="4" t="s">
        <v>13</v>
      </c>
      <c r="I4476" s="4">
        <v>0.223</v>
      </c>
      <c r="J4476" s="4">
        <v>0.035</v>
      </c>
      <c r="K4476" s="6" t="b">
        <f t="shared" ref="K4476:M4476" si="4272">FALSE()</f>
        <v>0</v>
      </c>
      <c r="L4476" s="6" t="b">
        <f t="shared" si="4272"/>
        <v>0</v>
      </c>
      <c r="M4476" s="6" t="b">
        <f t="shared" si="4272"/>
        <v>0</v>
      </c>
      <c r="P4476" s="4">
        <v>0.201306856705035</v>
      </c>
      <c r="T4476" s="4" t="str">
        <f t="shared" si="3"/>
        <v/>
      </c>
      <c r="U4476" s="4">
        <f t="shared" si="4"/>
        <v>2222</v>
      </c>
    </row>
    <row r="4477" ht="15.75" customHeight="1">
      <c r="A4477" s="4" t="s">
        <v>5345</v>
      </c>
      <c r="B4477" s="4" t="s">
        <v>13</v>
      </c>
      <c r="I4477" s="4">
        <v>0.136</v>
      </c>
      <c r="J4477" s="4">
        <v>0.017</v>
      </c>
      <c r="K4477" s="6" t="b">
        <f t="shared" ref="K4477:M4477" si="4273">FALSE()</f>
        <v>0</v>
      </c>
      <c r="L4477" s="6" t="b">
        <f t="shared" si="4273"/>
        <v>0</v>
      </c>
      <c r="M4477" s="6" t="b">
        <f t="shared" si="4273"/>
        <v>0</v>
      </c>
      <c r="P4477" s="4">
        <v>0.12751332029896</v>
      </c>
      <c r="T4477" s="4" t="str">
        <f t="shared" si="3"/>
        <v/>
      </c>
      <c r="U4477" s="4">
        <f t="shared" si="4"/>
        <v>3595</v>
      </c>
    </row>
    <row r="4478" ht="15.75" customHeight="1">
      <c r="A4478" s="4" t="s">
        <v>5346</v>
      </c>
      <c r="B4478" s="4" t="s">
        <v>13</v>
      </c>
      <c r="I4478" s="4">
        <v>0.164</v>
      </c>
      <c r="J4478" s="4">
        <v>0.015</v>
      </c>
      <c r="K4478" s="6" t="b">
        <f t="shared" ref="K4478:M4478" si="4274">FALSE()</f>
        <v>0</v>
      </c>
      <c r="L4478" s="6" t="b">
        <f t="shared" si="4274"/>
        <v>0</v>
      </c>
      <c r="M4478" s="6" t="b">
        <f t="shared" si="4274"/>
        <v>0</v>
      </c>
      <c r="P4478" s="4">
        <v>0.151862349309246</v>
      </c>
      <c r="T4478" s="4" t="str">
        <f t="shared" si="3"/>
        <v/>
      </c>
      <c r="U4478" s="4">
        <f t="shared" si="4"/>
        <v>3132</v>
      </c>
    </row>
    <row r="4479" ht="15.75" customHeight="1">
      <c r="A4479" s="4" t="s">
        <v>5347</v>
      </c>
      <c r="B4479" s="4" t="s">
        <v>13</v>
      </c>
      <c r="I4479" s="4">
        <v>0.101</v>
      </c>
      <c r="J4479" s="4">
        <v>0.01</v>
      </c>
      <c r="K4479" s="6" t="b">
        <f t="shared" ref="K4479:M4479" si="4275">FALSE()</f>
        <v>0</v>
      </c>
      <c r="L4479" s="6" t="b">
        <f t="shared" si="4275"/>
        <v>0</v>
      </c>
      <c r="M4479" s="6" t="b">
        <f t="shared" si="4275"/>
        <v>0</v>
      </c>
      <c r="P4479" s="4">
        <v>0.0962188577405429</v>
      </c>
      <c r="T4479" s="4" t="str">
        <f t="shared" si="3"/>
        <v/>
      </c>
      <c r="U4479" s="4">
        <f t="shared" si="4"/>
        <v>4205</v>
      </c>
    </row>
    <row r="4480" ht="15.75" customHeight="1">
      <c r="A4480" s="4" t="s">
        <v>5348</v>
      </c>
      <c r="B4480" s="4" t="s">
        <v>13</v>
      </c>
      <c r="I4480" s="4">
        <v>0.157</v>
      </c>
      <c r="J4480" s="4">
        <v>0.005</v>
      </c>
      <c r="K4480" s="6" t="b">
        <f t="shared" ref="K4480:M4480" si="4276">FALSE()</f>
        <v>0</v>
      </c>
      <c r="L4480" s="6" t="b">
        <f t="shared" si="4276"/>
        <v>0</v>
      </c>
      <c r="M4480" s="6" t="b">
        <f t="shared" si="4276"/>
        <v>0</v>
      </c>
      <c r="P4480" s="4">
        <v>0.14583044821154</v>
      </c>
      <c r="T4480" s="4" t="str">
        <f t="shared" si="3"/>
        <v/>
      </c>
      <c r="U4480" s="4">
        <f t="shared" si="4"/>
        <v>3217</v>
      </c>
    </row>
    <row r="4481" ht="15.75" customHeight="1">
      <c r="A4481" s="4" t="s">
        <v>5349</v>
      </c>
      <c r="B4481" s="4" t="s">
        <v>13</v>
      </c>
      <c r="I4481" s="4">
        <v>0.097</v>
      </c>
      <c r="J4481" s="4">
        <v>0.012</v>
      </c>
      <c r="K4481" s="6" t="b">
        <f t="shared" ref="K4481:M4481" si="4277">FALSE()</f>
        <v>0</v>
      </c>
      <c r="L4481" s="6" t="b">
        <f t="shared" si="4277"/>
        <v>0</v>
      </c>
      <c r="M4481" s="6" t="b">
        <f t="shared" si="4277"/>
        <v>0</v>
      </c>
      <c r="P4481" s="4">
        <v>0.0925791812930932</v>
      </c>
      <c r="T4481" s="4" t="str">
        <f t="shared" si="3"/>
        <v/>
      </c>
      <c r="U4481" s="4">
        <f t="shared" si="4"/>
        <v>4262</v>
      </c>
    </row>
    <row r="4482" ht="15.75" customHeight="1">
      <c r="A4482" s="4" t="s">
        <v>1044</v>
      </c>
      <c r="B4482" s="4" t="s">
        <v>13</v>
      </c>
      <c r="C4482" s="4">
        <v>0.03</v>
      </c>
      <c r="D4482" s="4">
        <v>0.0036</v>
      </c>
      <c r="E4482" s="4">
        <v>0.0036</v>
      </c>
      <c r="I4482" s="4">
        <v>0.307</v>
      </c>
      <c r="J4482" s="4">
        <v>0.007</v>
      </c>
      <c r="K4482" s="6" t="b">
        <f t="shared" ref="K4482:M4482" si="4278">FALSE()</f>
        <v>0</v>
      </c>
      <c r="L4482" s="6" t="b">
        <f t="shared" si="4278"/>
        <v>0</v>
      </c>
      <c r="M4482" s="6" t="b">
        <f t="shared" si="4278"/>
        <v>0</v>
      </c>
      <c r="N4482" s="4">
        <v>0.0295588022415444</v>
      </c>
      <c r="P4482" s="4">
        <v>0.267734434642085</v>
      </c>
      <c r="T4482" s="4">
        <f t="shared" si="3"/>
        <v>1555</v>
      </c>
      <c r="U4482" s="4">
        <f t="shared" si="4"/>
        <v>1345</v>
      </c>
    </row>
    <row r="4483" ht="15.75" customHeight="1">
      <c r="A4483" s="4" t="s">
        <v>5350</v>
      </c>
      <c r="B4483" s="4" t="s">
        <v>13</v>
      </c>
      <c r="C4483" s="4">
        <v>0.674</v>
      </c>
      <c r="D4483" s="4">
        <v>0.016</v>
      </c>
      <c r="E4483" s="4">
        <v>0.016</v>
      </c>
      <c r="K4483" s="6" t="b">
        <f t="shared" ref="K4483:M4483" si="4279">FALSE()</f>
        <v>0</v>
      </c>
      <c r="L4483" s="6" t="b">
        <f t="shared" si="4279"/>
        <v>0</v>
      </c>
      <c r="M4483" s="6" t="b">
        <f t="shared" si="4279"/>
        <v>0</v>
      </c>
      <c r="N4483" s="4">
        <v>0.515215972067284</v>
      </c>
      <c r="T4483" s="4">
        <f t="shared" si="3"/>
        <v>834</v>
      </c>
      <c r="U4483" s="4" t="str">
        <f t="shared" si="4"/>
        <v/>
      </c>
    </row>
    <row r="4484" ht="15.75" customHeight="1">
      <c r="A4484" s="4" t="s">
        <v>5351</v>
      </c>
      <c r="B4484" s="4" t="s">
        <v>13</v>
      </c>
      <c r="C4484" s="4">
        <v>3.05</v>
      </c>
      <c r="D4484" s="4">
        <v>0.16</v>
      </c>
      <c r="E4484" s="4">
        <v>0.16</v>
      </c>
      <c r="F4484" s="4">
        <v>3.05</v>
      </c>
      <c r="G4484" s="4">
        <v>0.16</v>
      </c>
      <c r="H4484" s="4">
        <v>0.16</v>
      </c>
      <c r="K4484" s="6" t="b">
        <f t="shared" ref="K4484:M4484" si="4280">FALSE()</f>
        <v>0</v>
      </c>
      <c r="L4484" s="6" t="b">
        <f t="shared" si="4280"/>
        <v>0</v>
      </c>
      <c r="M4484" s="6" t="b">
        <f t="shared" si="4280"/>
        <v>0</v>
      </c>
      <c r="N4484" s="4">
        <v>1.39871688111845</v>
      </c>
      <c r="O4484" s="4">
        <v>1.39871688111845</v>
      </c>
      <c r="T4484" s="4">
        <f t="shared" si="3"/>
        <v>316</v>
      </c>
      <c r="U4484" s="4" t="str">
        <f t="shared" si="4"/>
        <v/>
      </c>
    </row>
    <row r="4485" ht="15.75" customHeight="1">
      <c r="A4485" s="4" t="s">
        <v>5352</v>
      </c>
      <c r="B4485" s="4" t="s">
        <v>13</v>
      </c>
      <c r="I4485" s="4">
        <v>0.793</v>
      </c>
      <c r="J4485" s="4">
        <v>0.095</v>
      </c>
      <c r="K4485" s="6" t="b">
        <f t="shared" ref="K4485:L4485" si="4281">FALSE()</f>
        <v>0</v>
      </c>
      <c r="L4485" s="6" t="b">
        <f t="shared" si="4281"/>
        <v>0</v>
      </c>
      <c r="M4485" s="6" t="b">
        <f>TRUE()</f>
        <v>1</v>
      </c>
      <c r="P4485" s="4">
        <v>0.583890194622996</v>
      </c>
      <c r="T4485" s="4" t="str">
        <f t="shared" si="3"/>
        <v/>
      </c>
      <c r="U4485" s="4">
        <f t="shared" si="4"/>
        <v>845</v>
      </c>
    </row>
    <row r="4486" ht="15.75" customHeight="1">
      <c r="A4486" s="4" t="s">
        <v>5353</v>
      </c>
      <c r="B4486" s="4" t="s">
        <v>13</v>
      </c>
      <c r="I4486" s="4">
        <v>0.572</v>
      </c>
      <c r="J4486" s="4">
        <v>0.054</v>
      </c>
      <c r="K4486" s="6" t="b">
        <f t="shared" ref="K4486:M4486" si="4282">FALSE()</f>
        <v>0</v>
      </c>
      <c r="L4486" s="6" t="b">
        <f t="shared" si="4282"/>
        <v>0</v>
      </c>
      <c r="M4486" s="6" t="b">
        <f t="shared" si="4282"/>
        <v>0</v>
      </c>
      <c r="P4486" s="4">
        <v>0.452348694007015</v>
      </c>
      <c r="T4486" s="4" t="str">
        <f t="shared" si="3"/>
        <v/>
      </c>
      <c r="U4486" s="4">
        <f t="shared" si="4"/>
        <v>957</v>
      </c>
    </row>
    <row r="4487" ht="15.75" customHeight="1">
      <c r="A4487" s="4" t="s">
        <v>5354</v>
      </c>
      <c r="B4487" s="4" t="s">
        <v>13</v>
      </c>
      <c r="I4487" s="4">
        <v>0.251</v>
      </c>
      <c r="J4487" s="4">
        <v>0.024</v>
      </c>
      <c r="K4487" s="6" t="b">
        <f t="shared" ref="K4487:M4487" si="4283">FALSE()</f>
        <v>0</v>
      </c>
      <c r="L4487" s="6" t="b">
        <f t="shared" si="4283"/>
        <v>0</v>
      </c>
      <c r="M4487" s="6" t="b">
        <f t="shared" si="4283"/>
        <v>0</v>
      </c>
      <c r="P4487" s="4">
        <v>0.223943231484774</v>
      </c>
      <c r="T4487" s="4" t="str">
        <f t="shared" si="3"/>
        <v/>
      </c>
      <c r="U4487" s="4">
        <f t="shared" si="4"/>
        <v>1802</v>
      </c>
    </row>
    <row r="4488" ht="15.75" customHeight="1">
      <c r="A4488" s="4" t="s">
        <v>5355</v>
      </c>
      <c r="B4488" s="4" t="s">
        <v>13</v>
      </c>
      <c r="I4488" s="4">
        <v>0.27</v>
      </c>
      <c r="J4488" s="4">
        <v>0.033</v>
      </c>
      <c r="K4488" s="6" t="b">
        <f t="shared" ref="K4488:M4488" si="4284">FALSE()</f>
        <v>0</v>
      </c>
      <c r="L4488" s="6" t="b">
        <f t="shared" si="4284"/>
        <v>0</v>
      </c>
      <c r="M4488" s="6" t="b">
        <f t="shared" si="4284"/>
        <v>0</v>
      </c>
      <c r="P4488" s="4">
        <v>0.2390169004705</v>
      </c>
      <c r="T4488" s="4" t="str">
        <f t="shared" si="3"/>
        <v/>
      </c>
      <c r="U4488" s="4">
        <f t="shared" si="4"/>
        <v>1590</v>
      </c>
    </row>
    <row r="4489" ht="15.75" customHeight="1">
      <c r="A4489" s="4" t="s">
        <v>5356</v>
      </c>
      <c r="B4489" s="4" t="s">
        <v>13</v>
      </c>
      <c r="I4489" s="4">
        <v>0.248</v>
      </c>
      <c r="J4489" s="4">
        <v>0.03</v>
      </c>
      <c r="K4489" s="6" t="b">
        <f t="shared" ref="K4489:M4489" si="4285">FALSE()</f>
        <v>0</v>
      </c>
      <c r="L4489" s="6" t="b">
        <f t="shared" si="4285"/>
        <v>0</v>
      </c>
      <c r="M4489" s="6" t="b">
        <f t="shared" si="4285"/>
        <v>0</v>
      </c>
      <c r="P4489" s="4">
        <v>0.221542269947236</v>
      </c>
      <c r="T4489" s="4" t="str">
        <f t="shared" si="3"/>
        <v/>
      </c>
      <c r="U4489" s="4">
        <f t="shared" si="4"/>
        <v>1839</v>
      </c>
    </row>
    <row r="4490" ht="15.75" customHeight="1">
      <c r="A4490" s="4" t="s">
        <v>5357</v>
      </c>
      <c r="B4490" s="4" t="s">
        <v>13</v>
      </c>
      <c r="I4490" s="4">
        <v>0.137</v>
      </c>
      <c r="J4490" s="4">
        <v>0.006</v>
      </c>
      <c r="K4490" s="6" t="b">
        <f t="shared" ref="K4490:M4490" si="4286">FALSE()</f>
        <v>0</v>
      </c>
      <c r="L4490" s="6" t="b">
        <f t="shared" si="4286"/>
        <v>0</v>
      </c>
      <c r="M4490" s="6" t="b">
        <f t="shared" si="4286"/>
        <v>0</v>
      </c>
      <c r="P4490" s="4">
        <v>0.128393214768399</v>
      </c>
      <c r="T4490" s="4" t="str">
        <f t="shared" si="3"/>
        <v/>
      </c>
      <c r="U4490" s="4">
        <f t="shared" si="4"/>
        <v>3564</v>
      </c>
    </row>
    <row r="4491" ht="15.75" customHeight="1">
      <c r="A4491" s="4" t="s">
        <v>5358</v>
      </c>
      <c r="B4491" s="4" t="s">
        <v>13</v>
      </c>
      <c r="I4491" s="4">
        <v>0.226</v>
      </c>
      <c r="J4491" s="4">
        <v>0.017</v>
      </c>
      <c r="K4491" s="6" t="b">
        <f t="shared" ref="K4491:M4491" si="4287">FALSE()</f>
        <v>0</v>
      </c>
      <c r="L4491" s="6" t="b">
        <f t="shared" si="4287"/>
        <v>0</v>
      </c>
      <c r="M4491" s="6" t="b">
        <f t="shared" si="4287"/>
        <v>0</v>
      </c>
      <c r="P4491" s="4">
        <v>0.20375683751402</v>
      </c>
      <c r="T4491" s="4" t="str">
        <f t="shared" si="3"/>
        <v/>
      </c>
      <c r="U4491" s="4">
        <f t="shared" si="4"/>
        <v>2179</v>
      </c>
    </row>
    <row r="4492" ht="15.75" customHeight="1">
      <c r="A4492" s="4" t="s">
        <v>5359</v>
      </c>
      <c r="B4492" s="4" t="s">
        <v>13</v>
      </c>
      <c r="I4492" s="4">
        <v>0.213</v>
      </c>
      <c r="J4492" s="4">
        <v>0.022</v>
      </c>
      <c r="K4492" s="6" t="b">
        <f t="shared" ref="K4492:M4492" si="4288">FALSE()</f>
        <v>0</v>
      </c>
      <c r="L4492" s="6" t="b">
        <f t="shared" si="4288"/>
        <v>0</v>
      </c>
      <c r="M4492" s="6" t="b">
        <f t="shared" si="4288"/>
        <v>0</v>
      </c>
      <c r="P4492" s="4">
        <v>0.193096629961913</v>
      </c>
      <c r="T4492" s="4" t="str">
        <f t="shared" si="3"/>
        <v/>
      </c>
      <c r="U4492" s="4">
        <f t="shared" si="4"/>
        <v>2367</v>
      </c>
    </row>
    <row r="4493" ht="15.75" customHeight="1">
      <c r="A4493" s="4" t="s">
        <v>5360</v>
      </c>
      <c r="B4493" s="4" t="s">
        <v>13</v>
      </c>
      <c r="I4493" s="4">
        <v>0.133</v>
      </c>
      <c r="J4493" s="4">
        <v>0.008</v>
      </c>
      <c r="K4493" s="6" t="b">
        <f t="shared" ref="K4493:M4493" si="4289">FALSE()</f>
        <v>0</v>
      </c>
      <c r="L4493" s="6" t="b">
        <f t="shared" si="4289"/>
        <v>0</v>
      </c>
      <c r="M4493" s="6" t="b">
        <f t="shared" si="4289"/>
        <v>0</v>
      </c>
      <c r="P4493" s="4">
        <v>0.124868982045869</v>
      </c>
      <c r="T4493" s="4" t="str">
        <f t="shared" si="3"/>
        <v/>
      </c>
      <c r="U4493" s="4">
        <f t="shared" si="4"/>
        <v>3649</v>
      </c>
    </row>
    <row r="4494" ht="15.75" customHeight="1">
      <c r="A4494" s="4" t="s">
        <v>5361</v>
      </c>
      <c r="B4494" s="4" t="s">
        <v>13</v>
      </c>
      <c r="I4494" s="4">
        <v>0.239</v>
      </c>
      <c r="J4494" s="4">
        <v>0.023</v>
      </c>
      <c r="K4494" s="6" t="b">
        <f t="shared" ref="K4494:M4494" si="4290">FALSE()</f>
        <v>0</v>
      </c>
      <c r="L4494" s="6" t="b">
        <f t="shared" si="4290"/>
        <v>0</v>
      </c>
      <c r="M4494" s="6" t="b">
        <f t="shared" si="4290"/>
        <v>0</v>
      </c>
      <c r="P4494" s="4">
        <v>0.214304602647005</v>
      </c>
      <c r="T4494" s="4" t="str">
        <f t="shared" si="3"/>
        <v/>
      </c>
      <c r="U4494" s="4">
        <f t="shared" si="4"/>
        <v>1966</v>
      </c>
    </row>
    <row r="4495" ht="15.75" customHeight="1">
      <c r="A4495" s="4" t="s">
        <v>1045</v>
      </c>
      <c r="B4495" s="4" t="s">
        <v>13</v>
      </c>
      <c r="C4495" s="4">
        <v>0.018115</v>
      </c>
      <c r="D4495" s="4">
        <v>0.011957</v>
      </c>
      <c r="E4495" s="4">
        <v>0.011962</v>
      </c>
      <c r="F4495" s="4">
        <v>0.018114</v>
      </c>
      <c r="G4495" s="4">
        <v>0.012</v>
      </c>
      <c r="H4495" s="4">
        <v>0.012</v>
      </c>
      <c r="I4495" s="4">
        <v>0.14613</v>
      </c>
      <c r="J4495" s="4">
        <v>0.01088</v>
      </c>
      <c r="K4495" s="6" t="b">
        <f t="shared" ref="K4495:M4495" si="4291">FALSE()</f>
        <v>0</v>
      </c>
      <c r="L4495" s="6" t="b">
        <f t="shared" si="4291"/>
        <v>0</v>
      </c>
      <c r="M4495" s="6" t="b">
        <f t="shared" si="4291"/>
        <v>0</v>
      </c>
      <c r="N4495" s="4">
        <v>0.0179528783492637</v>
      </c>
      <c r="O4495" s="4">
        <v>0.0179518961414669</v>
      </c>
      <c r="P4495" s="4">
        <v>0.136391049904315</v>
      </c>
      <c r="Q4495" s="4">
        <v>-0.616918166548213</v>
      </c>
      <c r="R4495" s="4">
        <v>-0.640973813114403</v>
      </c>
      <c r="S4495" s="4">
        <v>-1.27069371228651</v>
      </c>
      <c r="T4495" s="4">
        <f t="shared" si="3"/>
        <v>1771</v>
      </c>
      <c r="U4495" s="4">
        <f t="shared" si="4"/>
        <v>3385</v>
      </c>
    </row>
    <row r="4496" ht="15.75" customHeight="1">
      <c r="A4496" s="4" t="s">
        <v>1046</v>
      </c>
      <c r="B4496" s="4" t="s">
        <v>13</v>
      </c>
      <c r="C4496" s="4">
        <v>0.019528</v>
      </c>
      <c r="D4496" s="4">
        <v>0.017593</v>
      </c>
      <c r="E4496" s="4">
        <v>0.017609</v>
      </c>
      <c r="F4496" s="4">
        <v>0.01952</v>
      </c>
      <c r="G4496" s="4">
        <v>0.017585</v>
      </c>
      <c r="H4496" s="4">
        <v>0.017585</v>
      </c>
      <c r="I4496" s="4">
        <v>0.34473</v>
      </c>
      <c r="J4496" s="4">
        <v>0.00883</v>
      </c>
      <c r="K4496" s="6" t="b">
        <f t="shared" ref="K4496:M4496" si="4292">FALSE()</f>
        <v>0</v>
      </c>
      <c r="L4496" s="6" t="b">
        <f t="shared" si="4292"/>
        <v>0</v>
      </c>
      <c r="M4496" s="6" t="b">
        <f t="shared" si="4292"/>
        <v>0</v>
      </c>
      <c r="N4496" s="4">
        <v>0.0193397750985864</v>
      </c>
      <c r="O4496" s="4">
        <v>0.0193319282994919</v>
      </c>
      <c r="P4496" s="4">
        <v>0.296193249407706</v>
      </c>
      <c r="Q4496" s="4">
        <v>-0.616050276207159</v>
      </c>
      <c r="R4496" s="4">
        <v>-0.64008179460517</v>
      </c>
      <c r="S4496" s="4">
        <v>-0.899109362410096</v>
      </c>
      <c r="T4496" s="4">
        <f t="shared" si="3"/>
        <v>1744</v>
      </c>
      <c r="U4496" s="4">
        <f t="shared" si="4"/>
        <v>1225</v>
      </c>
    </row>
    <row r="4497" ht="15.75" customHeight="1">
      <c r="A4497" s="4" t="s">
        <v>1047</v>
      </c>
      <c r="B4497" s="4" t="s">
        <v>13</v>
      </c>
      <c r="C4497" s="4">
        <v>0.2504561</v>
      </c>
      <c r="D4497" s="4">
        <v>0.0272732</v>
      </c>
      <c r="E4497" s="4">
        <v>0.0272747</v>
      </c>
      <c r="F4497" s="4">
        <v>0.2504555</v>
      </c>
      <c r="G4497" s="4">
        <v>0.027273</v>
      </c>
      <c r="H4497" s="4">
        <v>0.027273</v>
      </c>
      <c r="I4497" s="4">
        <v>0.91989</v>
      </c>
      <c r="J4497" s="4">
        <v>0.02177</v>
      </c>
      <c r="K4497" s="6" t="b">
        <f t="shared" ref="K4497:L4497" si="4293">FALSE()</f>
        <v>0</v>
      </c>
      <c r="L4497" s="6" t="b">
        <f t="shared" si="4293"/>
        <v>0</v>
      </c>
      <c r="M4497" s="6" t="b">
        <f>TRUE()</f>
        <v>1</v>
      </c>
      <c r="N4497" s="4">
        <v>0.223508364761691</v>
      </c>
      <c r="O4497" s="4">
        <v>0.223507884936655</v>
      </c>
      <c r="P4497" s="4">
        <v>0.652267892731793</v>
      </c>
      <c r="Q4497" s="4">
        <v>-0.474210030299075</v>
      </c>
      <c r="R4497" s="4">
        <v>-0.493567754463752</v>
      </c>
      <c r="S4497" s="4">
        <v>0.177025857503881</v>
      </c>
      <c r="T4497" s="4">
        <f t="shared" si="3"/>
        <v>1107</v>
      </c>
      <c r="U4497" s="4">
        <f t="shared" si="4"/>
        <v>752</v>
      </c>
    </row>
    <row r="4498" ht="15.75" customHeight="1">
      <c r="A4498" s="4" t="s">
        <v>1049</v>
      </c>
      <c r="B4498" s="4" t="s">
        <v>13</v>
      </c>
      <c r="C4498" s="4">
        <v>0.0254662</v>
      </c>
      <c r="D4498" s="4">
        <v>0.025665</v>
      </c>
      <c r="E4498" s="4">
        <v>0.0256658</v>
      </c>
      <c r="F4498" s="4">
        <v>0.025466</v>
      </c>
      <c r="G4498" s="4">
        <v>0.025665</v>
      </c>
      <c r="H4498" s="4">
        <v>0.025665</v>
      </c>
      <c r="I4498" s="4">
        <v>0.54564</v>
      </c>
      <c r="J4498" s="4">
        <v>0.01294</v>
      </c>
      <c r="K4498" s="6" t="b">
        <f t="shared" ref="K4498:M4498" si="4294">FALSE()</f>
        <v>0</v>
      </c>
      <c r="L4498" s="6" t="b">
        <f t="shared" si="4294"/>
        <v>0</v>
      </c>
      <c r="M4498" s="6" t="b">
        <f t="shared" si="4294"/>
        <v>0</v>
      </c>
      <c r="N4498" s="4">
        <v>0.0251473384551853</v>
      </c>
      <c r="O4498" s="4">
        <v>0.0251471434219218</v>
      </c>
      <c r="P4498" s="4">
        <v>0.435438064058422</v>
      </c>
      <c r="Q4498" s="4">
        <v>-0.612402925589146</v>
      </c>
      <c r="R4498" s="4">
        <v>-0.636309431834263</v>
      </c>
      <c r="S4498" s="4">
        <v>-0.523202958917299</v>
      </c>
      <c r="T4498" s="4">
        <f t="shared" si="3"/>
        <v>1628</v>
      </c>
      <c r="U4498" s="4">
        <f t="shared" si="4"/>
        <v>981</v>
      </c>
    </row>
    <row r="4499" ht="15.75" customHeight="1">
      <c r="A4499" s="4" t="s">
        <v>1050</v>
      </c>
      <c r="B4499" s="4" t="s">
        <v>13</v>
      </c>
      <c r="C4499" s="4">
        <v>0.59</v>
      </c>
      <c r="D4499" s="4">
        <v>0.12</v>
      </c>
      <c r="E4499" s="4">
        <v>0.13</v>
      </c>
      <c r="I4499" s="4">
        <v>1.416</v>
      </c>
      <c r="J4499" s="4">
        <v>0.062</v>
      </c>
      <c r="K4499" s="6" t="b">
        <f t="shared" ref="K4499:L4499" si="4295">FALSE()</f>
        <v>0</v>
      </c>
      <c r="L4499" s="6" t="b">
        <f t="shared" si="4295"/>
        <v>0</v>
      </c>
      <c r="M4499" s="6" t="b">
        <f>TRUE()</f>
        <v>1</v>
      </c>
      <c r="N4499" s="4">
        <v>0.46373401623214</v>
      </c>
      <c r="P4499" s="4">
        <v>0.882113280072569</v>
      </c>
      <c r="T4499" s="4">
        <f t="shared" si="3"/>
        <v>894</v>
      </c>
      <c r="U4499" s="4">
        <f t="shared" si="4"/>
        <v>166</v>
      </c>
    </row>
    <row r="4500" ht="15.75" customHeight="1">
      <c r="A4500" s="4" t="s">
        <v>5362</v>
      </c>
      <c r="B4500" s="4" t="s">
        <v>13</v>
      </c>
      <c r="I4500" s="4">
        <v>0.186</v>
      </c>
      <c r="J4500" s="4">
        <v>0.03</v>
      </c>
      <c r="K4500" s="6" t="b">
        <f t="shared" ref="K4500:M4500" si="4296">FALSE()</f>
        <v>0</v>
      </c>
      <c r="L4500" s="6" t="b">
        <f t="shared" si="4296"/>
        <v>0</v>
      </c>
      <c r="M4500" s="6" t="b">
        <f t="shared" si="4296"/>
        <v>0</v>
      </c>
      <c r="P4500" s="4">
        <v>0.170586300575534</v>
      </c>
      <c r="T4500" s="4" t="str">
        <f t="shared" si="3"/>
        <v/>
      </c>
      <c r="U4500" s="4">
        <f t="shared" si="4"/>
        <v>2813</v>
      </c>
    </row>
    <row r="4501" ht="15.75" customHeight="1">
      <c r="A4501" s="4" t="s">
        <v>5363</v>
      </c>
      <c r="B4501" s="4" t="s">
        <v>13</v>
      </c>
      <c r="I4501" s="4">
        <v>0.122</v>
      </c>
      <c r="J4501" s="4">
        <v>0.005</v>
      </c>
      <c r="K4501" s="6" t="b">
        <f t="shared" ref="K4501:M4501" si="4297">FALSE()</f>
        <v>0</v>
      </c>
      <c r="L4501" s="6" t="b">
        <f t="shared" si="4297"/>
        <v>0</v>
      </c>
      <c r="M4501" s="6" t="b">
        <f t="shared" si="4297"/>
        <v>0</v>
      </c>
      <c r="P4501" s="4">
        <v>0.115112807100505</v>
      </c>
      <c r="T4501" s="4" t="str">
        <f t="shared" si="3"/>
        <v/>
      </c>
      <c r="U4501" s="4">
        <f t="shared" si="4"/>
        <v>3833</v>
      </c>
    </row>
    <row r="4502" ht="15.75" customHeight="1">
      <c r="A4502" s="4" t="s">
        <v>5364</v>
      </c>
      <c r="B4502" s="4" t="s">
        <v>13</v>
      </c>
      <c r="I4502" s="4">
        <v>0.227</v>
      </c>
      <c r="J4502" s="4">
        <v>0.016</v>
      </c>
      <c r="K4502" s="6" t="b">
        <f t="shared" ref="K4502:M4502" si="4298">FALSE()</f>
        <v>0</v>
      </c>
      <c r="L4502" s="6" t="b">
        <f t="shared" si="4298"/>
        <v>0</v>
      </c>
      <c r="M4502" s="6" t="b">
        <f t="shared" si="4298"/>
        <v>0</v>
      </c>
      <c r="P4502" s="4">
        <v>0.204572165728774</v>
      </c>
      <c r="T4502" s="4" t="str">
        <f t="shared" si="3"/>
        <v/>
      </c>
      <c r="U4502" s="4">
        <f t="shared" si="4"/>
        <v>2165</v>
      </c>
    </row>
    <row r="4503" ht="15.75" customHeight="1">
      <c r="A4503" s="4" t="s">
        <v>5365</v>
      </c>
      <c r="B4503" s="4" t="s">
        <v>13</v>
      </c>
      <c r="I4503" s="4">
        <v>0.179</v>
      </c>
      <c r="J4503" s="4">
        <v>0.032</v>
      </c>
      <c r="K4503" s="6" t="b">
        <f t="shared" ref="K4503:M4503" si="4299">FALSE()</f>
        <v>0</v>
      </c>
      <c r="L4503" s="6" t="b">
        <f t="shared" si="4299"/>
        <v>0</v>
      </c>
      <c r="M4503" s="6" t="b">
        <f t="shared" si="4299"/>
        <v>0</v>
      </c>
      <c r="P4503" s="4">
        <v>0.164666621555234</v>
      </c>
      <c r="T4503" s="4" t="str">
        <f t="shared" si="3"/>
        <v/>
      </c>
      <c r="U4503" s="4">
        <f t="shared" si="4"/>
        <v>2905</v>
      </c>
    </row>
    <row r="4504" ht="15.75" customHeight="1">
      <c r="A4504" s="4" t="s">
        <v>5366</v>
      </c>
      <c r="B4504" s="4" t="s">
        <v>13</v>
      </c>
      <c r="I4504" s="4">
        <v>0.226</v>
      </c>
      <c r="J4504" s="4">
        <v>0.04</v>
      </c>
      <c r="K4504" s="6" t="b">
        <f t="shared" ref="K4504:M4504" si="4300">FALSE()</f>
        <v>0</v>
      </c>
      <c r="L4504" s="6" t="b">
        <f t="shared" si="4300"/>
        <v>0</v>
      </c>
      <c r="M4504" s="6" t="b">
        <f t="shared" si="4300"/>
        <v>0</v>
      </c>
      <c r="P4504" s="4">
        <v>0.20375683751402</v>
      </c>
      <c r="T4504" s="4" t="str">
        <f t="shared" si="3"/>
        <v/>
      </c>
      <c r="U4504" s="4">
        <f t="shared" si="4"/>
        <v>2180</v>
      </c>
    </row>
    <row r="4505" ht="15.75" customHeight="1">
      <c r="A4505" s="4" t="s">
        <v>5367</v>
      </c>
      <c r="B4505" s="4" t="s">
        <v>13</v>
      </c>
      <c r="I4505" s="4">
        <v>0.158</v>
      </c>
      <c r="J4505" s="4">
        <v>0.021</v>
      </c>
      <c r="K4505" s="6" t="b">
        <f t="shared" ref="K4505:M4505" si="4301">FALSE()</f>
        <v>0</v>
      </c>
      <c r="L4505" s="6" t="b">
        <f t="shared" si="4301"/>
        <v>0</v>
      </c>
      <c r="M4505" s="6" t="b">
        <f t="shared" si="4301"/>
        <v>0</v>
      </c>
      <c r="P4505" s="4">
        <v>0.146694379150804</v>
      </c>
      <c r="T4505" s="4" t="str">
        <f t="shared" si="3"/>
        <v/>
      </c>
      <c r="U4505" s="4">
        <f t="shared" si="4"/>
        <v>3209</v>
      </c>
    </row>
    <row r="4506" ht="15.75" customHeight="1">
      <c r="A4506" s="4" t="s">
        <v>5368</v>
      </c>
      <c r="B4506" s="4" t="s">
        <v>13</v>
      </c>
      <c r="I4506" s="4">
        <v>0.126</v>
      </c>
      <c r="J4506" s="4">
        <v>0.004</v>
      </c>
      <c r="K4506" s="6" t="b">
        <f t="shared" ref="K4506:M4506" si="4302">FALSE()</f>
        <v>0</v>
      </c>
      <c r="L4506" s="6" t="b">
        <f t="shared" si="4302"/>
        <v>0</v>
      </c>
      <c r="M4506" s="6" t="b">
        <f t="shared" si="4302"/>
        <v>0</v>
      </c>
      <c r="P4506" s="4">
        <v>0.118671529717499</v>
      </c>
      <c r="T4506" s="4" t="str">
        <f t="shared" si="3"/>
        <v/>
      </c>
      <c r="U4506" s="4">
        <f t="shared" si="4"/>
        <v>3774</v>
      </c>
    </row>
    <row r="4507" ht="15.75" customHeight="1">
      <c r="A4507" s="4" t="s">
        <v>5369</v>
      </c>
      <c r="B4507" s="4" t="s">
        <v>13</v>
      </c>
      <c r="I4507" s="4">
        <v>0.188</v>
      </c>
      <c r="J4507" s="4">
        <v>0.009</v>
      </c>
      <c r="K4507" s="6" t="b">
        <f t="shared" ref="K4507:M4507" si="4303">FALSE()</f>
        <v>0</v>
      </c>
      <c r="L4507" s="6" t="b">
        <f t="shared" si="4303"/>
        <v>0</v>
      </c>
      <c r="M4507" s="6" t="b">
        <f t="shared" si="4303"/>
        <v>0</v>
      </c>
      <c r="P4507" s="4">
        <v>0.172271220940453</v>
      </c>
      <c r="T4507" s="4" t="str">
        <f t="shared" si="3"/>
        <v/>
      </c>
      <c r="U4507" s="4">
        <f t="shared" si="4"/>
        <v>2779</v>
      </c>
    </row>
    <row r="4508" ht="15.75" customHeight="1">
      <c r="A4508" s="4" t="s">
        <v>5370</v>
      </c>
      <c r="B4508" s="4" t="s">
        <v>13</v>
      </c>
      <c r="I4508" s="4">
        <v>0.107</v>
      </c>
      <c r="J4508" s="4">
        <v>0.004</v>
      </c>
      <c r="K4508" s="6" t="b">
        <f t="shared" ref="K4508:M4508" si="4304">FALSE()</f>
        <v>0</v>
      </c>
      <c r="L4508" s="6" t="b">
        <f t="shared" si="4304"/>
        <v>0</v>
      </c>
      <c r="M4508" s="6" t="b">
        <f t="shared" si="4304"/>
        <v>0</v>
      </c>
      <c r="P4508" s="4">
        <v>0.1016536537265</v>
      </c>
      <c r="T4508" s="4" t="str">
        <f t="shared" si="3"/>
        <v/>
      </c>
      <c r="U4508" s="4">
        <f t="shared" si="4"/>
        <v>4109</v>
      </c>
    </row>
    <row r="4509" ht="15.75" customHeight="1">
      <c r="A4509" s="4" t="s">
        <v>5371</v>
      </c>
      <c r="B4509" s="4" t="s">
        <v>13</v>
      </c>
      <c r="I4509" s="4">
        <v>0.1035</v>
      </c>
      <c r="J4509" s="4">
        <v>0.008</v>
      </c>
      <c r="K4509" s="6" t="b">
        <f t="shared" ref="K4509:M4509" si="4305">FALSE()</f>
        <v>0</v>
      </c>
      <c r="L4509" s="6" t="b">
        <f t="shared" si="4305"/>
        <v>0</v>
      </c>
      <c r="M4509" s="6" t="b">
        <f t="shared" si="4305"/>
        <v>0</v>
      </c>
      <c r="P4509" s="4">
        <v>0.098486946714654</v>
      </c>
      <c r="T4509" s="4" t="str">
        <f t="shared" si="3"/>
        <v/>
      </c>
      <c r="U4509" s="4">
        <f t="shared" si="4"/>
        <v>4164</v>
      </c>
    </row>
    <row r="4510" ht="15.75" customHeight="1">
      <c r="A4510" s="4" t="s">
        <v>5372</v>
      </c>
      <c r="B4510" s="4" t="s">
        <v>13</v>
      </c>
      <c r="I4510" s="4">
        <v>0.131</v>
      </c>
      <c r="J4510" s="4">
        <v>0.01</v>
      </c>
      <c r="K4510" s="6" t="b">
        <f t="shared" ref="K4510:M4510" si="4306">FALSE()</f>
        <v>0</v>
      </c>
      <c r="L4510" s="6" t="b">
        <f t="shared" si="4306"/>
        <v>0</v>
      </c>
      <c r="M4510" s="6" t="b">
        <f t="shared" si="4306"/>
        <v>0</v>
      </c>
      <c r="P4510" s="4">
        <v>0.123102197133983</v>
      </c>
      <c r="T4510" s="4" t="str">
        <f t="shared" si="3"/>
        <v/>
      </c>
      <c r="U4510" s="4">
        <f t="shared" si="4"/>
        <v>3681</v>
      </c>
    </row>
    <row r="4511" ht="15.75" customHeight="1">
      <c r="A4511" s="4" t="s">
        <v>5373</v>
      </c>
      <c r="B4511" s="4" t="s">
        <v>13</v>
      </c>
      <c r="I4511" s="4">
        <v>0.117</v>
      </c>
      <c r="J4511" s="4">
        <v>0.015</v>
      </c>
      <c r="K4511" s="6" t="b">
        <f t="shared" ref="K4511:M4511" si="4307">FALSE()</f>
        <v>0</v>
      </c>
      <c r="L4511" s="6" t="b">
        <f t="shared" si="4307"/>
        <v>0</v>
      </c>
      <c r="M4511" s="6" t="b">
        <f t="shared" si="4307"/>
        <v>0</v>
      </c>
      <c r="P4511" s="4">
        <v>0.110646520087064</v>
      </c>
      <c r="T4511" s="4" t="str">
        <f t="shared" si="3"/>
        <v/>
      </c>
      <c r="U4511" s="4">
        <f t="shared" si="4"/>
        <v>3939</v>
      </c>
    </row>
    <row r="4512" ht="15.75" customHeight="1">
      <c r="A4512" s="4" t="s">
        <v>5374</v>
      </c>
      <c r="B4512" s="4" t="s">
        <v>13</v>
      </c>
      <c r="I4512" s="4">
        <v>0.106</v>
      </c>
      <c r="J4512" s="4">
        <v>0.013</v>
      </c>
      <c r="K4512" s="6" t="b">
        <f t="shared" ref="K4512:M4512" si="4308">FALSE()</f>
        <v>0</v>
      </c>
      <c r="L4512" s="6" t="b">
        <f t="shared" si="4308"/>
        <v>0</v>
      </c>
      <c r="M4512" s="6" t="b">
        <f t="shared" si="4308"/>
        <v>0</v>
      </c>
      <c r="P4512" s="4">
        <v>0.100749903100143</v>
      </c>
      <c r="T4512" s="4" t="str">
        <f t="shared" si="3"/>
        <v/>
      </c>
      <c r="U4512" s="4">
        <f t="shared" si="4"/>
        <v>4127</v>
      </c>
    </row>
    <row r="4513" ht="15.75" customHeight="1">
      <c r="A4513" s="4" t="s">
        <v>5375</v>
      </c>
      <c r="B4513" s="4" t="s">
        <v>13</v>
      </c>
      <c r="I4513" s="4">
        <v>0.256</v>
      </c>
      <c r="J4513" s="4">
        <v>0.027</v>
      </c>
      <c r="K4513" s="6" t="b">
        <f t="shared" ref="K4513:M4513" si="4309">FALSE()</f>
        <v>0</v>
      </c>
      <c r="L4513" s="6" t="b">
        <f t="shared" si="4309"/>
        <v>0</v>
      </c>
      <c r="M4513" s="6" t="b">
        <f t="shared" si="4309"/>
        <v>0</v>
      </c>
      <c r="P4513" s="4">
        <v>0.227932068046007</v>
      </c>
      <c r="T4513" s="4" t="str">
        <f t="shared" si="3"/>
        <v/>
      </c>
      <c r="U4513" s="4">
        <f t="shared" si="4"/>
        <v>1735</v>
      </c>
    </row>
    <row r="4514" ht="15.75" customHeight="1">
      <c r="A4514" s="4" t="s">
        <v>5376</v>
      </c>
      <c r="B4514" s="4" t="s">
        <v>13</v>
      </c>
      <c r="I4514" s="4">
        <v>0.237</v>
      </c>
      <c r="J4514" s="4">
        <v>0.026</v>
      </c>
      <c r="K4514" s="6" t="b">
        <f t="shared" ref="K4514:M4514" si="4310">FALSE()</f>
        <v>0</v>
      </c>
      <c r="L4514" s="6" t="b">
        <f t="shared" si="4310"/>
        <v>0</v>
      </c>
      <c r="M4514" s="6" t="b">
        <f t="shared" si="4310"/>
        <v>0</v>
      </c>
      <c r="P4514" s="4">
        <v>0.212689093410351</v>
      </c>
      <c r="T4514" s="4" t="str">
        <f t="shared" si="3"/>
        <v/>
      </c>
      <c r="U4514" s="4">
        <f t="shared" si="4"/>
        <v>1998</v>
      </c>
    </row>
    <row r="4515" ht="15.75" customHeight="1">
      <c r="A4515" s="4" t="s">
        <v>5377</v>
      </c>
      <c r="B4515" s="4" t="s">
        <v>13</v>
      </c>
      <c r="I4515" s="4">
        <v>0.257</v>
      </c>
      <c r="J4515" s="4">
        <v>0.046</v>
      </c>
      <c r="K4515" s="6" t="b">
        <f t="shared" ref="K4515:M4515" si="4311">FALSE()</f>
        <v>0</v>
      </c>
      <c r="L4515" s="6" t="b">
        <f t="shared" si="4311"/>
        <v>0</v>
      </c>
      <c r="M4515" s="6" t="b">
        <f t="shared" si="4311"/>
        <v>0</v>
      </c>
      <c r="P4515" s="4">
        <v>0.22872792960811</v>
      </c>
      <c r="T4515" s="4" t="str">
        <f t="shared" si="3"/>
        <v/>
      </c>
      <c r="U4515" s="4">
        <f t="shared" si="4"/>
        <v>1715</v>
      </c>
    </row>
    <row r="4516" ht="15.75" customHeight="1">
      <c r="A4516" s="4" t="s">
        <v>5378</v>
      </c>
      <c r="B4516" s="4" t="s">
        <v>13</v>
      </c>
      <c r="I4516" s="4">
        <v>0.723</v>
      </c>
      <c r="J4516" s="4">
        <v>0.071</v>
      </c>
      <c r="K4516" s="6" t="b">
        <f t="shared" ref="K4516:M4516" si="4312">FALSE()</f>
        <v>0</v>
      </c>
      <c r="L4516" s="6" t="b">
        <f t="shared" si="4312"/>
        <v>0</v>
      </c>
      <c r="M4516" s="6" t="b">
        <f t="shared" si="4312"/>
        <v>0</v>
      </c>
      <c r="P4516" s="4">
        <v>0.544066957545793</v>
      </c>
      <c r="T4516" s="4" t="str">
        <f t="shared" si="3"/>
        <v/>
      </c>
      <c r="U4516" s="4">
        <f t="shared" si="4"/>
        <v>888</v>
      </c>
    </row>
    <row r="4517" ht="15.75" customHeight="1">
      <c r="A4517" s="4" t="s">
        <v>5379</v>
      </c>
      <c r="B4517" s="4" t="s">
        <v>13</v>
      </c>
      <c r="I4517" s="4">
        <v>1.008</v>
      </c>
      <c r="J4517" s="4">
        <v>0.089</v>
      </c>
      <c r="K4517" s="6" t="b">
        <f t="shared" ref="K4517:L4517" si="4313">FALSE()</f>
        <v>0</v>
      </c>
      <c r="L4517" s="6" t="b">
        <f t="shared" si="4313"/>
        <v>0</v>
      </c>
      <c r="M4517" s="6" t="b">
        <f>TRUE()</f>
        <v>1</v>
      </c>
      <c r="P4517" s="4">
        <v>0.697139201829483</v>
      </c>
      <c r="T4517" s="4" t="str">
        <f t="shared" si="3"/>
        <v/>
      </c>
      <c r="U4517" s="4">
        <f t="shared" si="4"/>
        <v>656</v>
      </c>
    </row>
    <row r="4518" ht="15.75" customHeight="1">
      <c r="A4518" s="4" t="s">
        <v>5380</v>
      </c>
      <c r="B4518" s="4" t="s">
        <v>13</v>
      </c>
      <c r="I4518" s="4">
        <v>0.118</v>
      </c>
      <c r="J4518" s="4">
        <v>0.019</v>
      </c>
      <c r="K4518" s="6" t="b">
        <f t="shared" ref="K4518:M4518" si="4314">FALSE()</f>
        <v>0</v>
      </c>
      <c r="L4518" s="6" t="b">
        <f t="shared" si="4314"/>
        <v>0</v>
      </c>
      <c r="M4518" s="6" t="b">
        <f t="shared" si="4314"/>
        <v>0</v>
      </c>
      <c r="P4518" s="4">
        <v>0.111541374732907</v>
      </c>
      <c r="T4518" s="4" t="str">
        <f t="shared" si="3"/>
        <v/>
      </c>
      <c r="U4518" s="4">
        <f t="shared" si="4"/>
        <v>3920</v>
      </c>
    </row>
    <row r="4519" ht="15.75" customHeight="1">
      <c r="A4519" s="4" t="s">
        <v>5381</v>
      </c>
      <c r="B4519" s="4" t="s">
        <v>13</v>
      </c>
      <c r="I4519" s="4">
        <v>0.073</v>
      </c>
      <c r="J4519" s="4">
        <v>0.003</v>
      </c>
      <c r="K4519" s="6" t="b">
        <f t="shared" ref="K4519:M4519" si="4315">FALSE()</f>
        <v>0</v>
      </c>
      <c r="L4519" s="6" t="b">
        <f t="shared" si="4315"/>
        <v>0</v>
      </c>
      <c r="M4519" s="6" t="b">
        <f t="shared" si="4315"/>
        <v>0</v>
      </c>
      <c r="P4519" s="4">
        <v>0.0704584636485614</v>
      </c>
      <c r="T4519" s="4" t="str">
        <f t="shared" si="3"/>
        <v/>
      </c>
      <c r="U4519" s="4">
        <f t="shared" si="4"/>
        <v>4470</v>
      </c>
    </row>
    <row r="4520" ht="15.75" customHeight="1">
      <c r="A4520" s="4" t="s">
        <v>5382</v>
      </c>
      <c r="B4520" s="4" t="s">
        <v>13</v>
      </c>
      <c r="I4520" s="4">
        <v>0.232</v>
      </c>
      <c r="J4520" s="4">
        <v>0.009</v>
      </c>
      <c r="K4520" s="6" t="b">
        <f t="shared" ref="K4520:M4520" si="4316">FALSE()</f>
        <v>0</v>
      </c>
      <c r="L4520" s="6" t="b">
        <f t="shared" si="4316"/>
        <v>0</v>
      </c>
      <c r="M4520" s="6" t="b">
        <f t="shared" si="4316"/>
        <v>0</v>
      </c>
      <c r="P4520" s="4">
        <v>0.208638865111328</v>
      </c>
      <c r="T4520" s="4" t="str">
        <f t="shared" si="3"/>
        <v/>
      </c>
      <c r="U4520" s="4">
        <f t="shared" si="4"/>
        <v>2085</v>
      </c>
    </row>
    <row r="4521" ht="15.75" customHeight="1">
      <c r="A4521" s="4" t="s">
        <v>5383</v>
      </c>
      <c r="B4521" s="4" t="s">
        <v>13</v>
      </c>
      <c r="I4521" s="4">
        <v>0.25</v>
      </c>
      <c r="J4521" s="4">
        <v>0.045</v>
      </c>
      <c r="K4521" s="6" t="b">
        <f t="shared" ref="K4521:M4521" si="4317">FALSE()</f>
        <v>0</v>
      </c>
      <c r="L4521" s="6" t="b">
        <f t="shared" si="4317"/>
        <v>0</v>
      </c>
      <c r="M4521" s="6" t="b">
        <f t="shared" si="4317"/>
        <v>0</v>
      </c>
      <c r="P4521" s="4">
        <v>0.22314355131421</v>
      </c>
      <c r="T4521" s="4" t="str">
        <f t="shared" si="3"/>
        <v/>
      </c>
      <c r="U4521" s="4">
        <f t="shared" si="4"/>
        <v>1813</v>
      </c>
    </row>
    <row r="4522" ht="15.75" customHeight="1">
      <c r="A4522" s="4" t="s">
        <v>5384</v>
      </c>
      <c r="B4522" s="4" t="s">
        <v>13</v>
      </c>
      <c r="I4522" s="4">
        <v>0.184</v>
      </c>
      <c r="J4522" s="4">
        <v>0.005</v>
      </c>
      <c r="K4522" s="6" t="b">
        <f t="shared" ref="K4522:M4522" si="4318">FALSE()</f>
        <v>0</v>
      </c>
      <c r="L4522" s="6" t="b">
        <f t="shared" si="4318"/>
        <v>0</v>
      </c>
      <c r="M4522" s="6" t="b">
        <f t="shared" si="4318"/>
        <v>0</v>
      </c>
      <c r="P4522" s="4">
        <v>0.168898536461814</v>
      </c>
      <c r="T4522" s="4" t="str">
        <f t="shared" si="3"/>
        <v/>
      </c>
      <c r="U4522" s="4">
        <f t="shared" si="4"/>
        <v>2840</v>
      </c>
    </row>
    <row r="4523" ht="15.75" customHeight="1">
      <c r="A4523" s="4" t="s">
        <v>5385</v>
      </c>
      <c r="B4523" s="4" t="s">
        <v>13</v>
      </c>
      <c r="I4523" s="4">
        <v>0.34419</v>
      </c>
      <c r="K4523" s="6" t="b">
        <f t="shared" ref="K4523:M4523" si="4319">FALSE()</f>
        <v>0</v>
      </c>
      <c r="L4523" s="6" t="b">
        <f t="shared" si="4319"/>
        <v>0</v>
      </c>
      <c r="M4523" s="6" t="b">
        <f t="shared" si="4319"/>
        <v>0</v>
      </c>
      <c r="P4523" s="4">
        <v>0.295791601156915</v>
      </c>
      <c r="T4523" s="4" t="str">
        <f t="shared" si="3"/>
        <v/>
      </c>
      <c r="U4523" s="4">
        <f t="shared" si="4"/>
        <v>1226</v>
      </c>
    </row>
    <row r="4524" ht="15.75" customHeight="1">
      <c r="A4524" s="4" t="s">
        <v>5386</v>
      </c>
      <c r="B4524" s="4" t="s">
        <v>13</v>
      </c>
      <c r="I4524" s="4">
        <v>0.123</v>
      </c>
      <c r="J4524" s="4">
        <v>0.011</v>
      </c>
      <c r="K4524" s="6" t="b">
        <f t="shared" ref="K4524:M4524" si="4320">FALSE()</f>
        <v>0</v>
      </c>
      <c r="L4524" s="6" t="b">
        <f t="shared" si="4320"/>
        <v>0</v>
      </c>
      <c r="M4524" s="6" t="b">
        <f t="shared" si="4320"/>
        <v>0</v>
      </c>
      <c r="P4524" s="4">
        <v>0.116003675756306</v>
      </c>
      <c r="T4524" s="4" t="str">
        <f t="shared" si="3"/>
        <v/>
      </c>
      <c r="U4524" s="4">
        <f t="shared" si="4"/>
        <v>3818</v>
      </c>
    </row>
    <row r="4525" ht="15.75" customHeight="1">
      <c r="A4525" s="4" t="s">
        <v>5387</v>
      </c>
      <c r="B4525" s="4" t="s">
        <v>13</v>
      </c>
      <c r="I4525" s="4">
        <v>0.134</v>
      </c>
      <c r="J4525" s="4">
        <v>0.017</v>
      </c>
      <c r="K4525" s="6" t="b">
        <f t="shared" ref="K4525:M4525" si="4321">FALSE()</f>
        <v>0</v>
      </c>
      <c r="L4525" s="6" t="b">
        <f t="shared" si="4321"/>
        <v>0</v>
      </c>
      <c r="M4525" s="6" t="b">
        <f t="shared" si="4321"/>
        <v>0</v>
      </c>
      <c r="P4525" s="4">
        <v>0.12575120530556</v>
      </c>
      <c r="T4525" s="4" t="str">
        <f t="shared" si="3"/>
        <v/>
      </c>
      <c r="U4525" s="4">
        <f t="shared" si="4"/>
        <v>3638</v>
      </c>
    </row>
    <row r="4526" ht="15.75" customHeight="1">
      <c r="A4526" s="4" t="s">
        <v>5388</v>
      </c>
      <c r="B4526" s="4" t="s">
        <v>13</v>
      </c>
      <c r="I4526" s="4">
        <v>0.157</v>
      </c>
      <c r="J4526" s="4">
        <v>0.012</v>
      </c>
      <c r="K4526" s="6" t="b">
        <f t="shared" ref="K4526:M4526" si="4322">FALSE()</f>
        <v>0</v>
      </c>
      <c r="L4526" s="6" t="b">
        <f t="shared" si="4322"/>
        <v>0</v>
      </c>
      <c r="M4526" s="6" t="b">
        <f t="shared" si="4322"/>
        <v>0</v>
      </c>
      <c r="P4526" s="4">
        <v>0.14583044821154</v>
      </c>
      <c r="T4526" s="4" t="str">
        <f t="shared" si="3"/>
        <v/>
      </c>
      <c r="U4526" s="4">
        <f t="shared" si="4"/>
        <v>3218</v>
      </c>
    </row>
    <row r="4527" ht="15.75" customHeight="1">
      <c r="A4527" s="4" t="s">
        <v>5389</v>
      </c>
      <c r="B4527" s="4" t="s">
        <v>13</v>
      </c>
      <c r="I4527" s="4">
        <v>0.17</v>
      </c>
      <c r="J4527" s="4">
        <v>0.015</v>
      </c>
      <c r="K4527" s="6" t="b">
        <f t="shared" ref="K4527:M4527" si="4323">FALSE()</f>
        <v>0</v>
      </c>
      <c r="L4527" s="6" t="b">
        <f t="shared" si="4323"/>
        <v>0</v>
      </c>
      <c r="M4527" s="6" t="b">
        <f t="shared" si="4323"/>
        <v>0</v>
      </c>
      <c r="P4527" s="4">
        <v>0.157003748809665</v>
      </c>
      <c r="T4527" s="4" t="str">
        <f t="shared" si="3"/>
        <v/>
      </c>
      <c r="U4527" s="4">
        <f t="shared" si="4"/>
        <v>3057</v>
      </c>
    </row>
    <row r="4528" ht="15.75" customHeight="1">
      <c r="A4528" s="4" t="s">
        <v>5390</v>
      </c>
      <c r="B4528" s="4" t="s">
        <v>13</v>
      </c>
      <c r="I4528" s="4">
        <v>0.155</v>
      </c>
      <c r="J4528" s="4">
        <v>0.019</v>
      </c>
      <c r="K4528" s="6" t="b">
        <f t="shared" ref="K4528:M4528" si="4324">FALSE()</f>
        <v>0</v>
      </c>
      <c r="L4528" s="6" t="b">
        <f t="shared" si="4324"/>
        <v>0</v>
      </c>
      <c r="M4528" s="6" t="b">
        <f t="shared" si="4324"/>
        <v>0</v>
      </c>
      <c r="P4528" s="4">
        <v>0.144100343973757</v>
      </c>
      <c r="T4528" s="4" t="str">
        <f t="shared" si="3"/>
        <v/>
      </c>
      <c r="U4528" s="4">
        <f t="shared" si="4"/>
        <v>3245</v>
      </c>
    </row>
    <row r="4529" ht="15.75" customHeight="1">
      <c r="A4529" s="4" t="s">
        <v>5391</v>
      </c>
      <c r="B4529" s="4" t="s">
        <v>13</v>
      </c>
      <c r="I4529" s="4">
        <v>0.201</v>
      </c>
      <c r="J4529" s="4">
        <v>0.026</v>
      </c>
      <c r="K4529" s="6" t="b">
        <f t="shared" ref="K4529:M4529" si="4325">FALSE()</f>
        <v>0</v>
      </c>
      <c r="L4529" s="6" t="b">
        <f t="shared" si="4325"/>
        <v>0</v>
      </c>
      <c r="M4529" s="6" t="b">
        <f t="shared" si="4325"/>
        <v>0</v>
      </c>
      <c r="P4529" s="4">
        <v>0.183154543097847</v>
      </c>
      <c r="T4529" s="4" t="str">
        <f t="shared" si="3"/>
        <v/>
      </c>
      <c r="U4529" s="4">
        <f t="shared" si="4"/>
        <v>2575</v>
      </c>
    </row>
    <row r="4530" ht="15.75" customHeight="1">
      <c r="A4530" s="4" t="s">
        <v>1051</v>
      </c>
      <c r="B4530" s="4" t="s">
        <v>13</v>
      </c>
      <c r="C4530" s="4">
        <v>0.81</v>
      </c>
      <c r="D4530" s="4">
        <v>0.17</v>
      </c>
      <c r="E4530" s="4">
        <v>0.18</v>
      </c>
      <c r="I4530" s="4">
        <v>1.367</v>
      </c>
      <c r="J4530" s="4">
        <v>0.06</v>
      </c>
      <c r="K4530" s="6" t="b">
        <f t="shared" ref="K4530:L4530" si="4326">FALSE()</f>
        <v>0</v>
      </c>
      <c r="L4530" s="6" t="b">
        <f t="shared" si="4326"/>
        <v>0</v>
      </c>
      <c r="M4530" s="6" t="b">
        <f>TRUE()</f>
        <v>1</v>
      </c>
      <c r="N4530" s="4">
        <v>0.593326845277734</v>
      </c>
      <c r="P4530" s="4">
        <v>0.861623330531847</v>
      </c>
      <c r="T4530" s="4">
        <f t="shared" si="3"/>
        <v>761</v>
      </c>
      <c r="U4530" s="4">
        <f t="shared" si="4"/>
        <v>200</v>
      </c>
    </row>
    <row r="4531" ht="15.75" customHeight="1">
      <c r="A4531" s="4" t="s">
        <v>5392</v>
      </c>
      <c r="B4531" s="4" t="s">
        <v>13</v>
      </c>
      <c r="I4531" s="4">
        <v>0.216</v>
      </c>
      <c r="J4531" s="4">
        <v>0.014</v>
      </c>
      <c r="K4531" s="6" t="b">
        <f t="shared" ref="K4531:M4531" si="4327">FALSE()</f>
        <v>0</v>
      </c>
      <c r="L4531" s="6" t="b">
        <f t="shared" si="4327"/>
        <v>0</v>
      </c>
      <c r="M4531" s="6" t="b">
        <f t="shared" si="4327"/>
        <v>0</v>
      </c>
      <c r="P4531" s="4">
        <v>0.195566783543975</v>
      </c>
      <c r="T4531" s="4" t="str">
        <f t="shared" si="3"/>
        <v/>
      </c>
      <c r="U4531" s="4">
        <f t="shared" si="4"/>
        <v>2319</v>
      </c>
    </row>
    <row r="4532" ht="15.75" customHeight="1">
      <c r="A4532" s="4" t="s">
        <v>5393</v>
      </c>
      <c r="B4532" s="4" t="s">
        <v>13</v>
      </c>
      <c r="I4532" s="4">
        <v>0.339</v>
      </c>
      <c r="J4532" s="4">
        <v>0.025</v>
      </c>
      <c r="K4532" s="6" t="b">
        <f t="shared" ref="K4532:M4532" si="4328">FALSE()</f>
        <v>0</v>
      </c>
      <c r="L4532" s="6" t="b">
        <f t="shared" si="4328"/>
        <v>0</v>
      </c>
      <c r="M4532" s="6" t="b">
        <f t="shared" si="4328"/>
        <v>0</v>
      </c>
      <c r="P4532" s="4">
        <v>0.291923066709035</v>
      </c>
      <c r="T4532" s="4" t="str">
        <f t="shared" si="3"/>
        <v/>
      </c>
      <c r="U4532" s="4">
        <f t="shared" si="4"/>
        <v>1237</v>
      </c>
    </row>
    <row r="4533" ht="15.75" customHeight="1">
      <c r="A4533" s="4" t="s">
        <v>5394</v>
      </c>
      <c r="B4533" s="4" t="s">
        <v>13</v>
      </c>
      <c r="I4533" s="4">
        <v>0.256</v>
      </c>
      <c r="J4533" s="4">
        <v>0.065</v>
      </c>
      <c r="K4533" s="6" t="b">
        <f t="shared" ref="K4533:M4533" si="4329">FALSE()</f>
        <v>0</v>
      </c>
      <c r="L4533" s="6" t="b">
        <f t="shared" si="4329"/>
        <v>0</v>
      </c>
      <c r="M4533" s="6" t="b">
        <f t="shared" si="4329"/>
        <v>0</v>
      </c>
      <c r="P4533" s="4">
        <v>0.227932068046007</v>
      </c>
      <c r="T4533" s="4" t="str">
        <f t="shared" si="3"/>
        <v/>
      </c>
      <c r="U4533" s="4">
        <f t="shared" si="4"/>
        <v>1736</v>
      </c>
    </row>
    <row r="4534" ht="15.75" customHeight="1">
      <c r="A4534" s="4" t="s">
        <v>5395</v>
      </c>
      <c r="B4534" s="4" t="s">
        <v>13</v>
      </c>
      <c r="I4534" s="4">
        <v>0.127</v>
      </c>
      <c r="J4534" s="4">
        <v>0.01</v>
      </c>
      <c r="K4534" s="6" t="b">
        <f t="shared" ref="K4534:M4534" si="4330">FALSE()</f>
        <v>0</v>
      </c>
      <c r="L4534" s="6" t="b">
        <f t="shared" si="4330"/>
        <v>0</v>
      </c>
      <c r="M4534" s="6" t="b">
        <f t="shared" si="4330"/>
        <v>0</v>
      </c>
      <c r="P4534" s="4">
        <v>0.119559235057639</v>
      </c>
      <c r="T4534" s="4" t="str">
        <f t="shared" si="3"/>
        <v/>
      </c>
      <c r="U4534" s="4">
        <f t="shared" si="4"/>
        <v>3752</v>
      </c>
    </row>
    <row r="4535" ht="15.75" customHeight="1">
      <c r="A4535" s="4" t="s">
        <v>5396</v>
      </c>
      <c r="B4535" s="4" t="s">
        <v>13</v>
      </c>
      <c r="I4535" s="4">
        <v>0.123</v>
      </c>
      <c r="J4535" s="4">
        <v>0.017</v>
      </c>
      <c r="K4535" s="6" t="b">
        <f t="shared" ref="K4535:M4535" si="4331">FALSE()</f>
        <v>0</v>
      </c>
      <c r="L4535" s="6" t="b">
        <f t="shared" si="4331"/>
        <v>0</v>
      </c>
      <c r="M4535" s="6" t="b">
        <f t="shared" si="4331"/>
        <v>0</v>
      </c>
      <c r="P4535" s="4">
        <v>0.116003675756306</v>
      </c>
      <c r="T4535" s="4" t="str">
        <f t="shared" si="3"/>
        <v/>
      </c>
      <c r="U4535" s="4">
        <f t="shared" si="4"/>
        <v>3819</v>
      </c>
    </row>
    <row r="4536" ht="15.75" customHeight="1">
      <c r="A4536" s="4" t="s">
        <v>5397</v>
      </c>
      <c r="B4536" s="4" t="s">
        <v>13</v>
      </c>
      <c r="I4536" s="4">
        <v>0.274</v>
      </c>
      <c r="J4536" s="4">
        <v>0.054</v>
      </c>
      <c r="K4536" s="6" t="b">
        <f t="shared" ref="K4536:M4536" si="4332">FALSE()</f>
        <v>0</v>
      </c>
      <c r="L4536" s="6" t="b">
        <f t="shared" si="4332"/>
        <v>0</v>
      </c>
      <c r="M4536" s="6" t="b">
        <f t="shared" si="4332"/>
        <v>0</v>
      </c>
      <c r="P4536" s="4">
        <v>0.242161557149972</v>
      </c>
      <c r="T4536" s="4" t="str">
        <f t="shared" si="3"/>
        <v/>
      </c>
      <c r="U4536" s="4">
        <f t="shared" si="4"/>
        <v>1558</v>
      </c>
    </row>
    <row r="4537" ht="15.75" customHeight="1">
      <c r="A4537" s="4" t="s">
        <v>5398</v>
      </c>
      <c r="B4537" s="4" t="s">
        <v>13</v>
      </c>
      <c r="I4537" s="4">
        <v>0.209</v>
      </c>
      <c r="J4537" s="4">
        <v>0.019</v>
      </c>
      <c r="K4537" s="6" t="b">
        <f t="shared" ref="K4537:M4537" si="4333">FALSE()</f>
        <v>0</v>
      </c>
      <c r="L4537" s="6" t="b">
        <f t="shared" si="4333"/>
        <v>0</v>
      </c>
      <c r="M4537" s="6" t="b">
        <f t="shared" si="4333"/>
        <v>0</v>
      </c>
      <c r="P4537" s="4">
        <v>0.189793571632656</v>
      </c>
      <c r="T4537" s="4" t="str">
        <f t="shared" si="3"/>
        <v/>
      </c>
      <c r="U4537" s="4">
        <f t="shared" si="4"/>
        <v>2440</v>
      </c>
    </row>
    <row r="4538" ht="15.75" customHeight="1">
      <c r="A4538" s="4" t="s">
        <v>5399</v>
      </c>
      <c r="B4538" s="4" t="s">
        <v>13</v>
      </c>
      <c r="I4538" s="4">
        <v>0.206</v>
      </c>
      <c r="J4538" s="4">
        <v>0.021</v>
      </c>
      <c r="K4538" s="6" t="b">
        <f t="shared" ref="K4538:M4538" si="4334">FALSE()</f>
        <v>0</v>
      </c>
      <c r="L4538" s="6" t="b">
        <f t="shared" si="4334"/>
        <v>0</v>
      </c>
      <c r="M4538" s="6" t="b">
        <f t="shared" si="4334"/>
        <v>0</v>
      </c>
      <c r="P4538" s="4">
        <v>0.187309098304994</v>
      </c>
      <c r="T4538" s="4" t="str">
        <f t="shared" si="3"/>
        <v/>
      </c>
      <c r="U4538" s="4">
        <f t="shared" si="4"/>
        <v>2484</v>
      </c>
    </row>
    <row r="4539" ht="15.75" customHeight="1">
      <c r="A4539" s="4" t="s">
        <v>5400</v>
      </c>
      <c r="B4539" s="4" t="s">
        <v>13</v>
      </c>
      <c r="I4539" s="4">
        <v>0.153</v>
      </c>
      <c r="J4539" s="4">
        <v>0.013</v>
      </c>
      <c r="K4539" s="6" t="b">
        <f t="shared" ref="K4539:M4539" si="4335">FALSE()</f>
        <v>0</v>
      </c>
      <c r="L4539" s="6" t="b">
        <f t="shared" si="4335"/>
        <v>0</v>
      </c>
      <c r="M4539" s="6" t="b">
        <f t="shared" si="4335"/>
        <v>0</v>
      </c>
      <c r="P4539" s="4">
        <v>0.142367241286922</v>
      </c>
      <c r="T4539" s="4" t="str">
        <f t="shared" si="3"/>
        <v/>
      </c>
      <c r="U4539" s="4">
        <f t="shared" si="4"/>
        <v>3285</v>
      </c>
    </row>
    <row r="4540" ht="15.75" customHeight="1">
      <c r="A4540" s="4" t="s">
        <v>5401</v>
      </c>
      <c r="B4540" s="4" t="s">
        <v>13</v>
      </c>
      <c r="I4540" s="4">
        <v>0.1472</v>
      </c>
      <c r="J4540" s="4">
        <v>0.0143</v>
      </c>
      <c r="K4540" s="6" t="b">
        <f t="shared" ref="K4540:M4540" si="4336">FALSE()</f>
        <v>0</v>
      </c>
      <c r="L4540" s="6" t="b">
        <f t="shared" si="4336"/>
        <v>0</v>
      </c>
      <c r="M4540" s="6" t="b">
        <f t="shared" si="4336"/>
        <v>0</v>
      </c>
      <c r="P4540" s="4">
        <v>0.137324190863219</v>
      </c>
      <c r="T4540" s="4" t="str">
        <f t="shared" si="3"/>
        <v/>
      </c>
      <c r="U4540" s="4">
        <f t="shared" si="4"/>
        <v>3373</v>
      </c>
    </row>
    <row r="4541" ht="15.75" customHeight="1">
      <c r="A4541" s="4" t="s">
        <v>5402</v>
      </c>
      <c r="B4541" s="4" t="s">
        <v>13</v>
      </c>
      <c r="I4541" s="4">
        <v>0.099</v>
      </c>
      <c r="J4541" s="4">
        <v>0.013</v>
      </c>
      <c r="K4541" s="6" t="b">
        <f t="shared" ref="K4541:M4541" si="4337">FALSE()</f>
        <v>0</v>
      </c>
      <c r="L4541" s="6" t="b">
        <f t="shared" si="4337"/>
        <v>0</v>
      </c>
      <c r="M4541" s="6" t="b">
        <f t="shared" si="4337"/>
        <v>0</v>
      </c>
      <c r="P4541" s="4">
        <v>0.0944006754214843</v>
      </c>
      <c r="T4541" s="4" t="str">
        <f t="shared" si="3"/>
        <v/>
      </c>
      <c r="U4541" s="4">
        <f t="shared" si="4"/>
        <v>4238</v>
      </c>
    </row>
    <row r="4542" ht="15.75" customHeight="1">
      <c r="A4542" s="4" t="s">
        <v>1052</v>
      </c>
      <c r="B4542" s="4" t="s">
        <v>13</v>
      </c>
      <c r="C4542" s="4">
        <v>0.202</v>
      </c>
      <c r="D4542" s="4">
        <v>0.044</v>
      </c>
      <c r="E4542" s="4">
        <v>0.044</v>
      </c>
      <c r="I4542" s="4">
        <v>0.313</v>
      </c>
      <c r="J4542" s="4">
        <v>0.009</v>
      </c>
      <c r="K4542" s="6" t="b">
        <f t="shared" ref="K4542:M4542" si="4338">FALSE()</f>
        <v>0</v>
      </c>
      <c r="L4542" s="6" t="b">
        <f t="shared" si="4338"/>
        <v>0</v>
      </c>
      <c r="M4542" s="6" t="b">
        <f t="shared" si="4338"/>
        <v>0</v>
      </c>
      <c r="N4542" s="4">
        <v>0.183986836113016</v>
      </c>
      <c r="P4542" s="4">
        <v>0.272314595320659</v>
      </c>
      <c r="T4542" s="4">
        <f t="shared" si="3"/>
        <v>1150</v>
      </c>
      <c r="U4542" s="4">
        <f t="shared" si="4"/>
        <v>1331</v>
      </c>
    </row>
    <row r="4543" ht="15.75" customHeight="1">
      <c r="A4543" s="4" t="s">
        <v>1053</v>
      </c>
      <c r="B4543" s="4" t="s">
        <v>13</v>
      </c>
      <c r="C4543" s="4">
        <v>0.019</v>
      </c>
      <c r="D4543" s="4">
        <v>0.006</v>
      </c>
      <c r="E4543" s="4">
        <v>0.006</v>
      </c>
      <c r="I4543" s="4">
        <v>0.232</v>
      </c>
      <c r="J4543" s="4">
        <v>0.007</v>
      </c>
      <c r="K4543" s="6" t="b">
        <f t="shared" ref="K4543:M4543" si="4339">FALSE()</f>
        <v>0</v>
      </c>
      <c r="L4543" s="6" t="b">
        <f t="shared" si="4339"/>
        <v>0</v>
      </c>
      <c r="M4543" s="6" t="b">
        <f t="shared" si="4339"/>
        <v>0</v>
      </c>
      <c r="N4543" s="4">
        <v>0.0188217542405877</v>
      </c>
      <c r="P4543" s="4">
        <v>0.208638865111328</v>
      </c>
      <c r="T4543" s="4">
        <f t="shared" si="3"/>
        <v>1757</v>
      </c>
      <c r="U4543" s="4">
        <f t="shared" si="4"/>
        <v>2086</v>
      </c>
    </row>
    <row r="4544" ht="15.75" customHeight="1">
      <c r="A4544" s="4" t="s">
        <v>5403</v>
      </c>
      <c r="B4544" s="4" t="s">
        <v>13</v>
      </c>
      <c r="I4544" s="4">
        <v>0.184</v>
      </c>
      <c r="J4544" s="4">
        <v>0.005</v>
      </c>
      <c r="K4544" s="6" t="b">
        <f t="shared" ref="K4544:M4544" si="4340">FALSE()</f>
        <v>0</v>
      </c>
      <c r="L4544" s="6" t="b">
        <f t="shared" si="4340"/>
        <v>0</v>
      </c>
      <c r="M4544" s="6" t="b">
        <f t="shared" si="4340"/>
        <v>0</v>
      </c>
      <c r="P4544" s="4">
        <v>0.168898536461814</v>
      </c>
      <c r="T4544" s="4" t="str">
        <f t="shared" si="3"/>
        <v/>
      </c>
      <c r="U4544" s="4">
        <f t="shared" si="4"/>
        <v>2841</v>
      </c>
    </row>
    <row r="4545" ht="15.75" customHeight="1">
      <c r="A4545" s="4" t="s">
        <v>5404</v>
      </c>
      <c r="B4545" s="4" t="s">
        <v>13</v>
      </c>
      <c r="I4545" s="4">
        <v>0.19</v>
      </c>
      <c r="J4545" s="4">
        <v>0.037</v>
      </c>
      <c r="K4545" s="6" t="b">
        <f t="shared" ref="K4545:M4545" si="4341">FALSE()</f>
        <v>0</v>
      </c>
      <c r="L4545" s="6" t="b">
        <f t="shared" si="4341"/>
        <v>0</v>
      </c>
      <c r="M4545" s="6" t="b">
        <f t="shared" si="4341"/>
        <v>0</v>
      </c>
      <c r="P4545" s="4">
        <v>0.173953307123438</v>
      </c>
      <c r="T4545" s="4" t="str">
        <f t="shared" si="3"/>
        <v/>
      </c>
      <c r="U4545" s="4">
        <f t="shared" si="4"/>
        <v>2742</v>
      </c>
    </row>
    <row r="4546" ht="15.75" customHeight="1">
      <c r="A4546" s="4" t="s">
        <v>5405</v>
      </c>
      <c r="B4546" s="4" t="s">
        <v>13</v>
      </c>
      <c r="I4546" s="4">
        <v>0.119</v>
      </c>
      <c r="J4546" s="4">
        <v>0.008</v>
      </c>
      <c r="K4546" s="6" t="b">
        <f t="shared" ref="K4546:M4546" si="4342">FALSE()</f>
        <v>0</v>
      </c>
      <c r="L4546" s="6" t="b">
        <f t="shared" si="4342"/>
        <v>0</v>
      </c>
      <c r="M4546" s="6" t="b">
        <f t="shared" si="4342"/>
        <v>0</v>
      </c>
      <c r="P4546" s="4">
        <v>0.112435429329788</v>
      </c>
      <c r="T4546" s="4" t="str">
        <f t="shared" si="3"/>
        <v/>
      </c>
      <c r="U4546" s="4">
        <f t="shared" si="4"/>
        <v>3896</v>
      </c>
    </row>
    <row r="4547" ht="15.75" customHeight="1">
      <c r="A4547" s="4" t="s">
        <v>5406</v>
      </c>
      <c r="B4547" s="4" t="s">
        <v>13</v>
      </c>
      <c r="I4547" s="4">
        <v>0.122</v>
      </c>
      <c r="J4547" s="4">
        <v>0.009</v>
      </c>
      <c r="K4547" s="6" t="b">
        <f t="shared" ref="K4547:M4547" si="4343">FALSE()</f>
        <v>0</v>
      </c>
      <c r="L4547" s="6" t="b">
        <f t="shared" si="4343"/>
        <v>0</v>
      </c>
      <c r="M4547" s="6" t="b">
        <f t="shared" si="4343"/>
        <v>0</v>
      </c>
      <c r="P4547" s="4">
        <v>0.115112807100505</v>
      </c>
      <c r="T4547" s="4" t="str">
        <f t="shared" si="3"/>
        <v/>
      </c>
      <c r="U4547" s="4">
        <f t="shared" si="4"/>
        <v>3834</v>
      </c>
    </row>
    <row r="4548" ht="15.75" customHeight="1">
      <c r="A4548" s="4" t="s">
        <v>5407</v>
      </c>
      <c r="B4548" s="4" t="s">
        <v>13</v>
      </c>
      <c r="I4548" s="4">
        <v>0.219</v>
      </c>
      <c r="J4548" s="4">
        <v>0.014</v>
      </c>
      <c r="K4548" s="6" t="b">
        <f t="shared" ref="K4548:M4548" si="4344">FALSE()</f>
        <v>0</v>
      </c>
      <c r="L4548" s="6" t="b">
        <f t="shared" si="4344"/>
        <v>0</v>
      </c>
      <c r="M4548" s="6" t="b">
        <f t="shared" si="4344"/>
        <v>0</v>
      </c>
      <c r="P4548" s="4">
        <v>0.198030850499134</v>
      </c>
      <c r="T4548" s="4" t="str">
        <f t="shared" si="3"/>
        <v/>
      </c>
      <c r="U4548" s="4">
        <f t="shared" si="4"/>
        <v>2285</v>
      </c>
    </row>
    <row r="4549" ht="15.75" customHeight="1">
      <c r="A4549" s="4" t="s">
        <v>5408</v>
      </c>
      <c r="B4549" s="4" t="s">
        <v>13</v>
      </c>
      <c r="I4549" s="4">
        <v>0.186</v>
      </c>
      <c r="J4549" s="4">
        <v>0.01</v>
      </c>
      <c r="K4549" s="6" t="b">
        <f t="shared" ref="K4549:M4549" si="4345">FALSE()</f>
        <v>0</v>
      </c>
      <c r="L4549" s="6" t="b">
        <f t="shared" si="4345"/>
        <v>0</v>
      </c>
      <c r="M4549" s="6" t="b">
        <f t="shared" si="4345"/>
        <v>0</v>
      </c>
      <c r="P4549" s="4">
        <v>0.170586300575534</v>
      </c>
      <c r="T4549" s="4" t="str">
        <f t="shared" si="3"/>
        <v/>
      </c>
      <c r="U4549" s="4">
        <f t="shared" si="4"/>
        <v>2814</v>
      </c>
    </row>
    <row r="4550" ht="15.75" customHeight="1">
      <c r="A4550" s="4" t="s">
        <v>5409</v>
      </c>
      <c r="B4550" s="4" t="s">
        <v>13</v>
      </c>
      <c r="I4550" s="4">
        <v>0.12</v>
      </c>
      <c r="J4550" s="4">
        <v>0.006</v>
      </c>
      <c r="K4550" s="6" t="b">
        <f t="shared" ref="K4550:M4550" si="4346">FALSE()</f>
        <v>0</v>
      </c>
      <c r="L4550" s="6" t="b">
        <f t="shared" si="4346"/>
        <v>0</v>
      </c>
      <c r="M4550" s="6" t="b">
        <f t="shared" si="4346"/>
        <v>0</v>
      </c>
      <c r="P4550" s="4">
        <v>0.113328685307003</v>
      </c>
      <c r="T4550" s="4" t="str">
        <f t="shared" si="3"/>
        <v/>
      </c>
      <c r="U4550" s="4">
        <f t="shared" si="4"/>
        <v>3873</v>
      </c>
    </row>
    <row r="4551" ht="15.75" customHeight="1">
      <c r="A4551" s="4" t="s">
        <v>5410</v>
      </c>
      <c r="B4551" s="4" t="s">
        <v>13</v>
      </c>
      <c r="I4551" s="4">
        <v>0.129</v>
      </c>
      <c r="J4551" s="4">
        <v>0.009</v>
      </c>
      <c r="K4551" s="6" t="b">
        <f t="shared" ref="K4551:M4551" si="4347">FALSE()</f>
        <v>0</v>
      </c>
      <c r="L4551" s="6" t="b">
        <f t="shared" si="4347"/>
        <v>0</v>
      </c>
      <c r="M4551" s="6" t="b">
        <f t="shared" si="4347"/>
        <v>0</v>
      </c>
      <c r="P4551" s="4">
        <v>0.121332285167525</v>
      </c>
      <c r="T4551" s="4" t="str">
        <f t="shared" si="3"/>
        <v/>
      </c>
      <c r="U4551" s="4">
        <f t="shared" si="4"/>
        <v>3711</v>
      </c>
    </row>
    <row r="4552" ht="15.75" customHeight="1">
      <c r="A4552" s="4" t="s">
        <v>5411</v>
      </c>
      <c r="B4552" s="4" t="s">
        <v>13</v>
      </c>
      <c r="I4552" s="4">
        <v>0.332</v>
      </c>
      <c r="J4552" s="4">
        <v>0.043</v>
      </c>
      <c r="K4552" s="6" t="b">
        <f t="shared" ref="K4552:M4552" si="4348">FALSE()</f>
        <v>0</v>
      </c>
      <c r="L4552" s="6" t="b">
        <f t="shared" si="4348"/>
        <v>0</v>
      </c>
      <c r="M4552" s="6" t="b">
        <f t="shared" si="4348"/>
        <v>0</v>
      </c>
      <c r="P4552" s="4">
        <v>0.286681572118197</v>
      </c>
      <c r="T4552" s="4" t="str">
        <f t="shared" si="3"/>
        <v/>
      </c>
      <c r="U4552" s="4">
        <f t="shared" si="4"/>
        <v>1253</v>
      </c>
    </row>
    <row r="4553" ht="15.75" customHeight="1">
      <c r="A4553" s="4" t="s">
        <v>5412</v>
      </c>
      <c r="B4553" s="4" t="s">
        <v>13</v>
      </c>
      <c r="I4553" s="4">
        <v>0.238</v>
      </c>
      <c r="J4553" s="4">
        <v>0.035</v>
      </c>
      <c r="K4553" s="6" t="b">
        <f t="shared" ref="K4553:M4553" si="4349">FALSE()</f>
        <v>0</v>
      </c>
      <c r="L4553" s="6" t="b">
        <f t="shared" si="4349"/>
        <v>0</v>
      </c>
      <c r="M4553" s="6" t="b">
        <f t="shared" si="4349"/>
        <v>0</v>
      </c>
      <c r="P4553" s="4">
        <v>0.213497174262404</v>
      </c>
      <c r="T4553" s="4" t="str">
        <f t="shared" si="3"/>
        <v/>
      </c>
      <c r="U4553" s="4">
        <f t="shared" si="4"/>
        <v>1983</v>
      </c>
    </row>
    <row r="4554" ht="15.75" customHeight="1">
      <c r="A4554" s="4" t="s">
        <v>5413</v>
      </c>
      <c r="B4554" s="4" t="s">
        <v>13</v>
      </c>
      <c r="I4554" s="4">
        <v>0.198</v>
      </c>
      <c r="J4554" s="4">
        <v>0.014</v>
      </c>
      <c r="K4554" s="6" t="b">
        <f t="shared" ref="K4554:M4554" si="4350">FALSE()</f>
        <v>0</v>
      </c>
      <c r="L4554" s="6" t="b">
        <f t="shared" si="4350"/>
        <v>0</v>
      </c>
      <c r="M4554" s="6" t="b">
        <f t="shared" si="4350"/>
        <v>0</v>
      </c>
      <c r="P4554" s="4">
        <v>0.180653499693258</v>
      </c>
      <c r="T4554" s="4" t="str">
        <f t="shared" si="3"/>
        <v/>
      </c>
      <c r="U4554" s="4">
        <f t="shared" si="4"/>
        <v>2624</v>
      </c>
    </row>
    <row r="4555" ht="15.75" customHeight="1">
      <c r="A4555" s="4" t="s">
        <v>5414</v>
      </c>
      <c r="B4555" s="4" t="s">
        <v>13</v>
      </c>
      <c r="I4555" s="4">
        <v>0.156</v>
      </c>
      <c r="J4555" s="4">
        <v>0.018</v>
      </c>
      <c r="K4555" s="6" t="b">
        <f t="shared" ref="K4555:M4555" si="4351">FALSE()</f>
        <v>0</v>
      </c>
      <c r="L4555" s="6" t="b">
        <f t="shared" si="4351"/>
        <v>0</v>
      </c>
      <c r="M4555" s="6" t="b">
        <f t="shared" si="4351"/>
        <v>0</v>
      </c>
      <c r="P4555" s="4">
        <v>0.144965770250186</v>
      </c>
      <c r="T4555" s="4" t="str">
        <f t="shared" si="3"/>
        <v/>
      </c>
      <c r="U4555" s="4">
        <f t="shared" si="4"/>
        <v>3235</v>
      </c>
    </row>
    <row r="4556" ht="15.75" customHeight="1">
      <c r="A4556" s="4" t="s">
        <v>1054</v>
      </c>
      <c r="B4556" s="4" t="s">
        <v>13</v>
      </c>
      <c r="C4556" s="4">
        <v>0.0143</v>
      </c>
      <c r="D4556" s="4">
        <v>0.00267</v>
      </c>
      <c r="E4556" s="4">
        <v>0.00267</v>
      </c>
      <c r="I4556" s="4">
        <v>0.14</v>
      </c>
      <c r="J4556" s="4">
        <v>0.01</v>
      </c>
      <c r="K4556" s="6" t="b">
        <f t="shared" ref="K4556:M4556" si="4352">FALSE()</f>
        <v>0</v>
      </c>
      <c r="L4556" s="6" t="b">
        <f t="shared" si="4352"/>
        <v>0</v>
      </c>
      <c r="M4556" s="6" t="b">
        <f t="shared" si="4352"/>
        <v>0</v>
      </c>
      <c r="N4556" s="4">
        <v>0.0141987193998129</v>
      </c>
      <c r="P4556" s="4">
        <v>0.131028262406404</v>
      </c>
      <c r="T4556" s="4">
        <f t="shared" si="3"/>
        <v>1840</v>
      </c>
      <c r="U4556" s="4">
        <f t="shared" si="4"/>
        <v>3513</v>
      </c>
    </row>
    <row r="4557" ht="15.75" customHeight="1">
      <c r="A4557" s="4" t="s">
        <v>5415</v>
      </c>
      <c r="B4557" s="4" t="s">
        <v>13</v>
      </c>
      <c r="C4557" s="4">
        <v>8.5</v>
      </c>
      <c r="D4557" s="4">
        <v>0.0</v>
      </c>
      <c r="E4557" s="4">
        <v>850.0</v>
      </c>
      <c r="K4557" s="6" t="b">
        <f>TRUE()</f>
        <v>1</v>
      </c>
      <c r="L4557" s="6" t="b">
        <f t="shared" ref="L4557:M4557" si="4353">FALSE()</f>
        <v>0</v>
      </c>
      <c r="M4557" s="6" t="b">
        <f t="shared" si="4353"/>
        <v>0</v>
      </c>
      <c r="N4557" s="4">
        <v>2.2512917986065</v>
      </c>
      <c r="T4557" s="4">
        <f t="shared" si="3"/>
        <v>91</v>
      </c>
      <c r="U4557" s="4" t="str">
        <f t="shared" si="4"/>
        <v/>
      </c>
    </row>
    <row r="4558" ht="15.75" customHeight="1">
      <c r="A4558" s="4" t="s">
        <v>5416</v>
      </c>
      <c r="B4558" s="4" t="s">
        <v>13</v>
      </c>
      <c r="I4558" s="4">
        <v>0.298</v>
      </c>
      <c r="J4558" s="4">
        <v>0.028</v>
      </c>
      <c r="K4558" s="6" t="b">
        <f t="shared" ref="K4558:M4558" si="4354">FALSE()</f>
        <v>0</v>
      </c>
      <c r="L4558" s="6" t="b">
        <f t="shared" si="4354"/>
        <v>0</v>
      </c>
      <c r="M4558" s="6" t="b">
        <f t="shared" si="4354"/>
        <v>0</v>
      </c>
      <c r="P4558" s="4">
        <v>0.260824618281898</v>
      </c>
      <c r="T4558" s="4" t="str">
        <f t="shared" si="3"/>
        <v/>
      </c>
      <c r="U4558" s="4">
        <f t="shared" si="4"/>
        <v>1394</v>
      </c>
    </row>
    <row r="4559" ht="15.75" customHeight="1">
      <c r="A4559" s="4" t="s">
        <v>5417</v>
      </c>
      <c r="B4559" s="4" t="s">
        <v>13</v>
      </c>
      <c r="I4559" s="4">
        <v>0.275</v>
      </c>
      <c r="J4559" s="4">
        <v>0.054</v>
      </c>
      <c r="K4559" s="6" t="b">
        <f t="shared" ref="K4559:M4559" si="4355">FALSE()</f>
        <v>0</v>
      </c>
      <c r="L4559" s="6" t="b">
        <f t="shared" si="4355"/>
        <v>0</v>
      </c>
      <c r="M4559" s="6" t="b">
        <f t="shared" si="4355"/>
        <v>0</v>
      </c>
      <c r="P4559" s="4">
        <v>0.242946178610389</v>
      </c>
      <c r="T4559" s="4" t="str">
        <f t="shared" si="3"/>
        <v/>
      </c>
      <c r="U4559" s="4">
        <f t="shared" si="4"/>
        <v>1545</v>
      </c>
    </row>
    <row r="4560" ht="15.75" customHeight="1">
      <c r="A4560" s="4" t="s">
        <v>5418</v>
      </c>
      <c r="B4560" s="4" t="s">
        <v>13</v>
      </c>
      <c r="I4560" s="4">
        <v>0.19</v>
      </c>
      <c r="J4560" s="4">
        <v>0.007</v>
      </c>
      <c r="K4560" s="6" t="b">
        <f t="shared" ref="K4560:M4560" si="4356">FALSE()</f>
        <v>0</v>
      </c>
      <c r="L4560" s="6" t="b">
        <f t="shared" si="4356"/>
        <v>0</v>
      </c>
      <c r="M4560" s="6" t="b">
        <f t="shared" si="4356"/>
        <v>0</v>
      </c>
      <c r="P4560" s="4">
        <v>0.173953307123438</v>
      </c>
      <c r="T4560" s="4" t="str">
        <f t="shared" si="3"/>
        <v/>
      </c>
      <c r="U4560" s="4">
        <f t="shared" si="4"/>
        <v>2743</v>
      </c>
    </row>
    <row r="4561" ht="15.75" customHeight="1">
      <c r="A4561" s="4" t="s">
        <v>5419</v>
      </c>
      <c r="B4561" s="4" t="s">
        <v>13</v>
      </c>
      <c r="I4561" s="4">
        <v>0.529</v>
      </c>
      <c r="J4561" s="4">
        <v>0.047</v>
      </c>
      <c r="K4561" s="6" t="b">
        <f t="shared" ref="K4561:M4561" si="4357">FALSE()</f>
        <v>0</v>
      </c>
      <c r="L4561" s="6" t="b">
        <f t="shared" si="4357"/>
        <v>0</v>
      </c>
      <c r="M4561" s="6" t="b">
        <f t="shared" si="4357"/>
        <v>0</v>
      </c>
      <c r="P4561" s="4">
        <v>0.424613926946925</v>
      </c>
      <c r="T4561" s="4" t="str">
        <f t="shared" si="3"/>
        <v/>
      </c>
      <c r="U4561" s="4">
        <f t="shared" si="4"/>
        <v>994</v>
      </c>
    </row>
    <row r="4562" ht="15.75" customHeight="1">
      <c r="A4562" s="4" t="s">
        <v>5420</v>
      </c>
      <c r="B4562" s="4" t="s">
        <v>13</v>
      </c>
      <c r="I4562" s="4">
        <v>0.235</v>
      </c>
      <c r="J4562" s="4">
        <v>0.019</v>
      </c>
      <c r="K4562" s="6" t="b">
        <f t="shared" ref="K4562:M4562" si="4358">FALSE()</f>
        <v>0</v>
      </c>
      <c r="L4562" s="6" t="b">
        <f t="shared" si="4358"/>
        <v>0</v>
      </c>
      <c r="M4562" s="6" t="b">
        <f t="shared" si="4358"/>
        <v>0</v>
      </c>
      <c r="P4562" s="4">
        <v>0.211070970079941</v>
      </c>
      <c r="T4562" s="4" t="str">
        <f t="shared" si="3"/>
        <v/>
      </c>
      <c r="U4562" s="4">
        <f t="shared" si="4"/>
        <v>2038</v>
      </c>
    </row>
    <row r="4563" ht="15.75" customHeight="1">
      <c r="A4563" s="4" t="s">
        <v>5421</v>
      </c>
      <c r="B4563" s="4" t="s">
        <v>13</v>
      </c>
      <c r="I4563" s="4">
        <v>0.235</v>
      </c>
      <c r="J4563" s="4">
        <v>0.022</v>
      </c>
      <c r="K4563" s="6" t="b">
        <f t="shared" ref="K4563:M4563" si="4359">FALSE()</f>
        <v>0</v>
      </c>
      <c r="L4563" s="6" t="b">
        <f t="shared" si="4359"/>
        <v>0</v>
      </c>
      <c r="M4563" s="6" t="b">
        <f t="shared" si="4359"/>
        <v>0</v>
      </c>
      <c r="P4563" s="4">
        <v>0.211070970079941</v>
      </c>
      <c r="T4563" s="4" t="str">
        <f t="shared" si="3"/>
        <v/>
      </c>
      <c r="U4563" s="4">
        <f t="shared" si="4"/>
        <v>2039</v>
      </c>
    </row>
    <row r="4564" ht="15.75" customHeight="1">
      <c r="A4564" s="4" t="s">
        <v>5422</v>
      </c>
      <c r="B4564" s="4" t="s">
        <v>13</v>
      </c>
      <c r="I4564" s="4">
        <v>0.172</v>
      </c>
      <c r="J4564" s="4">
        <v>0.018</v>
      </c>
      <c r="K4564" s="6" t="b">
        <f t="shared" ref="K4564:M4564" si="4360">FALSE()</f>
        <v>0</v>
      </c>
      <c r="L4564" s="6" t="b">
        <f t="shared" si="4360"/>
        <v>0</v>
      </c>
      <c r="M4564" s="6" t="b">
        <f t="shared" si="4360"/>
        <v>0</v>
      </c>
      <c r="P4564" s="4">
        <v>0.158711691154821</v>
      </c>
      <c r="T4564" s="4" t="str">
        <f t="shared" si="3"/>
        <v/>
      </c>
      <c r="U4564" s="4">
        <f t="shared" si="4"/>
        <v>3022</v>
      </c>
    </row>
    <row r="4565" ht="15.75" customHeight="1">
      <c r="A4565" s="4" t="s">
        <v>5423</v>
      </c>
      <c r="B4565" s="4" t="s">
        <v>13</v>
      </c>
      <c r="I4565" s="4">
        <v>0.203</v>
      </c>
      <c r="J4565" s="4">
        <v>0.021</v>
      </c>
      <c r="K4565" s="6" t="b">
        <f t="shared" ref="K4565:M4565" si="4361">FALSE()</f>
        <v>0</v>
      </c>
      <c r="L4565" s="6" t="b">
        <f t="shared" si="4361"/>
        <v>0</v>
      </c>
      <c r="M4565" s="6" t="b">
        <f t="shared" si="4361"/>
        <v>0</v>
      </c>
      <c r="P4565" s="4">
        <v>0.184818436992542</v>
      </c>
      <c r="T4565" s="4" t="str">
        <f t="shared" si="3"/>
        <v/>
      </c>
      <c r="U4565" s="4">
        <f t="shared" si="4"/>
        <v>2538</v>
      </c>
    </row>
    <row r="4566" ht="15.75" customHeight="1">
      <c r="A4566" s="4" t="s">
        <v>5424</v>
      </c>
      <c r="B4566" s="4" t="s">
        <v>13</v>
      </c>
      <c r="I4566" s="4">
        <v>0.165</v>
      </c>
      <c r="J4566" s="4">
        <v>0.037</v>
      </c>
      <c r="K4566" s="6" t="b">
        <f t="shared" ref="K4566:M4566" si="4362">FALSE()</f>
        <v>0</v>
      </c>
      <c r="L4566" s="6" t="b">
        <f t="shared" si="4362"/>
        <v>0</v>
      </c>
      <c r="M4566" s="6" t="b">
        <f t="shared" si="4362"/>
        <v>0</v>
      </c>
      <c r="P4566" s="4">
        <v>0.152721087017664</v>
      </c>
      <c r="T4566" s="4" t="str">
        <f t="shared" si="3"/>
        <v/>
      </c>
      <c r="U4566" s="4">
        <f t="shared" si="4"/>
        <v>3113</v>
      </c>
    </row>
    <row r="4567" ht="15.75" customHeight="1">
      <c r="A4567" s="4" t="s">
        <v>5425</v>
      </c>
      <c r="B4567" s="4" t="s">
        <v>13</v>
      </c>
      <c r="I4567" s="4">
        <v>0.26</v>
      </c>
      <c r="J4567" s="4">
        <v>0.021</v>
      </c>
      <c r="K4567" s="6" t="b">
        <f t="shared" ref="K4567:M4567" si="4363">FALSE()</f>
        <v>0</v>
      </c>
      <c r="L4567" s="6" t="b">
        <f t="shared" si="4363"/>
        <v>0</v>
      </c>
      <c r="M4567" s="6" t="b">
        <f t="shared" si="4363"/>
        <v>0</v>
      </c>
      <c r="P4567" s="4">
        <v>0.231111720963387</v>
      </c>
      <c r="T4567" s="4" t="str">
        <f t="shared" si="3"/>
        <v/>
      </c>
      <c r="U4567" s="4">
        <f t="shared" si="4"/>
        <v>1685</v>
      </c>
    </row>
    <row r="4568" ht="15.75" customHeight="1">
      <c r="A4568" s="4" t="s">
        <v>1055</v>
      </c>
      <c r="B4568" s="4" t="s">
        <v>13</v>
      </c>
      <c r="C4568" s="4">
        <v>0.034</v>
      </c>
      <c r="D4568" s="4">
        <v>0.004</v>
      </c>
      <c r="E4568" s="4">
        <v>0.004</v>
      </c>
      <c r="I4568" s="4">
        <v>0.313</v>
      </c>
      <c r="J4568" s="4">
        <v>0.013</v>
      </c>
      <c r="K4568" s="6" t="b">
        <f t="shared" ref="K4568:M4568" si="4364">FALSE()</f>
        <v>0</v>
      </c>
      <c r="L4568" s="6" t="b">
        <f t="shared" si="4364"/>
        <v>0</v>
      </c>
      <c r="M4568" s="6" t="b">
        <f t="shared" si="4364"/>
        <v>0</v>
      </c>
      <c r="N4568" s="4">
        <v>0.0334347760862373</v>
      </c>
      <c r="P4568" s="4">
        <v>0.272314595320659</v>
      </c>
      <c r="T4568" s="4">
        <f t="shared" si="3"/>
        <v>1499</v>
      </c>
      <c r="U4568" s="4">
        <f t="shared" si="4"/>
        <v>1332</v>
      </c>
    </row>
    <row r="4569" ht="15.75" customHeight="1">
      <c r="A4569" s="4" t="s">
        <v>5426</v>
      </c>
      <c r="B4569" s="4" t="s">
        <v>13</v>
      </c>
      <c r="C4569" s="4">
        <v>9.836</v>
      </c>
      <c r="D4569" s="4">
        <v>0.629</v>
      </c>
      <c r="E4569" s="4">
        <v>0.629</v>
      </c>
      <c r="F4569" s="4">
        <v>9.836</v>
      </c>
      <c r="G4569" s="4">
        <v>0.629</v>
      </c>
      <c r="H4569" s="4">
        <v>0.629</v>
      </c>
      <c r="K4569" s="6" t="b">
        <f t="shared" ref="K4569:L4569" si="4365">TRUE()</f>
        <v>1</v>
      </c>
      <c r="L4569" s="6" t="b">
        <f t="shared" si="4365"/>
        <v>1</v>
      </c>
      <c r="M4569" s="6" t="b">
        <f>FALSE()</f>
        <v>0</v>
      </c>
      <c r="N4569" s="4">
        <v>2.38287392422285</v>
      </c>
      <c r="O4569" s="4">
        <v>2.38287392422285</v>
      </c>
      <c r="T4569" s="4">
        <f t="shared" si="3"/>
        <v>62</v>
      </c>
      <c r="U4569" s="4" t="str">
        <f t="shared" si="4"/>
        <v/>
      </c>
    </row>
    <row r="4570" ht="15.75" customHeight="1">
      <c r="A4570" s="4" t="s">
        <v>5427</v>
      </c>
      <c r="B4570" s="4" t="s">
        <v>13</v>
      </c>
      <c r="I4570" s="4">
        <v>0.801</v>
      </c>
      <c r="J4570" s="4">
        <v>0.074</v>
      </c>
      <c r="K4570" s="6" t="b">
        <f t="shared" ref="K4570:L4570" si="4366">FALSE()</f>
        <v>0</v>
      </c>
      <c r="L4570" s="6" t="b">
        <f t="shared" si="4366"/>
        <v>0</v>
      </c>
      <c r="M4570" s="6" t="b">
        <f>TRUE()</f>
        <v>1</v>
      </c>
      <c r="P4570" s="4">
        <v>0.588342066193819</v>
      </c>
      <c r="T4570" s="4" t="str">
        <f t="shared" si="3"/>
        <v/>
      </c>
      <c r="U4570" s="4">
        <f t="shared" si="4"/>
        <v>838</v>
      </c>
    </row>
    <row r="4571" ht="15.75" customHeight="1">
      <c r="A4571" s="4" t="s">
        <v>5428</v>
      </c>
      <c r="B4571" s="4" t="s">
        <v>13</v>
      </c>
      <c r="I4571" s="4">
        <v>0.5139</v>
      </c>
      <c r="J4571" s="4">
        <v>0.0312</v>
      </c>
      <c r="K4571" s="6" t="b">
        <f t="shared" ref="K4571:M4571" si="4367">FALSE()</f>
        <v>0</v>
      </c>
      <c r="L4571" s="6" t="b">
        <f t="shared" si="4367"/>
        <v>0</v>
      </c>
      <c r="M4571" s="6" t="b">
        <f t="shared" si="4367"/>
        <v>0</v>
      </c>
      <c r="P4571" s="4">
        <v>0.414689102635696</v>
      </c>
      <c r="T4571" s="4" t="str">
        <f t="shared" si="3"/>
        <v/>
      </c>
      <c r="U4571" s="4">
        <f t="shared" si="4"/>
        <v>1002</v>
      </c>
    </row>
    <row r="4572" ht="15.75" customHeight="1">
      <c r="A4572" s="4" t="s">
        <v>5429</v>
      </c>
      <c r="B4572" s="4" t="s">
        <v>13</v>
      </c>
      <c r="I4572" s="4">
        <v>0.682</v>
      </c>
      <c r="J4572" s="4">
        <v>0.067</v>
      </c>
      <c r="K4572" s="6" t="b">
        <f t="shared" ref="K4572:M4572" si="4368">FALSE()</f>
        <v>0</v>
      </c>
      <c r="L4572" s="6" t="b">
        <f t="shared" si="4368"/>
        <v>0</v>
      </c>
      <c r="M4572" s="6" t="b">
        <f t="shared" si="4368"/>
        <v>0</v>
      </c>
      <c r="P4572" s="4">
        <v>0.519983561550756</v>
      </c>
      <c r="T4572" s="4" t="str">
        <f t="shared" si="3"/>
        <v/>
      </c>
      <c r="U4572" s="4">
        <f t="shared" si="4"/>
        <v>906</v>
      </c>
    </row>
    <row r="4573" ht="15.75" customHeight="1">
      <c r="A4573" s="4" t="s">
        <v>5430</v>
      </c>
      <c r="B4573" s="4" t="s">
        <v>13</v>
      </c>
      <c r="I4573" s="4">
        <v>0.376</v>
      </c>
      <c r="J4573" s="4">
        <v>0.029</v>
      </c>
      <c r="K4573" s="6" t="b">
        <f t="shared" ref="K4573:M4573" si="4369">FALSE()</f>
        <v>0</v>
      </c>
      <c r="L4573" s="6" t="b">
        <f t="shared" si="4369"/>
        <v>0</v>
      </c>
      <c r="M4573" s="6" t="b">
        <f t="shared" si="4369"/>
        <v>0</v>
      </c>
      <c r="P4573" s="4">
        <v>0.319180739511152</v>
      </c>
      <c r="T4573" s="4" t="str">
        <f t="shared" si="3"/>
        <v/>
      </c>
      <c r="U4573" s="4">
        <f t="shared" si="4"/>
        <v>1152</v>
      </c>
    </row>
    <row r="4574" ht="15.75" customHeight="1">
      <c r="A4574" s="4" t="s">
        <v>5431</v>
      </c>
      <c r="B4574" s="4" t="s">
        <v>13</v>
      </c>
      <c r="I4574" s="4">
        <v>0.106</v>
      </c>
      <c r="J4574" s="4">
        <v>0.008</v>
      </c>
      <c r="K4574" s="6" t="b">
        <f t="shared" ref="K4574:M4574" si="4370">FALSE()</f>
        <v>0</v>
      </c>
      <c r="L4574" s="6" t="b">
        <f t="shared" si="4370"/>
        <v>0</v>
      </c>
      <c r="M4574" s="6" t="b">
        <f t="shared" si="4370"/>
        <v>0</v>
      </c>
      <c r="P4574" s="4">
        <v>0.100749903100143</v>
      </c>
      <c r="T4574" s="4" t="str">
        <f t="shared" si="3"/>
        <v/>
      </c>
      <c r="U4574" s="4">
        <f t="shared" si="4"/>
        <v>4128</v>
      </c>
    </row>
    <row r="4575" ht="15.75" customHeight="1">
      <c r="A4575" s="4" t="s">
        <v>5432</v>
      </c>
      <c r="B4575" s="4" t="s">
        <v>13</v>
      </c>
      <c r="I4575" s="4">
        <v>0.207</v>
      </c>
      <c r="J4575" s="4">
        <v>0.01</v>
      </c>
      <c r="K4575" s="6" t="b">
        <f t="shared" ref="K4575:M4575" si="4371">FALSE()</f>
        <v>0</v>
      </c>
      <c r="L4575" s="6" t="b">
        <f t="shared" si="4371"/>
        <v>0</v>
      </c>
      <c r="M4575" s="6" t="b">
        <f t="shared" si="4371"/>
        <v>0</v>
      </c>
      <c r="P4575" s="4">
        <v>0.188137942115394</v>
      </c>
      <c r="T4575" s="4" t="str">
        <f t="shared" si="3"/>
        <v/>
      </c>
      <c r="U4575" s="4">
        <f t="shared" si="4"/>
        <v>2470</v>
      </c>
    </row>
    <row r="4576" ht="15.75" customHeight="1">
      <c r="A4576" s="4" t="s">
        <v>5433</v>
      </c>
      <c r="B4576" s="4" t="s">
        <v>13</v>
      </c>
      <c r="I4576" s="4">
        <v>0.279</v>
      </c>
      <c r="J4576" s="4">
        <v>0.015</v>
      </c>
      <c r="K4576" s="6" t="b">
        <f t="shared" ref="K4576:M4576" si="4372">FALSE()</f>
        <v>0</v>
      </c>
      <c r="L4576" s="6" t="b">
        <f t="shared" si="4372"/>
        <v>0</v>
      </c>
      <c r="M4576" s="6" t="b">
        <f t="shared" si="4372"/>
        <v>0</v>
      </c>
      <c r="P4576" s="4">
        <v>0.246078522596706</v>
      </c>
      <c r="T4576" s="4" t="str">
        <f t="shared" si="3"/>
        <v/>
      </c>
      <c r="U4576" s="4">
        <f t="shared" si="4"/>
        <v>1512</v>
      </c>
    </row>
    <row r="4577" ht="15.75" customHeight="1">
      <c r="A4577" s="4" t="s">
        <v>5434</v>
      </c>
      <c r="B4577" s="4" t="s">
        <v>13</v>
      </c>
      <c r="I4577" s="4">
        <v>0.268</v>
      </c>
      <c r="J4577" s="4">
        <v>0.034</v>
      </c>
      <c r="K4577" s="6" t="b">
        <f t="shared" ref="K4577:M4577" si="4373">FALSE()</f>
        <v>0</v>
      </c>
      <c r="L4577" s="6" t="b">
        <f t="shared" si="4373"/>
        <v>0</v>
      </c>
      <c r="M4577" s="6" t="b">
        <f t="shared" si="4373"/>
        <v>0</v>
      </c>
      <c r="P4577" s="4">
        <v>0.237440856015034</v>
      </c>
      <c r="T4577" s="4" t="str">
        <f t="shared" si="3"/>
        <v/>
      </c>
      <c r="U4577" s="4">
        <f t="shared" si="4"/>
        <v>1615</v>
      </c>
    </row>
    <row r="4578" ht="15.75" customHeight="1">
      <c r="A4578" s="4" t="s">
        <v>5435</v>
      </c>
      <c r="B4578" s="4" t="s">
        <v>13</v>
      </c>
      <c r="I4578" s="4">
        <v>0.491</v>
      </c>
      <c r="J4578" s="4">
        <v>0.029</v>
      </c>
      <c r="K4578" s="6" t="b">
        <f t="shared" ref="K4578:M4578" si="4374">FALSE()</f>
        <v>0</v>
      </c>
      <c r="L4578" s="6" t="b">
        <f t="shared" si="4374"/>
        <v>0</v>
      </c>
      <c r="M4578" s="6" t="b">
        <f t="shared" si="4374"/>
        <v>0</v>
      </c>
      <c r="P4578" s="4">
        <v>0.399447035782601</v>
      </c>
      <c r="T4578" s="4" t="str">
        <f t="shared" si="3"/>
        <v/>
      </c>
      <c r="U4578" s="4">
        <f t="shared" si="4"/>
        <v>1020</v>
      </c>
    </row>
    <row r="4579" ht="15.75" customHeight="1">
      <c r="A4579" s="4" t="s">
        <v>5436</v>
      </c>
      <c r="B4579" s="4" t="s">
        <v>13</v>
      </c>
      <c r="I4579" s="4">
        <v>0.184</v>
      </c>
      <c r="J4579" s="4">
        <v>0.007</v>
      </c>
      <c r="K4579" s="6" t="b">
        <f t="shared" ref="K4579:M4579" si="4375">FALSE()</f>
        <v>0</v>
      </c>
      <c r="L4579" s="6" t="b">
        <f t="shared" si="4375"/>
        <v>0</v>
      </c>
      <c r="M4579" s="6" t="b">
        <f t="shared" si="4375"/>
        <v>0</v>
      </c>
      <c r="P4579" s="4">
        <v>0.168898536461814</v>
      </c>
      <c r="T4579" s="4" t="str">
        <f t="shared" si="3"/>
        <v/>
      </c>
      <c r="U4579" s="4">
        <f t="shared" si="4"/>
        <v>2842</v>
      </c>
    </row>
    <row r="4580" ht="15.75" customHeight="1">
      <c r="A4580" s="4" t="s">
        <v>5437</v>
      </c>
      <c r="B4580" s="4" t="s">
        <v>13</v>
      </c>
      <c r="I4580" s="4">
        <v>0.391</v>
      </c>
      <c r="J4580" s="4">
        <v>0.078</v>
      </c>
      <c r="K4580" s="6" t="b">
        <f t="shared" ref="K4580:M4580" si="4376">FALSE()</f>
        <v>0</v>
      </c>
      <c r="L4580" s="6" t="b">
        <f t="shared" si="4376"/>
        <v>0</v>
      </c>
      <c r="M4580" s="6" t="b">
        <f t="shared" si="4376"/>
        <v>0</v>
      </c>
      <c r="P4580" s="4">
        <v>0.330022912941306</v>
      </c>
      <c r="T4580" s="4" t="str">
        <f t="shared" si="3"/>
        <v/>
      </c>
      <c r="U4580" s="4">
        <f t="shared" si="4"/>
        <v>1127</v>
      </c>
    </row>
    <row r="4581" ht="15.75" customHeight="1">
      <c r="A4581" s="4" t="s">
        <v>1056</v>
      </c>
      <c r="B4581" s="4" t="s">
        <v>13</v>
      </c>
      <c r="C4581" s="4">
        <v>0.041</v>
      </c>
      <c r="D4581" s="4">
        <v>0.009</v>
      </c>
      <c r="E4581" s="4">
        <v>0.009</v>
      </c>
      <c r="I4581" s="4">
        <v>0.305</v>
      </c>
      <c r="J4581" s="4">
        <v>0.008</v>
      </c>
      <c r="K4581" s="6" t="b">
        <f t="shared" ref="K4581:M4581" si="4377">FALSE()</f>
        <v>0</v>
      </c>
      <c r="L4581" s="6" t="b">
        <f t="shared" si="4377"/>
        <v>0</v>
      </c>
      <c r="M4581" s="6" t="b">
        <f t="shared" si="4377"/>
        <v>0</v>
      </c>
      <c r="N4581" s="4">
        <v>0.0401817896328318</v>
      </c>
      <c r="P4581" s="4">
        <v>0.266203040774657</v>
      </c>
      <c r="T4581" s="4">
        <f t="shared" si="3"/>
        <v>1452</v>
      </c>
      <c r="U4581" s="4">
        <f t="shared" si="4"/>
        <v>1351</v>
      </c>
    </row>
    <row r="4582" ht="15.75" customHeight="1">
      <c r="A4582" s="4" t="s">
        <v>5438</v>
      </c>
      <c r="B4582" s="4" t="s">
        <v>13</v>
      </c>
      <c r="I4582" s="4">
        <v>0.204</v>
      </c>
      <c r="J4582" s="4">
        <v>0.022</v>
      </c>
      <c r="K4582" s="6" t="b">
        <f t="shared" ref="K4582:M4582" si="4378">FALSE()</f>
        <v>0</v>
      </c>
      <c r="L4582" s="6" t="b">
        <f t="shared" si="4378"/>
        <v>0</v>
      </c>
      <c r="M4582" s="6" t="b">
        <f t="shared" si="4378"/>
        <v>0</v>
      </c>
      <c r="P4582" s="4">
        <v>0.185649346886629</v>
      </c>
      <c r="T4582" s="4" t="str">
        <f t="shared" si="3"/>
        <v/>
      </c>
      <c r="U4582" s="4">
        <f t="shared" si="4"/>
        <v>2515</v>
      </c>
    </row>
    <row r="4583" ht="15.75" customHeight="1">
      <c r="A4583" s="4" t="s">
        <v>5439</v>
      </c>
      <c r="B4583" s="4" t="s">
        <v>13</v>
      </c>
      <c r="I4583" s="4">
        <v>0.227</v>
      </c>
      <c r="J4583" s="4">
        <v>0.007</v>
      </c>
      <c r="K4583" s="6" t="b">
        <f t="shared" ref="K4583:M4583" si="4379">FALSE()</f>
        <v>0</v>
      </c>
      <c r="L4583" s="6" t="b">
        <f t="shared" si="4379"/>
        <v>0</v>
      </c>
      <c r="M4583" s="6" t="b">
        <f t="shared" si="4379"/>
        <v>0</v>
      </c>
      <c r="P4583" s="4">
        <v>0.204572165728774</v>
      </c>
      <c r="T4583" s="4" t="str">
        <f t="shared" si="3"/>
        <v/>
      </c>
      <c r="U4583" s="4">
        <f t="shared" si="4"/>
        <v>2166</v>
      </c>
    </row>
    <row r="4584" ht="15.75" customHeight="1">
      <c r="A4584" s="4" t="s">
        <v>5440</v>
      </c>
      <c r="B4584" s="4" t="s">
        <v>13</v>
      </c>
      <c r="I4584" s="4">
        <v>0.176</v>
      </c>
      <c r="J4584" s="4">
        <v>0.007</v>
      </c>
      <c r="K4584" s="6" t="b">
        <f t="shared" ref="K4584:M4584" si="4380">FALSE()</f>
        <v>0</v>
      </c>
      <c r="L4584" s="6" t="b">
        <f t="shared" si="4380"/>
        <v>0</v>
      </c>
      <c r="M4584" s="6" t="b">
        <f t="shared" si="4380"/>
        <v>0</v>
      </c>
      <c r="P4584" s="4">
        <v>0.162118849476435</v>
      </c>
      <c r="T4584" s="4" t="str">
        <f t="shared" si="3"/>
        <v/>
      </c>
      <c r="U4584" s="4">
        <f t="shared" si="4"/>
        <v>2963</v>
      </c>
    </row>
    <row r="4585" ht="15.75" customHeight="1">
      <c r="A4585" s="4" t="s">
        <v>5441</v>
      </c>
      <c r="B4585" s="4" t="s">
        <v>13</v>
      </c>
      <c r="I4585" s="4">
        <v>0.237</v>
      </c>
      <c r="J4585" s="4">
        <v>0.017</v>
      </c>
      <c r="K4585" s="6" t="b">
        <f t="shared" ref="K4585:M4585" si="4381">FALSE()</f>
        <v>0</v>
      </c>
      <c r="L4585" s="6" t="b">
        <f t="shared" si="4381"/>
        <v>0</v>
      </c>
      <c r="M4585" s="6" t="b">
        <f t="shared" si="4381"/>
        <v>0</v>
      </c>
      <c r="P4585" s="4">
        <v>0.212689093410351</v>
      </c>
      <c r="T4585" s="4" t="str">
        <f t="shared" si="3"/>
        <v/>
      </c>
      <c r="U4585" s="4">
        <f t="shared" si="4"/>
        <v>1999</v>
      </c>
    </row>
    <row r="4586" ht="15.75" customHeight="1">
      <c r="A4586" s="4" t="s">
        <v>5442</v>
      </c>
      <c r="B4586" s="4" t="s">
        <v>13</v>
      </c>
      <c r="I4586" s="4">
        <v>0.05781</v>
      </c>
      <c r="J4586" s="4">
        <v>7.1E-4</v>
      </c>
      <c r="K4586" s="6" t="b">
        <f t="shared" ref="K4586:M4586" si="4382">FALSE()</f>
        <v>0</v>
      </c>
      <c r="L4586" s="6" t="b">
        <f t="shared" si="4382"/>
        <v>0</v>
      </c>
      <c r="M4586" s="6" t="b">
        <f t="shared" si="4382"/>
        <v>0</v>
      </c>
      <c r="P4586" s="4">
        <v>0.0562007331879655</v>
      </c>
      <c r="T4586" s="4" t="str">
        <f t="shared" si="3"/>
        <v/>
      </c>
      <c r="U4586" s="4">
        <f t="shared" si="4"/>
        <v>4540</v>
      </c>
    </row>
    <row r="4587" ht="15.75" customHeight="1">
      <c r="A4587" s="4" t="s">
        <v>5443</v>
      </c>
      <c r="B4587" s="4" t="s">
        <v>13</v>
      </c>
      <c r="I4587" s="4">
        <v>0.189</v>
      </c>
      <c r="J4587" s="4">
        <v>0.006</v>
      </c>
      <c r="K4587" s="6" t="b">
        <f t="shared" ref="K4587:M4587" si="4383">FALSE()</f>
        <v>0</v>
      </c>
      <c r="L4587" s="6" t="b">
        <f t="shared" si="4383"/>
        <v>0</v>
      </c>
      <c r="M4587" s="6" t="b">
        <f t="shared" si="4383"/>
        <v>0</v>
      </c>
      <c r="P4587" s="4">
        <v>0.173112617708645</v>
      </c>
      <c r="T4587" s="4" t="str">
        <f t="shared" si="3"/>
        <v/>
      </c>
      <c r="U4587" s="4">
        <f t="shared" si="4"/>
        <v>2765</v>
      </c>
    </row>
    <row r="4588" ht="15.75" customHeight="1">
      <c r="A4588" s="4" t="s">
        <v>5444</v>
      </c>
      <c r="B4588" s="4" t="s">
        <v>13</v>
      </c>
      <c r="I4588" s="4">
        <v>0.302</v>
      </c>
      <c r="J4588" s="4">
        <v>0.035</v>
      </c>
      <c r="K4588" s="6" t="b">
        <f t="shared" ref="K4588:M4588" si="4384">FALSE()</f>
        <v>0</v>
      </c>
      <c r="L4588" s="6" t="b">
        <f t="shared" si="4384"/>
        <v>0</v>
      </c>
      <c r="M4588" s="6" t="b">
        <f t="shared" si="4384"/>
        <v>0</v>
      </c>
      <c r="P4588" s="4">
        <v>0.263901543786378</v>
      </c>
      <c r="T4588" s="4" t="str">
        <f t="shared" si="3"/>
        <v/>
      </c>
      <c r="U4588" s="4">
        <f t="shared" si="4"/>
        <v>1372</v>
      </c>
    </row>
    <row r="4589" ht="15.75" customHeight="1">
      <c r="A4589" s="4" t="s">
        <v>5445</v>
      </c>
      <c r="B4589" s="4" t="s">
        <v>13</v>
      </c>
      <c r="I4589" s="4">
        <v>0.368</v>
      </c>
      <c r="J4589" s="4">
        <v>0.052</v>
      </c>
      <c r="K4589" s="6" t="b">
        <f t="shared" ref="K4589:M4589" si="4385">FALSE()</f>
        <v>0</v>
      </c>
      <c r="L4589" s="6" t="b">
        <f t="shared" si="4385"/>
        <v>0</v>
      </c>
      <c r="M4589" s="6" t="b">
        <f t="shared" si="4385"/>
        <v>0</v>
      </c>
      <c r="P4589" s="4">
        <v>0.313349819200359</v>
      </c>
      <c r="T4589" s="4" t="str">
        <f t="shared" si="3"/>
        <v/>
      </c>
      <c r="U4589" s="4">
        <f t="shared" si="4"/>
        <v>1168</v>
      </c>
    </row>
    <row r="4590" ht="15.75" customHeight="1">
      <c r="A4590" s="4" t="s">
        <v>5446</v>
      </c>
      <c r="B4590" s="4" t="s">
        <v>13</v>
      </c>
      <c r="I4590" s="4">
        <v>0.21</v>
      </c>
      <c r="J4590" s="4">
        <v>0.009</v>
      </c>
      <c r="K4590" s="6" t="b">
        <f t="shared" ref="K4590:M4590" si="4386">FALSE()</f>
        <v>0</v>
      </c>
      <c r="L4590" s="6" t="b">
        <f t="shared" si="4386"/>
        <v>0</v>
      </c>
      <c r="M4590" s="6" t="b">
        <f t="shared" si="4386"/>
        <v>0</v>
      </c>
      <c r="P4590" s="4">
        <v>0.19062035960865</v>
      </c>
      <c r="T4590" s="4" t="str">
        <f t="shared" si="3"/>
        <v/>
      </c>
      <c r="U4590" s="4">
        <f t="shared" si="4"/>
        <v>2426</v>
      </c>
    </row>
    <row r="4591" ht="15.75" customHeight="1">
      <c r="A4591" s="4" t="s">
        <v>5447</v>
      </c>
      <c r="B4591" s="4" t="s">
        <v>13</v>
      </c>
      <c r="I4591" s="4">
        <v>0.326</v>
      </c>
      <c r="J4591" s="4">
        <v>0.012</v>
      </c>
      <c r="K4591" s="6" t="b">
        <f t="shared" ref="K4591:M4591" si="4387">FALSE()</f>
        <v>0</v>
      </c>
      <c r="L4591" s="6" t="b">
        <f t="shared" si="4387"/>
        <v>0</v>
      </c>
      <c r="M4591" s="6" t="b">
        <f t="shared" si="4387"/>
        <v>0</v>
      </c>
      <c r="P4591" s="4">
        <v>0.282166891763671</v>
      </c>
      <c r="T4591" s="4" t="str">
        <f t="shared" si="3"/>
        <v/>
      </c>
      <c r="U4591" s="4">
        <f t="shared" si="4"/>
        <v>1274</v>
      </c>
    </row>
    <row r="4592" ht="15.75" customHeight="1">
      <c r="A4592" s="4" t="s">
        <v>5448</v>
      </c>
      <c r="B4592" s="4" t="s">
        <v>13</v>
      </c>
      <c r="I4592" s="4">
        <v>0.178</v>
      </c>
      <c r="J4592" s="4">
        <v>0.007</v>
      </c>
      <c r="K4592" s="6" t="b">
        <f t="shared" ref="K4592:M4592" si="4388">FALSE()</f>
        <v>0</v>
      </c>
      <c r="L4592" s="6" t="b">
        <f t="shared" si="4388"/>
        <v>0</v>
      </c>
      <c r="M4592" s="6" t="b">
        <f t="shared" si="4388"/>
        <v>0</v>
      </c>
      <c r="P4592" s="4">
        <v>0.163818085229395</v>
      </c>
      <c r="T4592" s="4" t="str">
        <f t="shared" si="3"/>
        <v/>
      </c>
      <c r="U4592" s="4">
        <f t="shared" si="4"/>
        <v>2939</v>
      </c>
    </row>
    <row r="4593" ht="15.75" customHeight="1">
      <c r="A4593" s="4" t="s">
        <v>5449</v>
      </c>
      <c r="B4593" s="4" t="s">
        <v>13</v>
      </c>
      <c r="I4593" s="4">
        <v>0.151</v>
      </c>
      <c r="J4593" s="4">
        <v>0.006</v>
      </c>
      <c r="K4593" s="6" t="b">
        <f t="shared" ref="K4593:M4593" si="4389">FALSE()</f>
        <v>0</v>
      </c>
      <c r="L4593" s="6" t="b">
        <f t="shared" si="4389"/>
        <v>0</v>
      </c>
      <c r="M4593" s="6" t="b">
        <f t="shared" si="4389"/>
        <v>0</v>
      </c>
      <c r="P4593" s="4">
        <v>0.140631129739746</v>
      </c>
      <c r="T4593" s="4" t="str">
        <f t="shared" si="3"/>
        <v/>
      </c>
      <c r="U4593" s="4">
        <f t="shared" si="4"/>
        <v>3315</v>
      </c>
    </row>
    <row r="4594" ht="15.75" customHeight="1">
      <c r="A4594" s="4" t="s">
        <v>5450</v>
      </c>
      <c r="B4594" s="4" t="s">
        <v>13</v>
      </c>
      <c r="I4594" s="4">
        <v>0.2302</v>
      </c>
      <c r="J4594" s="4">
        <v>0.0196</v>
      </c>
      <c r="K4594" s="6" t="b">
        <f t="shared" ref="K4594:M4594" si="4390">FALSE()</f>
        <v>0</v>
      </c>
      <c r="L4594" s="6" t="b">
        <f t="shared" si="4390"/>
        <v>0</v>
      </c>
      <c r="M4594" s="6" t="b">
        <f t="shared" si="4390"/>
        <v>0</v>
      </c>
      <c r="P4594" s="4">
        <v>0.207176757792131</v>
      </c>
      <c r="T4594" s="4" t="str">
        <f t="shared" si="3"/>
        <v/>
      </c>
      <c r="U4594" s="4">
        <f t="shared" si="4"/>
        <v>2105</v>
      </c>
    </row>
    <row r="4595" ht="15.75" customHeight="1">
      <c r="A4595" s="4" t="s">
        <v>5451</v>
      </c>
      <c r="B4595" s="4" t="s">
        <v>13</v>
      </c>
      <c r="I4595" s="4">
        <v>0.185</v>
      </c>
      <c r="J4595" s="4">
        <v>0.004</v>
      </c>
      <c r="K4595" s="6" t="b">
        <f t="shared" ref="K4595:M4595" si="4391">FALSE()</f>
        <v>0</v>
      </c>
      <c r="L4595" s="6" t="b">
        <f t="shared" si="4391"/>
        <v>0</v>
      </c>
      <c r="M4595" s="6" t="b">
        <f t="shared" si="4391"/>
        <v>0</v>
      </c>
      <c r="P4595" s="4">
        <v>0.169742774587095</v>
      </c>
      <c r="T4595" s="4" t="str">
        <f t="shared" si="3"/>
        <v/>
      </c>
      <c r="U4595" s="4">
        <f t="shared" si="4"/>
        <v>2828</v>
      </c>
    </row>
    <row r="4596" ht="15.75" customHeight="1">
      <c r="A4596" s="4" t="s">
        <v>5452</v>
      </c>
      <c r="B4596" s="4" t="s">
        <v>13</v>
      </c>
      <c r="I4596" s="4">
        <v>0.088</v>
      </c>
      <c r="J4596" s="4">
        <v>0.004</v>
      </c>
      <c r="K4596" s="6" t="b">
        <f t="shared" ref="K4596:M4596" si="4392">FALSE()</f>
        <v>0</v>
      </c>
      <c r="L4596" s="6" t="b">
        <f t="shared" si="4392"/>
        <v>0</v>
      </c>
      <c r="M4596" s="6" t="b">
        <f t="shared" si="4392"/>
        <v>0</v>
      </c>
      <c r="P4596" s="4">
        <v>0.0843411484337508</v>
      </c>
      <c r="T4596" s="4" t="str">
        <f t="shared" si="3"/>
        <v/>
      </c>
      <c r="U4596" s="4">
        <f t="shared" si="4"/>
        <v>4352</v>
      </c>
    </row>
    <row r="4597" ht="15.75" customHeight="1">
      <c r="A4597" s="4" t="s">
        <v>1057</v>
      </c>
      <c r="B4597" s="4" t="s">
        <v>13</v>
      </c>
      <c r="C4597" s="4">
        <v>0.027</v>
      </c>
      <c r="D4597" s="4">
        <v>0.011</v>
      </c>
      <c r="E4597" s="4">
        <v>0.011</v>
      </c>
      <c r="I4597" s="4">
        <v>0.238</v>
      </c>
      <c r="J4597" s="4">
        <v>0.02</v>
      </c>
      <c r="K4597" s="6" t="b">
        <f t="shared" ref="K4597:M4597" si="4393">FALSE()</f>
        <v>0</v>
      </c>
      <c r="L4597" s="6" t="b">
        <f t="shared" si="4393"/>
        <v>0</v>
      </c>
      <c r="M4597" s="6" t="b">
        <f t="shared" si="4393"/>
        <v>0</v>
      </c>
      <c r="N4597" s="4">
        <v>0.0266419309464211</v>
      </c>
      <c r="P4597" s="4">
        <v>0.213497174262404</v>
      </c>
      <c r="T4597" s="4">
        <f t="shared" si="3"/>
        <v>1606</v>
      </c>
      <c r="U4597" s="4">
        <f t="shared" si="4"/>
        <v>1984</v>
      </c>
    </row>
    <row r="4598" ht="15.75" customHeight="1">
      <c r="A4598" s="4" t="s">
        <v>5453</v>
      </c>
      <c r="B4598" s="4" t="s">
        <v>13</v>
      </c>
      <c r="I4598" s="4">
        <v>0.23276</v>
      </c>
      <c r="J4598" s="4">
        <v>0.01811</v>
      </c>
      <c r="K4598" s="6" t="b">
        <f t="shared" ref="K4598:M4598" si="4394">FALSE()</f>
        <v>0</v>
      </c>
      <c r="L4598" s="6" t="b">
        <f t="shared" si="4394"/>
        <v>0</v>
      </c>
      <c r="M4598" s="6" t="b">
        <f t="shared" si="4394"/>
        <v>0</v>
      </c>
      <c r="P4598" s="4">
        <v>0.209255558034036</v>
      </c>
      <c r="T4598" s="4" t="str">
        <f t="shared" si="3"/>
        <v/>
      </c>
      <c r="U4598" s="4">
        <f t="shared" si="4"/>
        <v>2064</v>
      </c>
    </row>
    <row r="4599" ht="15.75" customHeight="1">
      <c r="A4599" s="4" t="s">
        <v>5454</v>
      </c>
      <c r="B4599" s="4" t="s">
        <v>13</v>
      </c>
      <c r="I4599" s="4">
        <v>0.19</v>
      </c>
      <c r="J4599" s="4">
        <v>0.021</v>
      </c>
      <c r="K4599" s="6" t="b">
        <f t="shared" ref="K4599:M4599" si="4395">FALSE()</f>
        <v>0</v>
      </c>
      <c r="L4599" s="6" t="b">
        <f t="shared" si="4395"/>
        <v>0</v>
      </c>
      <c r="M4599" s="6" t="b">
        <f t="shared" si="4395"/>
        <v>0</v>
      </c>
      <c r="P4599" s="4">
        <v>0.173953307123438</v>
      </c>
      <c r="T4599" s="4" t="str">
        <f t="shared" si="3"/>
        <v/>
      </c>
      <c r="U4599" s="4">
        <f t="shared" si="4"/>
        <v>2744</v>
      </c>
    </row>
    <row r="4600" ht="15.75" customHeight="1">
      <c r="A4600" s="4" t="s">
        <v>5455</v>
      </c>
      <c r="B4600" s="4" t="s">
        <v>13</v>
      </c>
      <c r="I4600" s="4">
        <v>0.415</v>
      </c>
      <c r="J4600" s="4">
        <v>0.098</v>
      </c>
      <c r="K4600" s="6" t="b">
        <f t="shared" ref="K4600:M4600" si="4396">FALSE()</f>
        <v>0</v>
      </c>
      <c r="L4600" s="6" t="b">
        <f t="shared" si="4396"/>
        <v>0</v>
      </c>
      <c r="M4600" s="6" t="b">
        <f t="shared" si="4396"/>
        <v>0</v>
      </c>
      <c r="P4600" s="4">
        <v>0.347129531095201</v>
      </c>
      <c r="T4600" s="4" t="str">
        <f t="shared" si="3"/>
        <v/>
      </c>
      <c r="U4600" s="4">
        <f t="shared" si="4"/>
        <v>1098</v>
      </c>
    </row>
    <row r="4601" ht="15.75" customHeight="1">
      <c r="A4601" s="4" t="s">
        <v>5456</v>
      </c>
      <c r="B4601" s="4" t="s">
        <v>13</v>
      </c>
      <c r="I4601" s="4">
        <v>0.175</v>
      </c>
      <c r="J4601" s="4">
        <v>0.006</v>
      </c>
      <c r="K4601" s="6" t="b">
        <f t="shared" ref="K4601:M4601" si="4397">FALSE()</f>
        <v>0</v>
      </c>
      <c r="L4601" s="6" t="b">
        <f t="shared" si="4397"/>
        <v>0</v>
      </c>
      <c r="M4601" s="6" t="b">
        <f t="shared" si="4397"/>
        <v>0</v>
      </c>
      <c r="P4601" s="4">
        <v>0.161268147596122</v>
      </c>
      <c r="T4601" s="4" t="str">
        <f t="shared" si="3"/>
        <v/>
      </c>
      <c r="U4601" s="4">
        <f t="shared" si="4"/>
        <v>2983</v>
      </c>
    </row>
    <row r="4602" ht="15.75" customHeight="1">
      <c r="A4602" s="4" t="s">
        <v>5457</v>
      </c>
      <c r="B4602" s="4" t="s">
        <v>13</v>
      </c>
      <c r="I4602" s="4">
        <v>0.14</v>
      </c>
      <c r="J4602" s="4">
        <v>0.026</v>
      </c>
      <c r="K4602" s="6" t="b">
        <f t="shared" ref="K4602:M4602" si="4398">FALSE()</f>
        <v>0</v>
      </c>
      <c r="L4602" s="6" t="b">
        <f t="shared" si="4398"/>
        <v>0</v>
      </c>
      <c r="M4602" s="6" t="b">
        <f t="shared" si="4398"/>
        <v>0</v>
      </c>
      <c r="P4602" s="4">
        <v>0.131028262406404</v>
      </c>
      <c r="T4602" s="4" t="str">
        <f t="shared" si="3"/>
        <v/>
      </c>
      <c r="U4602" s="4">
        <f t="shared" si="4"/>
        <v>3514</v>
      </c>
    </row>
    <row r="4603" ht="15.75" customHeight="1">
      <c r="A4603" s="4" t="s">
        <v>5458</v>
      </c>
      <c r="B4603" s="4" t="s">
        <v>13</v>
      </c>
      <c r="I4603" s="4">
        <v>0.3542</v>
      </c>
      <c r="J4603" s="4">
        <v>0.2088</v>
      </c>
      <c r="K4603" s="6" t="b">
        <f t="shared" ref="K4603:M4603" si="4399">FALSE()</f>
        <v>0</v>
      </c>
      <c r="L4603" s="6" t="b">
        <f t="shared" si="4399"/>
        <v>0</v>
      </c>
      <c r="M4603" s="6" t="b">
        <f t="shared" si="4399"/>
        <v>0</v>
      </c>
      <c r="P4603" s="4">
        <v>0.303210874069408</v>
      </c>
      <c r="T4603" s="4" t="str">
        <f t="shared" si="3"/>
        <v/>
      </c>
      <c r="U4603" s="4">
        <f t="shared" si="4"/>
        <v>1195</v>
      </c>
    </row>
    <row r="4604" ht="15.75" customHeight="1">
      <c r="A4604" s="4" t="s">
        <v>5459</v>
      </c>
      <c r="B4604" s="4" t="s">
        <v>13</v>
      </c>
      <c r="I4604" s="4">
        <v>0.50353</v>
      </c>
      <c r="K4604" s="6" t="b">
        <f t="shared" ref="K4604:M4604" si="4400">FALSE()</f>
        <v>0</v>
      </c>
      <c r="L4604" s="6" t="b">
        <f t="shared" si="4400"/>
        <v>0</v>
      </c>
      <c r="M4604" s="6" t="b">
        <f t="shared" si="4400"/>
        <v>0</v>
      </c>
      <c r="P4604" s="4">
        <v>0.407815676689348</v>
      </c>
      <c r="T4604" s="4" t="str">
        <f t="shared" si="3"/>
        <v/>
      </c>
      <c r="U4604" s="4">
        <f t="shared" si="4"/>
        <v>1011</v>
      </c>
    </row>
    <row r="4605" ht="15.75" customHeight="1">
      <c r="A4605" s="4" t="s">
        <v>5460</v>
      </c>
      <c r="B4605" s="4" t="s">
        <v>13</v>
      </c>
      <c r="I4605" s="4">
        <v>0.353</v>
      </c>
      <c r="J4605" s="4">
        <v>0.018</v>
      </c>
      <c r="K4605" s="6" t="b">
        <f t="shared" ref="K4605:M4605" si="4401">FALSE()</f>
        <v>0</v>
      </c>
      <c r="L4605" s="6" t="b">
        <f t="shared" si="4401"/>
        <v>0</v>
      </c>
      <c r="M4605" s="6" t="b">
        <f t="shared" si="4401"/>
        <v>0</v>
      </c>
      <c r="P4605" s="4">
        <v>0.302324349188651</v>
      </c>
      <c r="T4605" s="4" t="str">
        <f t="shared" si="3"/>
        <v/>
      </c>
      <c r="U4605" s="4">
        <f t="shared" si="4"/>
        <v>1198</v>
      </c>
    </row>
    <row r="4606" ht="15.75" customHeight="1">
      <c r="A4606" s="4" t="s">
        <v>5461</v>
      </c>
      <c r="B4606" s="4" t="s">
        <v>13</v>
      </c>
      <c r="I4606" s="4">
        <v>0.234</v>
      </c>
      <c r="J4606" s="4">
        <v>0.015</v>
      </c>
      <c r="K4606" s="6" t="b">
        <f t="shared" ref="K4606:M4606" si="4402">FALSE()</f>
        <v>0</v>
      </c>
      <c r="L4606" s="6" t="b">
        <f t="shared" si="4402"/>
        <v>0</v>
      </c>
      <c r="M4606" s="6" t="b">
        <f t="shared" si="4402"/>
        <v>0</v>
      </c>
      <c r="P4606" s="4">
        <v>0.210260925483196</v>
      </c>
      <c r="T4606" s="4" t="str">
        <f t="shared" si="3"/>
        <v/>
      </c>
      <c r="U4606" s="4">
        <f t="shared" si="4"/>
        <v>2046</v>
      </c>
    </row>
    <row r="4607" ht="15.75" customHeight="1">
      <c r="A4607" s="4" t="s">
        <v>5462</v>
      </c>
      <c r="B4607" s="4" t="s">
        <v>13</v>
      </c>
      <c r="I4607" s="4">
        <v>0.267</v>
      </c>
      <c r="J4607" s="4">
        <v>0.051</v>
      </c>
      <c r="K4607" s="6" t="b">
        <f t="shared" ref="K4607:M4607" si="4403">FALSE()</f>
        <v>0</v>
      </c>
      <c r="L4607" s="6" t="b">
        <f t="shared" si="4403"/>
        <v>0</v>
      </c>
      <c r="M4607" s="6" t="b">
        <f t="shared" si="4403"/>
        <v>0</v>
      </c>
      <c r="P4607" s="4">
        <v>0.236651901339002</v>
      </c>
      <c r="T4607" s="4" t="str">
        <f t="shared" si="3"/>
        <v/>
      </c>
      <c r="U4607" s="4">
        <f t="shared" si="4"/>
        <v>1619</v>
      </c>
    </row>
    <row r="4608" ht="15.75" customHeight="1">
      <c r="A4608" s="4" t="s">
        <v>5463</v>
      </c>
      <c r="B4608" s="4" t="s">
        <v>13</v>
      </c>
      <c r="I4608" s="4">
        <v>0.243</v>
      </c>
      <c r="J4608" s="4">
        <v>0.021</v>
      </c>
      <c r="K4608" s="6" t="b">
        <f t="shared" ref="K4608:M4608" si="4404">FALSE()</f>
        <v>0</v>
      </c>
      <c r="L4608" s="6" t="b">
        <f t="shared" si="4404"/>
        <v>0</v>
      </c>
      <c r="M4608" s="6" t="b">
        <f t="shared" si="4404"/>
        <v>0</v>
      </c>
      <c r="P4608" s="4">
        <v>0.217527812528574</v>
      </c>
      <c r="T4608" s="4" t="str">
        <f t="shared" si="3"/>
        <v/>
      </c>
      <c r="U4608" s="4">
        <f t="shared" si="4"/>
        <v>1906</v>
      </c>
    </row>
    <row r="4609" ht="15.75" customHeight="1">
      <c r="A4609" s="4" t="s">
        <v>1058</v>
      </c>
      <c r="B4609" s="4" t="s">
        <v>13</v>
      </c>
      <c r="C4609" s="4">
        <v>0.011</v>
      </c>
      <c r="D4609" s="4">
        <v>0.006</v>
      </c>
      <c r="E4609" s="4">
        <v>0.006</v>
      </c>
      <c r="I4609" s="4">
        <v>0.132</v>
      </c>
      <c r="J4609" s="4">
        <v>0.012</v>
      </c>
      <c r="K4609" s="6" t="b">
        <f t="shared" ref="K4609:M4609" si="4405">FALSE()</f>
        <v>0</v>
      </c>
      <c r="L4609" s="6" t="b">
        <f t="shared" si="4405"/>
        <v>0</v>
      </c>
      <c r="M4609" s="6" t="b">
        <f t="shared" si="4405"/>
        <v>0</v>
      </c>
      <c r="N4609" s="4">
        <v>0.0109399400383343</v>
      </c>
      <c r="P4609" s="4">
        <v>0.123985979780991</v>
      </c>
      <c r="T4609" s="4">
        <f t="shared" si="3"/>
        <v>1919</v>
      </c>
      <c r="U4609" s="4">
        <f t="shared" si="4"/>
        <v>3664</v>
      </c>
    </row>
    <row r="4610" ht="15.75" customHeight="1">
      <c r="A4610" s="4" t="s">
        <v>5464</v>
      </c>
      <c r="B4610" s="4" t="s">
        <v>13</v>
      </c>
      <c r="C4610" s="4">
        <v>1.08</v>
      </c>
      <c r="K4610" s="6" t="b">
        <f t="shared" ref="K4610:M4610" si="4406">FALSE()</f>
        <v>0</v>
      </c>
      <c r="L4610" s="6" t="b">
        <f t="shared" si="4406"/>
        <v>0</v>
      </c>
      <c r="M4610" s="6" t="b">
        <f t="shared" si="4406"/>
        <v>0</v>
      </c>
      <c r="N4610" s="4">
        <v>0.732367893713227</v>
      </c>
      <c r="T4610" s="4">
        <f t="shared" si="3"/>
        <v>633</v>
      </c>
      <c r="U4610" s="4" t="str">
        <f t="shared" si="4"/>
        <v/>
      </c>
    </row>
    <row r="4611" ht="15.75" customHeight="1">
      <c r="A4611" s="4" t="s">
        <v>5465</v>
      </c>
      <c r="B4611" s="4" t="s">
        <v>13</v>
      </c>
      <c r="I4611" s="4">
        <v>0.238</v>
      </c>
      <c r="J4611" s="4">
        <v>0.04</v>
      </c>
      <c r="K4611" s="6" t="b">
        <f t="shared" ref="K4611:M4611" si="4407">FALSE()</f>
        <v>0</v>
      </c>
      <c r="L4611" s="6" t="b">
        <f t="shared" si="4407"/>
        <v>0</v>
      </c>
      <c r="M4611" s="6" t="b">
        <f t="shared" si="4407"/>
        <v>0</v>
      </c>
      <c r="P4611" s="4">
        <v>0.213497174262404</v>
      </c>
      <c r="T4611" s="4" t="str">
        <f t="shared" si="3"/>
        <v/>
      </c>
      <c r="U4611" s="4">
        <f t="shared" si="4"/>
        <v>1985</v>
      </c>
    </row>
    <row r="4612" ht="15.75" customHeight="1">
      <c r="A4612" s="4" t="s">
        <v>5466</v>
      </c>
      <c r="B4612" s="4" t="s">
        <v>13</v>
      </c>
      <c r="I4612" s="4">
        <v>0.206</v>
      </c>
      <c r="J4612" s="4">
        <v>0.016</v>
      </c>
      <c r="K4612" s="6" t="b">
        <f t="shared" ref="K4612:M4612" si="4408">FALSE()</f>
        <v>0</v>
      </c>
      <c r="L4612" s="6" t="b">
        <f t="shared" si="4408"/>
        <v>0</v>
      </c>
      <c r="M4612" s="6" t="b">
        <f t="shared" si="4408"/>
        <v>0</v>
      </c>
      <c r="P4612" s="4">
        <v>0.187309098304994</v>
      </c>
      <c r="T4612" s="4" t="str">
        <f t="shared" si="3"/>
        <v/>
      </c>
      <c r="U4612" s="4">
        <f t="shared" si="4"/>
        <v>2485</v>
      </c>
    </row>
    <row r="4613" ht="15.75" customHeight="1">
      <c r="A4613" s="4" t="s">
        <v>5467</v>
      </c>
      <c r="B4613" s="4" t="s">
        <v>13</v>
      </c>
      <c r="I4613" s="4">
        <v>0.201</v>
      </c>
      <c r="J4613" s="4">
        <v>0.024</v>
      </c>
      <c r="K4613" s="6" t="b">
        <f t="shared" ref="K4613:M4613" si="4409">FALSE()</f>
        <v>0</v>
      </c>
      <c r="L4613" s="6" t="b">
        <f t="shared" si="4409"/>
        <v>0</v>
      </c>
      <c r="M4613" s="6" t="b">
        <f t="shared" si="4409"/>
        <v>0</v>
      </c>
      <c r="P4613" s="4">
        <v>0.183154543097847</v>
      </c>
      <c r="T4613" s="4" t="str">
        <f t="shared" si="3"/>
        <v/>
      </c>
      <c r="U4613" s="4">
        <f t="shared" si="4"/>
        <v>2576</v>
      </c>
    </row>
    <row r="4614" ht="15.75" customHeight="1">
      <c r="A4614" s="4" t="s">
        <v>5468</v>
      </c>
      <c r="B4614" s="4" t="s">
        <v>13</v>
      </c>
      <c r="I4614" s="4">
        <v>0.211</v>
      </c>
      <c r="J4614" s="4">
        <v>0.016</v>
      </c>
      <c r="K4614" s="6" t="b">
        <f t="shared" ref="K4614:M4614" si="4410">FALSE()</f>
        <v>0</v>
      </c>
      <c r="L4614" s="6" t="b">
        <f t="shared" si="4410"/>
        <v>0</v>
      </c>
      <c r="M4614" s="6" t="b">
        <f t="shared" si="4410"/>
        <v>0</v>
      </c>
      <c r="P4614" s="4">
        <v>0.191446464570955</v>
      </c>
      <c r="T4614" s="4" t="str">
        <f t="shared" si="3"/>
        <v/>
      </c>
      <c r="U4614" s="4">
        <f t="shared" si="4"/>
        <v>2406</v>
      </c>
    </row>
    <row r="4615" ht="15.75" customHeight="1">
      <c r="A4615" s="4" t="s">
        <v>5469</v>
      </c>
      <c r="B4615" s="4" t="s">
        <v>13</v>
      </c>
      <c r="I4615" s="4">
        <v>0.189</v>
      </c>
      <c r="J4615" s="4">
        <v>0.01</v>
      </c>
      <c r="K4615" s="6" t="b">
        <f t="shared" ref="K4615:M4615" si="4411">FALSE()</f>
        <v>0</v>
      </c>
      <c r="L4615" s="6" t="b">
        <f t="shared" si="4411"/>
        <v>0</v>
      </c>
      <c r="M4615" s="6" t="b">
        <f t="shared" si="4411"/>
        <v>0</v>
      </c>
      <c r="P4615" s="4">
        <v>0.173112617708645</v>
      </c>
      <c r="T4615" s="4" t="str">
        <f t="shared" si="3"/>
        <v/>
      </c>
      <c r="U4615" s="4">
        <f t="shared" si="4"/>
        <v>2766</v>
      </c>
    </row>
    <row r="4616" ht="15.75" customHeight="1">
      <c r="A4616" s="4" t="s">
        <v>5470</v>
      </c>
      <c r="B4616" s="4" t="s">
        <v>13</v>
      </c>
      <c r="I4616" s="4">
        <v>0.266</v>
      </c>
      <c r="J4616" s="4">
        <v>0.013</v>
      </c>
      <c r="K4616" s="6" t="b">
        <f t="shared" ref="K4616:M4616" si="4412">FALSE()</f>
        <v>0</v>
      </c>
      <c r="L4616" s="6" t="b">
        <f t="shared" si="4412"/>
        <v>0</v>
      </c>
      <c r="M4616" s="6" t="b">
        <f t="shared" si="4412"/>
        <v>0</v>
      </c>
      <c r="P4616" s="4">
        <v>0.235862323721984</v>
      </c>
      <c r="T4616" s="4" t="str">
        <f t="shared" si="3"/>
        <v/>
      </c>
      <c r="U4616" s="4">
        <f t="shared" si="4"/>
        <v>1627</v>
      </c>
    </row>
    <row r="4617" ht="15.75" customHeight="1">
      <c r="A4617" s="4" t="s">
        <v>5471</v>
      </c>
      <c r="B4617" s="4" t="s">
        <v>13</v>
      </c>
      <c r="I4617" s="4">
        <v>0.211</v>
      </c>
      <c r="J4617" s="4">
        <v>0.017</v>
      </c>
      <c r="K4617" s="6" t="b">
        <f t="shared" ref="K4617:M4617" si="4413">FALSE()</f>
        <v>0</v>
      </c>
      <c r="L4617" s="6" t="b">
        <f t="shared" si="4413"/>
        <v>0</v>
      </c>
      <c r="M4617" s="6" t="b">
        <f t="shared" si="4413"/>
        <v>0</v>
      </c>
      <c r="P4617" s="4">
        <v>0.191446464570955</v>
      </c>
      <c r="T4617" s="4" t="str">
        <f t="shared" si="3"/>
        <v/>
      </c>
      <c r="U4617" s="4">
        <f t="shared" si="4"/>
        <v>2407</v>
      </c>
    </row>
    <row r="4618" ht="15.75" customHeight="1">
      <c r="A4618" s="4" t="s">
        <v>5472</v>
      </c>
      <c r="B4618" s="4" t="s">
        <v>13</v>
      </c>
      <c r="I4618" s="4">
        <v>0.291</v>
      </c>
      <c r="J4618" s="4">
        <v>0.011</v>
      </c>
      <c r="K4618" s="6" t="b">
        <f t="shared" ref="K4618:M4618" si="4414">FALSE()</f>
        <v>0</v>
      </c>
      <c r="L4618" s="6" t="b">
        <f t="shared" si="4414"/>
        <v>0</v>
      </c>
      <c r="M4618" s="6" t="b">
        <f t="shared" si="4414"/>
        <v>0</v>
      </c>
      <c r="P4618" s="4">
        <v>0.255417111864505</v>
      </c>
      <c r="T4618" s="4" t="str">
        <f t="shared" si="3"/>
        <v/>
      </c>
      <c r="U4618" s="4">
        <f t="shared" si="4"/>
        <v>1433</v>
      </c>
    </row>
    <row r="4619" ht="15.75" customHeight="1">
      <c r="A4619" s="4" t="s">
        <v>5473</v>
      </c>
      <c r="B4619" s="4" t="s">
        <v>13</v>
      </c>
      <c r="I4619" s="4">
        <v>0.185</v>
      </c>
      <c r="J4619" s="4">
        <v>0.014</v>
      </c>
      <c r="K4619" s="6" t="b">
        <f t="shared" ref="K4619:M4619" si="4415">FALSE()</f>
        <v>0</v>
      </c>
      <c r="L4619" s="6" t="b">
        <f t="shared" si="4415"/>
        <v>0</v>
      </c>
      <c r="M4619" s="6" t="b">
        <f t="shared" si="4415"/>
        <v>0</v>
      </c>
      <c r="P4619" s="4">
        <v>0.169742774587095</v>
      </c>
      <c r="T4619" s="4" t="str">
        <f t="shared" si="3"/>
        <v/>
      </c>
      <c r="U4619" s="4">
        <f t="shared" si="4"/>
        <v>2829</v>
      </c>
    </row>
    <row r="4620" ht="15.75" customHeight="1">
      <c r="A4620" s="4" t="s">
        <v>5474</v>
      </c>
      <c r="B4620" s="4" t="s">
        <v>13</v>
      </c>
      <c r="I4620" s="4">
        <v>0.197</v>
      </c>
      <c r="J4620" s="4">
        <v>0.012</v>
      </c>
      <c r="K4620" s="6" t="b">
        <f t="shared" ref="K4620:M4620" si="4416">FALSE()</f>
        <v>0</v>
      </c>
      <c r="L4620" s="6" t="b">
        <f t="shared" si="4416"/>
        <v>0</v>
      </c>
      <c r="M4620" s="6" t="b">
        <f t="shared" si="4416"/>
        <v>0</v>
      </c>
      <c r="P4620" s="4">
        <v>0.179818426575836</v>
      </c>
      <c r="T4620" s="4" t="str">
        <f t="shared" si="3"/>
        <v/>
      </c>
      <c r="U4620" s="4">
        <f t="shared" si="4"/>
        <v>2637</v>
      </c>
    </row>
    <row r="4621" ht="15.75" customHeight="1">
      <c r="A4621" s="4" t="s">
        <v>1060</v>
      </c>
      <c r="B4621" s="4" t="s">
        <v>13</v>
      </c>
      <c r="C4621" s="4">
        <v>0.011</v>
      </c>
      <c r="D4621" s="4">
        <v>0.005</v>
      </c>
      <c r="E4621" s="4">
        <v>0.005</v>
      </c>
      <c r="I4621" s="4">
        <v>0.178</v>
      </c>
      <c r="J4621" s="4">
        <v>0.02</v>
      </c>
      <c r="K4621" s="6" t="b">
        <f t="shared" ref="K4621:M4621" si="4417">FALSE()</f>
        <v>0</v>
      </c>
      <c r="L4621" s="6" t="b">
        <f t="shared" si="4417"/>
        <v>0</v>
      </c>
      <c r="M4621" s="6" t="b">
        <f t="shared" si="4417"/>
        <v>0</v>
      </c>
      <c r="N4621" s="4">
        <v>0.0109399400383343</v>
      </c>
      <c r="P4621" s="4">
        <v>0.163818085229395</v>
      </c>
      <c r="T4621" s="4">
        <f t="shared" si="3"/>
        <v>1920</v>
      </c>
      <c r="U4621" s="4">
        <f t="shared" si="4"/>
        <v>2940</v>
      </c>
    </row>
    <row r="4622" ht="15.75" customHeight="1">
      <c r="A4622" s="4" t="s">
        <v>5475</v>
      </c>
      <c r="B4622" s="4" t="s">
        <v>13</v>
      </c>
      <c r="I4622" s="4">
        <v>0.232</v>
      </c>
      <c r="J4622" s="4">
        <v>0.037</v>
      </c>
      <c r="K4622" s="6" t="b">
        <f t="shared" ref="K4622:M4622" si="4418">FALSE()</f>
        <v>0</v>
      </c>
      <c r="L4622" s="6" t="b">
        <f t="shared" si="4418"/>
        <v>0</v>
      </c>
      <c r="M4622" s="6" t="b">
        <f t="shared" si="4418"/>
        <v>0</v>
      </c>
      <c r="P4622" s="4">
        <v>0.208638865111328</v>
      </c>
      <c r="T4622" s="4" t="str">
        <f t="shared" si="3"/>
        <v/>
      </c>
      <c r="U4622" s="4">
        <f t="shared" si="4"/>
        <v>2087</v>
      </c>
    </row>
    <row r="4623" ht="15.75" customHeight="1">
      <c r="A4623" s="4" t="s">
        <v>5476</v>
      </c>
      <c r="B4623" s="4" t="s">
        <v>13</v>
      </c>
      <c r="I4623" s="4">
        <v>0.136</v>
      </c>
      <c r="J4623" s="4">
        <v>0.017</v>
      </c>
      <c r="K4623" s="6" t="b">
        <f t="shared" ref="K4623:M4623" si="4419">FALSE()</f>
        <v>0</v>
      </c>
      <c r="L4623" s="6" t="b">
        <f t="shared" si="4419"/>
        <v>0</v>
      </c>
      <c r="M4623" s="6" t="b">
        <f t="shared" si="4419"/>
        <v>0</v>
      </c>
      <c r="P4623" s="4">
        <v>0.12751332029896</v>
      </c>
      <c r="T4623" s="4" t="str">
        <f t="shared" si="3"/>
        <v/>
      </c>
      <c r="U4623" s="4">
        <f t="shared" si="4"/>
        <v>3596</v>
      </c>
    </row>
    <row r="4624" ht="15.75" customHeight="1">
      <c r="A4624" s="4" t="s">
        <v>5477</v>
      </c>
      <c r="B4624" s="4" t="s">
        <v>13</v>
      </c>
      <c r="I4624" s="4">
        <v>0.227</v>
      </c>
      <c r="J4624" s="4">
        <v>0.011</v>
      </c>
      <c r="K4624" s="6" t="b">
        <f t="shared" ref="K4624:M4624" si="4420">FALSE()</f>
        <v>0</v>
      </c>
      <c r="L4624" s="6" t="b">
        <f t="shared" si="4420"/>
        <v>0</v>
      </c>
      <c r="M4624" s="6" t="b">
        <f t="shared" si="4420"/>
        <v>0</v>
      </c>
      <c r="P4624" s="4">
        <v>0.204572165728774</v>
      </c>
      <c r="T4624" s="4" t="str">
        <f t="shared" si="3"/>
        <v/>
      </c>
      <c r="U4624" s="4">
        <f t="shared" si="4"/>
        <v>2167</v>
      </c>
    </row>
    <row r="4625" ht="15.75" customHeight="1">
      <c r="A4625" s="4" t="s">
        <v>5478</v>
      </c>
      <c r="B4625" s="4" t="s">
        <v>13</v>
      </c>
      <c r="I4625" s="4">
        <v>0.145</v>
      </c>
      <c r="J4625" s="4">
        <v>0.024</v>
      </c>
      <c r="K4625" s="6" t="b">
        <f t="shared" ref="K4625:M4625" si="4421">FALSE()</f>
        <v>0</v>
      </c>
      <c r="L4625" s="6" t="b">
        <f t="shared" si="4421"/>
        <v>0</v>
      </c>
      <c r="M4625" s="6" t="b">
        <f t="shared" si="4421"/>
        <v>0</v>
      </c>
      <c r="P4625" s="4">
        <v>0.135404637006203</v>
      </c>
      <c r="T4625" s="4" t="str">
        <f t="shared" si="3"/>
        <v/>
      </c>
      <c r="U4625" s="4">
        <f t="shared" si="4"/>
        <v>3427</v>
      </c>
    </row>
    <row r="4626" ht="15.75" customHeight="1">
      <c r="A4626" s="4" t="s">
        <v>5479</v>
      </c>
      <c r="B4626" s="4" t="s">
        <v>13</v>
      </c>
      <c r="I4626" s="4">
        <v>0.265</v>
      </c>
      <c r="J4626" s="4">
        <v>0.011</v>
      </c>
      <c r="K4626" s="6" t="b">
        <f t="shared" ref="K4626:M4626" si="4422">FALSE()</f>
        <v>0</v>
      </c>
      <c r="L4626" s="6" t="b">
        <f t="shared" si="4422"/>
        <v>0</v>
      </c>
      <c r="M4626" s="6" t="b">
        <f t="shared" si="4422"/>
        <v>0</v>
      </c>
      <c r="P4626" s="4">
        <v>0.235072122179484</v>
      </c>
      <c r="T4626" s="4" t="str">
        <f t="shared" si="3"/>
        <v/>
      </c>
      <c r="U4626" s="4">
        <f t="shared" si="4"/>
        <v>1633</v>
      </c>
    </row>
    <row r="4627" ht="15.75" customHeight="1">
      <c r="A4627" s="4" t="s">
        <v>5480</v>
      </c>
      <c r="B4627" s="4" t="s">
        <v>13</v>
      </c>
      <c r="I4627" s="4">
        <v>0.143</v>
      </c>
      <c r="J4627" s="4">
        <v>0.024</v>
      </c>
      <c r="K4627" s="6" t="b">
        <f t="shared" ref="K4627:M4627" si="4423">FALSE()</f>
        <v>0</v>
      </c>
      <c r="L4627" s="6" t="b">
        <f t="shared" si="4423"/>
        <v>0</v>
      </c>
      <c r="M4627" s="6" t="b">
        <f t="shared" si="4423"/>
        <v>0</v>
      </c>
      <c r="P4627" s="4">
        <v>0.133656384812674</v>
      </c>
      <c r="T4627" s="4" t="str">
        <f t="shared" si="3"/>
        <v/>
      </c>
      <c r="U4627" s="4">
        <f t="shared" si="4"/>
        <v>3465</v>
      </c>
    </row>
    <row r="4628" ht="15.75" customHeight="1">
      <c r="A4628" s="4" t="s">
        <v>5481</v>
      </c>
      <c r="B4628" s="4" t="s">
        <v>13</v>
      </c>
      <c r="I4628" s="4">
        <v>0.241</v>
      </c>
      <c r="J4628" s="4">
        <v>0.015</v>
      </c>
      <c r="K4628" s="6" t="b">
        <f t="shared" ref="K4628:M4628" si="4424">FALSE()</f>
        <v>0</v>
      </c>
      <c r="L4628" s="6" t="b">
        <f t="shared" si="4424"/>
        <v>0</v>
      </c>
      <c r="M4628" s="6" t="b">
        <f t="shared" si="4424"/>
        <v>0</v>
      </c>
      <c r="P4628" s="4">
        <v>0.21591750622247</v>
      </c>
      <c r="T4628" s="4" t="str">
        <f t="shared" si="3"/>
        <v/>
      </c>
      <c r="U4628" s="4">
        <f t="shared" si="4"/>
        <v>1939</v>
      </c>
    </row>
    <row r="4629" ht="15.75" customHeight="1">
      <c r="A4629" s="4" t="s">
        <v>5482</v>
      </c>
      <c r="B4629" s="4" t="s">
        <v>13</v>
      </c>
      <c r="I4629" s="4">
        <v>0.177</v>
      </c>
      <c r="J4629" s="4">
        <v>0.022</v>
      </c>
      <c r="K4629" s="6" t="b">
        <f t="shared" ref="K4629:M4629" si="4425">FALSE()</f>
        <v>0</v>
      </c>
      <c r="L4629" s="6" t="b">
        <f t="shared" si="4425"/>
        <v>0</v>
      </c>
      <c r="M4629" s="6" t="b">
        <f t="shared" si="4425"/>
        <v>0</v>
      </c>
      <c r="P4629" s="4">
        <v>0.16296882827814</v>
      </c>
      <c r="T4629" s="4" t="str">
        <f t="shared" si="3"/>
        <v/>
      </c>
      <c r="U4629" s="4">
        <f t="shared" si="4"/>
        <v>2952</v>
      </c>
    </row>
    <row r="4630" ht="15.75" customHeight="1">
      <c r="A4630" s="4" t="s">
        <v>5483</v>
      </c>
      <c r="B4630" s="4" t="s">
        <v>13</v>
      </c>
      <c r="I4630" s="4">
        <v>0.121</v>
      </c>
      <c r="J4630" s="4">
        <v>0.023</v>
      </c>
      <c r="K4630" s="6" t="b">
        <f t="shared" ref="K4630:M4630" si="4426">FALSE()</f>
        <v>0</v>
      </c>
      <c r="L4630" s="6" t="b">
        <f t="shared" si="4426"/>
        <v>0</v>
      </c>
      <c r="M4630" s="6" t="b">
        <f t="shared" si="4426"/>
        <v>0</v>
      </c>
      <c r="P4630" s="4">
        <v>0.114221144090023</v>
      </c>
      <c r="T4630" s="4" t="str">
        <f t="shared" si="3"/>
        <v/>
      </c>
      <c r="U4630" s="4">
        <f t="shared" si="4"/>
        <v>3851</v>
      </c>
    </row>
    <row r="4631" ht="15.75" customHeight="1">
      <c r="A4631" s="4" t="s">
        <v>5484</v>
      </c>
      <c r="B4631" s="4" t="s">
        <v>13</v>
      </c>
      <c r="I4631" s="4">
        <v>0.207</v>
      </c>
      <c r="J4631" s="4">
        <v>0.027</v>
      </c>
      <c r="K4631" s="6" t="b">
        <f t="shared" ref="K4631:M4631" si="4427">FALSE()</f>
        <v>0</v>
      </c>
      <c r="L4631" s="6" t="b">
        <f t="shared" si="4427"/>
        <v>0</v>
      </c>
      <c r="M4631" s="6" t="b">
        <f t="shared" si="4427"/>
        <v>0</v>
      </c>
      <c r="P4631" s="4">
        <v>0.188137942115394</v>
      </c>
      <c r="T4631" s="4" t="str">
        <f t="shared" si="3"/>
        <v/>
      </c>
      <c r="U4631" s="4">
        <f t="shared" si="4"/>
        <v>2471</v>
      </c>
    </row>
    <row r="4632" ht="15.75" customHeight="1">
      <c r="A4632" s="4" t="s">
        <v>5485</v>
      </c>
      <c r="B4632" s="4" t="s">
        <v>13</v>
      </c>
      <c r="I4632" s="4">
        <v>0.2453</v>
      </c>
      <c r="J4632" s="4">
        <v>0.0526</v>
      </c>
      <c r="K4632" s="6" t="b">
        <f t="shared" ref="K4632:M4632" si="4428">FALSE()</f>
        <v>0</v>
      </c>
      <c r="L4632" s="6" t="b">
        <f t="shared" si="4428"/>
        <v>0</v>
      </c>
      <c r="M4632" s="6" t="b">
        <f t="shared" si="4428"/>
        <v>0</v>
      </c>
      <c r="P4632" s="4">
        <v>0.219376464744966</v>
      </c>
      <c r="T4632" s="4" t="str">
        <f t="shared" si="3"/>
        <v/>
      </c>
      <c r="U4632" s="4">
        <f t="shared" si="4"/>
        <v>1868</v>
      </c>
    </row>
    <row r="4633" ht="15.75" customHeight="1">
      <c r="A4633" s="4" t="s">
        <v>1061</v>
      </c>
      <c r="B4633" s="4" t="s">
        <v>13</v>
      </c>
      <c r="C4633" s="4">
        <v>0.0119971</v>
      </c>
      <c r="D4633" s="4">
        <v>0.0018</v>
      </c>
      <c r="E4633" s="4">
        <v>0.0018</v>
      </c>
      <c r="F4633" s="4">
        <v>0.0119955</v>
      </c>
      <c r="G4633" s="4">
        <v>0.0018</v>
      </c>
      <c r="H4633" s="4">
        <v>0.0018</v>
      </c>
      <c r="I4633" s="4">
        <v>0.16166</v>
      </c>
      <c r="J4633" s="4">
        <v>0.01204</v>
      </c>
      <c r="K4633" s="6" t="b">
        <f t="shared" ref="K4633:M4633" si="4429">FALSE()</f>
        <v>0</v>
      </c>
      <c r="L4633" s="6" t="b">
        <f t="shared" si="4429"/>
        <v>0</v>
      </c>
      <c r="M4633" s="6" t="b">
        <f t="shared" si="4429"/>
        <v>0</v>
      </c>
      <c r="N4633" s="4">
        <v>0.0119257052485197</v>
      </c>
      <c r="O4633" s="4">
        <v>0.0119241242150712</v>
      </c>
      <c r="P4633" s="4">
        <v>0.149850016646992</v>
      </c>
      <c r="Q4633" s="4">
        <v>-0.620675892179876</v>
      </c>
      <c r="R4633" s="4">
        <v>-0.644855616278512</v>
      </c>
      <c r="S4633" s="4">
        <v>-1.24163678905599</v>
      </c>
      <c r="T4633" s="4">
        <f t="shared" si="3"/>
        <v>1902</v>
      </c>
      <c r="U4633" s="4">
        <f t="shared" si="4"/>
        <v>3158</v>
      </c>
    </row>
    <row r="4634" ht="15.75" customHeight="1">
      <c r="A4634" s="4" t="s">
        <v>1062</v>
      </c>
      <c r="B4634" s="4" t="s">
        <v>13</v>
      </c>
      <c r="C4634" s="4">
        <v>0.13655</v>
      </c>
      <c r="D4634" s="4">
        <v>0.00629</v>
      </c>
      <c r="E4634" s="4">
        <v>0.00503</v>
      </c>
      <c r="I4634" s="4">
        <v>0.74</v>
      </c>
      <c r="J4634" s="4">
        <v>0.038</v>
      </c>
      <c r="K4634" s="6" t="b">
        <f t="shared" ref="K4634:M4634" si="4430">FALSE()</f>
        <v>0</v>
      </c>
      <c r="L4634" s="6" t="b">
        <f t="shared" si="4430"/>
        <v>0</v>
      </c>
      <c r="M4634" s="6" t="b">
        <f t="shared" si="4430"/>
        <v>0</v>
      </c>
      <c r="N4634" s="4">
        <v>0.127997358063355</v>
      </c>
      <c r="P4634" s="4">
        <v>0.553885113226438</v>
      </c>
      <c r="T4634" s="4">
        <f t="shared" si="3"/>
        <v>1210</v>
      </c>
      <c r="U4634" s="4">
        <f t="shared" si="4"/>
        <v>878</v>
      </c>
    </row>
    <row r="4635" ht="15.75" customHeight="1">
      <c r="A4635" s="4" t="s">
        <v>1063</v>
      </c>
      <c r="B4635" s="4" t="s">
        <v>13</v>
      </c>
      <c r="C4635" s="4">
        <v>0.09408</v>
      </c>
      <c r="D4635" s="4">
        <v>0.00409</v>
      </c>
      <c r="E4635" s="4">
        <v>0.00346</v>
      </c>
      <c r="I4635" s="4">
        <v>0.721</v>
      </c>
      <c r="J4635" s="4">
        <v>0.037</v>
      </c>
      <c r="K4635" s="6" t="b">
        <f t="shared" ref="K4635:M4635" si="4431">FALSE()</f>
        <v>0</v>
      </c>
      <c r="L4635" s="6" t="b">
        <f t="shared" si="4431"/>
        <v>0</v>
      </c>
      <c r="M4635" s="6" t="b">
        <f t="shared" si="4431"/>
        <v>0</v>
      </c>
      <c r="N4635" s="4">
        <v>0.0899138274687994</v>
      </c>
      <c r="P4635" s="4">
        <v>0.542905517229402</v>
      </c>
      <c r="T4635" s="4">
        <f t="shared" si="3"/>
        <v>1269</v>
      </c>
      <c r="U4635" s="4">
        <f t="shared" si="4"/>
        <v>891</v>
      </c>
    </row>
    <row r="4636" ht="15.75" customHeight="1">
      <c r="A4636" s="4" t="s">
        <v>1064</v>
      </c>
      <c r="B4636" s="4" t="s">
        <v>13</v>
      </c>
      <c r="C4636" s="4">
        <v>0.016518264</v>
      </c>
      <c r="D4636" s="4">
        <v>0.005506088</v>
      </c>
      <c r="E4636" s="4">
        <v>0.005506088</v>
      </c>
      <c r="I4636" s="4">
        <v>0.146</v>
      </c>
      <c r="J4636" s="4">
        <v>0.012</v>
      </c>
      <c r="K4636" s="6" t="b">
        <f t="shared" ref="K4636:M4636" si="4432">FALSE()</f>
        <v>0</v>
      </c>
      <c r="L4636" s="6" t="b">
        <f t="shared" si="4432"/>
        <v>0</v>
      </c>
      <c r="M4636" s="6" t="b">
        <f t="shared" si="4432"/>
        <v>0</v>
      </c>
      <c r="N4636" s="4">
        <v>0.0163833214605116</v>
      </c>
      <c r="P4636" s="4">
        <v>0.136277618292548</v>
      </c>
      <c r="T4636" s="4">
        <f t="shared" si="3"/>
        <v>1798</v>
      </c>
      <c r="U4636" s="4">
        <f t="shared" si="4"/>
        <v>3403</v>
      </c>
    </row>
    <row r="4637" ht="15.75" customHeight="1">
      <c r="A4637" s="4" t="s">
        <v>5486</v>
      </c>
      <c r="B4637" s="4" t="s">
        <v>13</v>
      </c>
      <c r="I4637" s="4">
        <v>0.65</v>
      </c>
      <c r="J4637" s="4">
        <v>0.23</v>
      </c>
      <c r="K4637" s="6" t="b">
        <f t="shared" ref="K4637:M4637" si="4433">FALSE()</f>
        <v>0</v>
      </c>
      <c r="L4637" s="6" t="b">
        <f t="shared" si="4433"/>
        <v>0</v>
      </c>
      <c r="M4637" s="6" t="b">
        <f t="shared" si="4433"/>
        <v>0</v>
      </c>
      <c r="P4637" s="4">
        <v>0.500775287912489</v>
      </c>
      <c r="T4637" s="4" t="str">
        <f t="shared" si="3"/>
        <v/>
      </c>
      <c r="U4637" s="4">
        <f t="shared" si="4"/>
        <v>914</v>
      </c>
    </row>
    <row r="4638" ht="15.75" customHeight="1">
      <c r="A4638" s="4" t="s">
        <v>5487</v>
      </c>
      <c r="B4638" s="4" t="s">
        <v>13</v>
      </c>
      <c r="I4638" s="4">
        <v>0.36</v>
      </c>
      <c r="J4638" s="4">
        <v>0.025</v>
      </c>
      <c r="K4638" s="6" t="b">
        <f t="shared" ref="K4638:M4638" si="4434">FALSE()</f>
        <v>0</v>
      </c>
      <c r="L4638" s="6" t="b">
        <f t="shared" si="4434"/>
        <v>0</v>
      </c>
      <c r="M4638" s="6" t="b">
        <f t="shared" si="4434"/>
        <v>0</v>
      </c>
      <c r="P4638" s="4">
        <v>0.307484699747961</v>
      </c>
      <c r="T4638" s="4" t="str">
        <f t="shared" si="3"/>
        <v/>
      </c>
      <c r="U4638" s="4">
        <f t="shared" si="4"/>
        <v>1185</v>
      </c>
    </row>
    <row r="4639" ht="15.75" customHeight="1">
      <c r="A4639" s="4" t="s">
        <v>5488</v>
      </c>
      <c r="B4639" s="4" t="s">
        <v>13</v>
      </c>
      <c r="I4639" s="4">
        <v>0.228</v>
      </c>
      <c r="J4639" s="4">
        <v>0.037</v>
      </c>
      <c r="K4639" s="6" t="b">
        <f t="shared" ref="K4639:M4639" si="4435">FALSE()</f>
        <v>0</v>
      </c>
      <c r="L4639" s="6" t="b">
        <f t="shared" si="4435"/>
        <v>0</v>
      </c>
      <c r="M4639" s="6" t="b">
        <f t="shared" si="4435"/>
        <v>0</v>
      </c>
      <c r="P4639" s="4">
        <v>0.205386829724951</v>
      </c>
      <c r="T4639" s="4" t="str">
        <f t="shared" si="3"/>
        <v/>
      </c>
      <c r="U4639" s="4">
        <f t="shared" si="4"/>
        <v>2146</v>
      </c>
    </row>
    <row r="4640" ht="15.75" customHeight="1">
      <c r="A4640" s="4" t="s">
        <v>5489</v>
      </c>
      <c r="B4640" s="4" t="s">
        <v>13</v>
      </c>
      <c r="F4640" s="4">
        <v>10.0</v>
      </c>
      <c r="K4640" s="6" t="b">
        <f t="shared" ref="K4640:K4653" si="4436">FALSE()</f>
        <v>0</v>
      </c>
      <c r="L4640" s="6" t="b">
        <f>TRUE()</f>
        <v>1</v>
      </c>
      <c r="M4640" s="6" t="b">
        <f>FALSE()</f>
        <v>0</v>
      </c>
      <c r="O4640" s="4">
        <v>2.39789527279837</v>
      </c>
      <c r="T4640" s="4" t="str">
        <f t="shared" si="3"/>
        <v/>
      </c>
      <c r="U4640" s="4" t="str">
        <f t="shared" si="4"/>
        <v/>
      </c>
    </row>
    <row r="4641" ht="15.75" customHeight="1">
      <c r="A4641" s="4" t="s">
        <v>5490</v>
      </c>
      <c r="B4641" s="4" t="s">
        <v>13</v>
      </c>
      <c r="I4641" s="4">
        <v>0.62</v>
      </c>
      <c r="J4641" s="4">
        <v>0.14</v>
      </c>
      <c r="K4641" s="6" t="b">
        <f t="shared" si="4436"/>
        <v>0</v>
      </c>
      <c r="L4641" s="6" t="b">
        <f t="shared" ref="L4641:M4641" si="4437">FALSE()</f>
        <v>0</v>
      </c>
      <c r="M4641" s="6" t="b">
        <f t="shared" si="4437"/>
        <v>0</v>
      </c>
      <c r="P4641" s="4">
        <v>0.482426149244293</v>
      </c>
      <c r="T4641" s="4" t="str">
        <f t="shared" si="3"/>
        <v/>
      </c>
      <c r="U4641" s="4">
        <f t="shared" si="4"/>
        <v>935</v>
      </c>
    </row>
    <row r="4642" ht="15.75" customHeight="1">
      <c r="A4642" s="4" t="s">
        <v>5491</v>
      </c>
      <c r="B4642" s="4" t="s">
        <v>13</v>
      </c>
      <c r="I4642" s="4">
        <v>0.51</v>
      </c>
      <c r="J4642" s="4">
        <v>0.37</v>
      </c>
      <c r="K4642" s="6" t="b">
        <f t="shared" si="4436"/>
        <v>0</v>
      </c>
      <c r="L4642" s="6" t="b">
        <f t="shared" ref="L4642:M4642" si="4438">FALSE()</f>
        <v>0</v>
      </c>
      <c r="M4642" s="6" t="b">
        <f t="shared" si="4438"/>
        <v>0</v>
      </c>
      <c r="P4642" s="4">
        <v>0.412109650826833</v>
      </c>
      <c r="T4642" s="4" t="str">
        <f t="shared" si="3"/>
        <v/>
      </c>
      <c r="U4642" s="4">
        <f t="shared" si="4"/>
        <v>1005</v>
      </c>
    </row>
    <row r="4643" ht="15.75" customHeight="1">
      <c r="A4643" s="4" t="s">
        <v>5492</v>
      </c>
      <c r="B4643" s="4" t="s">
        <v>13</v>
      </c>
      <c r="I4643" s="4">
        <v>0.11</v>
      </c>
      <c r="J4643" s="4">
        <v>0.04</v>
      </c>
      <c r="K4643" s="6" t="b">
        <f t="shared" si="4436"/>
        <v>0</v>
      </c>
      <c r="L4643" s="6" t="b">
        <f t="shared" ref="L4643:M4643" si="4439">FALSE()</f>
        <v>0</v>
      </c>
      <c r="M4643" s="6" t="b">
        <f t="shared" si="4439"/>
        <v>0</v>
      </c>
      <c r="P4643" s="4">
        <v>0.104360015324243</v>
      </c>
      <c r="T4643" s="4" t="str">
        <f t="shared" si="3"/>
        <v/>
      </c>
      <c r="U4643" s="4">
        <f t="shared" si="4"/>
        <v>4053</v>
      </c>
    </row>
    <row r="4644" ht="15.75" customHeight="1">
      <c r="A4644" s="4" t="s">
        <v>5493</v>
      </c>
      <c r="B4644" s="4" t="s">
        <v>13</v>
      </c>
      <c r="I4644" s="4">
        <v>1.14</v>
      </c>
      <c r="J4644" s="4">
        <v>0.23</v>
      </c>
      <c r="K4644" s="6" t="b">
        <f t="shared" si="4436"/>
        <v>0</v>
      </c>
      <c r="L4644" s="6" t="b">
        <f t="shared" ref="L4644:L4654" si="4440">FALSE()</f>
        <v>0</v>
      </c>
      <c r="M4644" s="6" t="b">
        <f>TRUE()</f>
        <v>1</v>
      </c>
      <c r="P4644" s="4">
        <v>0.76080582903376</v>
      </c>
      <c r="T4644" s="4" t="str">
        <f t="shared" si="3"/>
        <v/>
      </c>
      <c r="U4644" s="4">
        <f t="shared" si="4"/>
        <v>458</v>
      </c>
    </row>
    <row r="4645" ht="15.75" customHeight="1">
      <c r="A4645" s="4" t="s">
        <v>5494</v>
      </c>
      <c r="B4645" s="4" t="s">
        <v>13</v>
      </c>
      <c r="I4645" s="4">
        <v>0.74</v>
      </c>
      <c r="J4645" s="4">
        <v>0.11</v>
      </c>
      <c r="K4645" s="6" t="b">
        <f t="shared" si="4436"/>
        <v>0</v>
      </c>
      <c r="L4645" s="6" t="b">
        <f t="shared" si="4440"/>
        <v>0</v>
      </c>
      <c r="M4645" s="6" t="b">
        <f t="shared" ref="M4645:M4647" si="4441">FALSE()</f>
        <v>0</v>
      </c>
      <c r="P4645" s="4">
        <v>0.553885113226438</v>
      </c>
      <c r="T4645" s="4" t="str">
        <f t="shared" si="3"/>
        <v/>
      </c>
      <c r="U4645" s="4">
        <f t="shared" si="4"/>
        <v>879</v>
      </c>
    </row>
    <row r="4646" ht="15.75" customHeight="1">
      <c r="A4646" s="4" t="s">
        <v>5495</v>
      </c>
      <c r="B4646" s="4" t="s">
        <v>13</v>
      </c>
      <c r="F4646" s="4">
        <v>5.0</v>
      </c>
      <c r="K4646" s="6" t="b">
        <f t="shared" si="4436"/>
        <v>0</v>
      </c>
      <c r="L4646" s="6" t="b">
        <f t="shared" si="4440"/>
        <v>0</v>
      </c>
      <c r="M4646" s="6" t="b">
        <f t="shared" si="4441"/>
        <v>0</v>
      </c>
      <c r="O4646" s="4">
        <v>1.79175946922806</v>
      </c>
      <c r="T4646" s="4" t="str">
        <f t="shared" si="3"/>
        <v/>
      </c>
      <c r="U4646" s="4" t="str">
        <f t="shared" si="4"/>
        <v/>
      </c>
    </row>
    <row r="4647" ht="15.75" customHeight="1">
      <c r="A4647" s="4" t="s">
        <v>5496</v>
      </c>
      <c r="B4647" s="4" t="s">
        <v>13</v>
      </c>
      <c r="F4647" s="4">
        <v>2.6</v>
      </c>
      <c r="K4647" s="6" t="b">
        <f t="shared" si="4436"/>
        <v>0</v>
      </c>
      <c r="L4647" s="6" t="b">
        <f t="shared" si="4440"/>
        <v>0</v>
      </c>
      <c r="M4647" s="6" t="b">
        <f t="shared" si="4441"/>
        <v>0</v>
      </c>
      <c r="O4647" s="4">
        <v>1.28093384546206</v>
      </c>
      <c r="T4647" s="4" t="str">
        <f t="shared" si="3"/>
        <v/>
      </c>
      <c r="U4647" s="4" t="str">
        <f t="shared" si="4"/>
        <v/>
      </c>
    </row>
    <row r="4648" ht="15.75" customHeight="1">
      <c r="A4648" s="4" t="s">
        <v>5497</v>
      </c>
      <c r="B4648" s="4" t="s">
        <v>13</v>
      </c>
      <c r="I4648" s="4">
        <v>1.124</v>
      </c>
      <c r="J4648" s="4">
        <v>0.616</v>
      </c>
      <c r="K4648" s="6" t="b">
        <f t="shared" si="4436"/>
        <v>0</v>
      </c>
      <c r="L4648" s="6" t="b">
        <f t="shared" si="4440"/>
        <v>0</v>
      </c>
      <c r="M4648" s="6" t="b">
        <f>TRUE()</f>
        <v>1</v>
      </c>
      <c r="P4648" s="4">
        <v>0.753301103379693</v>
      </c>
      <c r="T4648" s="4" t="str">
        <f t="shared" si="3"/>
        <v/>
      </c>
      <c r="U4648" s="4">
        <f t="shared" si="4"/>
        <v>485</v>
      </c>
    </row>
    <row r="4649" ht="15.75" customHeight="1">
      <c r="A4649" s="4" t="s">
        <v>5498</v>
      </c>
      <c r="B4649" s="4" t="s">
        <v>13</v>
      </c>
      <c r="I4649" s="4">
        <v>0.34</v>
      </c>
      <c r="J4649" s="4">
        <v>0.096</v>
      </c>
      <c r="K4649" s="6" t="b">
        <f t="shared" si="4436"/>
        <v>0</v>
      </c>
      <c r="L4649" s="6" t="b">
        <f t="shared" si="4440"/>
        <v>0</v>
      </c>
      <c r="M4649" s="6" t="b">
        <f t="shared" ref="M4649:M4654" si="4442">FALSE()</f>
        <v>0</v>
      </c>
      <c r="P4649" s="4">
        <v>0.29266961396282</v>
      </c>
      <c r="T4649" s="4" t="str">
        <f t="shared" si="3"/>
        <v/>
      </c>
      <c r="U4649" s="4">
        <f t="shared" si="4"/>
        <v>1236</v>
      </c>
    </row>
    <row r="4650" ht="15.75" customHeight="1">
      <c r="A4650" s="4" t="s">
        <v>5499</v>
      </c>
      <c r="B4650" s="4" t="s">
        <v>13</v>
      </c>
      <c r="I4650" s="4">
        <v>0.4</v>
      </c>
      <c r="J4650" s="4">
        <v>0.09</v>
      </c>
      <c r="K4650" s="6" t="b">
        <f t="shared" si="4436"/>
        <v>0</v>
      </c>
      <c r="L4650" s="6" t="b">
        <f t="shared" si="4440"/>
        <v>0</v>
      </c>
      <c r="M4650" s="6" t="b">
        <f t="shared" si="4442"/>
        <v>0</v>
      </c>
      <c r="P4650" s="4">
        <v>0.336472236621213</v>
      </c>
      <c r="T4650" s="4" t="str">
        <f t="shared" si="3"/>
        <v/>
      </c>
      <c r="U4650" s="4">
        <f t="shared" si="4"/>
        <v>1119</v>
      </c>
    </row>
    <row r="4651" ht="15.75" customHeight="1">
      <c r="A4651" s="4" t="s">
        <v>5500</v>
      </c>
      <c r="B4651" s="4" t="s">
        <v>13</v>
      </c>
      <c r="C4651" s="4">
        <v>0.051</v>
      </c>
      <c r="D4651" s="4">
        <v>0.044</v>
      </c>
      <c r="E4651" s="4">
        <v>0.044</v>
      </c>
      <c r="K4651" s="6" t="b">
        <f t="shared" si="4436"/>
        <v>0</v>
      </c>
      <c r="L4651" s="6" t="b">
        <f t="shared" si="4440"/>
        <v>0</v>
      </c>
      <c r="M4651" s="6" t="b">
        <f t="shared" si="4442"/>
        <v>0</v>
      </c>
      <c r="N4651" s="4">
        <v>0.049742091894814</v>
      </c>
      <c r="T4651" s="4">
        <f t="shared" si="3"/>
        <v>1401</v>
      </c>
      <c r="U4651" s="4" t="str">
        <f t="shared" si="4"/>
        <v/>
      </c>
    </row>
    <row r="4652" ht="15.75" customHeight="1">
      <c r="A4652" s="4" t="s">
        <v>5501</v>
      </c>
      <c r="B4652" s="4" t="s">
        <v>13</v>
      </c>
      <c r="C4652" s="4">
        <v>0.0073</v>
      </c>
      <c r="D4652" s="4">
        <v>0.00585</v>
      </c>
      <c r="E4652" s="4">
        <v>0.02338</v>
      </c>
      <c r="K4652" s="6" t="b">
        <f t="shared" si="4436"/>
        <v>0</v>
      </c>
      <c r="L4652" s="6" t="b">
        <f t="shared" si="4440"/>
        <v>0</v>
      </c>
      <c r="M4652" s="6" t="b">
        <f t="shared" si="4442"/>
        <v>0</v>
      </c>
      <c r="N4652" s="4">
        <v>0.0072734839664983</v>
      </c>
      <c r="T4652" s="4">
        <f t="shared" si="3"/>
        <v>1982</v>
      </c>
      <c r="U4652" s="4" t="str">
        <f t="shared" si="4"/>
        <v/>
      </c>
    </row>
    <row r="4653" ht="15.75" customHeight="1">
      <c r="A4653" s="4" t="s">
        <v>5502</v>
      </c>
      <c r="B4653" s="4" t="s">
        <v>13</v>
      </c>
      <c r="C4653" s="4">
        <v>3.283</v>
      </c>
      <c r="D4653" s="4">
        <v>1.835</v>
      </c>
      <c r="E4653" s="4">
        <v>3.468</v>
      </c>
      <c r="K4653" s="6" t="b">
        <f t="shared" si="4436"/>
        <v>0</v>
      </c>
      <c r="L4653" s="6" t="b">
        <f t="shared" si="4440"/>
        <v>0</v>
      </c>
      <c r="M4653" s="6" t="b">
        <f t="shared" si="4442"/>
        <v>0</v>
      </c>
      <c r="N4653" s="4">
        <v>1.45465369863323</v>
      </c>
      <c r="T4653" s="4">
        <f t="shared" si="3"/>
        <v>304</v>
      </c>
      <c r="U4653" s="4" t="str">
        <f t="shared" si="4"/>
        <v/>
      </c>
    </row>
    <row r="4654" ht="15.75" customHeight="1">
      <c r="A4654" s="4" t="s">
        <v>5503</v>
      </c>
      <c r="B4654" s="4" t="s">
        <v>13</v>
      </c>
      <c r="C4654" s="4">
        <v>7.0</v>
      </c>
      <c r="D4654" s="4">
        <v>4.3</v>
      </c>
      <c r="E4654" s="4">
        <v>5.2</v>
      </c>
      <c r="K4654" s="6" t="b">
        <f>TRUE()</f>
        <v>1</v>
      </c>
      <c r="L4654" s="6" t="b">
        <f t="shared" si="4440"/>
        <v>0</v>
      </c>
      <c r="M4654" s="6" t="b">
        <f t="shared" si="4442"/>
        <v>0</v>
      </c>
      <c r="N4654" s="4">
        <v>2.07944154167984</v>
      </c>
      <c r="T4654" s="4">
        <f t="shared" si="3"/>
        <v>132</v>
      </c>
      <c r="U4654" s="4" t="str">
        <f t="shared" si="4"/>
        <v/>
      </c>
    </row>
    <row r="4655" ht="15.75" customHeight="1">
      <c r="A4655" s="4" t="s">
        <v>5504</v>
      </c>
      <c r="B4655" s="4" t="s">
        <v>13</v>
      </c>
      <c r="C4655" s="4">
        <v>1.2</v>
      </c>
      <c r="D4655" s="4">
        <v>1.19</v>
      </c>
      <c r="E4655" s="4">
        <v>1.21</v>
      </c>
      <c r="K4655" s="6" t="b">
        <f t="shared" ref="K4655:M4655" si="4443">FALSE()</f>
        <v>0</v>
      </c>
      <c r="L4655" s="6" t="b">
        <f t="shared" si="4443"/>
        <v>0</v>
      </c>
      <c r="M4655" s="6" t="b">
        <f t="shared" si="4443"/>
        <v>0</v>
      </c>
      <c r="N4655" s="4">
        <v>0.78845736036427</v>
      </c>
      <c r="T4655" s="4">
        <f t="shared" si="3"/>
        <v>587</v>
      </c>
      <c r="U4655" s="4" t="str">
        <f t="shared" si="4"/>
        <v/>
      </c>
    </row>
    <row r="4656" ht="15.75" customHeight="1">
      <c r="A4656" s="4" t="s">
        <v>5505</v>
      </c>
      <c r="B4656" s="4" t="s">
        <v>13</v>
      </c>
      <c r="C4656" s="4">
        <v>2.2</v>
      </c>
      <c r="D4656" s="4">
        <v>1.1</v>
      </c>
      <c r="E4656" s="4">
        <v>1.9</v>
      </c>
      <c r="K4656" s="6" t="b">
        <f t="shared" ref="K4656:M4656" si="4444">FALSE()</f>
        <v>0</v>
      </c>
      <c r="L4656" s="6" t="b">
        <f t="shared" si="4444"/>
        <v>0</v>
      </c>
      <c r="M4656" s="6" t="b">
        <f t="shared" si="4444"/>
        <v>0</v>
      </c>
      <c r="N4656" s="4">
        <v>1.16315080980568</v>
      </c>
      <c r="T4656" s="4">
        <f t="shared" si="3"/>
        <v>414</v>
      </c>
      <c r="U4656" s="4" t="str">
        <f t="shared" si="4"/>
        <v/>
      </c>
    </row>
    <row r="4657" ht="15.75" customHeight="1">
      <c r="A4657" s="4" t="s">
        <v>5506</v>
      </c>
      <c r="B4657" s="4" t="s">
        <v>13</v>
      </c>
      <c r="C4657" s="4">
        <v>3.58</v>
      </c>
      <c r="D4657" s="4">
        <v>1.22</v>
      </c>
      <c r="E4657" s="4">
        <v>1.22</v>
      </c>
      <c r="K4657" s="6" t="b">
        <f t="shared" ref="K4657:M4657" si="4445">FALSE()</f>
        <v>0</v>
      </c>
      <c r="L4657" s="6" t="b">
        <f t="shared" si="4445"/>
        <v>0</v>
      </c>
      <c r="M4657" s="6" t="b">
        <f t="shared" si="4445"/>
        <v>0</v>
      </c>
      <c r="N4657" s="4">
        <v>1.52169899812609</v>
      </c>
      <c r="T4657" s="4">
        <f t="shared" si="3"/>
        <v>289</v>
      </c>
      <c r="U4657" s="4" t="str">
        <f t="shared" si="4"/>
        <v/>
      </c>
    </row>
    <row r="4658" ht="15.75" customHeight="1">
      <c r="A4658" s="4" t="s">
        <v>5507</v>
      </c>
      <c r="B4658" s="4" t="s">
        <v>13</v>
      </c>
      <c r="C4658" s="4">
        <v>3.93</v>
      </c>
      <c r="D4658" s="4">
        <v>2.17</v>
      </c>
      <c r="E4658" s="4">
        <v>3.16</v>
      </c>
      <c r="K4658" s="6" t="b">
        <f>TRUE()</f>
        <v>1</v>
      </c>
      <c r="L4658" s="6" t="b">
        <f t="shared" ref="L4658:M4658" si="4446">FALSE()</f>
        <v>0</v>
      </c>
      <c r="M4658" s="6" t="b">
        <f t="shared" si="4446"/>
        <v>0</v>
      </c>
      <c r="N4658" s="4">
        <v>1.5953389880546</v>
      </c>
      <c r="T4658" s="4">
        <f t="shared" si="3"/>
        <v>263</v>
      </c>
      <c r="U4658" s="4" t="str">
        <f t="shared" si="4"/>
        <v/>
      </c>
    </row>
    <row r="4659" ht="15.75" customHeight="1">
      <c r="A4659" s="4" t="s">
        <v>5508</v>
      </c>
      <c r="B4659" s="4" t="s">
        <v>13</v>
      </c>
      <c r="C4659" s="4">
        <v>2.42</v>
      </c>
      <c r="D4659" s="4">
        <v>1.16</v>
      </c>
      <c r="E4659" s="4">
        <v>1.16</v>
      </c>
      <c r="K4659" s="6" t="b">
        <f t="shared" ref="K4659:M4659" si="4447">FALSE()</f>
        <v>0</v>
      </c>
      <c r="L4659" s="6" t="b">
        <f t="shared" si="4447"/>
        <v>0</v>
      </c>
      <c r="M4659" s="6" t="b">
        <f t="shared" si="4447"/>
        <v>0</v>
      </c>
      <c r="N4659" s="4">
        <v>1.22964055107451</v>
      </c>
      <c r="T4659" s="4">
        <f t="shared" si="3"/>
        <v>381</v>
      </c>
      <c r="U4659" s="4" t="str">
        <f t="shared" si="4"/>
        <v/>
      </c>
    </row>
    <row r="4660" ht="15.75" customHeight="1">
      <c r="A4660" s="4" t="s">
        <v>5509</v>
      </c>
      <c r="B4660" s="4" t="s">
        <v>13</v>
      </c>
      <c r="C4660" s="4">
        <v>0.771</v>
      </c>
      <c r="D4660" s="4">
        <v>0.401</v>
      </c>
      <c r="E4660" s="4">
        <v>1.183</v>
      </c>
      <c r="K4660" s="6" t="b">
        <f t="shared" ref="K4660:M4660" si="4448">FALSE()</f>
        <v>0</v>
      </c>
      <c r="L4660" s="6" t="b">
        <f t="shared" si="4448"/>
        <v>0</v>
      </c>
      <c r="M4660" s="6" t="b">
        <f t="shared" si="4448"/>
        <v>0</v>
      </c>
      <c r="N4660" s="4">
        <v>0.571544358800697</v>
      </c>
      <c r="T4660" s="4">
        <f t="shared" si="3"/>
        <v>784</v>
      </c>
      <c r="U4660" s="4" t="str">
        <f t="shared" si="4"/>
        <v/>
      </c>
    </row>
    <row r="4661" ht="15.75" customHeight="1">
      <c r="A4661" s="4" t="s">
        <v>5510</v>
      </c>
      <c r="B4661" s="4" t="s">
        <v>13</v>
      </c>
      <c r="C4661" s="4">
        <v>0.107</v>
      </c>
      <c r="D4661" s="4">
        <v>0.038</v>
      </c>
      <c r="E4661" s="4">
        <v>0.047</v>
      </c>
      <c r="K4661" s="6" t="b">
        <f t="shared" ref="K4661:M4661" si="4449">FALSE()</f>
        <v>0</v>
      </c>
      <c r="L4661" s="6" t="b">
        <f t="shared" si="4449"/>
        <v>0</v>
      </c>
      <c r="M4661" s="6" t="b">
        <f t="shared" si="4449"/>
        <v>0</v>
      </c>
      <c r="N4661" s="4">
        <v>0.1016536537265</v>
      </c>
      <c r="T4661" s="4">
        <f t="shared" si="3"/>
        <v>1253</v>
      </c>
      <c r="U4661" s="4" t="str">
        <f t="shared" si="4"/>
        <v/>
      </c>
    </row>
    <row r="4662" ht="15.75" customHeight="1">
      <c r="A4662" s="4" t="s">
        <v>5511</v>
      </c>
      <c r="B4662" s="4" t="s">
        <v>13</v>
      </c>
      <c r="C4662" s="4">
        <v>0.01114</v>
      </c>
      <c r="D4662" s="4">
        <v>0.00513</v>
      </c>
      <c r="E4662" s="4">
        <v>0.00614</v>
      </c>
      <c r="K4662" s="6" t="b">
        <f t="shared" ref="K4662:M4662" si="4450">FALSE()</f>
        <v>0</v>
      </c>
      <c r="L4662" s="6" t="b">
        <f t="shared" si="4450"/>
        <v>0</v>
      </c>
      <c r="M4662" s="6" t="b">
        <f t="shared" si="4450"/>
        <v>0</v>
      </c>
      <c r="N4662" s="4">
        <v>0.0110784072070009</v>
      </c>
      <c r="T4662" s="4">
        <f t="shared" si="3"/>
        <v>1915</v>
      </c>
      <c r="U4662" s="4" t="str">
        <f t="shared" si="4"/>
        <v/>
      </c>
    </row>
    <row r="4663" ht="15.75" customHeight="1">
      <c r="A4663" s="4" t="s">
        <v>5512</v>
      </c>
      <c r="B4663" s="4" t="s">
        <v>13</v>
      </c>
      <c r="C4663" s="4">
        <v>3.67</v>
      </c>
      <c r="D4663" s="4">
        <v>3.1</v>
      </c>
      <c r="E4663" s="4">
        <v>3.2</v>
      </c>
      <c r="K4663" s="6" t="b">
        <f>TRUE()</f>
        <v>1</v>
      </c>
      <c r="L4663" s="6" t="b">
        <f t="shared" ref="L4663:M4663" si="4451">FALSE()</f>
        <v>0</v>
      </c>
      <c r="M4663" s="6" t="b">
        <f t="shared" si="4451"/>
        <v>0</v>
      </c>
      <c r="N4663" s="4">
        <v>1.54115907168081</v>
      </c>
      <c r="T4663" s="4">
        <f t="shared" si="3"/>
        <v>278</v>
      </c>
      <c r="U4663" s="4" t="str">
        <f t="shared" si="4"/>
        <v/>
      </c>
    </row>
    <row r="4664" ht="15.75" customHeight="1">
      <c r="A4664" s="4" t="s">
        <v>5513</v>
      </c>
      <c r="B4664" s="4" t="s">
        <v>13</v>
      </c>
      <c r="C4664" s="4">
        <v>0.02011</v>
      </c>
      <c r="D4664" s="4">
        <v>0.009</v>
      </c>
      <c r="E4664" s="4">
        <v>0.0245</v>
      </c>
      <c r="K4664" s="6" t="b">
        <f t="shared" ref="K4664:M4664" si="4452">FALSE()</f>
        <v>0</v>
      </c>
      <c r="L4664" s="6" t="b">
        <f t="shared" si="4452"/>
        <v>0</v>
      </c>
      <c r="M4664" s="6" t="b">
        <f t="shared" si="4452"/>
        <v>0</v>
      </c>
      <c r="N4664" s="4">
        <v>0.0199104646187815</v>
      </c>
      <c r="T4664" s="4">
        <f t="shared" si="3"/>
        <v>1727</v>
      </c>
      <c r="U4664" s="4" t="str">
        <f t="shared" si="4"/>
        <v/>
      </c>
    </row>
    <row r="4665" ht="15.75" customHeight="1">
      <c r="A4665" s="4" t="s">
        <v>5514</v>
      </c>
      <c r="B4665" s="4" t="s">
        <v>13</v>
      </c>
      <c r="C4665" s="4">
        <v>0.01633</v>
      </c>
      <c r="D4665" s="4">
        <v>0.0088</v>
      </c>
      <c r="E4665" s="4">
        <v>0.01696</v>
      </c>
      <c r="K4665" s="6" t="b">
        <f t="shared" ref="K4665:M4665" si="4453">FALSE()</f>
        <v>0</v>
      </c>
      <c r="L4665" s="6" t="b">
        <f t="shared" si="4453"/>
        <v>0</v>
      </c>
      <c r="M4665" s="6" t="b">
        <f t="shared" si="4453"/>
        <v>0</v>
      </c>
      <c r="N4665" s="4">
        <v>0.0161980995687726</v>
      </c>
      <c r="T4665" s="4">
        <f t="shared" si="3"/>
        <v>1801</v>
      </c>
      <c r="U4665" s="4" t="str">
        <f t="shared" si="4"/>
        <v/>
      </c>
    </row>
    <row r="4666" ht="15.75" customHeight="1">
      <c r="A4666" s="4" t="s">
        <v>5515</v>
      </c>
      <c r="B4666" s="4" t="s">
        <v>13</v>
      </c>
      <c r="C4666" s="4">
        <v>2.4</v>
      </c>
      <c r="D4666" s="4">
        <v>1.4</v>
      </c>
      <c r="E4666" s="4">
        <v>1.8</v>
      </c>
      <c r="K4666" s="6" t="b">
        <f t="shared" ref="K4666:M4666" si="4454">FALSE()</f>
        <v>0</v>
      </c>
      <c r="L4666" s="6" t="b">
        <f t="shared" si="4454"/>
        <v>0</v>
      </c>
      <c r="M4666" s="6" t="b">
        <f t="shared" si="4454"/>
        <v>0</v>
      </c>
      <c r="N4666" s="4">
        <v>1.22377543162212</v>
      </c>
      <c r="T4666" s="4">
        <f t="shared" si="3"/>
        <v>385</v>
      </c>
      <c r="U4666" s="4" t="str">
        <f t="shared" si="4"/>
        <v/>
      </c>
    </row>
    <row r="4667" ht="15.75" customHeight="1">
      <c r="A4667" s="4" t="s">
        <v>5516</v>
      </c>
      <c r="B4667" s="4" t="s">
        <v>13</v>
      </c>
      <c r="C4667" s="4">
        <v>0.0739</v>
      </c>
      <c r="D4667" s="4">
        <v>0.038</v>
      </c>
      <c r="E4667" s="4">
        <v>0.047</v>
      </c>
      <c r="K4667" s="6" t="b">
        <f t="shared" ref="K4667:M4667" si="4455">FALSE()</f>
        <v>0</v>
      </c>
      <c r="L4667" s="6" t="b">
        <f t="shared" si="4455"/>
        <v>0</v>
      </c>
      <c r="M4667" s="6" t="b">
        <f t="shared" si="4455"/>
        <v>0</v>
      </c>
      <c r="N4667" s="4">
        <v>0.0712968818820337</v>
      </c>
      <c r="T4667" s="4">
        <f t="shared" si="3"/>
        <v>1312</v>
      </c>
      <c r="U4667" s="4" t="str">
        <f t="shared" si="4"/>
        <v/>
      </c>
    </row>
    <row r="4668" ht="15.75" customHeight="1">
      <c r="A4668" s="4" t="s">
        <v>5517</v>
      </c>
      <c r="B4668" s="4" t="s">
        <v>13</v>
      </c>
      <c r="C4668" s="4">
        <v>0.85</v>
      </c>
      <c r="D4668" s="4">
        <v>0.52</v>
      </c>
      <c r="E4668" s="4">
        <v>0.76</v>
      </c>
      <c r="K4668" s="6" t="b">
        <f t="shared" ref="K4668:M4668" si="4456">FALSE()</f>
        <v>0</v>
      </c>
      <c r="L4668" s="6" t="b">
        <f t="shared" si="4456"/>
        <v>0</v>
      </c>
      <c r="M4668" s="6" t="b">
        <f t="shared" si="4456"/>
        <v>0</v>
      </c>
      <c r="N4668" s="4">
        <v>0.615185639090234</v>
      </c>
      <c r="T4668" s="4">
        <f t="shared" si="3"/>
        <v>739</v>
      </c>
      <c r="U4668" s="4" t="str">
        <f t="shared" si="4"/>
        <v/>
      </c>
    </row>
    <row r="4669" ht="15.75" customHeight="1">
      <c r="A4669" s="4" t="s">
        <v>5518</v>
      </c>
      <c r="B4669" s="4" t="s">
        <v>13</v>
      </c>
      <c r="C4669" s="4">
        <v>3.54</v>
      </c>
      <c r="D4669" s="4">
        <v>1.63</v>
      </c>
      <c r="E4669" s="4">
        <v>1.95</v>
      </c>
      <c r="K4669" s="6" t="b">
        <f t="shared" ref="K4669:M4669" si="4457">FALSE()</f>
        <v>0</v>
      </c>
      <c r="L4669" s="6" t="b">
        <f t="shared" si="4457"/>
        <v>0</v>
      </c>
      <c r="M4669" s="6" t="b">
        <f t="shared" si="4457"/>
        <v>0</v>
      </c>
      <c r="N4669" s="4">
        <v>1.51292701205326</v>
      </c>
      <c r="T4669" s="4">
        <f t="shared" si="3"/>
        <v>290</v>
      </c>
      <c r="U4669" s="4" t="str">
        <f t="shared" si="4"/>
        <v/>
      </c>
    </row>
    <row r="4670" ht="15.75" customHeight="1">
      <c r="A4670" s="4" t="s">
        <v>5519</v>
      </c>
      <c r="B4670" s="4" t="s">
        <v>13</v>
      </c>
      <c r="C4670" s="4">
        <v>8.84</v>
      </c>
      <c r="D4670" s="4">
        <v>4.9</v>
      </c>
      <c r="E4670" s="4">
        <v>8.3</v>
      </c>
      <c r="K4670" s="6" t="b">
        <f>TRUE()</f>
        <v>1</v>
      </c>
      <c r="L4670" s="6" t="b">
        <f t="shared" ref="L4670:M4670" si="4458">FALSE()</f>
        <v>0</v>
      </c>
      <c r="M4670" s="6" t="b">
        <f t="shared" si="4458"/>
        <v>0</v>
      </c>
      <c r="N4670" s="4">
        <v>2.28645571106416</v>
      </c>
      <c r="T4670" s="4">
        <f t="shared" si="3"/>
        <v>86</v>
      </c>
      <c r="U4670" s="4" t="str">
        <f t="shared" si="4"/>
        <v/>
      </c>
    </row>
    <row r="4671" ht="15.75" customHeight="1">
      <c r="A4671" s="4" t="s">
        <v>5520</v>
      </c>
      <c r="B4671" s="4" t="s">
        <v>13</v>
      </c>
      <c r="C4671" s="4">
        <v>0.538</v>
      </c>
      <c r="D4671" s="4">
        <v>0.277</v>
      </c>
      <c r="E4671" s="4">
        <v>0.44</v>
      </c>
      <c r="K4671" s="6" t="b">
        <f t="shared" ref="K4671:M4671" si="4459">FALSE()</f>
        <v>0</v>
      </c>
      <c r="L4671" s="6" t="b">
        <f t="shared" si="4459"/>
        <v>0</v>
      </c>
      <c r="M4671" s="6" t="b">
        <f t="shared" si="4459"/>
        <v>0</v>
      </c>
      <c r="N4671" s="4">
        <v>0.430482871083452</v>
      </c>
      <c r="T4671" s="4">
        <f t="shared" si="3"/>
        <v>929</v>
      </c>
      <c r="U4671" s="4" t="str">
        <f t="shared" si="4"/>
        <v/>
      </c>
    </row>
    <row r="4672" ht="15.75" customHeight="1">
      <c r="A4672" s="4" t="s">
        <v>5521</v>
      </c>
      <c r="B4672" s="4" t="s">
        <v>13</v>
      </c>
      <c r="C4672" s="4">
        <v>2.09</v>
      </c>
      <c r="D4672" s="4">
        <v>1.26</v>
      </c>
      <c r="E4672" s="4">
        <v>1.68</v>
      </c>
      <c r="K4672" s="6" t="b">
        <f t="shared" ref="K4672:M4672" si="4460">FALSE()</f>
        <v>0</v>
      </c>
      <c r="L4672" s="6" t="b">
        <f t="shared" si="4460"/>
        <v>0</v>
      </c>
      <c r="M4672" s="6" t="b">
        <f t="shared" si="4460"/>
        <v>0</v>
      </c>
      <c r="N4672" s="4">
        <v>1.12817109090965</v>
      </c>
      <c r="T4672" s="4">
        <f t="shared" si="3"/>
        <v>429</v>
      </c>
      <c r="U4672" s="4" t="str">
        <f t="shared" si="4"/>
        <v/>
      </c>
    </row>
    <row r="4673" ht="15.75" customHeight="1">
      <c r="A4673" s="4" t="s">
        <v>5522</v>
      </c>
      <c r="B4673" s="4" t="s">
        <v>13</v>
      </c>
      <c r="C4673" s="4">
        <v>0.02017</v>
      </c>
      <c r="D4673" s="4">
        <v>0.00236</v>
      </c>
      <c r="E4673" s="4">
        <v>0.0025</v>
      </c>
      <c r="K4673" s="6" t="b">
        <f t="shared" ref="K4673:M4673" si="4461">FALSE()</f>
        <v>0</v>
      </c>
      <c r="L4673" s="6" t="b">
        <f t="shared" si="4461"/>
        <v>0</v>
      </c>
      <c r="M4673" s="6" t="b">
        <f t="shared" si="4461"/>
        <v>0</v>
      </c>
      <c r="N4673" s="4">
        <v>0.0199692800755005</v>
      </c>
      <c r="T4673" s="4">
        <f t="shared" si="3"/>
        <v>1726</v>
      </c>
      <c r="U4673" s="4" t="str">
        <f t="shared" si="4"/>
        <v/>
      </c>
    </row>
    <row r="4674" ht="15.75" customHeight="1">
      <c r="A4674" s="4" t="s">
        <v>5523</v>
      </c>
      <c r="B4674" s="4" t="s">
        <v>13</v>
      </c>
      <c r="C4674" s="4">
        <v>1.45</v>
      </c>
      <c r="D4674" s="4">
        <v>0.88</v>
      </c>
      <c r="E4674" s="4">
        <v>1.23</v>
      </c>
      <c r="K4674" s="6" t="b">
        <f t="shared" ref="K4674:M4674" si="4462">FALSE()</f>
        <v>0</v>
      </c>
      <c r="L4674" s="6" t="b">
        <f t="shared" si="4462"/>
        <v>0</v>
      </c>
      <c r="M4674" s="6" t="b">
        <f t="shared" si="4462"/>
        <v>0</v>
      </c>
      <c r="N4674" s="4">
        <v>0.896088024556636</v>
      </c>
      <c r="T4674" s="4">
        <f t="shared" si="3"/>
        <v>525</v>
      </c>
      <c r="U4674" s="4" t="str">
        <f t="shared" si="4"/>
        <v/>
      </c>
    </row>
    <row r="4675" ht="15.75" customHeight="1">
      <c r="A4675" s="4" t="s">
        <v>5524</v>
      </c>
      <c r="B4675" s="4" t="s">
        <v>13</v>
      </c>
      <c r="C4675" s="4">
        <v>0.23</v>
      </c>
      <c r="D4675" s="4">
        <v>0.12</v>
      </c>
      <c r="E4675" s="4">
        <v>0.32</v>
      </c>
      <c r="K4675" s="6" t="b">
        <f t="shared" ref="K4675:M4675" si="4463">FALSE()</f>
        <v>0</v>
      </c>
      <c r="L4675" s="6" t="b">
        <f t="shared" si="4463"/>
        <v>0</v>
      </c>
      <c r="M4675" s="6" t="b">
        <f t="shared" si="4463"/>
        <v>0</v>
      </c>
      <c r="N4675" s="4">
        <v>0.207014169384326</v>
      </c>
      <c r="T4675" s="4">
        <f t="shared" si="3"/>
        <v>1127</v>
      </c>
      <c r="U4675" s="4" t="str">
        <f t="shared" si="4"/>
        <v/>
      </c>
    </row>
    <row r="4676" ht="15.75" customHeight="1">
      <c r="A4676" s="4" t="s">
        <v>5525</v>
      </c>
      <c r="B4676" s="4" t="s">
        <v>13</v>
      </c>
      <c r="C4676" s="4">
        <v>2.11</v>
      </c>
      <c r="D4676" s="4">
        <v>1.0</v>
      </c>
      <c r="E4676" s="4">
        <v>2.0</v>
      </c>
      <c r="K4676" s="6" t="b">
        <f t="shared" ref="K4676:M4676" si="4464">FALSE()</f>
        <v>0</v>
      </c>
      <c r="L4676" s="6" t="b">
        <f t="shared" si="4464"/>
        <v>0</v>
      </c>
      <c r="M4676" s="6" t="b">
        <f t="shared" si="4464"/>
        <v>0</v>
      </c>
      <c r="N4676" s="4">
        <v>1.13462272619114</v>
      </c>
      <c r="T4676" s="4">
        <f t="shared" si="3"/>
        <v>426</v>
      </c>
      <c r="U4676" s="4" t="str">
        <f t="shared" si="4"/>
        <v/>
      </c>
    </row>
    <row r="4677" ht="15.75" customHeight="1">
      <c r="A4677" s="4" t="s">
        <v>5526</v>
      </c>
      <c r="B4677" s="4" t="s">
        <v>13</v>
      </c>
      <c r="C4677" s="4">
        <v>0.19</v>
      </c>
      <c r="D4677" s="4">
        <v>0.1</v>
      </c>
      <c r="E4677" s="4">
        <v>0.28</v>
      </c>
      <c r="K4677" s="6" t="b">
        <f t="shared" ref="K4677:M4677" si="4465">FALSE()</f>
        <v>0</v>
      </c>
      <c r="L4677" s="6" t="b">
        <f t="shared" si="4465"/>
        <v>0</v>
      </c>
      <c r="M4677" s="6" t="b">
        <f t="shared" si="4465"/>
        <v>0</v>
      </c>
      <c r="N4677" s="4">
        <v>0.173953307123438</v>
      </c>
      <c r="T4677" s="4">
        <f t="shared" si="3"/>
        <v>1162</v>
      </c>
      <c r="U4677" s="4" t="str">
        <f t="shared" si="4"/>
        <v/>
      </c>
    </row>
    <row r="4678" ht="15.75" customHeight="1">
      <c r="A4678" s="4" t="s">
        <v>5527</v>
      </c>
      <c r="B4678" s="4" t="s">
        <v>13</v>
      </c>
      <c r="C4678" s="4">
        <v>0.019064</v>
      </c>
      <c r="D4678" s="4">
        <v>0.0101</v>
      </c>
      <c r="E4678" s="4">
        <v>0.025</v>
      </c>
      <c r="K4678" s="6" t="b">
        <f t="shared" ref="K4678:M4678" si="4466">FALSE()</f>
        <v>0</v>
      </c>
      <c r="L4678" s="6" t="b">
        <f t="shared" si="4466"/>
        <v>0</v>
      </c>
      <c r="M4678" s="6" t="b">
        <f t="shared" si="4466"/>
        <v>0</v>
      </c>
      <c r="N4678" s="4">
        <v>0.0188845589415402</v>
      </c>
      <c r="T4678" s="4">
        <f t="shared" si="3"/>
        <v>1751</v>
      </c>
      <c r="U4678" s="4" t="str">
        <f t="shared" si="4"/>
        <v/>
      </c>
    </row>
    <row r="4679" ht="15.75" customHeight="1">
      <c r="A4679" s="4" t="s">
        <v>5528</v>
      </c>
      <c r="B4679" s="4" t="s">
        <v>13</v>
      </c>
      <c r="C4679" s="4">
        <v>4.9</v>
      </c>
      <c r="D4679" s="4">
        <v>1.5</v>
      </c>
      <c r="E4679" s="4">
        <v>1.5</v>
      </c>
      <c r="K4679" s="6" t="b">
        <f>TRUE()</f>
        <v>1</v>
      </c>
      <c r="L4679" s="6" t="b">
        <f t="shared" ref="L4679:M4679" si="4467">FALSE()</f>
        <v>0</v>
      </c>
      <c r="M4679" s="6" t="b">
        <f t="shared" si="4467"/>
        <v>0</v>
      </c>
      <c r="N4679" s="4">
        <v>1.77495235091167</v>
      </c>
      <c r="T4679" s="4">
        <f t="shared" si="3"/>
        <v>215</v>
      </c>
      <c r="U4679" s="4" t="str">
        <f t="shared" si="4"/>
        <v/>
      </c>
    </row>
    <row r="4680" ht="15.75" customHeight="1">
      <c r="A4680" s="4" t="s">
        <v>5529</v>
      </c>
      <c r="B4680" s="4" t="s">
        <v>13</v>
      </c>
      <c r="C4680" s="4">
        <v>0.925</v>
      </c>
      <c r="D4680" s="4">
        <v>0.68</v>
      </c>
      <c r="E4680" s="4">
        <v>0.675</v>
      </c>
      <c r="K4680" s="6" t="b">
        <f t="shared" ref="K4680:M4680" si="4468">FALSE()</f>
        <v>0</v>
      </c>
      <c r="L4680" s="6" t="b">
        <f t="shared" si="4468"/>
        <v>0</v>
      </c>
      <c r="M4680" s="6" t="b">
        <f t="shared" si="4468"/>
        <v>0</v>
      </c>
      <c r="N4680" s="4">
        <v>0.654925967739748</v>
      </c>
      <c r="T4680" s="4">
        <f t="shared" si="3"/>
        <v>700</v>
      </c>
      <c r="U4680" s="4" t="str">
        <f t="shared" si="4"/>
        <v/>
      </c>
    </row>
    <row r="4681" ht="15.75" customHeight="1">
      <c r="A4681" s="4" t="s">
        <v>5530</v>
      </c>
      <c r="B4681" s="4" t="s">
        <v>13</v>
      </c>
      <c r="C4681" s="4">
        <v>1.96</v>
      </c>
      <c r="D4681" s="4">
        <v>1.12</v>
      </c>
      <c r="E4681" s="4">
        <v>1.23</v>
      </c>
      <c r="K4681" s="6" t="b">
        <f t="shared" ref="K4681:M4681" si="4469">FALSE()</f>
        <v>0</v>
      </c>
      <c r="L4681" s="6" t="b">
        <f t="shared" si="4469"/>
        <v>0</v>
      </c>
      <c r="M4681" s="6" t="b">
        <f t="shared" si="4469"/>
        <v>0</v>
      </c>
      <c r="N4681" s="4">
        <v>1.08518926833597</v>
      </c>
      <c r="T4681" s="4">
        <f t="shared" si="3"/>
        <v>446</v>
      </c>
      <c r="U4681" s="4" t="str">
        <f t="shared" si="4"/>
        <v/>
      </c>
    </row>
    <row r="4682" ht="15.75" customHeight="1">
      <c r="A4682" s="4" t="s">
        <v>5531</v>
      </c>
      <c r="B4682" s="4" t="s">
        <v>13</v>
      </c>
      <c r="C4682" s="4">
        <v>0.0214</v>
      </c>
      <c r="D4682" s="4">
        <v>0.0104</v>
      </c>
      <c r="E4682" s="4">
        <v>0.0148</v>
      </c>
      <c r="K4682" s="6" t="b">
        <f t="shared" ref="K4682:M4682" si="4470">FALSE()</f>
        <v>0</v>
      </c>
      <c r="L4682" s="6" t="b">
        <f t="shared" si="4470"/>
        <v>0</v>
      </c>
      <c r="M4682" s="6" t="b">
        <f t="shared" si="4470"/>
        <v>0</v>
      </c>
      <c r="N4682" s="4">
        <v>0.0211742352314064</v>
      </c>
      <c r="T4682" s="4">
        <f t="shared" si="3"/>
        <v>1695</v>
      </c>
      <c r="U4682" s="4" t="str">
        <f t="shared" si="4"/>
        <v/>
      </c>
    </row>
    <row r="4683" ht="15.75" customHeight="1">
      <c r="A4683" s="4" t="s">
        <v>5532</v>
      </c>
      <c r="B4683" s="4" t="s">
        <v>13</v>
      </c>
      <c r="C4683" s="4">
        <v>0.57</v>
      </c>
      <c r="D4683" s="4">
        <v>0.25</v>
      </c>
      <c r="E4683" s="4">
        <v>0.79</v>
      </c>
      <c r="K4683" s="6" t="b">
        <f t="shared" ref="K4683:M4683" si="4471">FALSE()</f>
        <v>0</v>
      </c>
      <c r="L4683" s="6" t="b">
        <f t="shared" si="4471"/>
        <v>0</v>
      </c>
      <c r="M4683" s="6" t="b">
        <f t="shared" si="4471"/>
        <v>0</v>
      </c>
      <c r="N4683" s="4">
        <v>0.451075619360217</v>
      </c>
      <c r="T4683" s="4">
        <f t="shared" si="3"/>
        <v>912</v>
      </c>
      <c r="U4683" s="4" t="str">
        <f t="shared" si="4"/>
        <v/>
      </c>
    </row>
    <row r="4684" ht="15.75" customHeight="1">
      <c r="A4684" s="4" t="s">
        <v>5533</v>
      </c>
      <c r="B4684" s="4" t="s">
        <v>13</v>
      </c>
      <c r="C4684" s="4">
        <v>1.22</v>
      </c>
      <c r="D4684" s="4">
        <v>0.63</v>
      </c>
      <c r="E4684" s="4">
        <v>0.72</v>
      </c>
      <c r="K4684" s="6" t="b">
        <f t="shared" ref="K4684:M4684" si="4472">FALSE()</f>
        <v>0</v>
      </c>
      <c r="L4684" s="6" t="b">
        <f t="shared" si="4472"/>
        <v>0</v>
      </c>
      <c r="M4684" s="6" t="b">
        <f t="shared" si="4472"/>
        <v>0</v>
      </c>
      <c r="N4684" s="4">
        <v>0.797507195884188</v>
      </c>
      <c r="T4684" s="4">
        <f t="shared" si="3"/>
        <v>583</v>
      </c>
      <c r="U4684" s="4" t="str">
        <f t="shared" si="4"/>
        <v/>
      </c>
    </row>
    <row r="4685" ht="15.75" customHeight="1">
      <c r="A4685" s="4" t="s">
        <v>5534</v>
      </c>
      <c r="B4685" s="4" t="s">
        <v>13</v>
      </c>
      <c r="C4685" s="4">
        <v>0.27</v>
      </c>
      <c r="D4685" s="4">
        <v>0.12</v>
      </c>
      <c r="E4685" s="4">
        <v>0.12</v>
      </c>
      <c r="K4685" s="6" t="b">
        <f t="shared" ref="K4685:M4685" si="4473">FALSE()</f>
        <v>0</v>
      </c>
      <c r="L4685" s="6" t="b">
        <f t="shared" si="4473"/>
        <v>0</v>
      </c>
      <c r="M4685" s="6" t="b">
        <f t="shared" si="4473"/>
        <v>0</v>
      </c>
      <c r="N4685" s="4">
        <v>0.2390169004705</v>
      </c>
      <c r="T4685" s="4">
        <f t="shared" si="3"/>
        <v>1091</v>
      </c>
      <c r="U4685" s="4" t="str">
        <f t="shared" si="4"/>
        <v/>
      </c>
    </row>
    <row r="4686" ht="15.75" customHeight="1">
      <c r="A4686" s="4" t="s">
        <v>5535</v>
      </c>
      <c r="B4686" s="4" t="s">
        <v>13</v>
      </c>
      <c r="C4686" s="4">
        <v>12.0</v>
      </c>
      <c r="D4686" s="4">
        <v>7.0</v>
      </c>
      <c r="E4686" s="4">
        <v>22.0</v>
      </c>
      <c r="K4686" s="6" t="b">
        <f>TRUE()</f>
        <v>1</v>
      </c>
      <c r="L4686" s="6" t="b">
        <f t="shared" ref="L4686:M4686" si="4474">FALSE()</f>
        <v>0</v>
      </c>
      <c r="M4686" s="6" t="b">
        <f t="shared" si="4474"/>
        <v>0</v>
      </c>
      <c r="N4686" s="4">
        <v>2.56494935746154</v>
      </c>
      <c r="T4686" s="4">
        <f t="shared" si="3"/>
        <v>16</v>
      </c>
      <c r="U4686" s="4" t="str">
        <f t="shared" si="4"/>
        <v/>
      </c>
    </row>
    <row r="4687" ht="15.75" customHeight="1">
      <c r="A4687" s="4" t="s">
        <v>5536</v>
      </c>
      <c r="B4687" s="4" t="s">
        <v>13</v>
      </c>
      <c r="C4687" s="4">
        <v>1.15</v>
      </c>
      <c r="D4687" s="4">
        <v>0.6</v>
      </c>
      <c r="E4687" s="4">
        <v>0.7</v>
      </c>
      <c r="K4687" s="6" t="b">
        <f t="shared" ref="K4687:M4687" si="4475">FALSE()</f>
        <v>0</v>
      </c>
      <c r="L4687" s="6" t="b">
        <f t="shared" si="4475"/>
        <v>0</v>
      </c>
      <c r="M4687" s="6" t="b">
        <f t="shared" si="4475"/>
        <v>0</v>
      </c>
      <c r="N4687" s="4">
        <v>0.765467842139571</v>
      </c>
      <c r="T4687" s="4">
        <f t="shared" si="3"/>
        <v>609</v>
      </c>
      <c r="U4687" s="4" t="str">
        <f t="shared" si="4"/>
        <v/>
      </c>
    </row>
    <row r="4688" ht="15.75" customHeight="1">
      <c r="A4688" s="4" t="s">
        <v>5537</v>
      </c>
      <c r="B4688" s="4" t="s">
        <v>13</v>
      </c>
      <c r="C4688" s="4">
        <v>0.0289</v>
      </c>
      <c r="D4688" s="4">
        <v>0.0129</v>
      </c>
      <c r="E4688" s="4">
        <v>0.016</v>
      </c>
      <c r="K4688" s="6" t="b">
        <f t="shared" ref="K4688:M4688" si="4476">FALSE()</f>
        <v>0</v>
      </c>
      <c r="L4688" s="6" t="b">
        <f t="shared" si="4476"/>
        <v>0</v>
      </c>
      <c r="M4688" s="6" t="b">
        <f t="shared" si="4476"/>
        <v>0</v>
      </c>
      <c r="N4688" s="4">
        <v>0.0284902703996274</v>
      </c>
      <c r="T4688" s="4">
        <f t="shared" si="3"/>
        <v>1569</v>
      </c>
      <c r="U4688" s="4" t="str">
        <f t="shared" si="4"/>
        <v/>
      </c>
    </row>
    <row r="4689" ht="15.75" customHeight="1">
      <c r="A4689" s="4" t="s">
        <v>5538</v>
      </c>
      <c r="B4689" s="4" t="s">
        <v>13</v>
      </c>
      <c r="C4689" s="4">
        <v>1.81</v>
      </c>
      <c r="D4689" s="4">
        <v>0.96</v>
      </c>
      <c r="E4689" s="4">
        <v>0.96</v>
      </c>
      <c r="K4689" s="6" t="b">
        <f t="shared" ref="K4689:M4689" si="4477">FALSE()</f>
        <v>0</v>
      </c>
      <c r="L4689" s="6" t="b">
        <f t="shared" si="4477"/>
        <v>0</v>
      </c>
      <c r="M4689" s="6" t="b">
        <f t="shared" si="4477"/>
        <v>0</v>
      </c>
      <c r="N4689" s="4">
        <v>1.03318448334565</v>
      </c>
      <c r="T4689" s="4">
        <f t="shared" si="3"/>
        <v>467</v>
      </c>
      <c r="U4689" s="4" t="str">
        <f t="shared" si="4"/>
        <v/>
      </c>
    </row>
    <row r="4690" ht="15.75" customHeight="1">
      <c r="A4690" s="4" t="s">
        <v>5539</v>
      </c>
      <c r="B4690" s="4" t="s">
        <v>13</v>
      </c>
      <c r="C4690" s="4">
        <v>4.42</v>
      </c>
      <c r="D4690" s="4">
        <v>2.3</v>
      </c>
      <c r="E4690" s="4">
        <v>4.0</v>
      </c>
      <c r="K4690" s="6" t="b">
        <f>TRUE()</f>
        <v>1</v>
      </c>
      <c r="L4690" s="6" t="b">
        <f t="shared" ref="L4690:M4690" si="4478">FALSE()</f>
        <v>0</v>
      </c>
      <c r="M4690" s="6" t="b">
        <f t="shared" si="4478"/>
        <v>0</v>
      </c>
      <c r="N4690" s="4">
        <v>1.69009581545156</v>
      </c>
      <c r="T4690" s="4">
        <f t="shared" si="3"/>
        <v>232</v>
      </c>
      <c r="U4690" s="4" t="str">
        <f t="shared" si="4"/>
        <v/>
      </c>
    </row>
    <row r="4691" ht="15.75" customHeight="1">
      <c r="A4691" s="4" t="s">
        <v>5540</v>
      </c>
      <c r="B4691" s="4" t="s">
        <v>13</v>
      </c>
      <c r="C4691" s="4">
        <v>1.2</v>
      </c>
      <c r="D4691" s="4">
        <v>0.6</v>
      </c>
      <c r="E4691" s="4">
        <v>1.2</v>
      </c>
      <c r="K4691" s="6" t="b">
        <f t="shared" ref="K4691:M4691" si="4479">FALSE()</f>
        <v>0</v>
      </c>
      <c r="L4691" s="6" t="b">
        <f t="shared" si="4479"/>
        <v>0</v>
      </c>
      <c r="M4691" s="6" t="b">
        <f t="shared" si="4479"/>
        <v>0</v>
      </c>
      <c r="N4691" s="4">
        <v>0.78845736036427</v>
      </c>
      <c r="T4691" s="4">
        <f t="shared" si="3"/>
        <v>588</v>
      </c>
      <c r="U4691" s="4" t="str">
        <f t="shared" si="4"/>
        <v/>
      </c>
    </row>
    <row r="4692" ht="15.75" customHeight="1">
      <c r="A4692" s="4" t="s">
        <v>5541</v>
      </c>
      <c r="B4692" s="4" t="s">
        <v>13</v>
      </c>
      <c r="C4692" s="4">
        <v>10.28</v>
      </c>
      <c r="D4692" s="4">
        <v>5.28</v>
      </c>
      <c r="E4692" s="4">
        <v>5.84</v>
      </c>
      <c r="K4692" s="6" t="b">
        <f>TRUE()</f>
        <v>1</v>
      </c>
      <c r="L4692" s="6" t="b">
        <f t="shared" ref="L4692:M4692" si="4480">FALSE()</f>
        <v>0</v>
      </c>
      <c r="M4692" s="6" t="b">
        <f t="shared" si="4480"/>
        <v>0</v>
      </c>
      <c r="N4692" s="4">
        <v>2.42303124606991</v>
      </c>
      <c r="T4692" s="4">
        <f t="shared" si="3"/>
        <v>51</v>
      </c>
      <c r="U4692" s="4" t="str">
        <f t="shared" si="4"/>
        <v/>
      </c>
    </row>
    <row r="4693" ht="15.75" customHeight="1">
      <c r="A4693" s="4" t="s">
        <v>5542</v>
      </c>
      <c r="B4693" s="4" t="s">
        <v>13</v>
      </c>
      <c r="C4693" s="4">
        <v>0.19</v>
      </c>
      <c r="D4693" s="4">
        <v>0.11</v>
      </c>
      <c r="E4693" s="4">
        <v>0.21</v>
      </c>
      <c r="K4693" s="6" t="b">
        <f t="shared" ref="K4693:M4693" si="4481">FALSE()</f>
        <v>0</v>
      </c>
      <c r="L4693" s="6" t="b">
        <f t="shared" si="4481"/>
        <v>0</v>
      </c>
      <c r="M4693" s="6" t="b">
        <f t="shared" si="4481"/>
        <v>0</v>
      </c>
      <c r="N4693" s="4">
        <v>0.173953307123438</v>
      </c>
      <c r="T4693" s="4">
        <f t="shared" si="3"/>
        <v>1163</v>
      </c>
      <c r="U4693" s="4" t="str">
        <f t="shared" si="4"/>
        <v/>
      </c>
    </row>
    <row r="4694" ht="15.75" customHeight="1">
      <c r="A4694" s="4" t="s">
        <v>5543</v>
      </c>
      <c r="B4694" s="4" t="s">
        <v>13</v>
      </c>
      <c r="C4694" s="4">
        <v>0.094</v>
      </c>
      <c r="D4694" s="4">
        <v>0.05</v>
      </c>
      <c r="E4694" s="4">
        <v>0.05</v>
      </c>
      <c r="K4694" s="6" t="b">
        <f t="shared" ref="K4694:M4694" si="4482">FALSE()</f>
        <v>0</v>
      </c>
      <c r="L4694" s="6" t="b">
        <f t="shared" si="4482"/>
        <v>0</v>
      </c>
      <c r="M4694" s="6" t="b">
        <f t="shared" si="4482"/>
        <v>0</v>
      </c>
      <c r="N4694" s="4">
        <v>0.0898407039997894</v>
      </c>
      <c r="T4694" s="4">
        <f t="shared" si="3"/>
        <v>1273</v>
      </c>
      <c r="U4694" s="4" t="str">
        <f t="shared" si="4"/>
        <v/>
      </c>
    </row>
    <row r="4695" ht="15.75" customHeight="1">
      <c r="A4695" s="4" t="s">
        <v>5544</v>
      </c>
      <c r="B4695" s="4" t="s">
        <v>13</v>
      </c>
      <c r="C4695" s="4">
        <v>12.2</v>
      </c>
      <c r="D4695" s="4">
        <v>6.7</v>
      </c>
      <c r="E4695" s="4">
        <v>16.1</v>
      </c>
      <c r="K4695" s="6" t="b">
        <f>TRUE()</f>
        <v>1</v>
      </c>
      <c r="L4695" s="6" t="b">
        <f t="shared" ref="L4695:M4695" si="4483">FALSE()</f>
        <v>0</v>
      </c>
      <c r="M4695" s="6" t="b">
        <f t="shared" si="4483"/>
        <v>0</v>
      </c>
      <c r="N4695" s="4">
        <v>2.58021682959233</v>
      </c>
      <c r="T4695" s="4">
        <f t="shared" si="3"/>
        <v>11</v>
      </c>
      <c r="U4695" s="4" t="str">
        <f t="shared" si="4"/>
        <v/>
      </c>
    </row>
    <row r="4696" ht="15.75" customHeight="1">
      <c r="A4696" s="4" t="s">
        <v>5545</v>
      </c>
      <c r="B4696" s="4" t="s">
        <v>13</v>
      </c>
      <c r="C4696" s="4">
        <v>0.01284</v>
      </c>
      <c r="D4696" s="4">
        <v>0.00654</v>
      </c>
      <c r="E4696" s="4">
        <v>0.00812</v>
      </c>
      <c r="K4696" s="6" t="b">
        <f t="shared" ref="K4696:M4696" si="4484">FALSE()</f>
        <v>0</v>
      </c>
      <c r="L4696" s="6" t="b">
        <f t="shared" si="4484"/>
        <v>0</v>
      </c>
      <c r="M4696" s="6" t="b">
        <f t="shared" si="4484"/>
        <v>0</v>
      </c>
      <c r="N4696" s="4">
        <v>0.0127582660986627</v>
      </c>
      <c r="T4696" s="4">
        <f t="shared" si="3"/>
        <v>1877</v>
      </c>
      <c r="U4696" s="4" t="str">
        <f t="shared" si="4"/>
        <v/>
      </c>
    </row>
    <row r="4697" ht="15.75" customHeight="1">
      <c r="A4697" s="4" t="s">
        <v>5546</v>
      </c>
      <c r="B4697" s="4" t="s">
        <v>13</v>
      </c>
      <c r="C4697" s="4">
        <v>4.05</v>
      </c>
      <c r="D4697" s="4">
        <v>1.85</v>
      </c>
      <c r="E4697" s="4">
        <v>1.73</v>
      </c>
      <c r="K4697" s="6" t="b">
        <f>TRUE()</f>
        <v>1</v>
      </c>
      <c r="L4697" s="6" t="b">
        <f t="shared" ref="L4697:M4697" si="4485">FALSE()</f>
        <v>0</v>
      </c>
      <c r="M4697" s="6" t="b">
        <f t="shared" si="4485"/>
        <v>0</v>
      </c>
      <c r="N4697" s="4">
        <v>1.61938824328727</v>
      </c>
      <c r="T4697" s="4">
        <f t="shared" si="3"/>
        <v>256</v>
      </c>
      <c r="U4697" s="4" t="str">
        <f t="shared" si="4"/>
        <v/>
      </c>
    </row>
    <row r="4698" ht="15.75" customHeight="1">
      <c r="A4698" s="4" t="s">
        <v>5547</v>
      </c>
      <c r="B4698" s="4" t="s">
        <v>13</v>
      </c>
      <c r="C4698" s="4">
        <v>2.56</v>
      </c>
      <c r="D4698" s="4">
        <v>1.16</v>
      </c>
      <c r="E4698" s="4">
        <v>1.13</v>
      </c>
      <c r="K4698" s="6" t="b">
        <f t="shared" ref="K4698:M4698" si="4486">FALSE()</f>
        <v>0</v>
      </c>
      <c r="L4698" s="6" t="b">
        <f t="shared" si="4486"/>
        <v>0</v>
      </c>
      <c r="M4698" s="6" t="b">
        <f t="shared" si="4486"/>
        <v>0</v>
      </c>
      <c r="N4698" s="4">
        <v>1.26976054486394</v>
      </c>
      <c r="T4698" s="4">
        <f t="shared" si="3"/>
        <v>363</v>
      </c>
      <c r="U4698" s="4" t="str">
        <f t="shared" si="4"/>
        <v/>
      </c>
    </row>
    <row r="4699" ht="15.75" customHeight="1">
      <c r="A4699" s="4" t="s">
        <v>5548</v>
      </c>
      <c r="B4699" s="4" t="s">
        <v>13</v>
      </c>
      <c r="C4699" s="4">
        <v>0.01469</v>
      </c>
      <c r="D4699" s="4">
        <v>0.005</v>
      </c>
      <c r="E4699" s="4">
        <v>0.00491</v>
      </c>
      <c r="K4699" s="6" t="b">
        <f t="shared" ref="K4699:M4699" si="4487">FALSE()</f>
        <v>0</v>
      </c>
      <c r="L4699" s="6" t="b">
        <f t="shared" si="4487"/>
        <v>0</v>
      </c>
      <c r="M4699" s="6" t="b">
        <f t="shared" si="4487"/>
        <v>0</v>
      </c>
      <c r="N4699" s="4">
        <v>0.014583147124743</v>
      </c>
      <c r="T4699" s="4">
        <f t="shared" si="3"/>
        <v>1828</v>
      </c>
      <c r="U4699" s="4" t="str">
        <f t="shared" si="4"/>
        <v/>
      </c>
    </row>
    <row r="4700" ht="15.75" customHeight="1">
      <c r="A4700" s="4" t="s">
        <v>5549</v>
      </c>
      <c r="B4700" s="4" t="s">
        <v>13</v>
      </c>
      <c r="C4700" s="4">
        <v>0.59</v>
      </c>
      <c r="D4700" s="4">
        <v>0.32</v>
      </c>
      <c r="E4700" s="4">
        <v>0.71</v>
      </c>
      <c r="K4700" s="6" t="b">
        <f t="shared" ref="K4700:M4700" si="4488">FALSE()</f>
        <v>0</v>
      </c>
      <c r="L4700" s="6" t="b">
        <f t="shared" si="4488"/>
        <v>0</v>
      </c>
      <c r="M4700" s="6" t="b">
        <f t="shared" si="4488"/>
        <v>0</v>
      </c>
      <c r="N4700" s="4">
        <v>0.46373401623214</v>
      </c>
      <c r="T4700" s="4">
        <f t="shared" si="3"/>
        <v>895</v>
      </c>
      <c r="U4700" s="4" t="str">
        <f t="shared" si="4"/>
        <v/>
      </c>
    </row>
    <row r="4701" ht="15.75" customHeight="1">
      <c r="A4701" s="4" t="s">
        <v>5550</v>
      </c>
      <c r="B4701" s="4" t="s">
        <v>13</v>
      </c>
      <c r="C4701" s="4">
        <v>0.28</v>
      </c>
      <c r="D4701" s="4">
        <v>0.15</v>
      </c>
      <c r="E4701" s="4">
        <v>0.35</v>
      </c>
      <c r="K4701" s="6" t="b">
        <f t="shared" ref="K4701:M4701" si="4489">FALSE()</f>
        <v>0</v>
      </c>
      <c r="L4701" s="6" t="b">
        <f t="shared" si="4489"/>
        <v>0</v>
      </c>
      <c r="M4701" s="6" t="b">
        <f t="shared" si="4489"/>
        <v>0</v>
      </c>
      <c r="N4701" s="4">
        <v>0.246860077931526</v>
      </c>
      <c r="T4701" s="4">
        <f t="shared" si="3"/>
        <v>1082</v>
      </c>
      <c r="U4701" s="4" t="str">
        <f t="shared" si="4"/>
        <v/>
      </c>
    </row>
    <row r="4702" ht="15.75" customHeight="1">
      <c r="A4702" s="4" t="s">
        <v>5551</v>
      </c>
      <c r="B4702" s="4" t="s">
        <v>13</v>
      </c>
      <c r="C4702" s="4">
        <v>1.16</v>
      </c>
      <c r="D4702" s="4">
        <v>0.77</v>
      </c>
      <c r="E4702" s="4">
        <v>0.77</v>
      </c>
      <c r="K4702" s="6" t="b">
        <f t="shared" ref="K4702:M4702" si="4490">FALSE()</f>
        <v>0</v>
      </c>
      <c r="L4702" s="6" t="b">
        <f t="shared" si="4490"/>
        <v>0</v>
      </c>
      <c r="M4702" s="6" t="b">
        <f t="shared" si="4490"/>
        <v>0</v>
      </c>
      <c r="N4702" s="4">
        <v>0.770108221696074</v>
      </c>
      <c r="T4702" s="4">
        <f t="shared" si="3"/>
        <v>606</v>
      </c>
      <c r="U4702" s="4" t="str">
        <f t="shared" si="4"/>
        <v/>
      </c>
    </row>
    <row r="4703" ht="15.75" customHeight="1">
      <c r="A4703" s="4" t="s">
        <v>5552</v>
      </c>
      <c r="B4703" s="4" t="s">
        <v>13</v>
      </c>
      <c r="C4703" s="4">
        <v>0.28</v>
      </c>
      <c r="D4703" s="4">
        <v>0.18</v>
      </c>
      <c r="E4703" s="4">
        <v>0.28</v>
      </c>
      <c r="K4703" s="6" t="b">
        <f t="shared" ref="K4703:M4703" si="4491">FALSE()</f>
        <v>0</v>
      </c>
      <c r="L4703" s="6" t="b">
        <f t="shared" si="4491"/>
        <v>0</v>
      </c>
      <c r="M4703" s="6" t="b">
        <f t="shared" si="4491"/>
        <v>0</v>
      </c>
      <c r="N4703" s="4">
        <v>0.246860077931526</v>
      </c>
      <c r="T4703" s="4">
        <f t="shared" si="3"/>
        <v>1083</v>
      </c>
      <c r="U4703" s="4" t="str">
        <f t="shared" si="4"/>
        <v/>
      </c>
    </row>
    <row r="4704" ht="15.75" customHeight="1">
      <c r="A4704" s="4" t="s">
        <v>5553</v>
      </c>
      <c r="B4704" s="4" t="s">
        <v>13</v>
      </c>
      <c r="C4704" s="4">
        <v>0.00588</v>
      </c>
      <c r="D4704" s="4">
        <v>5.0E-4</v>
      </c>
      <c r="E4704" s="4">
        <v>8.5E-4</v>
      </c>
      <c r="K4704" s="6" t="b">
        <f t="shared" ref="K4704:M4704" si="4492">FALSE()</f>
        <v>0</v>
      </c>
      <c r="L4704" s="6" t="b">
        <f t="shared" si="4492"/>
        <v>0</v>
      </c>
      <c r="M4704" s="6" t="b">
        <f t="shared" si="4492"/>
        <v>0</v>
      </c>
      <c r="N4704" s="4">
        <v>0.0058627802683756</v>
      </c>
      <c r="T4704" s="4">
        <f t="shared" si="3"/>
        <v>2016</v>
      </c>
      <c r="U4704" s="4" t="str">
        <f t="shared" si="4"/>
        <v/>
      </c>
    </row>
    <row r="4705" ht="15.75" customHeight="1">
      <c r="A4705" s="4" t="s">
        <v>5554</v>
      </c>
      <c r="B4705" s="4" t="s">
        <v>13</v>
      </c>
      <c r="C4705" s="4">
        <v>10.7</v>
      </c>
      <c r="D4705" s="4">
        <v>5.6</v>
      </c>
      <c r="E4705" s="4">
        <v>6.2</v>
      </c>
      <c r="K4705" s="6" t="b">
        <f t="shared" ref="K4705:K4706" si="4494">TRUE()</f>
        <v>1</v>
      </c>
      <c r="L4705" s="6" t="b">
        <f t="shared" ref="L4705:M4705" si="4493">FALSE()</f>
        <v>0</v>
      </c>
      <c r="M4705" s="6" t="b">
        <f t="shared" si="4493"/>
        <v>0</v>
      </c>
      <c r="N4705" s="4">
        <v>2.45958884180371</v>
      </c>
      <c r="T4705" s="4">
        <f t="shared" si="3"/>
        <v>41</v>
      </c>
      <c r="U4705" s="4" t="str">
        <f t="shared" si="4"/>
        <v/>
      </c>
    </row>
    <row r="4706" ht="15.75" customHeight="1">
      <c r="A4706" s="4" t="s">
        <v>5555</v>
      </c>
      <c r="B4706" s="4" t="s">
        <v>13</v>
      </c>
      <c r="C4706" s="4">
        <v>5.7</v>
      </c>
      <c r="D4706" s="4">
        <v>3.0</v>
      </c>
      <c r="E4706" s="4">
        <v>3.0</v>
      </c>
      <c r="K4706" s="6" t="b">
        <f t="shared" si="4494"/>
        <v>1</v>
      </c>
      <c r="L4706" s="6" t="b">
        <f t="shared" ref="L4706:M4706" si="4495">FALSE()</f>
        <v>0</v>
      </c>
      <c r="M4706" s="6" t="b">
        <f t="shared" si="4495"/>
        <v>0</v>
      </c>
      <c r="N4706" s="4">
        <v>1.90210752639692</v>
      </c>
      <c r="T4706" s="4">
        <f t="shared" si="3"/>
        <v>186</v>
      </c>
      <c r="U4706" s="4" t="str">
        <f t="shared" si="4"/>
        <v/>
      </c>
    </row>
    <row r="4707" ht="15.75" customHeight="1">
      <c r="A4707" s="4" t="s">
        <v>5556</v>
      </c>
      <c r="B4707" s="4" t="s">
        <v>13</v>
      </c>
      <c r="C4707" s="4">
        <v>0.0352</v>
      </c>
      <c r="D4707" s="4">
        <v>0.0142</v>
      </c>
      <c r="E4707" s="4">
        <v>0.0173</v>
      </c>
      <c r="K4707" s="6" t="b">
        <f t="shared" ref="K4707:M4707" si="4496">FALSE()</f>
        <v>0</v>
      </c>
      <c r="L4707" s="6" t="b">
        <f t="shared" si="4496"/>
        <v>0</v>
      </c>
      <c r="M4707" s="6" t="b">
        <f t="shared" si="4496"/>
        <v>0</v>
      </c>
      <c r="N4707" s="4">
        <v>0.034594644764499</v>
      </c>
      <c r="T4707" s="4">
        <f t="shared" si="3"/>
        <v>1486</v>
      </c>
      <c r="U4707" s="4" t="str">
        <f t="shared" si="4"/>
        <v/>
      </c>
    </row>
    <row r="4708" ht="15.75" customHeight="1">
      <c r="A4708" s="4" t="s">
        <v>5557</v>
      </c>
      <c r="B4708" s="4" t="s">
        <v>13</v>
      </c>
      <c r="C4708" s="4">
        <v>0.15</v>
      </c>
      <c r="D4708" s="4">
        <v>0.1</v>
      </c>
      <c r="E4708" s="4">
        <v>0.1</v>
      </c>
      <c r="K4708" s="6" t="b">
        <f t="shared" ref="K4708:M4708" si="4497">FALSE()</f>
        <v>0</v>
      </c>
      <c r="L4708" s="6" t="b">
        <f t="shared" si="4497"/>
        <v>0</v>
      </c>
      <c r="M4708" s="6" t="b">
        <f t="shared" si="4497"/>
        <v>0</v>
      </c>
      <c r="N4708" s="4">
        <v>0.139761942375159</v>
      </c>
      <c r="T4708" s="4">
        <f t="shared" si="3"/>
        <v>1197</v>
      </c>
      <c r="U4708" s="4" t="str">
        <f t="shared" si="4"/>
        <v/>
      </c>
    </row>
    <row r="4709" ht="15.75" customHeight="1">
      <c r="A4709" s="4" t="s">
        <v>5558</v>
      </c>
      <c r="B4709" s="4" t="s">
        <v>13</v>
      </c>
      <c r="C4709" s="4">
        <v>0.4</v>
      </c>
      <c r="D4709" s="4">
        <v>0.08</v>
      </c>
      <c r="E4709" s="4">
        <v>0.08</v>
      </c>
      <c r="K4709" s="6" t="b">
        <f t="shared" ref="K4709:M4709" si="4498">FALSE()</f>
        <v>0</v>
      </c>
      <c r="L4709" s="6" t="b">
        <f t="shared" si="4498"/>
        <v>0</v>
      </c>
      <c r="M4709" s="6" t="b">
        <f t="shared" si="4498"/>
        <v>0</v>
      </c>
      <c r="N4709" s="4">
        <v>0.336472236621213</v>
      </c>
      <c r="T4709" s="4">
        <f t="shared" si="3"/>
        <v>1013</v>
      </c>
      <c r="U4709" s="4" t="str">
        <f t="shared" si="4"/>
        <v/>
      </c>
    </row>
    <row r="4710" ht="15.75" customHeight="1">
      <c r="A4710" s="4" t="s">
        <v>5559</v>
      </c>
      <c r="B4710" s="4" t="s">
        <v>13</v>
      </c>
      <c r="C4710" s="4">
        <v>0.7</v>
      </c>
      <c r="D4710" s="4">
        <v>0.25</v>
      </c>
      <c r="E4710" s="4">
        <v>0.25</v>
      </c>
      <c r="K4710" s="6" t="b">
        <f t="shared" ref="K4710:M4710" si="4499">FALSE()</f>
        <v>0</v>
      </c>
      <c r="L4710" s="6" t="b">
        <f t="shared" si="4499"/>
        <v>0</v>
      </c>
      <c r="M4710" s="6" t="b">
        <f t="shared" si="4499"/>
        <v>0</v>
      </c>
      <c r="N4710" s="4">
        <v>0.53062825106217</v>
      </c>
      <c r="T4710" s="4">
        <f t="shared" si="3"/>
        <v>820</v>
      </c>
      <c r="U4710" s="4" t="str">
        <f t="shared" si="4"/>
        <v/>
      </c>
    </row>
    <row r="4711" ht="15.75" customHeight="1">
      <c r="A4711" s="4" t="s">
        <v>5560</v>
      </c>
      <c r="B4711" s="4" t="s">
        <v>13</v>
      </c>
      <c r="C4711" s="4">
        <v>0.1</v>
      </c>
      <c r="D4711" s="4">
        <v>0.07</v>
      </c>
      <c r="E4711" s="4">
        <v>0.13</v>
      </c>
      <c r="K4711" s="6" t="b">
        <f t="shared" ref="K4711:M4711" si="4500">FALSE()</f>
        <v>0</v>
      </c>
      <c r="L4711" s="6" t="b">
        <f t="shared" si="4500"/>
        <v>0</v>
      </c>
      <c r="M4711" s="6" t="b">
        <f t="shared" si="4500"/>
        <v>0</v>
      </c>
      <c r="N4711" s="4">
        <v>0.0953101798043248</v>
      </c>
      <c r="T4711" s="4">
        <f t="shared" si="3"/>
        <v>1262</v>
      </c>
      <c r="U4711" s="4" t="str">
        <f t="shared" si="4"/>
        <v/>
      </c>
    </row>
    <row r="4712" ht="15.75" customHeight="1">
      <c r="A4712" s="4" t="s">
        <v>5561</v>
      </c>
      <c r="B4712" s="4" t="s">
        <v>13</v>
      </c>
      <c r="C4712" s="4">
        <v>6.4</v>
      </c>
      <c r="D4712" s="4">
        <v>2.78</v>
      </c>
      <c r="E4712" s="4">
        <v>2.64</v>
      </c>
      <c r="K4712" s="6" t="b">
        <f>TRUE()</f>
        <v>1</v>
      </c>
      <c r="L4712" s="6" t="b">
        <f t="shared" ref="L4712:M4712" si="4501">FALSE()</f>
        <v>0</v>
      </c>
      <c r="M4712" s="6" t="b">
        <f t="shared" si="4501"/>
        <v>0</v>
      </c>
      <c r="N4712" s="4">
        <v>2.00148000021012</v>
      </c>
      <c r="T4712" s="4">
        <f t="shared" si="3"/>
        <v>149</v>
      </c>
      <c r="U4712" s="4" t="str">
        <f t="shared" si="4"/>
        <v/>
      </c>
    </row>
    <row r="4713" ht="15.75" customHeight="1">
      <c r="A4713" s="4" t="s">
        <v>5562</v>
      </c>
      <c r="B4713" s="4" t="s">
        <v>13</v>
      </c>
      <c r="C4713" s="4">
        <v>0.12016</v>
      </c>
      <c r="D4713" s="4">
        <v>0.038</v>
      </c>
      <c r="E4713" s="4">
        <v>0.066</v>
      </c>
      <c r="K4713" s="6" t="b">
        <f t="shared" ref="K4713:M4713" si="4502">FALSE()</f>
        <v>0</v>
      </c>
      <c r="L4713" s="6" t="b">
        <f t="shared" si="4502"/>
        <v>0</v>
      </c>
      <c r="M4713" s="6" t="b">
        <f t="shared" si="4502"/>
        <v>0</v>
      </c>
      <c r="N4713" s="4">
        <v>0.11347153224675</v>
      </c>
      <c r="T4713" s="4">
        <f t="shared" si="3"/>
        <v>1227</v>
      </c>
      <c r="U4713" s="4" t="str">
        <f t="shared" si="4"/>
        <v/>
      </c>
    </row>
    <row r="4714" ht="15.75" customHeight="1">
      <c r="A4714" s="4" t="s">
        <v>5563</v>
      </c>
      <c r="B4714" s="4" t="s">
        <v>13</v>
      </c>
      <c r="C4714" s="4">
        <v>0.066</v>
      </c>
      <c r="D4714" s="4">
        <v>0.05</v>
      </c>
      <c r="E4714" s="4">
        <v>0.041</v>
      </c>
      <c r="K4714" s="6" t="b">
        <f t="shared" ref="K4714:M4714" si="4503">FALSE()</f>
        <v>0</v>
      </c>
      <c r="L4714" s="6" t="b">
        <f t="shared" si="4503"/>
        <v>0</v>
      </c>
      <c r="M4714" s="6" t="b">
        <f t="shared" si="4503"/>
        <v>0</v>
      </c>
      <c r="N4714" s="4">
        <v>0.0639133257436528</v>
      </c>
      <c r="T4714" s="4">
        <f t="shared" si="3"/>
        <v>1335</v>
      </c>
      <c r="U4714" s="4" t="str">
        <f t="shared" si="4"/>
        <v/>
      </c>
    </row>
    <row r="4715" ht="15.75" customHeight="1">
      <c r="A4715" s="4" t="s">
        <v>5564</v>
      </c>
      <c r="B4715" s="4" t="s">
        <v>13</v>
      </c>
      <c r="C4715" s="4">
        <v>0.45</v>
      </c>
      <c r="D4715" s="4">
        <v>0.25</v>
      </c>
      <c r="E4715" s="4">
        <v>0.4</v>
      </c>
      <c r="K4715" s="6" t="b">
        <f t="shared" ref="K4715:M4715" si="4504">FALSE()</f>
        <v>0</v>
      </c>
      <c r="L4715" s="6" t="b">
        <f t="shared" si="4504"/>
        <v>0</v>
      </c>
      <c r="M4715" s="6" t="b">
        <f t="shared" si="4504"/>
        <v>0</v>
      </c>
      <c r="N4715" s="4">
        <v>0.371563556432483</v>
      </c>
      <c r="T4715" s="4">
        <f t="shared" si="3"/>
        <v>983</v>
      </c>
      <c r="U4715" s="4" t="str">
        <f t="shared" si="4"/>
        <v/>
      </c>
    </row>
    <row r="4716" ht="15.75" customHeight="1">
      <c r="A4716" s="4" t="s">
        <v>5565</v>
      </c>
      <c r="B4716" s="4" t="s">
        <v>13</v>
      </c>
      <c r="C4716" s="4">
        <v>1.26</v>
      </c>
      <c r="D4716" s="4">
        <v>0.66</v>
      </c>
      <c r="E4716" s="4">
        <v>1.0</v>
      </c>
      <c r="K4716" s="6" t="b">
        <f t="shared" ref="K4716:M4716" si="4505">FALSE()</f>
        <v>0</v>
      </c>
      <c r="L4716" s="6" t="b">
        <f t="shared" si="4505"/>
        <v>0</v>
      </c>
      <c r="M4716" s="6" t="b">
        <f t="shared" si="4505"/>
        <v>0</v>
      </c>
      <c r="N4716" s="4">
        <v>0.815364813284195</v>
      </c>
      <c r="T4716" s="4">
        <f t="shared" si="3"/>
        <v>572</v>
      </c>
      <c r="U4716" s="4" t="str">
        <f t="shared" si="4"/>
        <v/>
      </c>
    </row>
    <row r="4717" ht="15.75" customHeight="1">
      <c r="A4717" s="4" t="s">
        <v>5566</v>
      </c>
      <c r="B4717" s="4" t="s">
        <v>13</v>
      </c>
      <c r="C4717" s="4">
        <v>6.92</v>
      </c>
      <c r="D4717" s="4">
        <v>2.6</v>
      </c>
      <c r="E4717" s="4">
        <v>2.13</v>
      </c>
      <c r="K4717" s="6" t="b">
        <f>TRUE()</f>
        <v>1</v>
      </c>
      <c r="L4717" s="6" t="b">
        <f t="shared" ref="L4717:M4717" si="4506">FALSE()</f>
        <v>0</v>
      </c>
      <c r="M4717" s="6" t="b">
        <f t="shared" si="4506"/>
        <v>0</v>
      </c>
      <c r="N4717" s="4">
        <v>2.06939120582633</v>
      </c>
      <c r="T4717" s="4">
        <f t="shared" si="3"/>
        <v>135</v>
      </c>
      <c r="U4717" s="4" t="str">
        <f t="shared" si="4"/>
        <v/>
      </c>
    </row>
    <row r="4718" ht="15.75" customHeight="1">
      <c r="A4718" s="4" t="s">
        <v>5567</v>
      </c>
      <c r="B4718" s="4" t="s">
        <v>13</v>
      </c>
      <c r="C4718" s="4">
        <v>0.22</v>
      </c>
      <c r="D4718" s="4">
        <v>0.12</v>
      </c>
      <c r="E4718" s="4">
        <v>0.31</v>
      </c>
      <c r="K4718" s="6" t="b">
        <f t="shared" ref="K4718:M4718" si="4507">FALSE()</f>
        <v>0</v>
      </c>
      <c r="L4718" s="6" t="b">
        <f t="shared" si="4507"/>
        <v>0</v>
      </c>
      <c r="M4718" s="6" t="b">
        <f t="shared" si="4507"/>
        <v>0</v>
      </c>
      <c r="N4718" s="4">
        <v>0.198850858745165</v>
      </c>
      <c r="T4718" s="4">
        <f t="shared" si="3"/>
        <v>1135</v>
      </c>
      <c r="U4718" s="4" t="str">
        <f t="shared" si="4"/>
        <v/>
      </c>
    </row>
    <row r="4719" ht="15.75" customHeight="1">
      <c r="A4719" s="4" t="s">
        <v>5568</v>
      </c>
      <c r="B4719" s="4" t="s">
        <v>13</v>
      </c>
      <c r="C4719" s="4">
        <v>0.25</v>
      </c>
      <c r="D4719" s="4">
        <v>0.13</v>
      </c>
      <c r="E4719" s="4">
        <v>0.35</v>
      </c>
      <c r="K4719" s="6" t="b">
        <f t="shared" ref="K4719:M4719" si="4508">FALSE()</f>
        <v>0</v>
      </c>
      <c r="L4719" s="6" t="b">
        <f t="shared" si="4508"/>
        <v>0</v>
      </c>
      <c r="M4719" s="6" t="b">
        <f t="shared" si="4508"/>
        <v>0</v>
      </c>
      <c r="N4719" s="4">
        <v>0.22314355131421</v>
      </c>
      <c r="T4719" s="4">
        <f t="shared" si="3"/>
        <v>1111</v>
      </c>
      <c r="U4719" s="4" t="str">
        <f t="shared" si="4"/>
        <v/>
      </c>
    </row>
    <row r="4720" ht="15.75" customHeight="1">
      <c r="A4720" s="4" t="s">
        <v>5569</v>
      </c>
      <c r="B4720" s="4" t="s">
        <v>13</v>
      </c>
      <c r="C4720" s="4">
        <v>1.3</v>
      </c>
      <c r="D4720" s="4">
        <v>0.68</v>
      </c>
      <c r="E4720" s="4">
        <v>0.68</v>
      </c>
      <c r="K4720" s="6" t="b">
        <f t="shared" ref="K4720:M4720" si="4509">FALSE()</f>
        <v>0</v>
      </c>
      <c r="L4720" s="6" t="b">
        <f t="shared" si="4509"/>
        <v>0</v>
      </c>
      <c r="M4720" s="6" t="b">
        <f t="shared" si="4509"/>
        <v>0</v>
      </c>
      <c r="N4720" s="4">
        <v>0.832909122935104</v>
      </c>
      <c r="T4720" s="4">
        <f t="shared" si="3"/>
        <v>560</v>
      </c>
      <c r="U4720" s="4" t="str">
        <f t="shared" si="4"/>
        <v/>
      </c>
    </row>
    <row r="4721" ht="15.75" customHeight="1">
      <c r="A4721" s="4" t="s">
        <v>5570</v>
      </c>
      <c r="B4721" s="4" t="s">
        <v>13</v>
      </c>
      <c r="C4721" s="4">
        <v>0.88</v>
      </c>
      <c r="D4721" s="4">
        <v>0.38</v>
      </c>
      <c r="E4721" s="4">
        <v>0.38</v>
      </c>
      <c r="K4721" s="6" t="b">
        <f t="shared" ref="K4721:M4721" si="4510">FALSE()</f>
        <v>0</v>
      </c>
      <c r="L4721" s="6" t="b">
        <f t="shared" si="4510"/>
        <v>0</v>
      </c>
      <c r="M4721" s="6" t="b">
        <f t="shared" si="4510"/>
        <v>0</v>
      </c>
      <c r="N4721" s="4">
        <v>0.631271776841858</v>
      </c>
      <c r="T4721" s="4">
        <f t="shared" si="3"/>
        <v>724</v>
      </c>
      <c r="U4721" s="4" t="str">
        <f t="shared" si="4"/>
        <v/>
      </c>
    </row>
    <row r="4722" ht="15.75" customHeight="1">
      <c r="A4722" s="4" t="s">
        <v>5571</v>
      </c>
      <c r="B4722" s="4" t="s">
        <v>13</v>
      </c>
      <c r="C4722" s="4">
        <v>0.05994</v>
      </c>
      <c r="D4722" s="4">
        <v>0.0319</v>
      </c>
      <c r="E4722" s="4">
        <v>0.06425</v>
      </c>
      <c r="K4722" s="6" t="b">
        <f t="shared" ref="K4722:M4722" si="4511">FALSE()</f>
        <v>0</v>
      </c>
      <c r="L4722" s="6" t="b">
        <f t="shared" si="4511"/>
        <v>0</v>
      </c>
      <c r="M4722" s="6" t="b">
        <f t="shared" si="4511"/>
        <v>0</v>
      </c>
      <c r="N4722" s="4">
        <v>0.0582123027483368</v>
      </c>
      <c r="T4722" s="4">
        <f t="shared" si="3"/>
        <v>1361</v>
      </c>
      <c r="U4722" s="4" t="str">
        <f t="shared" si="4"/>
        <v/>
      </c>
    </row>
    <row r="4723" ht="15.75" customHeight="1">
      <c r="A4723" s="4" t="s">
        <v>5572</v>
      </c>
      <c r="B4723" s="4" t="s">
        <v>13</v>
      </c>
      <c r="C4723" s="4">
        <v>0.38</v>
      </c>
      <c r="D4723" s="4">
        <v>0.2</v>
      </c>
      <c r="E4723" s="4">
        <v>0.22</v>
      </c>
      <c r="K4723" s="6" t="b">
        <f t="shared" ref="K4723:M4723" si="4512">FALSE()</f>
        <v>0</v>
      </c>
      <c r="L4723" s="6" t="b">
        <f t="shared" si="4512"/>
        <v>0</v>
      </c>
      <c r="M4723" s="6" t="b">
        <f t="shared" si="4512"/>
        <v>0</v>
      </c>
      <c r="N4723" s="4">
        <v>0.322083499169113</v>
      </c>
      <c r="T4723" s="4">
        <f t="shared" si="3"/>
        <v>1028</v>
      </c>
      <c r="U4723" s="4" t="str">
        <f t="shared" si="4"/>
        <v/>
      </c>
    </row>
    <row r="4724" ht="15.75" customHeight="1">
      <c r="A4724" s="4" t="s">
        <v>5573</v>
      </c>
      <c r="B4724" s="4" t="s">
        <v>13</v>
      </c>
      <c r="C4724" s="4">
        <v>0.19278</v>
      </c>
      <c r="D4724" s="4">
        <v>0.11289</v>
      </c>
      <c r="E4724" s="4">
        <v>0.11289</v>
      </c>
      <c r="K4724" s="6" t="b">
        <f t="shared" ref="K4724:M4724" si="4513">FALSE()</f>
        <v>0</v>
      </c>
      <c r="L4724" s="6" t="b">
        <f t="shared" si="4513"/>
        <v>0</v>
      </c>
      <c r="M4724" s="6" t="b">
        <f t="shared" si="4513"/>
        <v>0</v>
      </c>
      <c r="N4724" s="4">
        <v>0.176286717057531</v>
      </c>
      <c r="T4724" s="4">
        <f t="shared" si="3"/>
        <v>1158</v>
      </c>
      <c r="U4724" s="4" t="str">
        <f t="shared" si="4"/>
        <v/>
      </c>
    </row>
    <row r="4725" ht="15.75" customHeight="1">
      <c r="A4725" s="4" t="s">
        <v>5574</v>
      </c>
      <c r="B4725" s="4" t="s">
        <v>13</v>
      </c>
      <c r="C4725" s="4">
        <v>0.01432</v>
      </c>
      <c r="D4725" s="4">
        <v>0.00727</v>
      </c>
      <c r="E4725" s="4">
        <v>0.00727</v>
      </c>
      <c r="K4725" s="6" t="b">
        <f t="shared" ref="K4725:M4725" si="4514">FALSE()</f>
        <v>0</v>
      </c>
      <c r="L4725" s="6" t="b">
        <f t="shared" si="4514"/>
        <v>0</v>
      </c>
      <c r="M4725" s="6" t="b">
        <f t="shared" si="4514"/>
        <v>0</v>
      </c>
      <c r="N4725" s="4">
        <v>0.0142184372375554</v>
      </c>
      <c r="T4725" s="4">
        <f t="shared" si="3"/>
        <v>1839</v>
      </c>
      <c r="U4725" s="4" t="str">
        <f t="shared" si="4"/>
        <v/>
      </c>
    </row>
    <row r="4726" ht="15.75" customHeight="1">
      <c r="A4726" s="4" t="s">
        <v>5575</v>
      </c>
      <c r="B4726" s="4" t="s">
        <v>13</v>
      </c>
      <c r="C4726" s="4">
        <v>1.47</v>
      </c>
      <c r="D4726" s="4">
        <v>0.77</v>
      </c>
      <c r="E4726" s="4">
        <v>0.65</v>
      </c>
      <c r="K4726" s="6" t="b">
        <f t="shared" ref="K4726:M4726" si="4515">FALSE()</f>
        <v>0</v>
      </c>
      <c r="L4726" s="6" t="b">
        <f t="shared" si="4515"/>
        <v>0</v>
      </c>
      <c r="M4726" s="6" t="b">
        <f t="shared" si="4515"/>
        <v>0</v>
      </c>
      <c r="N4726" s="4">
        <v>0.904218150639886</v>
      </c>
      <c r="T4726" s="4">
        <f t="shared" si="3"/>
        <v>518</v>
      </c>
      <c r="U4726" s="4" t="str">
        <f t="shared" si="4"/>
        <v/>
      </c>
    </row>
    <row r="4727" ht="15.75" customHeight="1">
      <c r="A4727" s="4" t="s">
        <v>5576</v>
      </c>
      <c r="B4727" s="4" t="s">
        <v>13</v>
      </c>
      <c r="C4727" s="4">
        <v>0.12</v>
      </c>
      <c r="D4727" s="4">
        <v>0.07</v>
      </c>
      <c r="E4727" s="4">
        <v>0.2</v>
      </c>
      <c r="K4727" s="6" t="b">
        <f t="shared" ref="K4727:M4727" si="4516">FALSE()</f>
        <v>0</v>
      </c>
      <c r="L4727" s="6" t="b">
        <f t="shared" si="4516"/>
        <v>0</v>
      </c>
      <c r="M4727" s="6" t="b">
        <f t="shared" si="4516"/>
        <v>0</v>
      </c>
      <c r="N4727" s="4">
        <v>0.113328685307003</v>
      </c>
      <c r="T4727" s="4">
        <f t="shared" si="3"/>
        <v>1230</v>
      </c>
      <c r="U4727" s="4" t="str">
        <f t="shared" si="4"/>
        <v/>
      </c>
    </row>
    <row r="4728" ht="15.75" customHeight="1">
      <c r="A4728" s="4" t="s">
        <v>5577</v>
      </c>
      <c r="B4728" s="4" t="s">
        <v>13</v>
      </c>
      <c r="C4728" s="4">
        <v>0.145</v>
      </c>
      <c r="D4728" s="4">
        <v>0.094</v>
      </c>
      <c r="E4728" s="4">
        <v>0.072</v>
      </c>
      <c r="K4728" s="6" t="b">
        <f t="shared" ref="K4728:M4728" si="4517">FALSE()</f>
        <v>0</v>
      </c>
      <c r="L4728" s="6" t="b">
        <f t="shared" si="4517"/>
        <v>0</v>
      </c>
      <c r="M4728" s="6" t="b">
        <f t="shared" si="4517"/>
        <v>0</v>
      </c>
      <c r="N4728" s="4">
        <v>0.135404637006203</v>
      </c>
      <c r="T4728" s="4">
        <f t="shared" si="3"/>
        <v>1201</v>
      </c>
      <c r="U4728" s="4" t="str">
        <f t="shared" si="4"/>
        <v/>
      </c>
    </row>
    <row r="4729" ht="15.75" customHeight="1">
      <c r="A4729" s="4" t="s">
        <v>5578</v>
      </c>
      <c r="B4729" s="4" t="s">
        <v>13</v>
      </c>
      <c r="C4729" s="4">
        <v>0.76</v>
      </c>
      <c r="D4729" s="4">
        <v>0.05</v>
      </c>
      <c r="E4729" s="4">
        <v>0.05</v>
      </c>
      <c r="K4729" s="6" t="b">
        <f t="shared" ref="K4729:M4729" si="4518">FALSE()</f>
        <v>0</v>
      </c>
      <c r="L4729" s="6" t="b">
        <f t="shared" si="4518"/>
        <v>0</v>
      </c>
      <c r="M4729" s="6" t="b">
        <f t="shared" si="4518"/>
        <v>0</v>
      </c>
      <c r="N4729" s="4">
        <v>0.565313809050061</v>
      </c>
      <c r="T4729" s="4">
        <f t="shared" si="3"/>
        <v>792</v>
      </c>
      <c r="U4729" s="4" t="str">
        <f t="shared" si="4"/>
        <v/>
      </c>
    </row>
    <row r="4730" ht="15.75" customHeight="1">
      <c r="A4730" s="4" t="s">
        <v>5579</v>
      </c>
      <c r="B4730" s="4" t="s">
        <v>13</v>
      </c>
      <c r="C4730" s="4">
        <v>1.07</v>
      </c>
      <c r="D4730" s="4">
        <v>0.68</v>
      </c>
      <c r="E4730" s="4">
        <v>1.15</v>
      </c>
      <c r="K4730" s="6" t="b">
        <f t="shared" ref="K4730:M4730" si="4519">FALSE()</f>
        <v>0</v>
      </c>
      <c r="L4730" s="6" t="b">
        <f t="shared" si="4519"/>
        <v>0</v>
      </c>
      <c r="M4730" s="6" t="b">
        <f t="shared" si="4519"/>
        <v>0</v>
      </c>
      <c r="N4730" s="4">
        <v>0.727548607277278</v>
      </c>
      <c r="T4730" s="4">
        <f t="shared" si="3"/>
        <v>639</v>
      </c>
      <c r="U4730" s="4" t="str">
        <f t="shared" si="4"/>
        <v/>
      </c>
    </row>
    <row r="4731" ht="15.75" customHeight="1">
      <c r="A4731" s="4" t="s">
        <v>5580</v>
      </c>
      <c r="B4731" s="4" t="s">
        <v>13</v>
      </c>
      <c r="C4731" s="4">
        <v>0.07</v>
      </c>
      <c r="D4731" s="4">
        <v>0.1</v>
      </c>
      <c r="E4731" s="4">
        <v>0.04</v>
      </c>
      <c r="K4731" s="6" t="b">
        <f t="shared" ref="K4731:M4731" si="4520">FALSE()</f>
        <v>0</v>
      </c>
      <c r="L4731" s="6" t="b">
        <f t="shared" si="4520"/>
        <v>0</v>
      </c>
      <c r="M4731" s="6" t="b">
        <f t="shared" si="4520"/>
        <v>0</v>
      </c>
      <c r="N4731" s="4">
        <v>0.0676586484738148</v>
      </c>
      <c r="T4731" s="4">
        <f t="shared" si="3"/>
        <v>1324</v>
      </c>
      <c r="U4731" s="4" t="str">
        <f t="shared" si="4"/>
        <v/>
      </c>
    </row>
    <row r="4732" ht="15.75" customHeight="1">
      <c r="A4732" s="4" t="s">
        <v>5581</v>
      </c>
      <c r="B4732" s="4" t="s">
        <v>13</v>
      </c>
      <c r="C4732" s="4">
        <v>0.8</v>
      </c>
      <c r="D4732" s="4">
        <v>0.35</v>
      </c>
      <c r="E4732" s="4">
        <v>0.56</v>
      </c>
      <c r="K4732" s="6" t="b">
        <f t="shared" ref="K4732:M4732" si="4521">FALSE()</f>
        <v>0</v>
      </c>
      <c r="L4732" s="6" t="b">
        <f t="shared" si="4521"/>
        <v>0</v>
      </c>
      <c r="M4732" s="6" t="b">
        <f t="shared" si="4521"/>
        <v>0</v>
      </c>
      <c r="N4732" s="4">
        <v>0.587786664902119</v>
      </c>
      <c r="T4732" s="4">
        <f t="shared" si="3"/>
        <v>768</v>
      </c>
      <c r="U4732" s="4" t="str">
        <f t="shared" si="4"/>
        <v/>
      </c>
    </row>
    <row r="4733" ht="15.75" customHeight="1">
      <c r="A4733" s="4" t="s">
        <v>5582</v>
      </c>
      <c r="B4733" s="4" t="s">
        <v>13</v>
      </c>
      <c r="C4733" s="4">
        <v>0.032</v>
      </c>
      <c r="D4733" s="4">
        <v>0.018</v>
      </c>
      <c r="E4733" s="4">
        <v>0.044</v>
      </c>
      <c r="K4733" s="6" t="b">
        <f t="shared" ref="K4733:M4733" si="4522">FALSE()</f>
        <v>0</v>
      </c>
      <c r="L4733" s="6" t="b">
        <f t="shared" si="4522"/>
        <v>0</v>
      </c>
      <c r="M4733" s="6" t="b">
        <f t="shared" si="4522"/>
        <v>0</v>
      </c>
      <c r="N4733" s="4">
        <v>0.0314986670593709</v>
      </c>
      <c r="T4733" s="4">
        <f t="shared" si="3"/>
        <v>1526</v>
      </c>
      <c r="U4733" s="4" t="str">
        <f t="shared" si="4"/>
        <v/>
      </c>
    </row>
    <row r="4734" ht="15.75" customHeight="1">
      <c r="A4734" s="4" t="s">
        <v>5583</v>
      </c>
      <c r="B4734" s="4" t="s">
        <v>13</v>
      </c>
      <c r="C4734" s="4">
        <v>0.513</v>
      </c>
      <c r="D4734" s="4">
        <v>0.275</v>
      </c>
      <c r="E4734" s="4">
        <v>0.41</v>
      </c>
      <c r="K4734" s="6" t="b">
        <f t="shared" ref="K4734:M4734" si="4523">FALSE()</f>
        <v>0</v>
      </c>
      <c r="L4734" s="6" t="b">
        <f t="shared" si="4523"/>
        <v>0</v>
      </c>
      <c r="M4734" s="6" t="b">
        <f t="shared" si="4523"/>
        <v>0</v>
      </c>
      <c r="N4734" s="4">
        <v>0.414094434806219</v>
      </c>
      <c r="T4734" s="4">
        <f t="shared" si="3"/>
        <v>947</v>
      </c>
      <c r="U4734" s="4" t="str">
        <f t="shared" si="4"/>
        <v/>
      </c>
    </row>
    <row r="4735" ht="15.75" customHeight="1">
      <c r="A4735" s="4" t="s">
        <v>5584</v>
      </c>
      <c r="B4735" s="4" t="s">
        <v>13</v>
      </c>
      <c r="C4735" s="4">
        <v>0.26</v>
      </c>
      <c r="D4735" s="4">
        <v>0.11</v>
      </c>
      <c r="E4735" s="4">
        <v>0.13</v>
      </c>
      <c r="K4735" s="6" t="b">
        <f t="shared" ref="K4735:M4735" si="4524">FALSE()</f>
        <v>0</v>
      </c>
      <c r="L4735" s="6" t="b">
        <f t="shared" si="4524"/>
        <v>0</v>
      </c>
      <c r="M4735" s="6" t="b">
        <f t="shared" si="4524"/>
        <v>0</v>
      </c>
      <c r="N4735" s="4">
        <v>0.231111720963387</v>
      </c>
      <c r="T4735" s="4">
        <f t="shared" si="3"/>
        <v>1101</v>
      </c>
      <c r="U4735" s="4" t="str">
        <f t="shared" si="4"/>
        <v/>
      </c>
    </row>
    <row r="4736" ht="15.75" customHeight="1">
      <c r="A4736" s="4" t="s">
        <v>5585</v>
      </c>
      <c r="B4736" s="4" t="s">
        <v>13</v>
      </c>
      <c r="C4736" s="4">
        <v>0.0485</v>
      </c>
      <c r="D4736" s="4">
        <v>0.0233</v>
      </c>
      <c r="E4736" s="4">
        <v>0.0302</v>
      </c>
      <c r="K4736" s="6" t="b">
        <f t="shared" ref="K4736:M4736" si="4525">FALSE()</f>
        <v>0</v>
      </c>
      <c r="L4736" s="6" t="b">
        <f t="shared" si="4525"/>
        <v>0</v>
      </c>
      <c r="M4736" s="6" t="b">
        <f t="shared" si="4525"/>
        <v>0</v>
      </c>
      <c r="N4736" s="4">
        <v>0.0473605713598375</v>
      </c>
      <c r="T4736" s="4">
        <f t="shared" si="3"/>
        <v>1407</v>
      </c>
      <c r="U4736" s="4" t="str">
        <f t="shared" si="4"/>
        <v/>
      </c>
    </row>
    <row r="4737" ht="15.75" customHeight="1">
      <c r="A4737" s="4" t="s">
        <v>5586</v>
      </c>
      <c r="B4737" s="4" t="s">
        <v>13</v>
      </c>
      <c r="C4737" s="4">
        <v>0.079</v>
      </c>
      <c r="D4737" s="4">
        <v>0.042</v>
      </c>
      <c r="E4737" s="4">
        <v>0.065</v>
      </c>
      <c r="K4737" s="6" t="b">
        <f t="shared" ref="K4737:M4737" si="4526">FALSE()</f>
        <v>0</v>
      </c>
      <c r="L4737" s="6" t="b">
        <f t="shared" si="4526"/>
        <v>0</v>
      </c>
      <c r="M4737" s="6" t="b">
        <f t="shared" si="4526"/>
        <v>0</v>
      </c>
      <c r="N4737" s="4">
        <v>0.0760346862759976</v>
      </c>
      <c r="T4737" s="4">
        <f t="shared" si="3"/>
        <v>1300</v>
      </c>
      <c r="U4737" s="4" t="str">
        <f t="shared" si="4"/>
        <v/>
      </c>
    </row>
    <row r="4738" ht="15.75" customHeight="1">
      <c r="A4738" s="4" t="s">
        <v>5587</v>
      </c>
      <c r="B4738" s="4" t="s">
        <v>13</v>
      </c>
      <c r="C4738" s="4">
        <v>1.12</v>
      </c>
      <c r="D4738" s="4">
        <v>0.065</v>
      </c>
      <c r="E4738" s="4">
        <v>0.065</v>
      </c>
      <c r="K4738" s="6" t="b">
        <f t="shared" ref="K4738:M4738" si="4527">FALSE()</f>
        <v>0</v>
      </c>
      <c r="L4738" s="6" t="b">
        <f t="shared" si="4527"/>
        <v>0</v>
      </c>
      <c r="M4738" s="6" t="b">
        <f t="shared" si="4527"/>
        <v>0</v>
      </c>
      <c r="N4738" s="4">
        <v>0.751416088683921</v>
      </c>
      <c r="T4738" s="4">
        <f t="shared" si="3"/>
        <v>615</v>
      </c>
      <c r="U4738" s="4" t="str">
        <f t="shared" si="4"/>
        <v/>
      </c>
    </row>
    <row r="4739" ht="15.75" customHeight="1">
      <c r="A4739" s="4" t="s">
        <v>5588</v>
      </c>
      <c r="B4739" s="4" t="s">
        <v>13</v>
      </c>
      <c r="C4739" s="4">
        <v>0.31</v>
      </c>
      <c r="D4739" s="4">
        <v>0.16</v>
      </c>
      <c r="E4739" s="4">
        <v>0.46</v>
      </c>
      <c r="K4739" s="6" t="b">
        <f t="shared" ref="K4739:M4739" si="4528">FALSE()</f>
        <v>0</v>
      </c>
      <c r="L4739" s="6" t="b">
        <f t="shared" si="4528"/>
        <v>0</v>
      </c>
      <c r="M4739" s="6" t="b">
        <f t="shared" si="4528"/>
        <v>0</v>
      </c>
      <c r="N4739" s="4">
        <v>0.27002713721306</v>
      </c>
      <c r="T4739" s="4">
        <f t="shared" si="3"/>
        <v>1062</v>
      </c>
      <c r="U4739" s="4" t="str">
        <f t="shared" si="4"/>
        <v/>
      </c>
    </row>
    <row r="4740" ht="15.75" customHeight="1">
      <c r="A4740" s="4" t="s">
        <v>5589</v>
      </c>
      <c r="B4740" s="4" t="s">
        <v>13</v>
      </c>
      <c r="C4740" s="4">
        <v>0.083</v>
      </c>
      <c r="D4740" s="4">
        <v>0.042</v>
      </c>
      <c r="E4740" s="4">
        <v>0.073</v>
      </c>
      <c r="K4740" s="6" t="b">
        <f t="shared" ref="K4740:M4740" si="4529">FALSE()</f>
        <v>0</v>
      </c>
      <c r="L4740" s="6" t="b">
        <f t="shared" si="4529"/>
        <v>0</v>
      </c>
      <c r="M4740" s="6" t="b">
        <f t="shared" si="4529"/>
        <v>0</v>
      </c>
      <c r="N4740" s="4">
        <v>0.0797349680188535</v>
      </c>
      <c r="T4740" s="4">
        <f t="shared" si="3"/>
        <v>1290</v>
      </c>
      <c r="U4740" s="4" t="str">
        <f t="shared" si="4"/>
        <v/>
      </c>
    </row>
    <row r="4741" ht="15.75" customHeight="1">
      <c r="A4741" s="4" t="s">
        <v>5590</v>
      </c>
      <c r="B4741" s="4" t="s">
        <v>13</v>
      </c>
      <c r="C4741" s="4">
        <v>6.64</v>
      </c>
      <c r="D4741" s="4">
        <v>3.6</v>
      </c>
      <c r="E4741" s="4">
        <v>5.0</v>
      </c>
      <c r="K4741" s="6" t="b">
        <f>TRUE()</f>
        <v>1</v>
      </c>
      <c r="L4741" s="6" t="b">
        <f t="shared" ref="L4741:M4741" si="4530">FALSE()</f>
        <v>0</v>
      </c>
      <c r="M4741" s="6" t="b">
        <f t="shared" si="4530"/>
        <v>0</v>
      </c>
      <c r="N4741" s="4">
        <v>2.03339760317843</v>
      </c>
      <c r="T4741" s="4">
        <f t="shared" si="3"/>
        <v>143</v>
      </c>
      <c r="U4741" s="4" t="str">
        <f t="shared" si="4"/>
        <v/>
      </c>
    </row>
    <row r="4742" ht="15.75" customHeight="1">
      <c r="A4742" s="4" t="s">
        <v>5591</v>
      </c>
      <c r="B4742" s="4" t="s">
        <v>13</v>
      </c>
      <c r="C4742" s="4">
        <v>1.73</v>
      </c>
      <c r="D4742" s="4">
        <v>0.9</v>
      </c>
      <c r="E4742" s="4">
        <v>0.95</v>
      </c>
      <c r="K4742" s="6" t="b">
        <f t="shared" ref="K4742:M4742" si="4531">FALSE()</f>
        <v>0</v>
      </c>
      <c r="L4742" s="6" t="b">
        <f t="shared" si="4531"/>
        <v>0</v>
      </c>
      <c r="M4742" s="6" t="b">
        <f t="shared" si="4531"/>
        <v>0</v>
      </c>
      <c r="N4742" s="4">
        <v>1.00430160919687</v>
      </c>
      <c r="T4742" s="4">
        <f t="shared" si="3"/>
        <v>480</v>
      </c>
      <c r="U4742" s="4" t="str">
        <f t="shared" si="4"/>
        <v/>
      </c>
    </row>
    <row r="4743" ht="15.75" customHeight="1">
      <c r="A4743" s="4" t="s">
        <v>5592</v>
      </c>
      <c r="B4743" s="4" t="s">
        <v>13</v>
      </c>
      <c r="C4743" s="4">
        <v>1.5</v>
      </c>
      <c r="D4743" s="4">
        <v>0.3</v>
      </c>
      <c r="E4743" s="4">
        <v>0.6</v>
      </c>
      <c r="K4743" s="6" t="b">
        <f t="shared" ref="K4743:M4743" si="4532">FALSE()</f>
        <v>0</v>
      </c>
      <c r="L4743" s="6" t="b">
        <f t="shared" si="4532"/>
        <v>0</v>
      </c>
      <c r="M4743" s="6" t="b">
        <f t="shared" si="4532"/>
        <v>0</v>
      </c>
      <c r="N4743" s="4">
        <v>0.916290731874155</v>
      </c>
      <c r="T4743" s="4">
        <f t="shared" si="3"/>
        <v>511</v>
      </c>
      <c r="U4743" s="4" t="str">
        <f t="shared" si="4"/>
        <v/>
      </c>
    </row>
    <row r="4744" ht="15.75" customHeight="1">
      <c r="A4744" s="4" t="s">
        <v>5593</v>
      </c>
      <c r="B4744" s="4" t="s">
        <v>13</v>
      </c>
      <c r="C4744" s="4">
        <v>0.35</v>
      </c>
      <c r="D4744" s="4">
        <v>0.17</v>
      </c>
      <c r="E4744" s="4">
        <v>0.24</v>
      </c>
      <c r="K4744" s="6" t="b">
        <f t="shared" ref="K4744:M4744" si="4533">FALSE()</f>
        <v>0</v>
      </c>
      <c r="L4744" s="6" t="b">
        <f t="shared" si="4533"/>
        <v>0</v>
      </c>
      <c r="M4744" s="6" t="b">
        <f t="shared" si="4533"/>
        <v>0</v>
      </c>
      <c r="N4744" s="4">
        <v>0.300104592450338</v>
      </c>
      <c r="T4744" s="4">
        <f t="shared" si="3"/>
        <v>1048</v>
      </c>
      <c r="U4744" s="4" t="str">
        <f t="shared" si="4"/>
        <v/>
      </c>
    </row>
    <row r="4745" ht="15.75" customHeight="1">
      <c r="A4745" s="4" t="s">
        <v>5594</v>
      </c>
      <c r="B4745" s="4" t="s">
        <v>13</v>
      </c>
      <c r="C4745" s="4">
        <v>5.0</v>
      </c>
      <c r="D4745" s="4">
        <v>3.0</v>
      </c>
      <c r="E4745" s="4">
        <v>5.4</v>
      </c>
      <c r="K4745" s="6" t="b">
        <f>TRUE()</f>
        <v>1</v>
      </c>
      <c r="L4745" s="6" t="b">
        <f t="shared" ref="L4745:M4745" si="4534">FALSE()</f>
        <v>0</v>
      </c>
      <c r="M4745" s="6" t="b">
        <f t="shared" si="4534"/>
        <v>0</v>
      </c>
      <c r="N4745" s="4">
        <v>1.79175946922806</v>
      </c>
      <c r="T4745" s="4">
        <f t="shared" si="3"/>
        <v>211</v>
      </c>
      <c r="U4745" s="4" t="str">
        <f t="shared" si="4"/>
        <v/>
      </c>
    </row>
    <row r="4746" ht="15.75" customHeight="1">
      <c r="A4746" s="4" t="s">
        <v>5595</v>
      </c>
      <c r="B4746" s="4" t="s">
        <v>13</v>
      </c>
      <c r="C4746" s="4">
        <v>0.88</v>
      </c>
      <c r="D4746" s="4">
        <v>0.46</v>
      </c>
      <c r="E4746" s="4">
        <v>0.46</v>
      </c>
      <c r="K4746" s="6" t="b">
        <f t="shared" ref="K4746:M4746" si="4535">FALSE()</f>
        <v>0</v>
      </c>
      <c r="L4746" s="6" t="b">
        <f t="shared" si="4535"/>
        <v>0</v>
      </c>
      <c r="M4746" s="6" t="b">
        <f t="shared" si="4535"/>
        <v>0</v>
      </c>
      <c r="N4746" s="4">
        <v>0.631271776841858</v>
      </c>
      <c r="T4746" s="4">
        <f t="shared" si="3"/>
        <v>725</v>
      </c>
      <c r="U4746" s="4" t="str">
        <f t="shared" si="4"/>
        <v/>
      </c>
    </row>
    <row r="4747" ht="15.75" customHeight="1">
      <c r="A4747" s="4" t="s">
        <v>5596</v>
      </c>
      <c r="B4747" s="4" t="s">
        <v>13</v>
      </c>
      <c r="C4747" s="4">
        <v>0.2633</v>
      </c>
      <c r="D4747" s="4">
        <v>0.14395</v>
      </c>
      <c r="E4747" s="4">
        <v>0.1682</v>
      </c>
      <c r="K4747" s="6" t="b">
        <f t="shared" ref="K4747:M4747" si="4536">FALSE()</f>
        <v>0</v>
      </c>
      <c r="L4747" s="6" t="b">
        <f t="shared" si="4536"/>
        <v>0</v>
      </c>
      <c r="M4747" s="6" t="b">
        <f t="shared" si="4536"/>
        <v>0</v>
      </c>
      <c r="N4747" s="4">
        <v>0.233727344853855</v>
      </c>
      <c r="T4747" s="4">
        <f t="shared" si="3"/>
        <v>1096</v>
      </c>
      <c r="U4747" s="4" t="str">
        <f t="shared" si="4"/>
        <v/>
      </c>
    </row>
    <row r="4748" ht="15.75" customHeight="1">
      <c r="A4748" s="4" t="s">
        <v>5597</v>
      </c>
      <c r="B4748" s="4" t="s">
        <v>13</v>
      </c>
      <c r="C4748" s="4">
        <v>6.15</v>
      </c>
      <c r="D4748" s="4">
        <v>3.2</v>
      </c>
      <c r="E4748" s="4">
        <v>3.0</v>
      </c>
      <c r="K4748" s="6" t="b">
        <f>TRUE()</f>
        <v>1</v>
      </c>
      <c r="L4748" s="6" t="b">
        <f t="shared" ref="L4748:M4748" si="4537">FALSE()</f>
        <v>0</v>
      </c>
      <c r="M4748" s="6" t="b">
        <f t="shared" si="4537"/>
        <v>0</v>
      </c>
      <c r="N4748" s="4">
        <v>1.96711235670592</v>
      </c>
      <c r="T4748" s="4">
        <f t="shared" si="3"/>
        <v>158</v>
      </c>
      <c r="U4748" s="4" t="str">
        <f t="shared" si="4"/>
        <v/>
      </c>
    </row>
    <row r="4749" ht="15.75" customHeight="1">
      <c r="A4749" s="4" t="s">
        <v>5598</v>
      </c>
      <c r="B4749" s="4" t="s">
        <v>13</v>
      </c>
      <c r="C4749" s="4">
        <v>0.124</v>
      </c>
      <c r="D4749" s="4">
        <v>0.067</v>
      </c>
      <c r="E4749" s="4">
        <v>0.092</v>
      </c>
      <c r="K4749" s="6" t="b">
        <f t="shared" ref="K4749:M4749" si="4538">FALSE()</f>
        <v>0</v>
      </c>
      <c r="L4749" s="6" t="b">
        <f t="shared" si="4538"/>
        <v>0</v>
      </c>
      <c r="M4749" s="6" t="b">
        <f t="shared" si="4538"/>
        <v>0</v>
      </c>
      <c r="N4749" s="4">
        <v>0.116893751471499</v>
      </c>
      <c r="T4749" s="4">
        <f t="shared" si="3"/>
        <v>1224</v>
      </c>
      <c r="U4749" s="4" t="str">
        <f t="shared" si="4"/>
        <v/>
      </c>
    </row>
    <row r="4750" ht="15.75" customHeight="1">
      <c r="A4750" s="4" t="s">
        <v>5599</v>
      </c>
      <c r="B4750" s="4" t="s">
        <v>13</v>
      </c>
      <c r="C4750" s="4">
        <v>0.12</v>
      </c>
      <c r="D4750" s="4">
        <v>0.07</v>
      </c>
      <c r="E4750" s="4">
        <v>0.07</v>
      </c>
      <c r="K4750" s="6" t="b">
        <f t="shared" ref="K4750:M4750" si="4539">FALSE()</f>
        <v>0</v>
      </c>
      <c r="L4750" s="6" t="b">
        <f t="shared" si="4539"/>
        <v>0</v>
      </c>
      <c r="M4750" s="6" t="b">
        <f t="shared" si="4539"/>
        <v>0</v>
      </c>
      <c r="N4750" s="4">
        <v>0.113328685307003</v>
      </c>
      <c r="T4750" s="4">
        <f t="shared" si="3"/>
        <v>1231</v>
      </c>
      <c r="U4750" s="4" t="str">
        <f t="shared" si="4"/>
        <v/>
      </c>
    </row>
    <row r="4751" ht="15.75" customHeight="1">
      <c r="A4751" s="4" t="s">
        <v>5600</v>
      </c>
      <c r="B4751" s="4" t="s">
        <v>13</v>
      </c>
      <c r="C4751" s="4">
        <v>0.63</v>
      </c>
      <c r="D4751" s="4">
        <v>0.34</v>
      </c>
      <c r="E4751" s="4">
        <v>0.71</v>
      </c>
      <c r="K4751" s="6" t="b">
        <f t="shared" ref="K4751:M4751" si="4540">FALSE()</f>
        <v>0</v>
      </c>
      <c r="L4751" s="6" t="b">
        <f t="shared" si="4540"/>
        <v>0</v>
      </c>
      <c r="M4751" s="6" t="b">
        <f t="shared" si="4540"/>
        <v>0</v>
      </c>
      <c r="N4751" s="4">
        <v>0.488580014818671</v>
      </c>
      <c r="T4751" s="4">
        <f t="shared" si="3"/>
        <v>866</v>
      </c>
      <c r="U4751" s="4" t="str">
        <f t="shared" si="4"/>
        <v/>
      </c>
    </row>
    <row r="4752" ht="15.75" customHeight="1">
      <c r="A4752" s="4" t="s">
        <v>5601</v>
      </c>
      <c r="B4752" s="4" t="s">
        <v>13</v>
      </c>
      <c r="C4752" s="4">
        <v>1.18</v>
      </c>
      <c r="D4752" s="4">
        <v>1.9</v>
      </c>
      <c r="E4752" s="4">
        <v>0.7</v>
      </c>
      <c r="K4752" s="6" t="b">
        <f t="shared" ref="K4752:M4752" si="4541">FALSE()</f>
        <v>0</v>
      </c>
      <c r="L4752" s="6" t="b">
        <f t="shared" si="4541"/>
        <v>0</v>
      </c>
      <c r="M4752" s="6" t="b">
        <f t="shared" si="4541"/>
        <v>0</v>
      </c>
      <c r="N4752" s="4">
        <v>0.779324876800998</v>
      </c>
      <c r="T4752" s="4">
        <f t="shared" si="3"/>
        <v>596</v>
      </c>
      <c r="U4752" s="4" t="str">
        <f t="shared" si="4"/>
        <v/>
      </c>
    </row>
    <row r="4753" ht="15.75" customHeight="1">
      <c r="A4753" s="4" t="s">
        <v>5602</v>
      </c>
      <c r="B4753" s="4" t="s">
        <v>13</v>
      </c>
      <c r="C4753" s="4">
        <v>0.0104</v>
      </c>
      <c r="D4753" s="4">
        <v>0.0038</v>
      </c>
      <c r="E4753" s="4">
        <v>0.0038</v>
      </c>
      <c r="K4753" s="6" t="b">
        <f t="shared" ref="K4753:M4753" si="4542">FALSE()</f>
        <v>0</v>
      </c>
      <c r="L4753" s="6" t="b">
        <f t="shared" si="4542"/>
        <v>0</v>
      </c>
      <c r="M4753" s="6" t="b">
        <f t="shared" si="4542"/>
        <v>0</v>
      </c>
      <c r="N4753" s="4">
        <v>0.0103462920541443</v>
      </c>
      <c r="T4753" s="4">
        <f t="shared" si="3"/>
        <v>1932</v>
      </c>
      <c r="U4753" s="4" t="str">
        <f t="shared" si="4"/>
        <v/>
      </c>
    </row>
    <row r="4754" ht="15.75" customHeight="1">
      <c r="A4754" s="4" t="s">
        <v>5603</v>
      </c>
      <c r="B4754" s="4" t="s">
        <v>13</v>
      </c>
      <c r="C4754" s="4">
        <v>0.05144</v>
      </c>
      <c r="D4754" s="4">
        <v>0.02656</v>
      </c>
      <c r="E4754" s="4">
        <v>0.03087</v>
      </c>
      <c r="K4754" s="6" t="b">
        <f t="shared" ref="K4754:M4754" si="4543">FALSE()</f>
        <v>0</v>
      </c>
      <c r="L4754" s="6" t="b">
        <f t="shared" si="4543"/>
        <v>0</v>
      </c>
      <c r="M4754" s="6" t="b">
        <f t="shared" si="4543"/>
        <v>0</v>
      </c>
      <c r="N4754" s="4">
        <v>0.0501606531916156</v>
      </c>
      <c r="T4754" s="4">
        <f t="shared" si="3"/>
        <v>1397</v>
      </c>
      <c r="U4754" s="4" t="str">
        <f t="shared" si="4"/>
        <v/>
      </c>
    </row>
    <row r="4755" ht="15.75" customHeight="1">
      <c r="A4755" s="4" t="s">
        <v>5604</v>
      </c>
      <c r="B4755" s="4" t="s">
        <v>13</v>
      </c>
      <c r="C4755" s="4">
        <v>0.8</v>
      </c>
      <c r="D4755" s="4">
        <v>0.38</v>
      </c>
      <c r="E4755" s="4">
        <v>0.38</v>
      </c>
      <c r="K4755" s="6" t="b">
        <f t="shared" ref="K4755:M4755" si="4544">FALSE()</f>
        <v>0</v>
      </c>
      <c r="L4755" s="6" t="b">
        <f t="shared" si="4544"/>
        <v>0</v>
      </c>
      <c r="M4755" s="6" t="b">
        <f t="shared" si="4544"/>
        <v>0</v>
      </c>
      <c r="N4755" s="4">
        <v>0.587786664902119</v>
      </c>
      <c r="T4755" s="4">
        <f t="shared" si="3"/>
        <v>769</v>
      </c>
      <c r="U4755" s="4" t="str">
        <f t="shared" si="4"/>
        <v/>
      </c>
    </row>
    <row r="4756" ht="15.75" customHeight="1">
      <c r="A4756" s="4" t="s">
        <v>5605</v>
      </c>
      <c r="B4756" s="4" t="s">
        <v>13</v>
      </c>
      <c r="C4756" s="4">
        <v>0.0431</v>
      </c>
      <c r="D4756" s="4">
        <v>0.0211</v>
      </c>
      <c r="E4756" s="4">
        <v>0.0478</v>
      </c>
      <c r="K4756" s="6" t="b">
        <f t="shared" ref="K4756:M4756" si="4545">FALSE()</f>
        <v>0</v>
      </c>
      <c r="L4756" s="6" t="b">
        <f t="shared" si="4545"/>
        <v>0</v>
      </c>
      <c r="M4756" s="6" t="b">
        <f t="shared" si="4545"/>
        <v>0</v>
      </c>
      <c r="N4756" s="4">
        <v>0.0421970486997883</v>
      </c>
      <c r="T4756" s="4">
        <f t="shared" si="3"/>
        <v>1439</v>
      </c>
      <c r="U4756" s="4" t="str">
        <f t="shared" si="4"/>
        <v/>
      </c>
    </row>
    <row r="4757" ht="15.75" customHeight="1">
      <c r="A4757" s="4" t="s">
        <v>5606</v>
      </c>
      <c r="B4757" s="4" t="s">
        <v>13</v>
      </c>
      <c r="C4757" s="4">
        <v>2.64</v>
      </c>
      <c r="D4757" s="4">
        <v>1.16</v>
      </c>
      <c r="E4757" s="4">
        <v>1.57</v>
      </c>
      <c r="K4757" s="6" t="b">
        <f t="shared" ref="K4757:M4757" si="4546">FALSE()</f>
        <v>0</v>
      </c>
      <c r="L4757" s="6" t="b">
        <f t="shared" si="4546"/>
        <v>0</v>
      </c>
      <c r="M4757" s="6" t="b">
        <f t="shared" si="4546"/>
        <v>0</v>
      </c>
      <c r="N4757" s="4">
        <v>1.29198368164865</v>
      </c>
      <c r="T4757" s="4">
        <f t="shared" si="3"/>
        <v>356</v>
      </c>
      <c r="U4757" s="4" t="str">
        <f t="shared" si="4"/>
        <v/>
      </c>
    </row>
    <row r="4758" ht="15.75" customHeight="1">
      <c r="A4758" s="4" t="s">
        <v>5607</v>
      </c>
      <c r="B4758" s="4" t="s">
        <v>13</v>
      </c>
      <c r="D4758" s="4">
        <v>0.00239</v>
      </c>
      <c r="E4758" s="4">
        <v>0.00239</v>
      </c>
      <c r="F4758" s="4">
        <v>0.0277</v>
      </c>
      <c r="G4758" s="4">
        <v>0.00239</v>
      </c>
      <c r="H4758" s="4">
        <v>0.00239</v>
      </c>
      <c r="K4758" s="6" t="b">
        <f t="shared" ref="K4758:M4758" si="4547">FALSE()</f>
        <v>0</v>
      </c>
      <c r="L4758" s="6" t="b">
        <f t="shared" si="4547"/>
        <v>0</v>
      </c>
      <c r="M4758" s="6" t="b">
        <f t="shared" si="4547"/>
        <v>0</v>
      </c>
      <c r="O4758" s="4">
        <v>0.0273232956488903</v>
      </c>
      <c r="T4758" s="4" t="str">
        <f t="shared" si="3"/>
        <v/>
      </c>
      <c r="U4758" s="4" t="str">
        <f t="shared" si="4"/>
        <v/>
      </c>
    </row>
    <row r="4759" ht="15.75" customHeight="1">
      <c r="A4759" s="4" t="s">
        <v>5608</v>
      </c>
      <c r="B4759" s="4" t="s">
        <v>13</v>
      </c>
      <c r="D4759" s="4">
        <v>0.0035</v>
      </c>
      <c r="E4759" s="4">
        <v>0.0035</v>
      </c>
      <c r="F4759" s="4">
        <v>0.039</v>
      </c>
      <c r="G4759" s="4">
        <v>0.0035</v>
      </c>
      <c r="H4759" s="4">
        <v>0.0035</v>
      </c>
      <c r="K4759" s="6" t="b">
        <f t="shared" ref="K4759:M4759" si="4548">FALSE()</f>
        <v>0</v>
      </c>
      <c r="L4759" s="6" t="b">
        <f t="shared" si="4548"/>
        <v>0</v>
      </c>
      <c r="M4759" s="6" t="b">
        <f t="shared" si="4548"/>
        <v>0</v>
      </c>
      <c r="O4759" s="4">
        <v>0.0382587121170903</v>
      </c>
      <c r="T4759" s="4" t="str">
        <f t="shared" si="3"/>
        <v/>
      </c>
      <c r="U4759" s="4" t="str">
        <f t="shared" si="4"/>
        <v/>
      </c>
    </row>
    <row r="4760" ht="15.75" customHeight="1">
      <c r="A4760" s="4" t="s">
        <v>1065</v>
      </c>
      <c r="B4760" s="4" t="s">
        <v>13</v>
      </c>
      <c r="C4760" s="4">
        <v>0.00271</v>
      </c>
      <c r="D4760" s="4">
        <v>0.00271</v>
      </c>
      <c r="E4760" s="4">
        <v>0.0</v>
      </c>
      <c r="I4760" s="4">
        <v>0.0946</v>
      </c>
      <c r="J4760" s="4">
        <v>0.0946</v>
      </c>
      <c r="K4760" s="6" t="b">
        <f t="shared" ref="K4760:M4760" si="4549">FALSE()</f>
        <v>0</v>
      </c>
      <c r="L4760" s="6" t="b">
        <f t="shared" si="4549"/>
        <v>0</v>
      </c>
      <c r="M4760" s="6" t="b">
        <f t="shared" si="4549"/>
        <v>0</v>
      </c>
      <c r="N4760" s="4">
        <v>0.0027063345707155</v>
      </c>
      <c r="P4760" s="4">
        <v>0.0903889997276807</v>
      </c>
      <c r="T4760" s="4">
        <f t="shared" si="3"/>
        <v>2058</v>
      </c>
      <c r="U4760" s="4">
        <f t="shared" si="4"/>
        <v>4285</v>
      </c>
    </row>
    <row r="4761" ht="15.75" customHeight="1">
      <c r="A4761" s="4" t="s">
        <v>5609</v>
      </c>
      <c r="B4761" s="4" t="s">
        <v>13</v>
      </c>
      <c r="I4761" s="4">
        <v>0.164</v>
      </c>
      <c r="J4761" s="4">
        <v>0.021</v>
      </c>
      <c r="K4761" s="6" t="b">
        <f t="shared" ref="K4761:M4761" si="4550">FALSE()</f>
        <v>0</v>
      </c>
      <c r="L4761" s="6" t="b">
        <f t="shared" si="4550"/>
        <v>0</v>
      </c>
      <c r="M4761" s="6" t="b">
        <f t="shared" si="4550"/>
        <v>0</v>
      </c>
      <c r="P4761" s="4">
        <v>0.151862349309246</v>
      </c>
      <c r="T4761" s="4" t="str">
        <f t="shared" si="3"/>
        <v/>
      </c>
      <c r="U4761" s="4">
        <f t="shared" si="4"/>
        <v>3133</v>
      </c>
    </row>
    <row r="4762" ht="15.75" customHeight="1">
      <c r="A4762" s="4" t="s">
        <v>5610</v>
      </c>
      <c r="B4762" s="4" t="s">
        <v>13</v>
      </c>
      <c r="I4762" s="4">
        <v>0.0928</v>
      </c>
      <c r="J4762" s="4">
        <v>0.0125</v>
      </c>
      <c r="K4762" s="6" t="b">
        <f t="shared" ref="K4762:M4762" si="4551">FALSE()</f>
        <v>0</v>
      </c>
      <c r="L4762" s="6" t="b">
        <f t="shared" si="4551"/>
        <v>0</v>
      </c>
      <c r="M4762" s="6" t="b">
        <f t="shared" si="4551"/>
        <v>0</v>
      </c>
      <c r="P4762" s="4">
        <v>0.0887432098343885</v>
      </c>
      <c r="T4762" s="4" t="str">
        <f t="shared" si="3"/>
        <v/>
      </c>
      <c r="U4762" s="4">
        <f t="shared" si="4"/>
        <v>4302</v>
      </c>
    </row>
    <row r="4763" ht="15.75" customHeight="1">
      <c r="A4763" s="4" t="s">
        <v>5611</v>
      </c>
      <c r="B4763" s="4" t="s">
        <v>13</v>
      </c>
      <c r="I4763" s="4">
        <v>0.1169</v>
      </c>
      <c r="J4763" s="4">
        <v>0.0143</v>
      </c>
      <c r="K4763" s="6" t="b">
        <f t="shared" ref="K4763:M4763" si="4552">FALSE()</f>
        <v>0</v>
      </c>
      <c r="L4763" s="6" t="b">
        <f t="shared" si="4552"/>
        <v>0</v>
      </c>
      <c r="M4763" s="6" t="b">
        <f t="shared" si="4552"/>
        <v>0</v>
      </c>
      <c r="P4763" s="4">
        <v>0.110556990564644</v>
      </c>
      <c r="T4763" s="4" t="str">
        <f t="shared" si="3"/>
        <v/>
      </c>
      <c r="U4763" s="4">
        <f t="shared" si="4"/>
        <v>3941</v>
      </c>
    </row>
    <row r="4764" ht="15.75" customHeight="1">
      <c r="A4764" s="4" t="s">
        <v>5612</v>
      </c>
      <c r="B4764" s="4" t="s">
        <v>13</v>
      </c>
      <c r="I4764" s="4">
        <v>0.132</v>
      </c>
      <c r="J4764" s="4">
        <v>0.018</v>
      </c>
      <c r="K4764" s="6" t="b">
        <f t="shared" ref="K4764:M4764" si="4553">FALSE()</f>
        <v>0</v>
      </c>
      <c r="L4764" s="6" t="b">
        <f t="shared" si="4553"/>
        <v>0</v>
      </c>
      <c r="M4764" s="6" t="b">
        <f t="shared" si="4553"/>
        <v>0</v>
      </c>
      <c r="P4764" s="4">
        <v>0.123985979780991</v>
      </c>
      <c r="T4764" s="4" t="str">
        <f t="shared" si="3"/>
        <v/>
      </c>
      <c r="U4764" s="4">
        <f t="shared" si="4"/>
        <v>3665</v>
      </c>
    </row>
    <row r="4765" ht="15.75" customHeight="1">
      <c r="A4765" s="4" t="s">
        <v>5613</v>
      </c>
      <c r="B4765" s="4" t="s">
        <v>13</v>
      </c>
      <c r="I4765" s="4">
        <v>0.146</v>
      </c>
      <c r="J4765" s="4">
        <v>0.026</v>
      </c>
      <c r="K4765" s="6" t="b">
        <f t="shared" ref="K4765:M4765" si="4554">FALSE()</f>
        <v>0</v>
      </c>
      <c r="L4765" s="6" t="b">
        <f t="shared" si="4554"/>
        <v>0</v>
      </c>
      <c r="M4765" s="6" t="b">
        <f t="shared" si="4554"/>
        <v>0</v>
      </c>
      <c r="P4765" s="4">
        <v>0.136277618292548</v>
      </c>
      <c r="T4765" s="4" t="str">
        <f t="shared" si="3"/>
        <v/>
      </c>
      <c r="U4765" s="4">
        <f t="shared" si="4"/>
        <v>3404</v>
      </c>
    </row>
    <row r="4766" ht="15.75" customHeight="1">
      <c r="A4766" s="4" t="s">
        <v>5614</v>
      </c>
      <c r="B4766" s="4" t="s">
        <v>13</v>
      </c>
      <c r="I4766" s="4">
        <v>0.0589</v>
      </c>
      <c r="J4766" s="4">
        <v>0.009</v>
      </c>
      <c r="K4766" s="6" t="b">
        <f t="shared" ref="K4766:M4766" si="4555">FALSE()</f>
        <v>0</v>
      </c>
      <c r="L4766" s="6" t="b">
        <f t="shared" si="4555"/>
        <v>0</v>
      </c>
      <c r="M4766" s="6" t="b">
        <f t="shared" si="4555"/>
        <v>0</v>
      </c>
      <c r="P4766" s="4">
        <v>0.0572306334542717</v>
      </c>
      <c r="T4766" s="4" t="str">
        <f t="shared" si="3"/>
        <v/>
      </c>
      <c r="U4766" s="4">
        <f t="shared" si="4"/>
        <v>4537</v>
      </c>
    </row>
    <row r="4767" ht="15.75" customHeight="1">
      <c r="A4767" s="4" t="s">
        <v>5615</v>
      </c>
      <c r="B4767" s="4" t="s">
        <v>13</v>
      </c>
      <c r="I4767" s="4">
        <v>0.83</v>
      </c>
      <c r="J4767" s="4">
        <v>0.211</v>
      </c>
      <c r="K4767" s="6" t="b">
        <f t="shared" ref="K4767:L4767" si="4556">FALSE()</f>
        <v>0</v>
      </c>
      <c r="L4767" s="6" t="b">
        <f t="shared" si="4556"/>
        <v>0</v>
      </c>
      <c r="M4767" s="6" t="b">
        <f>TRUE()</f>
        <v>1</v>
      </c>
      <c r="P4767" s="4">
        <v>0.60431596685333</v>
      </c>
      <c r="T4767" s="4" t="str">
        <f t="shared" si="3"/>
        <v/>
      </c>
      <c r="U4767" s="4">
        <f t="shared" si="4"/>
        <v>817</v>
      </c>
    </row>
    <row r="4768" ht="15.75" customHeight="1">
      <c r="A4768" s="4" t="s">
        <v>5616</v>
      </c>
      <c r="B4768" s="4" t="s">
        <v>13</v>
      </c>
      <c r="I4768" s="4">
        <v>0.131</v>
      </c>
      <c r="J4768" s="4">
        <v>0.015</v>
      </c>
      <c r="K4768" s="6" t="b">
        <f t="shared" ref="K4768:M4768" si="4557">FALSE()</f>
        <v>0</v>
      </c>
      <c r="L4768" s="6" t="b">
        <f t="shared" si="4557"/>
        <v>0</v>
      </c>
      <c r="M4768" s="6" t="b">
        <f t="shared" si="4557"/>
        <v>0</v>
      </c>
      <c r="P4768" s="4">
        <v>0.123102197133983</v>
      </c>
      <c r="T4768" s="4" t="str">
        <f t="shared" si="3"/>
        <v/>
      </c>
      <c r="U4768" s="4">
        <f t="shared" si="4"/>
        <v>3682</v>
      </c>
    </row>
    <row r="4769" ht="15.75" customHeight="1">
      <c r="A4769" s="4" t="s">
        <v>5617</v>
      </c>
      <c r="B4769" s="4" t="s">
        <v>13</v>
      </c>
      <c r="I4769" s="4">
        <v>0.136</v>
      </c>
      <c r="J4769" s="4">
        <v>0.014</v>
      </c>
      <c r="K4769" s="6" t="b">
        <f t="shared" ref="K4769:M4769" si="4558">FALSE()</f>
        <v>0</v>
      </c>
      <c r="L4769" s="6" t="b">
        <f t="shared" si="4558"/>
        <v>0</v>
      </c>
      <c r="M4769" s="6" t="b">
        <f t="shared" si="4558"/>
        <v>0</v>
      </c>
      <c r="P4769" s="4">
        <v>0.12751332029896</v>
      </c>
      <c r="T4769" s="4" t="str">
        <f t="shared" si="3"/>
        <v/>
      </c>
      <c r="U4769" s="4">
        <f t="shared" si="4"/>
        <v>3597</v>
      </c>
    </row>
    <row r="4770" ht="15.75" customHeight="1">
      <c r="A4770" s="4" t="s">
        <v>5618</v>
      </c>
      <c r="B4770" s="4" t="s">
        <v>13</v>
      </c>
      <c r="I4770" s="4">
        <v>0.109</v>
      </c>
      <c r="J4770" s="4">
        <v>0.008</v>
      </c>
      <c r="K4770" s="6" t="b">
        <f t="shared" ref="K4770:M4770" si="4559">FALSE()</f>
        <v>0</v>
      </c>
      <c r="L4770" s="6" t="b">
        <f t="shared" si="4559"/>
        <v>0</v>
      </c>
      <c r="M4770" s="6" t="b">
        <f t="shared" si="4559"/>
        <v>0</v>
      </c>
      <c r="P4770" s="4">
        <v>0.10345870836823</v>
      </c>
      <c r="T4770" s="4" t="str">
        <f t="shared" si="3"/>
        <v/>
      </c>
      <c r="U4770" s="4">
        <f t="shared" si="4"/>
        <v>4067</v>
      </c>
    </row>
    <row r="4771" ht="15.75" customHeight="1">
      <c r="A4771" s="4" t="s">
        <v>5619</v>
      </c>
      <c r="B4771" s="4" t="s">
        <v>13</v>
      </c>
      <c r="I4771" s="4">
        <v>0.086</v>
      </c>
      <c r="J4771" s="4">
        <v>0.0054</v>
      </c>
      <c r="K4771" s="6" t="b">
        <f t="shared" ref="K4771:M4771" si="4560">FALSE()</f>
        <v>0</v>
      </c>
      <c r="L4771" s="6" t="b">
        <f t="shared" si="4560"/>
        <v>0</v>
      </c>
      <c r="M4771" s="6" t="b">
        <f t="shared" si="4560"/>
        <v>0</v>
      </c>
      <c r="P4771" s="4">
        <v>0.0825012215117436</v>
      </c>
      <c r="T4771" s="4" t="str">
        <f t="shared" si="3"/>
        <v/>
      </c>
      <c r="U4771" s="4">
        <f t="shared" si="4"/>
        <v>4368</v>
      </c>
    </row>
    <row r="4772" ht="15.75" customHeight="1">
      <c r="A4772" s="4" t="s">
        <v>5620</v>
      </c>
      <c r="B4772" s="4" t="s">
        <v>13</v>
      </c>
      <c r="I4772" s="4">
        <v>0.068</v>
      </c>
      <c r="J4772" s="4">
        <v>0.0054</v>
      </c>
      <c r="K4772" s="6" t="b">
        <f t="shared" ref="K4772:M4772" si="4561">FALSE()</f>
        <v>0</v>
      </c>
      <c r="L4772" s="6" t="b">
        <f t="shared" si="4561"/>
        <v>0</v>
      </c>
      <c r="M4772" s="6" t="b">
        <f t="shared" si="4561"/>
        <v>0</v>
      </c>
      <c r="P4772" s="4">
        <v>0.0657877405380031</v>
      </c>
      <c r="T4772" s="4" t="str">
        <f t="shared" si="3"/>
        <v/>
      </c>
      <c r="U4772" s="4">
        <f t="shared" si="4"/>
        <v>4502</v>
      </c>
    </row>
    <row r="4773" ht="15.75" customHeight="1">
      <c r="A4773" s="4" t="s">
        <v>5621</v>
      </c>
      <c r="B4773" s="4" t="s">
        <v>13</v>
      </c>
      <c r="I4773" s="4">
        <v>0.0928</v>
      </c>
      <c r="J4773" s="4">
        <v>0.0071</v>
      </c>
      <c r="K4773" s="6" t="b">
        <f t="shared" ref="K4773:M4773" si="4562">FALSE()</f>
        <v>0</v>
      </c>
      <c r="L4773" s="6" t="b">
        <f t="shared" si="4562"/>
        <v>0</v>
      </c>
      <c r="M4773" s="6" t="b">
        <f t="shared" si="4562"/>
        <v>0</v>
      </c>
      <c r="P4773" s="4">
        <v>0.0887432098343885</v>
      </c>
      <c r="T4773" s="4" t="str">
        <f t="shared" si="3"/>
        <v/>
      </c>
      <c r="U4773" s="4">
        <f t="shared" si="4"/>
        <v>4303</v>
      </c>
    </row>
    <row r="4774" ht="15.75" customHeight="1">
      <c r="A4774" s="4" t="s">
        <v>5622</v>
      </c>
      <c r="B4774" s="4" t="s">
        <v>13</v>
      </c>
      <c r="I4774" s="4">
        <v>0.075</v>
      </c>
      <c r="J4774" s="4">
        <v>0.0054</v>
      </c>
      <c r="K4774" s="6" t="b">
        <f t="shared" ref="K4774:M4774" si="4563">FALSE()</f>
        <v>0</v>
      </c>
      <c r="L4774" s="6" t="b">
        <f t="shared" si="4563"/>
        <v>0</v>
      </c>
      <c r="M4774" s="6" t="b">
        <f t="shared" si="4563"/>
        <v>0</v>
      </c>
      <c r="P4774" s="4">
        <v>0.0723206615796261</v>
      </c>
      <c r="T4774" s="4" t="str">
        <f t="shared" si="3"/>
        <v/>
      </c>
      <c r="U4774" s="4">
        <f t="shared" si="4"/>
        <v>4456</v>
      </c>
    </row>
    <row r="4775" ht="15.75" customHeight="1">
      <c r="A4775" s="4" t="s">
        <v>5623</v>
      </c>
      <c r="B4775" s="4" t="s">
        <v>13</v>
      </c>
      <c r="I4775" s="4">
        <v>0.3</v>
      </c>
      <c r="J4775" s="4">
        <v>0.051</v>
      </c>
      <c r="K4775" s="6" t="b">
        <f t="shared" ref="K4775:M4775" si="4564">FALSE()</f>
        <v>0</v>
      </c>
      <c r="L4775" s="6" t="b">
        <f t="shared" si="4564"/>
        <v>0</v>
      </c>
      <c r="M4775" s="6" t="b">
        <f t="shared" si="4564"/>
        <v>0</v>
      </c>
      <c r="P4775" s="4">
        <v>0.262364264467491</v>
      </c>
      <c r="T4775" s="4" t="str">
        <f t="shared" si="3"/>
        <v/>
      </c>
      <c r="U4775" s="4">
        <f t="shared" si="4"/>
        <v>1385</v>
      </c>
    </row>
    <row r="4776" ht="15.75" customHeight="1">
      <c r="A4776" s="4" t="s">
        <v>5624</v>
      </c>
      <c r="B4776" s="4" t="s">
        <v>13</v>
      </c>
      <c r="I4776" s="4">
        <v>0.55</v>
      </c>
      <c r="J4776" s="4">
        <v>0.037</v>
      </c>
      <c r="K4776" s="6" t="b">
        <f t="shared" ref="K4776:M4776" si="4565">FALSE()</f>
        <v>0</v>
      </c>
      <c r="L4776" s="6" t="b">
        <f t="shared" si="4565"/>
        <v>0</v>
      </c>
      <c r="M4776" s="6" t="b">
        <f t="shared" si="4565"/>
        <v>0</v>
      </c>
      <c r="P4776" s="4">
        <v>0.438254930931155</v>
      </c>
      <c r="T4776" s="4" t="str">
        <f t="shared" si="3"/>
        <v/>
      </c>
      <c r="U4776" s="4">
        <f t="shared" si="4"/>
        <v>977</v>
      </c>
    </row>
    <row r="4777" ht="15.75" customHeight="1">
      <c r="A4777" s="4" t="s">
        <v>5625</v>
      </c>
      <c r="B4777" s="4" t="s">
        <v>13</v>
      </c>
      <c r="I4777" s="4">
        <v>0.11</v>
      </c>
      <c r="J4777" s="4">
        <v>0.012</v>
      </c>
      <c r="K4777" s="6" t="b">
        <f t="shared" ref="K4777:M4777" si="4566">FALSE()</f>
        <v>0</v>
      </c>
      <c r="L4777" s="6" t="b">
        <f t="shared" si="4566"/>
        <v>0</v>
      </c>
      <c r="M4777" s="6" t="b">
        <f t="shared" si="4566"/>
        <v>0</v>
      </c>
      <c r="P4777" s="4">
        <v>0.104360015324243</v>
      </c>
      <c r="T4777" s="4" t="str">
        <f t="shared" si="3"/>
        <v/>
      </c>
      <c r="U4777" s="4">
        <f t="shared" si="4"/>
        <v>4054</v>
      </c>
    </row>
    <row r="4778" ht="15.75" customHeight="1">
      <c r="A4778" s="4" t="s">
        <v>5626</v>
      </c>
      <c r="B4778" s="4" t="s">
        <v>13</v>
      </c>
      <c r="I4778" s="4">
        <v>0.084</v>
      </c>
      <c r="J4778" s="4">
        <v>0.012</v>
      </c>
      <c r="K4778" s="6" t="b">
        <f t="shared" ref="K4778:M4778" si="4567">FALSE()</f>
        <v>0</v>
      </c>
      <c r="L4778" s="6" t="b">
        <f t="shared" si="4567"/>
        <v>0</v>
      </c>
      <c r="M4778" s="6" t="b">
        <f t="shared" si="4567"/>
        <v>0</v>
      </c>
      <c r="P4778" s="4">
        <v>0.0806579030174544</v>
      </c>
      <c r="T4778" s="4" t="str">
        <f t="shared" si="3"/>
        <v/>
      </c>
      <c r="U4778" s="4">
        <f t="shared" si="4"/>
        <v>4385</v>
      </c>
    </row>
    <row r="4779" ht="15.75" customHeight="1">
      <c r="A4779" s="4" t="s">
        <v>5627</v>
      </c>
      <c r="B4779" s="4" t="s">
        <v>13</v>
      </c>
      <c r="I4779" s="4">
        <v>0.106</v>
      </c>
      <c r="J4779" s="4">
        <v>0.008</v>
      </c>
      <c r="K4779" s="6" t="b">
        <f t="shared" ref="K4779:M4779" si="4568">FALSE()</f>
        <v>0</v>
      </c>
      <c r="L4779" s="6" t="b">
        <f t="shared" si="4568"/>
        <v>0</v>
      </c>
      <c r="M4779" s="6" t="b">
        <f t="shared" si="4568"/>
        <v>0</v>
      </c>
      <c r="P4779" s="4">
        <v>0.100749903100143</v>
      </c>
      <c r="T4779" s="4" t="str">
        <f t="shared" si="3"/>
        <v/>
      </c>
      <c r="U4779" s="4">
        <f t="shared" si="4"/>
        <v>4129</v>
      </c>
    </row>
    <row r="4780" ht="15.75" customHeight="1">
      <c r="A4780" s="4" t="s">
        <v>5628</v>
      </c>
      <c r="B4780" s="4" t="s">
        <v>13</v>
      </c>
      <c r="I4780" s="4">
        <v>0.198</v>
      </c>
      <c r="J4780" s="4">
        <v>0.108</v>
      </c>
      <c r="K4780" s="6" t="b">
        <f t="shared" ref="K4780:M4780" si="4569">FALSE()</f>
        <v>0</v>
      </c>
      <c r="L4780" s="6" t="b">
        <f t="shared" si="4569"/>
        <v>0</v>
      </c>
      <c r="M4780" s="6" t="b">
        <f t="shared" si="4569"/>
        <v>0</v>
      </c>
      <c r="P4780" s="4">
        <v>0.180653499693258</v>
      </c>
      <c r="T4780" s="4" t="str">
        <f t="shared" si="3"/>
        <v/>
      </c>
      <c r="U4780" s="4">
        <f t="shared" si="4"/>
        <v>2625</v>
      </c>
    </row>
    <row r="4781" ht="15.75" customHeight="1">
      <c r="A4781" s="4" t="s">
        <v>5629</v>
      </c>
      <c r="B4781" s="4" t="s">
        <v>13</v>
      </c>
      <c r="I4781" s="4">
        <v>0.106</v>
      </c>
      <c r="J4781" s="4">
        <v>0.011</v>
      </c>
      <c r="K4781" s="6" t="b">
        <f t="shared" ref="K4781:M4781" si="4570">FALSE()</f>
        <v>0</v>
      </c>
      <c r="L4781" s="6" t="b">
        <f t="shared" si="4570"/>
        <v>0</v>
      </c>
      <c r="M4781" s="6" t="b">
        <f t="shared" si="4570"/>
        <v>0</v>
      </c>
      <c r="P4781" s="4">
        <v>0.100749903100143</v>
      </c>
      <c r="T4781" s="4" t="str">
        <f t="shared" si="3"/>
        <v/>
      </c>
      <c r="U4781" s="4">
        <f t="shared" si="4"/>
        <v>4130</v>
      </c>
    </row>
    <row r="4782" ht="15.75" customHeight="1">
      <c r="A4782" s="4" t="s">
        <v>5630</v>
      </c>
      <c r="B4782" s="4" t="s">
        <v>13</v>
      </c>
      <c r="I4782" s="4">
        <v>0.529</v>
      </c>
      <c r="J4782" s="4">
        <v>0.135</v>
      </c>
      <c r="K4782" s="6" t="b">
        <f t="shared" ref="K4782:M4782" si="4571">FALSE()</f>
        <v>0</v>
      </c>
      <c r="L4782" s="6" t="b">
        <f t="shared" si="4571"/>
        <v>0</v>
      </c>
      <c r="M4782" s="6" t="b">
        <f t="shared" si="4571"/>
        <v>0</v>
      </c>
      <c r="P4782" s="4">
        <v>0.424613926946925</v>
      </c>
      <c r="T4782" s="4" t="str">
        <f t="shared" si="3"/>
        <v/>
      </c>
      <c r="U4782" s="4">
        <f t="shared" si="4"/>
        <v>995</v>
      </c>
    </row>
    <row r="4783" ht="15.75" customHeight="1">
      <c r="A4783" s="4" t="s">
        <v>5631</v>
      </c>
      <c r="B4783" s="4" t="s">
        <v>13</v>
      </c>
      <c r="I4783" s="4">
        <v>0.136</v>
      </c>
      <c r="J4783" s="4">
        <v>0.012</v>
      </c>
      <c r="K4783" s="6" t="b">
        <f t="shared" ref="K4783:M4783" si="4572">FALSE()</f>
        <v>0</v>
      </c>
      <c r="L4783" s="6" t="b">
        <f t="shared" si="4572"/>
        <v>0</v>
      </c>
      <c r="M4783" s="6" t="b">
        <f t="shared" si="4572"/>
        <v>0</v>
      </c>
      <c r="P4783" s="4">
        <v>0.12751332029896</v>
      </c>
      <c r="T4783" s="4" t="str">
        <f t="shared" si="3"/>
        <v/>
      </c>
      <c r="U4783" s="4">
        <f t="shared" si="4"/>
        <v>3598</v>
      </c>
    </row>
    <row r="4784" ht="15.75" customHeight="1">
      <c r="A4784" s="4" t="s">
        <v>5632</v>
      </c>
      <c r="B4784" s="4" t="s">
        <v>13</v>
      </c>
      <c r="I4784" s="4">
        <v>2.6987</v>
      </c>
      <c r="J4784" s="4">
        <v>0.794</v>
      </c>
      <c r="K4784" s="6" t="b">
        <f t="shared" ref="K4784:L4784" si="4573">FALSE()</f>
        <v>0</v>
      </c>
      <c r="L4784" s="6" t="b">
        <f t="shared" si="4573"/>
        <v>0</v>
      </c>
      <c r="M4784" s="6" t="b">
        <f>TRUE()</f>
        <v>1</v>
      </c>
      <c r="P4784" s="4">
        <v>1.30798140656048</v>
      </c>
      <c r="T4784" s="4" t="str">
        <f t="shared" si="3"/>
        <v/>
      </c>
      <c r="U4784" s="4">
        <f t="shared" si="4"/>
        <v>2</v>
      </c>
    </row>
    <row r="4785" ht="15.75" customHeight="1">
      <c r="A4785" s="4" t="s">
        <v>5633</v>
      </c>
      <c r="B4785" s="4" t="s">
        <v>13</v>
      </c>
      <c r="I4785" s="4">
        <v>0.12</v>
      </c>
      <c r="J4785" s="4">
        <v>0.015</v>
      </c>
      <c r="K4785" s="6" t="b">
        <f t="shared" ref="K4785:M4785" si="4574">FALSE()</f>
        <v>0</v>
      </c>
      <c r="L4785" s="6" t="b">
        <f t="shared" si="4574"/>
        <v>0</v>
      </c>
      <c r="M4785" s="6" t="b">
        <f t="shared" si="4574"/>
        <v>0</v>
      </c>
      <c r="P4785" s="4">
        <v>0.113328685307003</v>
      </c>
      <c r="T4785" s="4" t="str">
        <f t="shared" si="3"/>
        <v/>
      </c>
      <c r="U4785" s="4">
        <f t="shared" si="4"/>
        <v>3874</v>
      </c>
    </row>
    <row r="4786" ht="15.75" customHeight="1">
      <c r="A4786" s="4" t="s">
        <v>5634</v>
      </c>
      <c r="B4786" s="4" t="s">
        <v>13</v>
      </c>
      <c r="I4786" s="4">
        <v>0.131</v>
      </c>
      <c r="J4786" s="4">
        <v>0.0098</v>
      </c>
      <c r="K4786" s="6" t="b">
        <f t="shared" ref="K4786:M4786" si="4575">FALSE()</f>
        <v>0</v>
      </c>
      <c r="L4786" s="6" t="b">
        <f t="shared" si="4575"/>
        <v>0</v>
      </c>
      <c r="M4786" s="6" t="b">
        <f t="shared" si="4575"/>
        <v>0</v>
      </c>
      <c r="P4786" s="4">
        <v>0.123102197133983</v>
      </c>
      <c r="T4786" s="4" t="str">
        <f t="shared" si="3"/>
        <v/>
      </c>
      <c r="U4786" s="4">
        <f t="shared" si="4"/>
        <v>3683</v>
      </c>
    </row>
    <row r="4787" ht="15.75" customHeight="1">
      <c r="A4787" s="4" t="s">
        <v>5635</v>
      </c>
      <c r="B4787" s="4" t="s">
        <v>13</v>
      </c>
      <c r="I4787" s="4">
        <v>0.076</v>
      </c>
      <c r="J4787" s="4">
        <v>0.0089</v>
      </c>
      <c r="K4787" s="6" t="b">
        <f t="shared" ref="K4787:M4787" si="4576">FALSE()</f>
        <v>0</v>
      </c>
      <c r="L4787" s="6" t="b">
        <f t="shared" si="4576"/>
        <v>0</v>
      </c>
      <c r="M4787" s="6" t="b">
        <f t="shared" si="4576"/>
        <v>0</v>
      </c>
      <c r="P4787" s="4">
        <v>0.0732504617395926</v>
      </c>
      <c r="T4787" s="4" t="str">
        <f t="shared" si="3"/>
        <v/>
      </c>
      <c r="U4787" s="4">
        <f t="shared" si="4"/>
        <v>4450</v>
      </c>
    </row>
    <row r="4788" ht="15.75" customHeight="1">
      <c r="A4788" s="4" t="s">
        <v>5636</v>
      </c>
      <c r="B4788" s="4" t="s">
        <v>13</v>
      </c>
      <c r="I4788" s="4">
        <v>0.087</v>
      </c>
      <c r="J4788" s="4">
        <v>0.008</v>
      </c>
      <c r="K4788" s="6" t="b">
        <f t="shared" ref="K4788:M4788" si="4577">FALSE()</f>
        <v>0</v>
      </c>
      <c r="L4788" s="6" t="b">
        <f t="shared" si="4577"/>
        <v>0</v>
      </c>
      <c r="M4788" s="6" t="b">
        <f t="shared" si="4577"/>
        <v>0</v>
      </c>
      <c r="P4788" s="4">
        <v>0.0834216081390723</v>
      </c>
      <c r="T4788" s="4" t="str">
        <f t="shared" si="3"/>
        <v/>
      </c>
      <c r="U4788" s="4">
        <f t="shared" si="4"/>
        <v>4363</v>
      </c>
    </row>
    <row r="4789" ht="15.75" customHeight="1">
      <c r="A4789" s="4" t="s">
        <v>5637</v>
      </c>
      <c r="B4789" s="4" t="s">
        <v>13</v>
      </c>
      <c r="I4789" s="4">
        <v>0.062</v>
      </c>
      <c r="J4789" s="4">
        <v>0.0062</v>
      </c>
      <c r="K4789" s="6" t="b">
        <f t="shared" ref="K4789:M4789" si="4578">FALSE()</f>
        <v>0</v>
      </c>
      <c r="L4789" s="6" t="b">
        <f t="shared" si="4578"/>
        <v>0</v>
      </c>
      <c r="M4789" s="6" t="b">
        <f t="shared" si="4578"/>
        <v>0</v>
      </c>
      <c r="P4789" s="4">
        <v>0.060153922819747</v>
      </c>
      <c r="T4789" s="4" t="str">
        <f t="shared" si="3"/>
        <v/>
      </c>
      <c r="U4789" s="4">
        <f t="shared" si="4"/>
        <v>4531</v>
      </c>
    </row>
    <row r="4790" ht="15.75" customHeight="1">
      <c r="A4790" s="4" t="s">
        <v>5638</v>
      </c>
      <c r="B4790" s="4" t="s">
        <v>13</v>
      </c>
      <c r="I4790" s="4">
        <v>0.174</v>
      </c>
      <c r="J4790" s="4">
        <v>0.017</v>
      </c>
      <c r="K4790" s="6" t="b">
        <f t="shared" ref="K4790:M4790" si="4579">FALSE()</f>
        <v>0</v>
      </c>
      <c r="L4790" s="6" t="b">
        <f t="shared" si="4579"/>
        <v>0</v>
      </c>
      <c r="M4790" s="6" t="b">
        <f t="shared" si="4579"/>
        <v>0</v>
      </c>
      <c r="P4790" s="4">
        <v>0.160416721405905</v>
      </c>
      <c r="T4790" s="4" t="str">
        <f t="shared" si="3"/>
        <v/>
      </c>
      <c r="U4790" s="4">
        <f t="shared" si="4"/>
        <v>2996</v>
      </c>
    </row>
    <row r="4791" ht="15.75" customHeight="1">
      <c r="A4791" s="4" t="s">
        <v>5639</v>
      </c>
      <c r="B4791" s="4" t="s">
        <v>13</v>
      </c>
      <c r="I4791" s="4">
        <v>1.252</v>
      </c>
      <c r="J4791" s="4">
        <v>0.089</v>
      </c>
      <c r="K4791" s="6" t="b">
        <f t="shared" ref="K4791:L4791" si="4580">FALSE()</f>
        <v>0</v>
      </c>
      <c r="L4791" s="6" t="b">
        <f t="shared" si="4580"/>
        <v>0</v>
      </c>
      <c r="M4791" s="6" t="b">
        <f>TRUE()</f>
        <v>1</v>
      </c>
      <c r="P4791" s="4">
        <v>0.811818710277444</v>
      </c>
      <c r="T4791" s="4" t="str">
        <f t="shared" si="3"/>
        <v/>
      </c>
      <c r="U4791" s="4">
        <f t="shared" si="4"/>
        <v>314</v>
      </c>
    </row>
    <row r="4792" ht="15.75" customHeight="1">
      <c r="A4792" s="4" t="s">
        <v>5640</v>
      </c>
      <c r="B4792" s="4" t="s">
        <v>13</v>
      </c>
      <c r="I4792" s="4">
        <v>0.218</v>
      </c>
      <c r="J4792" s="4">
        <v>0.072</v>
      </c>
      <c r="K4792" s="6" t="b">
        <f t="shared" ref="K4792:M4792" si="4581">FALSE()</f>
        <v>0</v>
      </c>
      <c r="L4792" s="6" t="b">
        <f t="shared" si="4581"/>
        <v>0</v>
      </c>
      <c r="M4792" s="6" t="b">
        <f t="shared" si="4581"/>
        <v>0</v>
      </c>
      <c r="P4792" s="4">
        <v>0.197210169287705</v>
      </c>
      <c r="T4792" s="4" t="str">
        <f t="shared" si="3"/>
        <v/>
      </c>
      <c r="U4792" s="4">
        <f t="shared" si="4"/>
        <v>2295</v>
      </c>
    </row>
    <row r="4793" ht="15.75" customHeight="1">
      <c r="A4793" s="4" t="s">
        <v>5641</v>
      </c>
      <c r="B4793" s="4" t="s">
        <v>13</v>
      </c>
      <c r="I4793" s="4">
        <v>0.136</v>
      </c>
      <c r="J4793" s="4">
        <v>0.015</v>
      </c>
      <c r="K4793" s="6" t="b">
        <f t="shared" ref="K4793:M4793" si="4582">FALSE()</f>
        <v>0</v>
      </c>
      <c r="L4793" s="6" t="b">
        <f t="shared" si="4582"/>
        <v>0</v>
      </c>
      <c r="M4793" s="6" t="b">
        <f t="shared" si="4582"/>
        <v>0</v>
      </c>
      <c r="P4793" s="4">
        <v>0.12751332029896</v>
      </c>
      <c r="T4793" s="4" t="str">
        <f t="shared" si="3"/>
        <v/>
      </c>
      <c r="U4793" s="4">
        <f t="shared" si="4"/>
        <v>3599</v>
      </c>
    </row>
    <row r="4794" ht="15.75" customHeight="1">
      <c r="A4794" s="4" t="s">
        <v>1067</v>
      </c>
      <c r="B4794" s="4" t="s">
        <v>13</v>
      </c>
      <c r="C4794" s="4">
        <v>1.09</v>
      </c>
      <c r="D4794" s="4">
        <v>0.087</v>
      </c>
      <c r="E4794" s="4">
        <v>0.087</v>
      </c>
      <c r="I4794" s="4">
        <v>1.03</v>
      </c>
      <c r="J4794" s="4">
        <v>0.13</v>
      </c>
      <c r="K4794" s="6" t="b">
        <f t="shared" ref="K4794:L4794" si="4583">FALSE()</f>
        <v>0</v>
      </c>
      <c r="L4794" s="6" t="b">
        <f t="shared" si="4583"/>
        <v>0</v>
      </c>
      <c r="M4794" s="6" t="b">
        <f>TRUE()</f>
        <v>1</v>
      </c>
      <c r="N4794" s="4">
        <v>0.73716406597672</v>
      </c>
      <c r="P4794" s="4">
        <v>0.708035793053696</v>
      </c>
      <c r="T4794" s="4">
        <f t="shared" si="3"/>
        <v>631</v>
      </c>
      <c r="U4794" s="4">
        <f t="shared" si="4"/>
        <v>627</v>
      </c>
    </row>
    <row r="4795" ht="15.75" customHeight="1">
      <c r="A4795" s="4" t="s">
        <v>5642</v>
      </c>
      <c r="B4795" s="4" t="s">
        <v>13</v>
      </c>
      <c r="D4795" s="4">
        <v>0.2</v>
      </c>
      <c r="E4795" s="4">
        <v>0.2</v>
      </c>
      <c r="F4795" s="4">
        <v>2.02</v>
      </c>
      <c r="G4795" s="4">
        <v>0.2</v>
      </c>
      <c r="H4795" s="4">
        <v>0.2</v>
      </c>
      <c r="K4795" s="6" t="b">
        <f t="shared" ref="K4795:M4795" si="4584">FALSE()</f>
        <v>0</v>
      </c>
      <c r="L4795" s="6" t="b">
        <f t="shared" si="4584"/>
        <v>0</v>
      </c>
      <c r="M4795" s="6" t="b">
        <f t="shared" si="4584"/>
        <v>0</v>
      </c>
      <c r="O4795" s="4">
        <v>1.10525683138678</v>
      </c>
      <c r="T4795" s="4" t="str">
        <f t="shared" si="3"/>
        <v/>
      </c>
      <c r="U4795" s="4" t="str">
        <f t="shared" si="4"/>
        <v/>
      </c>
    </row>
    <row r="4796" ht="15.75" customHeight="1">
      <c r="A4796" s="4" t="s">
        <v>1068</v>
      </c>
      <c r="B4796" s="4" t="s">
        <v>13</v>
      </c>
      <c r="C4796" s="4">
        <v>0.01265</v>
      </c>
      <c r="D4796" s="4">
        <v>0.00138</v>
      </c>
      <c r="E4796" s="4">
        <v>0.00138</v>
      </c>
      <c r="I4796" s="4">
        <v>0.1392</v>
      </c>
      <c r="J4796" s="4">
        <v>0.0098</v>
      </c>
      <c r="K4796" s="6" t="b">
        <f t="shared" ref="K4796:M4796" si="4585">FALSE()</f>
        <v>0</v>
      </c>
      <c r="L4796" s="6" t="b">
        <f t="shared" si="4585"/>
        <v>0</v>
      </c>
      <c r="M4796" s="6" t="b">
        <f t="shared" si="4585"/>
        <v>0</v>
      </c>
      <c r="N4796" s="4">
        <v>0.0125706571738521</v>
      </c>
      <c r="P4796" s="4">
        <v>0.130326261675574</v>
      </c>
      <c r="T4796" s="4">
        <f t="shared" si="3"/>
        <v>1881</v>
      </c>
      <c r="U4796" s="4">
        <f t="shared" si="4"/>
        <v>3518</v>
      </c>
    </row>
    <row r="4797" ht="15.75" customHeight="1">
      <c r="A4797" s="4" t="s">
        <v>5643</v>
      </c>
      <c r="B4797" s="4" t="s">
        <v>13</v>
      </c>
      <c r="D4797" s="4">
        <v>0.00135</v>
      </c>
      <c r="E4797" s="4">
        <v>0.00135</v>
      </c>
      <c r="F4797" s="4">
        <v>0.01469</v>
      </c>
      <c r="G4797" s="4">
        <v>0.00135</v>
      </c>
      <c r="H4797" s="4">
        <v>0.00135</v>
      </c>
      <c r="K4797" s="6" t="b">
        <f t="shared" ref="K4797:M4797" si="4586">FALSE()</f>
        <v>0</v>
      </c>
      <c r="L4797" s="6" t="b">
        <f t="shared" si="4586"/>
        <v>0</v>
      </c>
      <c r="M4797" s="6" t="b">
        <f t="shared" si="4586"/>
        <v>0</v>
      </c>
      <c r="O4797" s="4">
        <v>0.014583147124743</v>
      </c>
      <c r="T4797" s="4" t="str">
        <f t="shared" si="3"/>
        <v/>
      </c>
      <c r="U4797" s="4" t="str">
        <f t="shared" si="4"/>
        <v/>
      </c>
    </row>
    <row r="4798" ht="15.75" customHeight="1">
      <c r="A4798" s="4" t="s">
        <v>1069</v>
      </c>
      <c r="B4798" s="4" t="s">
        <v>13</v>
      </c>
      <c r="C4798" s="4">
        <v>0.0013</v>
      </c>
      <c r="D4798" s="4">
        <v>5.0E-4</v>
      </c>
      <c r="E4798" s="4">
        <v>5.0E-4</v>
      </c>
      <c r="I4798" s="4">
        <v>0.0758</v>
      </c>
      <c r="J4798" s="4">
        <v>0.0036</v>
      </c>
      <c r="K4798" s="6" t="b">
        <f t="shared" ref="K4798:M4798" si="4587">FALSE()</f>
        <v>0</v>
      </c>
      <c r="L4798" s="6" t="b">
        <f t="shared" si="4587"/>
        <v>0</v>
      </c>
      <c r="M4798" s="6" t="b">
        <f t="shared" si="4587"/>
        <v>0</v>
      </c>
      <c r="N4798" s="4">
        <v>0.00129915573162</v>
      </c>
      <c r="P4798" s="4">
        <v>0.0730645708570051</v>
      </c>
      <c r="T4798" s="4">
        <f t="shared" si="3"/>
        <v>2072</v>
      </c>
      <c r="U4798" s="4">
        <f t="shared" si="4"/>
        <v>4451</v>
      </c>
    </row>
    <row r="4799" ht="15.75" customHeight="1">
      <c r="A4799" s="4" t="s">
        <v>1070</v>
      </c>
      <c r="B4799" s="4" t="s">
        <v>13</v>
      </c>
      <c r="C4799" s="4">
        <v>0.00698</v>
      </c>
      <c r="D4799" s="4">
        <v>8.2E-4</v>
      </c>
      <c r="E4799" s="4">
        <v>8.2E-4</v>
      </c>
      <c r="I4799" s="4">
        <v>0.12356</v>
      </c>
      <c r="J4799" s="4">
        <v>0.00669</v>
      </c>
      <c r="K4799" s="6" t="b">
        <f t="shared" ref="K4799:M4799" si="4588">FALSE()</f>
        <v>0</v>
      </c>
      <c r="L4799" s="6" t="b">
        <f t="shared" si="4588"/>
        <v>0</v>
      </c>
      <c r="M4799" s="6" t="b">
        <f t="shared" si="4588"/>
        <v>0</v>
      </c>
      <c r="N4799" s="4">
        <v>0.0069557525660058</v>
      </c>
      <c r="P4799" s="4">
        <v>0.116502215756661</v>
      </c>
      <c r="T4799" s="4">
        <f t="shared" si="3"/>
        <v>1987</v>
      </c>
      <c r="U4799" s="4">
        <f t="shared" si="4"/>
        <v>3806</v>
      </c>
    </row>
    <row r="4800" ht="15.75" customHeight="1">
      <c r="A4800" s="4" t="s">
        <v>1071</v>
      </c>
      <c r="B4800" s="4" t="s">
        <v>13</v>
      </c>
      <c r="C4800" s="4">
        <v>0.0061</v>
      </c>
      <c r="D4800" s="4">
        <v>8.8E-4</v>
      </c>
      <c r="E4800" s="4">
        <v>8.8E-4</v>
      </c>
      <c r="I4800" s="4">
        <v>0.1357</v>
      </c>
      <c r="J4800" s="4">
        <v>0.00874</v>
      </c>
      <c r="K4800" s="6" t="b">
        <f t="shared" ref="K4800:M4800" si="4589">FALSE()</f>
        <v>0</v>
      </c>
      <c r="L4800" s="6" t="b">
        <f t="shared" si="4589"/>
        <v>0</v>
      </c>
      <c r="M4800" s="6" t="b">
        <f t="shared" si="4589"/>
        <v>0</v>
      </c>
      <c r="N4800" s="4">
        <v>0.0060814703158679</v>
      </c>
      <c r="P4800" s="4">
        <v>0.127249200915464</v>
      </c>
      <c r="T4800" s="4">
        <f t="shared" si="3"/>
        <v>2007</v>
      </c>
      <c r="U4800" s="4">
        <f t="shared" si="4"/>
        <v>3601</v>
      </c>
    </row>
    <row r="4801" ht="15.75" customHeight="1">
      <c r="A4801" s="4" t="s">
        <v>5644</v>
      </c>
      <c r="B4801" s="4" t="s">
        <v>13</v>
      </c>
      <c r="D4801" s="4">
        <v>0.00116</v>
      </c>
      <c r="E4801" s="4">
        <v>0.00104</v>
      </c>
      <c r="F4801" s="4">
        <v>0.00963</v>
      </c>
      <c r="G4801" s="4">
        <v>0.00116</v>
      </c>
      <c r="H4801" s="4">
        <v>0.00104</v>
      </c>
      <c r="K4801" s="6" t="b">
        <f t="shared" ref="K4801:M4801" si="4590">FALSE()</f>
        <v>0</v>
      </c>
      <c r="L4801" s="6" t="b">
        <f t="shared" si="4590"/>
        <v>0</v>
      </c>
      <c r="M4801" s="6" t="b">
        <f t="shared" si="4590"/>
        <v>0</v>
      </c>
      <c r="O4801" s="4">
        <v>0.0095839271018478</v>
      </c>
      <c r="T4801" s="4" t="str">
        <f t="shared" si="3"/>
        <v/>
      </c>
      <c r="U4801" s="4" t="str">
        <f t="shared" si="4"/>
        <v/>
      </c>
    </row>
    <row r="4802" ht="15.75" customHeight="1">
      <c r="A4802" s="4" t="s">
        <v>5645</v>
      </c>
      <c r="B4802" s="4" t="s">
        <v>13</v>
      </c>
      <c r="D4802" s="4">
        <v>7.9E-4</v>
      </c>
      <c r="E4802" s="4">
        <v>7.9E-4</v>
      </c>
      <c r="F4802" s="4">
        <v>0.00846</v>
      </c>
      <c r="G4802" s="4">
        <v>7.9E-4</v>
      </c>
      <c r="H4802" s="4">
        <v>7.9E-4</v>
      </c>
      <c r="K4802" s="6" t="b">
        <f t="shared" ref="K4802:M4802" si="4591">FALSE()</f>
        <v>0</v>
      </c>
      <c r="L4802" s="6" t="b">
        <f t="shared" si="4591"/>
        <v>0</v>
      </c>
      <c r="M4802" s="6" t="b">
        <f t="shared" si="4591"/>
        <v>0</v>
      </c>
      <c r="O4802" s="4">
        <v>0.0084244147598951</v>
      </c>
      <c r="T4802" s="4" t="str">
        <f t="shared" si="3"/>
        <v/>
      </c>
      <c r="U4802" s="4" t="str">
        <f t="shared" si="4"/>
        <v/>
      </c>
    </row>
    <row r="4803" ht="15.75" customHeight="1">
      <c r="A4803" s="4" t="s">
        <v>5646</v>
      </c>
      <c r="B4803" s="4" t="s">
        <v>13</v>
      </c>
      <c r="D4803" s="4">
        <v>0.0076</v>
      </c>
      <c r="E4803" s="4">
        <v>0.0076</v>
      </c>
      <c r="F4803" s="4">
        <v>0.0428</v>
      </c>
      <c r="G4803" s="4">
        <v>0.0076</v>
      </c>
      <c r="H4803" s="4">
        <v>0.0076</v>
      </c>
      <c r="K4803" s="6" t="b">
        <f t="shared" ref="K4803:M4803" si="4592">FALSE()</f>
        <v>0</v>
      </c>
      <c r="L4803" s="6" t="b">
        <f t="shared" si="4592"/>
        <v>0</v>
      </c>
      <c r="M4803" s="6" t="b">
        <f t="shared" si="4592"/>
        <v>0</v>
      </c>
      <c r="O4803" s="4">
        <v>0.0419094030772096</v>
      </c>
      <c r="T4803" s="4" t="str">
        <f t="shared" si="3"/>
        <v/>
      </c>
      <c r="U4803" s="4" t="str">
        <f t="shared" si="4"/>
        <v/>
      </c>
    </row>
    <row r="4804" ht="15.75" customHeight="1">
      <c r="A4804" s="4" t="s">
        <v>5647</v>
      </c>
      <c r="B4804" s="4" t="s">
        <v>13</v>
      </c>
      <c r="D4804" s="4">
        <v>0.00264</v>
      </c>
      <c r="E4804" s="4">
        <v>0.00264</v>
      </c>
      <c r="F4804" s="4">
        <v>0.01224</v>
      </c>
      <c r="G4804" s="4">
        <v>0.00264</v>
      </c>
      <c r="H4804" s="4">
        <v>0.00264</v>
      </c>
      <c r="K4804" s="6" t="b">
        <f t="shared" ref="K4804:M4804" si="4593">FALSE()</f>
        <v>0</v>
      </c>
      <c r="L4804" s="6" t="b">
        <f t="shared" si="4593"/>
        <v>0</v>
      </c>
      <c r="M4804" s="6" t="b">
        <f t="shared" si="4593"/>
        <v>0</v>
      </c>
      <c r="O4804" s="4">
        <v>0.0121656968988711</v>
      </c>
      <c r="T4804" s="4" t="str">
        <f t="shared" si="3"/>
        <v/>
      </c>
      <c r="U4804" s="4" t="str">
        <f t="shared" si="4"/>
        <v/>
      </c>
    </row>
    <row r="4805" ht="15.75" customHeight="1">
      <c r="A4805" s="4" t="s">
        <v>5648</v>
      </c>
      <c r="B4805" s="4" t="s">
        <v>13</v>
      </c>
      <c r="D4805" s="4">
        <v>0.0041</v>
      </c>
      <c r="E4805" s="4">
        <v>0.0041</v>
      </c>
      <c r="F4805" s="4">
        <v>0.0529</v>
      </c>
      <c r="G4805" s="4">
        <v>0.0041</v>
      </c>
      <c r="H4805" s="4">
        <v>0.0041</v>
      </c>
      <c r="K4805" s="6" t="b">
        <f t="shared" ref="K4805:M4805" si="4594">FALSE()</f>
        <v>0</v>
      </c>
      <c r="L4805" s="6" t="b">
        <f t="shared" si="4594"/>
        <v>0</v>
      </c>
      <c r="M4805" s="6" t="b">
        <f t="shared" si="4594"/>
        <v>0</v>
      </c>
      <c r="O4805" s="4">
        <v>0.0515482618805766</v>
      </c>
      <c r="T4805" s="4" t="str">
        <f t="shared" si="3"/>
        <v/>
      </c>
      <c r="U4805" s="4" t="str">
        <f t="shared" si="4"/>
        <v/>
      </c>
    </row>
    <row r="4806" ht="15.75" customHeight="1">
      <c r="A4806" s="4" t="s">
        <v>5649</v>
      </c>
      <c r="B4806" s="4" t="s">
        <v>13</v>
      </c>
      <c r="D4806" s="4">
        <v>0.0047</v>
      </c>
      <c r="E4806" s="4">
        <v>0.0047</v>
      </c>
      <c r="F4806" s="4">
        <v>0.0428</v>
      </c>
      <c r="G4806" s="4">
        <v>0.0047</v>
      </c>
      <c r="H4806" s="4">
        <v>0.0047</v>
      </c>
      <c r="K4806" s="6" t="b">
        <f t="shared" ref="K4806:M4806" si="4595">FALSE()</f>
        <v>0</v>
      </c>
      <c r="L4806" s="6" t="b">
        <f t="shared" si="4595"/>
        <v>0</v>
      </c>
      <c r="M4806" s="6" t="b">
        <f t="shared" si="4595"/>
        <v>0</v>
      </c>
      <c r="O4806" s="4">
        <v>0.0419094030772096</v>
      </c>
      <c r="T4806" s="4" t="str">
        <f t="shared" si="3"/>
        <v/>
      </c>
      <c r="U4806" s="4" t="str">
        <f t="shared" si="4"/>
        <v/>
      </c>
    </row>
    <row r="4807" ht="15.75" customHeight="1">
      <c r="A4807" s="4" t="s">
        <v>1072</v>
      </c>
      <c r="B4807" s="4" t="s">
        <v>13</v>
      </c>
      <c r="C4807" s="4">
        <v>0.02196</v>
      </c>
      <c r="D4807" s="4">
        <v>0.0028</v>
      </c>
      <c r="E4807" s="4">
        <v>0.0028</v>
      </c>
      <c r="I4807" s="4">
        <v>0.15407</v>
      </c>
      <c r="J4807" s="4">
        <v>0.00285</v>
      </c>
      <c r="K4807" s="6" t="b">
        <f t="shared" ref="K4807:M4807" si="4596">FALSE()</f>
        <v>0</v>
      </c>
      <c r="L4807" s="6" t="b">
        <f t="shared" si="4596"/>
        <v>0</v>
      </c>
      <c r="M4807" s="6" t="b">
        <f t="shared" si="4596"/>
        <v>0</v>
      </c>
      <c r="N4807" s="4">
        <v>0.0217223520723157</v>
      </c>
      <c r="P4807" s="4">
        <v>0.143294824825107</v>
      </c>
      <c r="T4807" s="4">
        <f t="shared" si="3"/>
        <v>1684</v>
      </c>
      <c r="U4807" s="4">
        <f t="shared" si="4"/>
        <v>3249</v>
      </c>
    </row>
    <row r="4808" ht="15.75" customHeight="1">
      <c r="A4808" s="4" t="s">
        <v>1073</v>
      </c>
      <c r="B4808" s="4" t="s">
        <v>13</v>
      </c>
      <c r="C4808" s="4">
        <v>0.00569</v>
      </c>
      <c r="D4808" s="4">
        <v>0.00123</v>
      </c>
      <c r="E4808" s="4">
        <v>0.00123</v>
      </c>
      <c r="I4808" s="4">
        <v>0.11437</v>
      </c>
      <c r="J4808" s="4">
        <v>0.00214</v>
      </c>
      <c r="K4808" s="6" t="b">
        <f t="shared" ref="K4808:M4808" si="4597">FALSE()</f>
        <v>0</v>
      </c>
      <c r="L4808" s="6" t="b">
        <f t="shared" si="4597"/>
        <v>0</v>
      </c>
      <c r="M4808" s="6" t="b">
        <f t="shared" si="4597"/>
        <v>0</v>
      </c>
      <c r="N4808" s="4">
        <v>0.0056738730958039</v>
      </c>
      <c r="P4808" s="4">
        <v>0.108289222805236</v>
      </c>
      <c r="T4808" s="4">
        <f t="shared" si="3"/>
        <v>2018</v>
      </c>
      <c r="U4808" s="4">
        <f t="shared" si="4"/>
        <v>3975</v>
      </c>
    </row>
    <row r="4809" ht="15.75" customHeight="1">
      <c r="A4809" s="4" t="s">
        <v>1075</v>
      </c>
      <c r="B4809" s="4" t="s">
        <v>13</v>
      </c>
      <c r="C4809" s="4">
        <v>0.00733</v>
      </c>
      <c r="D4809" s="4">
        <v>6.0E-4</v>
      </c>
      <c r="E4809" s="4">
        <v>6.0E-4</v>
      </c>
      <c r="I4809" s="4">
        <v>0.1106</v>
      </c>
      <c r="J4809" s="4">
        <v>0.0045</v>
      </c>
      <c r="K4809" s="6" t="b">
        <f t="shared" ref="K4809:M4809" si="4598">FALSE()</f>
        <v>0</v>
      </c>
      <c r="L4809" s="6" t="b">
        <f t="shared" si="4598"/>
        <v>0</v>
      </c>
      <c r="M4809" s="6" t="b">
        <f t="shared" si="4598"/>
        <v>0</v>
      </c>
      <c r="N4809" s="4">
        <v>0.00730326611012</v>
      </c>
      <c r="P4809" s="4">
        <v>0.10490040982537</v>
      </c>
      <c r="T4809" s="4">
        <f t="shared" si="3"/>
        <v>1981</v>
      </c>
      <c r="U4809" s="4">
        <f t="shared" si="4"/>
        <v>4036</v>
      </c>
    </row>
    <row r="4810" ht="15.75" customHeight="1">
      <c r="A4810" s="4" t="s">
        <v>1076</v>
      </c>
      <c r="B4810" s="4" t="s">
        <v>13</v>
      </c>
      <c r="C4810" s="4">
        <v>1.9E-4</v>
      </c>
      <c r="D4810" s="4">
        <v>1.9E-4</v>
      </c>
      <c r="E4810" s="4">
        <v>3.0E-4</v>
      </c>
      <c r="I4810" s="4">
        <v>0.06111</v>
      </c>
      <c r="J4810" s="4">
        <v>0.0033</v>
      </c>
      <c r="K4810" s="6" t="b">
        <f t="shared" ref="K4810:M4810" si="4599">FALSE()</f>
        <v>0</v>
      </c>
      <c r="L4810" s="6" t="b">
        <f t="shared" si="4599"/>
        <v>0</v>
      </c>
      <c r="M4810" s="6" t="b">
        <f t="shared" si="4599"/>
        <v>0</v>
      </c>
      <c r="N4810" s="4">
        <v>1.89981952286E-4</v>
      </c>
      <c r="P4810" s="4">
        <v>0.0593155300354524</v>
      </c>
      <c r="T4810" s="4">
        <f t="shared" si="3"/>
        <v>2079</v>
      </c>
      <c r="U4810" s="4">
        <f t="shared" si="4"/>
        <v>4533</v>
      </c>
    </row>
    <row r="4811" ht="15.75" customHeight="1">
      <c r="A4811" s="4" t="s">
        <v>1077</v>
      </c>
      <c r="B4811" s="4" t="s">
        <v>13</v>
      </c>
      <c r="C4811" s="4">
        <v>0.00123</v>
      </c>
      <c r="D4811" s="4">
        <v>0.00123</v>
      </c>
      <c r="E4811" s="4">
        <v>0.00135</v>
      </c>
      <c r="I4811" s="4">
        <v>0.08395</v>
      </c>
      <c r="J4811" s="4">
        <v>0.0045</v>
      </c>
      <c r="K4811" s="6" t="b">
        <f t="shared" ref="K4811:M4811" si="4600">FALSE()</f>
        <v>0</v>
      </c>
      <c r="L4811" s="6" t="b">
        <f t="shared" si="4600"/>
        <v>0</v>
      </c>
      <c r="M4811" s="6" t="b">
        <f t="shared" si="4600"/>
        <v>0</v>
      </c>
      <c r="N4811" s="4">
        <v>0.0012292441697173</v>
      </c>
      <c r="P4811" s="4">
        <v>0.080611776492388</v>
      </c>
      <c r="T4811" s="4">
        <f t="shared" si="3"/>
        <v>2074</v>
      </c>
      <c r="U4811" s="4">
        <f t="shared" si="4"/>
        <v>4386</v>
      </c>
    </row>
    <row r="4812" ht="15.75" customHeight="1">
      <c r="A4812" s="4" t="s">
        <v>1078</v>
      </c>
      <c r="B4812" s="4" t="s">
        <v>13</v>
      </c>
      <c r="C4812" s="4">
        <v>0.00289</v>
      </c>
      <c r="D4812" s="4">
        <v>0.00107</v>
      </c>
      <c r="E4812" s="4">
        <v>0.00208</v>
      </c>
      <c r="I4812" s="4">
        <v>0.08752</v>
      </c>
      <c r="J4812" s="4">
        <v>0.0062</v>
      </c>
      <c r="K4812" s="6" t="b">
        <f t="shared" ref="K4812:M4812" si="4601">FALSE()</f>
        <v>0</v>
      </c>
      <c r="L4812" s="6" t="b">
        <f t="shared" si="4601"/>
        <v>0</v>
      </c>
      <c r="M4812" s="6" t="b">
        <f t="shared" si="4601"/>
        <v>0</v>
      </c>
      <c r="N4812" s="4">
        <v>0.0028858319784571</v>
      </c>
      <c r="P4812" s="4">
        <v>0.083899874616191</v>
      </c>
      <c r="T4812" s="4">
        <f t="shared" si="3"/>
        <v>2053</v>
      </c>
      <c r="U4812" s="4">
        <f t="shared" si="4"/>
        <v>4353</v>
      </c>
    </row>
    <row r="4813" ht="15.75" customHeight="1">
      <c r="A4813" s="4" t="s">
        <v>1079</v>
      </c>
      <c r="B4813" s="4" t="s">
        <v>13</v>
      </c>
      <c r="C4813" s="4">
        <v>0.0132</v>
      </c>
      <c r="D4813" s="4">
        <v>0.0047</v>
      </c>
      <c r="E4813" s="4">
        <v>0.0047</v>
      </c>
      <c r="I4813" s="4">
        <v>0.09707</v>
      </c>
      <c r="J4813" s="4">
        <v>0.00571</v>
      </c>
      <c r="K4813" s="6" t="b">
        <f t="shared" ref="K4813:M4813" si="4602">FALSE()</f>
        <v>0</v>
      </c>
      <c r="L4813" s="6" t="b">
        <f t="shared" si="4602"/>
        <v>0</v>
      </c>
      <c r="M4813" s="6" t="b">
        <f t="shared" si="4602"/>
        <v>0</v>
      </c>
      <c r="N4813" s="4">
        <v>0.0131136391453831</v>
      </c>
      <c r="P4813" s="4">
        <v>0.0926429896492748</v>
      </c>
      <c r="T4813" s="4">
        <f t="shared" si="3"/>
        <v>1860</v>
      </c>
      <c r="U4813" s="4">
        <f t="shared" si="4"/>
        <v>4255</v>
      </c>
    </row>
    <row r="4814" ht="15.75" customHeight="1">
      <c r="A4814" s="4" t="s">
        <v>5650</v>
      </c>
      <c r="B4814" s="4" t="s">
        <v>13</v>
      </c>
      <c r="D4814" s="4">
        <v>0.00264</v>
      </c>
      <c r="E4814" s="4">
        <v>0.00264</v>
      </c>
      <c r="F4814" s="4">
        <v>0.04137</v>
      </c>
      <c r="G4814" s="4">
        <v>0.00264</v>
      </c>
      <c r="H4814" s="4">
        <v>0.00264</v>
      </c>
      <c r="K4814" s="6" t="b">
        <f t="shared" ref="K4814:M4814" si="4603">FALSE()</f>
        <v>0</v>
      </c>
      <c r="L4814" s="6" t="b">
        <f t="shared" si="4603"/>
        <v>0</v>
      </c>
      <c r="M4814" s="6" t="b">
        <f t="shared" si="4603"/>
        <v>0</v>
      </c>
      <c r="O4814" s="4">
        <v>0.0405371539570333</v>
      </c>
      <c r="T4814" s="4" t="str">
        <f t="shared" si="3"/>
        <v/>
      </c>
      <c r="U4814" s="4" t="str">
        <f t="shared" si="4"/>
        <v/>
      </c>
    </row>
    <row r="4815" ht="15.75" customHeight="1">
      <c r="A4815" s="4" t="s">
        <v>5651</v>
      </c>
      <c r="B4815" s="4" t="s">
        <v>13</v>
      </c>
      <c r="I4815" s="4">
        <v>0.1178</v>
      </c>
      <c r="J4815" s="4">
        <v>0.0018</v>
      </c>
      <c r="K4815" s="6" t="b">
        <f t="shared" ref="K4815:M4815" si="4604">FALSE()</f>
        <v>0</v>
      </c>
      <c r="L4815" s="6" t="b">
        <f t="shared" si="4604"/>
        <v>0</v>
      </c>
      <c r="M4815" s="6" t="b">
        <f t="shared" si="4604"/>
        <v>0</v>
      </c>
      <c r="P4815" s="4">
        <v>0.111362467853461</v>
      </c>
      <c r="T4815" s="4" t="str">
        <f t="shared" si="3"/>
        <v/>
      </c>
      <c r="U4815" s="4">
        <f t="shared" si="4"/>
        <v>3921</v>
      </c>
    </row>
    <row r="4816" ht="15.75" customHeight="1">
      <c r="A4816" s="4" t="s">
        <v>1080</v>
      </c>
      <c r="B4816" s="4" t="s">
        <v>13</v>
      </c>
      <c r="C4816" s="4">
        <v>0.00308</v>
      </c>
      <c r="D4816" s="4">
        <v>0.00113</v>
      </c>
      <c r="E4816" s="4">
        <v>0.00198</v>
      </c>
      <c r="I4816" s="4">
        <v>0.0883</v>
      </c>
      <c r="J4816" s="4">
        <v>0.0045</v>
      </c>
      <c r="K4816" s="6" t="b">
        <f t="shared" ref="K4816:M4816" si="4605">FALSE()</f>
        <v>0</v>
      </c>
      <c r="L4816" s="6" t="b">
        <f t="shared" si="4605"/>
        <v>0</v>
      </c>
      <c r="M4816" s="6" t="b">
        <f t="shared" si="4605"/>
        <v>0</v>
      </c>
      <c r="N4816" s="4">
        <v>0.003075266516928</v>
      </c>
      <c r="P4816" s="4">
        <v>0.0846168457198789</v>
      </c>
      <c r="T4816" s="4">
        <f t="shared" si="3"/>
        <v>2051</v>
      </c>
      <c r="U4816" s="4">
        <f t="shared" si="4"/>
        <v>4348</v>
      </c>
    </row>
    <row r="4817" ht="15.75" customHeight="1">
      <c r="A4817" s="4" t="s">
        <v>1081</v>
      </c>
      <c r="B4817" s="4" t="s">
        <v>13</v>
      </c>
      <c r="C4817" s="4">
        <v>0.0969</v>
      </c>
      <c r="D4817" s="4">
        <v>0.0047</v>
      </c>
      <c r="E4817" s="4">
        <v>0.0047</v>
      </c>
      <c r="I4817" s="4">
        <v>0.419</v>
      </c>
      <c r="J4817" s="4">
        <v>0.027</v>
      </c>
      <c r="K4817" s="6" t="b">
        <f t="shared" ref="K4817:M4817" si="4606">FALSE()</f>
        <v>0</v>
      </c>
      <c r="L4817" s="6" t="b">
        <f t="shared" si="4606"/>
        <v>0</v>
      </c>
      <c r="M4817" s="6" t="b">
        <f t="shared" si="4606"/>
        <v>0</v>
      </c>
      <c r="N4817" s="4">
        <v>0.0924880194351513</v>
      </c>
      <c r="P4817" s="4">
        <v>0.349952398177906</v>
      </c>
      <c r="T4817" s="4">
        <f t="shared" si="3"/>
        <v>1266</v>
      </c>
      <c r="U4817" s="4">
        <f t="shared" si="4"/>
        <v>1094</v>
      </c>
    </row>
    <row r="4818" ht="15.75" customHeight="1">
      <c r="A4818" s="4" t="s">
        <v>5652</v>
      </c>
      <c r="B4818" s="4" t="s">
        <v>13</v>
      </c>
      <c r="I4818" s="4">
        <v>0.0999</v>
      </c>
      <c r="J4818" s="4">
        <v>0.0116</v>
      </c>
      <c r="K4818" s="6" t="b">
        <f t="shared" ref="K4818:M4818" si="4607">FALSE()</f>
        <v>0</v>
      </c>
      <c r="L4818" s="6" t="b">
        <f t="shared" si="4607"/>
        <v>0</v>
      </c>
      <c r="M4818" s="6" t="b">
        <f t="shared" si="4607"/>
        <v>0</v>
      </c>
      <c r="P4818" s="4">
        <v>0.0952192665809339</v>
      </c>
      <c r="T4818" s="4" t="str">
        <f t="shared" si="3"/>
        <v/>
      </c>
      <c r="U4818" s="4">
        <f t="shared" si="4"/>
        <v>4226</v>
      </c>
    </row>
    <row r="4819" ht="15.75" customHeight="1">
      <c r="A4819" s="4" t="s">
        <v>1082</v>
      </c>
      <c r="B4819" s="4" t="s">
        <v>13</v>
      </c>
      <c r="C4819" s="4">
        <v>0.0223</v>
      </c>
      <c r="D4819" s="4">
        <v>0.0022</v>
      </c>
      <c r="E4819" s="4">
        <v>0.0022</v>
      </c>
      <c r="I4819" s="4">
        <v>0.2061</v>
      </c>
      <c r="J4819" s="4">
        <v>0.0223</v>
      </c>
      <c r="K4819" s="6" t="b">
        <f t="shared" ref="K4819:M4819" si="4608">FALSE()</f>
        <v>0</v>
      </c>
      <c r="L4819" s="6" t="b">
        <f t="shared" si="4608"/>
        <v>0</v>
      </c>
      <c r="M4819" s="6" t="b">
        <f t="shared" si="4608"/>
        <v>0</v>
      </c>
      <c r="N4819" s="4">
        <v>0.0220549907808313</v>
      </c>
      <c r="P4819" s="4">
        <v>0.18739201360706</v>
      </c>
      <c r="T4819" s="4">
        <f t="shared" si="3"/>
        <v>1679</v>
      </c>
      <c r="U4819" s="4">
        <f t="shared" si="4"/>
        <v>2476</v>
      </c>
    </row>
    <row r="4820" ht="15.75" customHeight="1">
      <c r="A4820" s="4" t="s">
        <v>1083</v>
      </c>
      <c r="B4820" s="4" t="s">
        <v>13</v>
      </c>
      <c r="C4820" s="4">
        <v>0.0028</v>
      </c>
      <c r="D4820" s="4">
        <v>6.0E-4</v>
      </c>
      <c r="E4820" s="4">
        <v>6.0E-4</v>
      </c>
      <c r="I4820" s="4">
        <v>0.0919</v>
      </c>
      <c r="J4820" s="4">
        <v>0.0036</v>
      </c>
      <c r="K4820" s="6" t="b">
        <f t="shared" ref="K4820:M4820" si="4609">FALSE()</f>
        <v>0</v>
      </c>
      <c r="L4820" s="6" t="b">
        <f t="shared" si="4609"/>
        <v>0</v>
      </c>
      <c r="M4820" s="6" t="b">
        <f t="shared" si="4609"/>
        <v>0</v>
      </c>
      <c r="N4820" s="4">
        <v>0.0027960873020012</v>
      </c>
      <c r="P4820" s="4">
        <v>0.0879192980378835</v>
      </c>
      <c r="T4820" s="4">
        <f t="shared" si="3"/>
        <v>2056</v>
      </c>
      <c r="U4820" s="4">
        <f t="shared" si="4"/>
        <v>4316</v>
      </c>
    </row>
    <row r="4821" ht="15.75" customHeight="1">
      <c r="A4821" s="4" t="s">
        <v>1084</v>
      </c>
      <c r="B4821" s="4" t="s">
        <v>13</v>
      </c>
      <c r="C4821" s="4">
        <v>0.0415</v>
      </c>
      <c r="D4821" s="4">
        <v>0.0415</v>
      </c>
      <c r="E4821" s="4">
        <v>0.0</v>
      </c>
      <c r="I4821" s="4">
        <v>0.1178</v>
      </c>
      <c r="J4821" s="4">
        <v>0.00241</v>
      </c>
      <c r="K4821" s="6" t="b">
        <f t="shared" ref="K4821:M4821" si="4610">FALSE()</f>
        <v>0</v>
      </c>
      <c r="L4821" s="6" t="b">
        <f t="shared" si="4610"/>
        <v>0</v>
      </c>
      <c r="M4821" s="6" t="b">
        <f t="shared" si="4610"/>
        <v>0</v>
      </c>
      <c r="N4821" s="4">
        <v>0.0406619817188896</v>
      </c>
      <c r="P4821" s="4">
        <v>0.111362467853461</v>
      </c>
      <c r="T4821" s="4">
        <f t="shared" si="3"/>
        <v>1446</v>
      </c>
      <c r="U4821" s="4">
        <f t="shared" si="4"/>
        <v>3922</v>
      </c>
    </row>
    <row r="4822" ht="15.75" customHeight="1">
      <c r="A4822" s="4" t="s">
        <v>1085</v>
      </c>
      <c r="B4822" s="4" t="s">
        <v>13</v>
      </c>
      <c r="C4822" s="4">
        <v>0.0796</v>
      </c>
      <c r="D4822" s="4">
        <v>0.0796</v>
      </c>
      <c r="E4822" s="4">
        <v>0.0796</v>
      </c>
      <c r="I4822" s="4">
        <v>0.12196</v>
      </c>
      <c r="J4822" s="4">
        <v>0.00348</v>
      </c>
      <c r="K4822" s="6" t="b">
        <f t="shared" ref="K4822:M4822" si="4611">FALSE()</f>
        <v>0</v>
      </c>
      <c r="L4822" s="6" t="b">
        <f t="shared" si="4611"/>
        <v>0</v>
      </c>
      <c r="M4822" s="6" t="b">
        <f t="shared" si="4611"/>
        <v>0</v>
      </c>
      <c r="N4822" s="4">
        <v>0.0765906021617125</v>
      </c>
      <c r="P4822" s="4">
        <v>0.11507715584112</v>
      </c>
      <c r="T4822" s="4">
        <f t="shared" si="3"/>
        <v>1297</v>
      </c>
      <c r="U4822" s="4">
        <f t="shared" si="4"/>
        <v>3835</v>
      </c>
    </row>
    <row r="4823" ht="15.75" customHeight="1">
      <c r="A4823" s="4" t="s">
        <v>5653</v>
      </c>
      <c r="B4823" s="4" t="s">
        <v>13</v>
      </c>
      <c r="F4823" s="4">
        <v>7.5</v>
      </c>
      <c r="K4823" s="6" t="b">
        <f t="shared" ref="K4823:K4834" si="4612">FALSE()</f>
        <v>0</v>
      </c>
      <c r="L4823" s="6" t="b">
        <f>TRUE()</f>
        <v>1</v>
      </c>
      <c r="M4823" s="6" t="b">
        <f>FALSE()</f>
        <v>0</v>
      </c>
      <c r="O4823" s="4">
        <v>2.14006616349627</v>
      </c>
      <c r="T4823" s="4" t="str">
        <f t="shared" si="3"/>
        <v/>
      </c>
      <c r="U4823" s="4" t="str">
        <f t="shared" si="4"/>
        <v/>
      </c>
    </row>
    <row r="4824" ht="15.75" customHeight="1">
      <c r="A4824" s="4" t="s">
        <v>5654</v>
      </c>
      <c r="B4824" s="4" t="s">
        <v>13</v>
      </c>
      <c r="D4824" s="4">
        <v>0.003</v>
      </c>
      <c r="E4824" s="4">
        <v>0.003</v>
      </c>
      <c r="F4824" s="4">
        <v>0.042</v>
      </c>
      <c r="G4824" s="4">
        <v>0.003</v>
      </c>
      <c r="H4824" s="4">
        <v>0.003</v>
      </c>
      <c r="K4824" s="6" t="b">
        <f t="shared" si="4612"/>
        <v>0</v>
      </c>
      <c r="L4824" s="6" t="b">
        <f t="shared" ref="L4824:M4824" si="4613">FALSE()</f>
        <v>0</v>
      </c>
      <c r="M4824" s="6" t="b">
        <f t="shared" si="4613"/>
        <v>0</v>
      </c>
      <c r="O4824" s="4">
        <v>0.0411419433311751</v>
      </c>
      <c r="T4824" s="4" t="str">
        <f t="shared" si="3"/>
        <v/>
      </c>
      <c r="U4824" s="4" t="str">
        <f t="shared" si="4"/>
        <v/>
      </c>
    </row>
    <row r="4825" ht="15.75" customHeight="1">
      <c r="A4825" s="4" t="s">
        <v>1086</v>
      </c>
      <c r="B4825" s="4" t="s">
        <v>13</v>
      </c>
      <c r="C4825" s="4">
        <v>0.009</v>
      </c>
      <c r="D4825" s="4">
        <v>8.0E-4</v>
      </c>
      <c r="E4825" s="4">
        <v>8.0E-4</v>
      </c>
      <c r="I4825" s="4">
        <v>0.116</v>
      </c>
      <c r="J4825" s="4">
        <v>0.006</v>
      </c>
      <c r="K4825" s="6" t="b">
        <f t="shared" si="4612"/>
        <v>0</v>
      </c>
      <c r="L4825" s="6" t="b">
        <f t="shared" ref="L4825:M4825" si="4614">FALSE()</f>
        <v>0</v>
      </c>
      <c r="M4825" s="6" t="b">
        <f t="shared" si="4614"/>
        <v>0</v>
      </c>
      <c r="N4825" s="4">
        <v>0.0089597413714719</v>
      </c>
      <c r="P4825" s="4">
        <v>0.109750863959119</v>
      </c>
      <c r="T4825" s="4">
        <f t="shared" si="3"/>
        <v>1961</v>
      </c>
      <c r="U4825" s="4">
        <f t="shared" si="4"/>
        <v>3959</v>
      </c>
    </row>
    <row r="4826" ht="15.75" customHeight="1">
      <c r="A4826" s="4" t="s">
        <v>1087</v>
      </c>
      <c r="B4826" s="4" t="s">
        <v>13</v>
      </c>
      <c r="C4826" s="4">
        <v>0.00485</v>
      </c>
      <c r="D4826" s="4">
        <v>6.0E-4</v>
      </c>
      <c r="E4826" s="4">
        <v>6.0E-4</v>
      </c>
      <c r="I4826" s="4">
        <v>0.10233</v>
      </c>
      <c r="J4826" s="4">
        <v>0.00491</v>
      </c>
      <c r="K4826" s="6" t="b">
        <f t="shared" si="4612"/>
        <v>0</v>
      </c>
      <c r="L4826" s="6" t="b">
        <f t="shared" ref="L4826:M4826" si="4615">FALSE()</f>
        <v>0</v>
      </c>
      <c r="M4826" s="6" t="b">
        <f t="shared" si="4615"/>
        <v>0</v>
      </c>
      <c r="N4826" s="4">
        <v>0.0048382766402492</v>
      </c>
      <c r="P4826" s="4">
        <v>0.0974261214382531</v>
      </c>
      <c r="T4826" s="4">
        <f t="shared" si="3"/>
        <v>2029</v>
      </c>
      <c r="U4826" s="4">
        <f t="shared" si="4"/>
        <v>4184</v>
      </c>
    </row>
    <row r="4827" ht="15.75" customHeight="1">
      <c r="A4827" s="4" t="s">
        <v>5655</v>
      </c>
      <c r="B4827" s="4" t="s">
        <v>13</v>
      </c>
      <c r="D4827" s="4">
        <v>2.36E-4</v>
      </c>
      <c r="E4827" s="4">
        <v>2.36E-4</v>
      </c>
      <c r="F4827" s="4">
        <v>0.00856</v>
      </c>
      <c r="G4827" s="4">
        <v>2.36E-4</v>
      </c>
      <c r="H4827" s="4">
        <v>2.36E-4</v>
      </c>
      <c r="K4827" s="6" t="b">
        <f t="shared" si="4612"/>
        <v>0</v>
      </c>
      <c r="L4827" s="6" t="b">
        <f t="shared" ref="L4827:M4827" si="4616">FALSE()</f>
        <v>0</v>
      </c>
      <c r="M4827" s="6" t="b">
        <f t="shared" si="4616"/>
        <v>0</v>
      </c>
      <c r="O4827" s="4">
        <v>0.0085235709408768</v>
      </c>
      <c r="T4827" s="4" t="str">
        <f t="shared" si="3"/>
        <v/>
      </c>
      <c r="U4827" s="4" t="str">
        <f t="shared" si="4"/>
        <v/>
      </c>
    </row>
    <row r="4828" ht="15.75" customHeight="1">
      <c r="A4828" s="4" t="s">
        <v>1088</v>
      </c>
      <c r="B4828" s="4" t="s">
        <v>13</v>
      </c>
      <c r="C4828" s="4">
        <v>0.09225</v>
      </c>
      <c r="D4828" s="4">
        <v>0.00255</v>
      </c>
      <c r="E4828" s="4">
        <v>0.00245</v>
      </c>
      <c r="I4828" s="4">
        <v>0.4211</v>
      </c>
      <c r="J4828" s="4">
        <v>0.0205</v>
      </c>
      <c r="K4828" s="6" t="b">
        <f t="shared" si="4612"/>
        <v>0</v>
      </c>
      <c r="L4828" s="6" t="b">
        <f t="shared" ref="L4828:M4828" si="4617">FALSE()</f>
        <v>0</v>
      </c>
      <c r="M4828" s="6" t="b">
        <f t="shared" si="4617"/>
        <v>0</v>
      </c>
      <c r="N4828" s="4">
        <v>0.0882397888494082</v>
      </c>
      <c r="P4828" s="4">
        <v>0.351431219615679</v>
      </c>
      <c r="T4828" s="4">
        <f t="shared" si="3"/>
        <v>1276</v>
      </c>
      <c r="U4828" s="4">
        <f t="shared" si="4"/>
        <v>1089</v>
      </c>
    </row>
    <row r="4829" ht="15.75" customHeight="1">
      <c r="A4829" s="4" t="s">
        <v>1089</v>
      </c>
      <c r="B4829" s="4" t="s">
        <v>13</v>
      </c>
      <c r="C4829" s="4">
        <v>0.81</v>
      </c>
      <c r="D4829" s="4">
        <v>0.18</v>
      </c>
      <c r="E4829" s="4">
        <v>0.18</v>
      </c>
      <c r="I4829" s="4">
        <v>0.89</v>
      </c>
      <c r="J4829" s="4">
        <v>0.07</v>
      </c>
      <c r="K4829" s="6" t="b">
        <f t="shared" si="4612"/>
        <v>0</v>
      </c>
      <c r="L4829" s="6" t="b">
        <f t="shared" ref="L4829:L4836" si="4618">FALSE()</f>
        <v>0</v>
      </c>
      <c r="M4829" s="6" t="b">
        <f>TRUE()</f>
        <v>1</v>
      </c>
      <c r="N4829" s="4">
        <v>0.593326845277734</v>
      </c>
      <c r="P4829" s="4">
        <v>0.636576829071551</v>
      </c>
      <c r="T4829" s="4">
        <f t="shared" si="3"/>
        <v>762</v>
      </c>
      <c r="U4829" s="4">
        <f t="shared" si="4"/>
        <v>771</v>
      </c>
    </row>
    <row r="4830" ht="15.75" customHeight="1">
      <c r="A4830" s="4" t="s">
        <v>5656</v>
      </c>
      <c r="B4830" s="4" t="s">
        <v>13</v>
      </c>
      <c r="C4830" s="4">
        <v>0.00922</v>
      </c>
      <c r="F4830" s="4">
        <v>0.0069</v>
      </c>
      <c r="G4830" s="4">
        <v>0.003</v>
      </c>
      <c r="H4830" s="4">
        <v>0.003</v>
      </c>
      <c r="K4830" s="6" t="b">
        <f t="shared" si="4612"/>
        <v>0</v>
      </c>
      <c r="L4830" s="6" t="b">
        <f t="shared" si="4618"/>
        <v>0</v>
      </c>
      <c r="M4830" s="6" t="b">
        <f t="shared" ref="M4830:M4834" si="4619">FALSE()</f>
        <v>0</v>
      </c>
      <c r="N4830" s="4">
        <v>0.0091777552657662</v>
      </c>
      <c r="O4830" s="4">
        <v>0.0068763039394321</v>
      </c>
      <c r="T4830" s="4">
        <f t="shared" si="3"/>
        <v>1953</v>
      </c>
      <c r="U4830" s="4" t="str">
        <f t="shared" si="4"/>
        <v/>
      </c>
    </row>
    <row r="4831" ht="15.75" customHeight="1">
      <c r="A4831" s="4" t="s">
        <v>5657</v>
      </c>
      <c r="B4831" s="4" t="s">
        <v>13</v>
      </c>
      <c r="C4831" s="4">
        <v>0.00374</v>
      </c>
      <c r="F4831" s="4">
        <v>0.0038</v>
      </c>
      <c r="G4831" s="4">
        <v>0.0013</v>
      </c>
      <c r="H4831" s="4">
        <v>0.0013</v>
      </c>
      <c r="K4831" s="6" t="b">
        <f t="shared" si="4612"/>
        <v>0</v>
      </c>
      <c r="L4831" s="6" t="b">
        <f t="shared" si="4618"/>
        <v>0</v>
      </c>
      <c r="M4831" s="6" t="b">
        <f t="shared" si="4619"/>
        <v>0</v>
      </c>
      <c r="N4831" s="4">
        <v>0.0037330235891073</v>
      </c>
      <c r="O4831" s="4">
        <v>0.0037927982386962</v>
      </c>
      <c r="T4831" s="4">
        <f t="shared" si="3"/>
        <v>2046</v>
      </c>
      <c r="U4831" s="4" t="str">
        <f t="shared" si="4"/>
        <v/>
      </c>
    </row>
    <row r="4832" ht="15.75" customHeight="1">
      <c r="A4832" s="4" t="s">
        <v>5658</v>
      </c>
      <c r="B4832" s="4" t="s">
        <v>13</v>
      </c>
      <c r="C4832" s="4">
        <v>0.03448</v>
      </c>
      <c r="F4832" s="4">
        <v>0.034</v>
      </c>
      <c r="G4832" s="4">
        <v>0.011</v>
      </c>
      <c r="H4832" s="4">
        <v>0.0123</v>
      </c>
      <c r="K4832" s="6" t="b">
        <f t="shared" si="4612"/>
        <v>0</v>
      </c>
      <c r="L4832" s="6" t="b">
        <f t="shared" si="4618"/>
        <v>0</v>
      </c>
      <c r="M4832" s="6" t="b">
        <f t="shared" si="4619"/>
        <v>0</v>
      </c>
      <c r="N4832" s="4">
        <v>0.0338988850054591</v>
      </c>
      <c r="O4832" s="4">
        <v>0.0334347760862373</v>
      </c>
      <c r="T4832" s="4">
        <f t="shared" si="3"/>
        <v>1493</v>
      </c>
      <c r="U4832" s="4" t="str">
        <f t="shared" si="4"/>
        <v/>
      </c>
    </row>
    <row r="4833" ht="15.75" customHeight="1">
      <c r="A4833" s="4" t="s">
        <v>5659</v>
      </c>
      <c r="B4833" s="4" t="s">
        <v>13</v>
      </c>
      <c r="C4833" s="4">
        <v>0.0297</v>
      </c>
      <c r="F4833" s="4">
        <v>0.0293</v>
      </c>
      <c r="G4833" s="4">
        <v>0.0123</v>
      </c>
      <c r="H4833" s="4">
        <v>0.0135</v>
      </c>
      <c r="K4833" s="6" t="b">
        <f t="shared" si="4612"/>
        <v>0</v>
      </c>
      <c r="L4833" s="6" t="b">
        <f t="shared" si="4618"/>
        <v>0</v>
      </c>
      <c r="M4833" s="6" t="b">
        <f t="shared" si="4619"/>
        <v>0</v>
      </c>
      <c r="N4833" s="4">
        <v>0.029267497680568</v>
      </c>
      <c r="O4833" s="4">
        <v>0.0288789595503766</v>
      </c>
      <c r="T4833" s="4">
        <f t="shared" si="3"/>
        <v>1559</v>
      </c>
      <c r="U4833" s="4" t="str">
        <f t="shared" si="4"/>
        <v/>
      </c>
    </row>
    <row r="4834" ht="15.75" customHeight="1">
      <c r="A4834" s="4" t="s">
        <v>5660</v>
      </c>
      <c r="B4834" s="4" t="s">
        <v>13</v>
      </c>
      <c r="F4834" s="4">
        <v>2.47</v>
      </c>
      <c r="K4834" s="6" t="b">
        <f t="shared" si="4612"/>
        <v>0</v>
      </c>
      <c r="L4834" s="6" t="b">
        <f t="shared" si="4618"/>
        <v>0</v>
      </c>
      <c r="M4834" s="6" t="b">
        <f t="shared" si="4619"/>
        <v>0</v>
      </c>
      <c r="O4834" s="4">
        <v>1.24415459395877</v>
      </c>
      <c r="T4834" s="4" t="str">
        <f t="shared" si="3"/>
        <v/>
      </c>
      <c r="U4834" s="4" t="str">
        <f t="shared" si="4"/>
        <v/>
      </c>
    </row>
    <row r="4835" ht="15.75" customHeight="1">
      <c r="A4835" s="4" t="s">
        <v>1090</v>
      </c>
      <c r="B4835" s="4" t="s">
        <v>13</v>
      </c>
      <c r="C4835" s="4">
        <v>3.7</v>
      </c>
      <c r="D4835" s="4">
        <v>0.9</v>
      </c>
      <c r="E4835" s="4">
        <v>0.9</v>
      </c>
      <c r="I4835" s="4">
        <v>1.5</v>
      </c>
      <c r="J4835" s="4">
        <v>0.3</v>
      </c>
      <c r="K4835" s="6" t="b">
        <f t="shared" ref="K4835:K4836" si="4620">TRUE()</f>
        <v>1</v>
      </c>
      <c r="L4835" s="6" t="b">
        <f t="shared" si="4618"/>
        <v>0</v>
      </c>
      <c r="M4835" s="6" t="b">
        <f t="shared" ref="M4835:M4837" si="4621">TRUE()</f>
        <v>1</v>
      </c>
      <c r="N4835" s="4">
        <v>1.54756250871601</v>
      </c>
      <c r="P4835" s="4">
        <v>0.916290731874155</v>
      </c>
      <c r="T4835" s="4">
        <f t="shared" si="3"/>
        <v>274</v>
      </c>
      <c r="U4835" s="4">
        <f t="shared" si="4"/>
        <v>115</v>
      </c>
    </row>
    <row r="4836" ht="15.75" customHeight="1">
      <c r="A4836" s="4" t="s">
        <v>1091</v>
      </c>
      <c r="B4836" s="4" t="s">
        <v>13</v>
      </c>
      <c r="C4836" s="4">
        <v>5.18</v>
      </c>
      <c r="D4836" s="4">
        <v>0.22</v>
      </c>
      <c r="E4836" s="4">
        <v>0.22</v>
      </c>
      <c r="I4836" s="4">
        <v>1.272</v>
      </c>
      <c r="J4836" s="4">
        <v>0.022</v>
      </c>
      <c r="K4836" s="6" t="b">
        <f t="shared" si="4620"/>
        <v>1</v>
      </c>
      <c r="L4836" s="6" t="b">
        <f t="shared" si="4618"/>
        <v>0</v>
      </c>
      <c r="M4836" s="6" t="b">
        <f t="shared" si="4621"/>
        <v>1</v>
      </c>
      <c r="N4836" s="4">
        <v>1.8213182714696</v>
      </c>
      <c r="P4836" s="4">
        <v>0.820660500858905</v>
      </c>
      <c r="T4836" s="4">
        <f t="shared" si="3"/>
        <v>204</v>
      </c>
      <c r="U4836" s="4">
        <f t="shared" si="4"/>
        <v>290</v>
      </c>
    </row>
    <row r="4837" ht="15.75" customHeight="1">
      <c r="A4837" s="4" t="s">
        <v>1093</v>
      </c>
      <c r="B4837" s="4" t="s">
        <v>13</v>
      </c>
      <c r="C4837" s="4">
        <v>1.675</v>
      </c>
      <c r="D4837" s="4">
        <v>0.241</v>
      </c>
      <c r="E4837" s="4">
        <v>0.241</v>
      </c>
      <c r="I4837" s="4">
        <v>1.53</v>
      </c>
      <c r="J4837" s="4">
        <v>0.04</v>
      </c>
      <c r="K4837" s="6" t="b">
        <f t="shared" ref="K4837:L4837" si="4622">FALSE()</f>
        <v>0</v>
      </c>
      <c r="L4837" s="6" t="b">
        <f t="shared" si="4622"/>
        <v>0</v>
      </c>
      <c r="M4837" s="6" t="b">
        <f t="shared" si="4621"/>
        <v>1</v>
      </c>
      <c r="N4837" s="4">
        <v>0.98394938034797</v>
      </c>
      <c r="P4837" s="4">
        <v>0.928219302739429</v>
      </c>
      <c r="T4837" s="4">
        <f t="shared" si="3"/>
        <v>487</v>
      </c>
      <c r="U4837" s="4">
        <f t="shared" si="4"/>
        <v>101</v>
      </c>
    </row>
    <row r="4838" ht="15.75" customHeight="1">
      <c r="A4838" s="4" t="s">
        <v>5661</v>
      </c>
      <c r="B4838" s="4" t="s">
        <v>13</v>
      </c>
      <c r="F4838" s="4">
        <v>17.0</v>
      </c>
      <c r="I4838" s="4">
        <v>0.5</v>
      </c>
      <c r="K4838" s="6" t="b">
        <f>FALSE()</f>
        <v>0</v>
      </c>
      <c r="L4838" s="6" t="b">
        <f>TRUE()</f>
        <v>1</v>
      </c>
      <c r="M4838" s="6" t="b">
        <f>FALSE()</f>
        <v>0</v>
      </c>
      <c r="O4838" s="4">
        <v>2.89037175789617</v>
      </c>
      <c r="P4838" s="4">
        <v>0.405465108108164</v>
      </c>
      <c r="T4838" s="4" t="str">
        <f t="shared" si="3"/>
        <v/>
      </c>
      <c r="U4838" s="4">
        <f t="shared" si="4"/>
        <v>1016</v>
      </c>
    </row>
    <row r="4839" ht="15.75" customHeight="1">
      <c r="A4839" s="4" t="s">
        <v>5662</v>
      </c>
      <c r="B4839" s="4" t="s">
        <v>13</v>
      </c>
      <c r="C4839" s="4">
        <v>4.0</v>
      </c>
      <c r="D4839" s="4">
        <v>2.0</v>
      </c>
      <c r="E4839" s="4">
        <v>3.0</v>
      </c>
      <c r="K4839" s="6" t="b">
        <f>TRUE()</f>
        <v>1</v>
      </c>
      <c r="L4839" s="6" t="b">
        <f t="shared" ref="L4839:M4839" si="4623">FALSE()</f>
        <v>0</v>
      </c>
      <c r="M4839" s="6" t="b">
        <f t="shared" si="4623"/>
        <v>0</v>
      </c>
      <c r="N4839" s="4">
        <v>1.6094379124341</v>
      </c>
      <c r="T4839" s="4">
        <f t="shared" si="3"/>
        <v>261</v>
      </c>
      <c r="U4839" s="4" t="str">
        <f t="shared" si="4"/>
        <v/>
      </c>
    </row>
    <row r="4840" ht="15.75" customHeight="1">
      <c r="A4840" s="4" t="s">
        <v>5663</v>
      </c>
      <c r="B4840" s="4" t="s">
        <v>13</v>
      </c>
      <c r="C4840" s="4">
        <v>0.0393</v>
      </c>
      <c r="D4840" s="4">
        <v>0.025</v>
      </c>
      <c r="E4840" s="4">
        <v>0.2061</v>
      </c>
      <c r="K4840" s="6" t="b">
        <f t="shared" ref="K4840:M4840" si="4624">FALSE()</f>
        <v>0</v>
      </c>
      <c r="L4840" s="6" t="b">
        <f t="shared" si="4624"/>
        <v>0</v>
      </c>
      <c r="M4840" s="6" t="b">
        <f t="shared" si="4624"/>
        <v>0</v>
      </c>
      <c r="N4840" s="4">
        <v>0.0385474096122389</v>
      </c>
      <c r="T4840" s="4">
        <f t="shared" si="3"/>
        <v>1456</v>
      </c>
      <c r="U4840" s="4" t="str">
        <f t="shared" si="4"/>
        <v/>
      </c>
    </row>
    <row r="4841" ht="15.75" customHeight="1">
      <c r="A4841" s="4" t="s">
        <v>5664</v>
      </c>
      <c r="B4841" s="4" t="s">
        <v>13</v>
      </c>
      <c r="C4841" s="4">
        <v>1.71</v>
      </c>
      <c r="D4841" s="4">
        <v>0.27</v>
      </c>
      <c r="E4841" s="4">
        <v>0.27</v>
      </c>
      <c r="K4841" s="6" t="b">
        <f t="shared" ref="K4841:M4841" si="4625">FALSE()</f>
        <v>0</v>
      </c>
      <c r="L4841" s="6" t="b">
        <f t="shared" si="4625"/>
        <v>0</v>
      </c>
      <c r="M4841" s="6" t="b">
        <f t="shared" si="4625"/>
        <v>0</v>
      </c>
      <c r="N4841" s="4">
        <v>0.99694863489161</v>
      </c>
      <c r="T4841" s="4">
        <f t="shared" si="3"/>
        <v>481</v>
      </c>
      <c r="U4841" s="4" t="str">
        <f t="shared" si="4"/>
        <v/>
      </c>
    </row>
    <row r="4842" ht="15.75" customHeight="1">
      <c r="A4842" s="4" t="s">
        <v>5665</v>
      </c>
      <c r="B4842" s="4" t="s">
        <v>13</v>
      </c>
      <c r="C4842" s="4">
        <v>0.233</v>
      </c>
      <c r="D4842" s="4">
        <v>0.053</v>
      </c>
      <c r="E4842" s="4">
        <v>0.053</v>
      </c>
      <c r="K4842" s="6" t="b">
        <f t="shared" ref="K4842:M4842" si="4626">FALSE()</f>
        <v>0</v>
      </c>
      <c r="L4842" s="6" t="b">
        <f t="shared" si="4626"/>
        <v>0</v>
      </c>
      <c r="M4842" s="6" t="b">
        <f t="shared" si="4626"/>
        <v>0</v>
      </c>
      <c r="N4842" s="4">
        <v>0.209450224182207</v>
      </c>
      <c r="T4842" s="4">
        <f t="shared" si="3"/>
        <v>1125</v>
      </c>
      <c r="U4842" s="4" t="str">
        <f t="shared" si="4"/>
        <v/>
      </c>
    </row>
    <row r="4843" ht="15.75" customHeight="1">
      <c r="A4843" s="4" t="s">
        <v>5666</v>
      </c>
      <c r="B4843" s="4" t="s">
        <v>13</v>
      </c>
      <c r="C4843" s="4">
        <v>2.44</v>
      </c>
      <c r="D4843" s="4">
        <v>0.5</v>
      </c>
      <c r="E4843" s="4">
        <v>0.5</v>
      </c>
      <c r="K4843" s="6" t="b">
        <f t="shared" ref="K4843:M4843" si="4627">FALSE()</f>
        <v>0</v>
      </c>
      <c r="L4843" s="6" t="b">
        <f t="shared" si="4627"/>
        <v>0</v>
      </c>
      <c r="M4843" s="6" t="b">
        <f t="shared" si="4627"/>
        <v>0</v>
      </c>
      <c r="N4843" s="4">
        <v>1.23547147138531</v>
      </c>
      <c r="T4843" s="4">
        <f t="shared" si="3"/>
        <v>377</v>
      </c>
      <c r="U4843" s="4" t="str">
        <f t="shared" si="4"/>
        <v/>
      </c>
    </row>
    <row r="4844" ht="15.75" customHeight="1">
      <c r="A4844" s="4" t="s">
        <v>5667</v>
      </c>
      <c r="B4844" s="4" t="s">
        <v>13</v>
      </c>
      <c r="C4844" s="4">
        <v>0.0327</v>
      </c>
      <c r="D4844" s="4">
        <v>0.005</v>
      </c>
      <c r="E4844" s="4">
        <v>0.005</v>
      </c>
      <c r="K4844" s="6" t="b">
        <f t="shared" ref="K4844:M4844" si="4628">FALSE()</f>
        <v>0</v>
      </c>
      <c r="L4844" s="6" t="b">
        <f t="shared" si="4628"/>
        <v>0</v>
      </c>
      <c r="M4844" s="6" t="b">
        <f t="shared" si="4628"/>
        <v>0</v>
      </c>
      <c r="N4844" s="4">
        <v>0.0321767316952212</v>
      </c>
      <c r="T4844" s="4">
        <f t="shared" si="3"/>
        <v>1518</v>
      </c>
      <c r="U4844" s="4" t="str">
        <f t="shared" si="4"/>
        <v/>
      </c>
    </row>
    <row r="4845" ht="15.75" customHeight="1">
      <c r="A4845" s="4" t="s">
        <v>5668</v>
      </c>
      <c r="B4845" s="4" t="s">
        <v>13</v>
      </c>
      <c r="C4845" s="4">
        <v>0.208</v>
      </c>
      <c r="D4845" s="4">
        <v>0.0255</v>
      </c>
      <c r="E4845" s="4">
        <v>0.0255</v>
      </c>
      <c r="K4845" s="6" t="b">
        <f t="shared" ref="K4845:M4845" si="4629">FALSE()</f>
        <v>0</v>
      </c>
      <c r="L4845" s="6" t="b">
        <f t="shared" si="4629"/>
        <v>0</v>
      </c>
      <c r="M4845" s="6" t="b">
        <f t="shared" si="4629"/>
        <v>0</v>
      </c>
      <c r="N4845" s="4">
        <v>0.188966099512623</v>
      </c>
      <c r="T4845" s="4">
        <f t="shared" si="3"/>
        <v>1146</v>
      </c>
      <c r="U4845" s="4" t="str">
        <f t="shared" si="4"/>
        <v/>
      </c>
    </row>
    <row r="4846" ht="15.75" customHeight="1">
      <c r="A4846" s="4" t="s">
        <v>5669</v>
      </c>
      <c r="B4846" s="4" t="s">
        <v>13</v>
      </c>
      <c r="C4846" s="4">
        <v>2.6</v>
      </c>
      <c r="D4846" s="4">
        <v>1.6</v>
      </c>
      <c r="E4846" s="4">
        <v>4.1</v>
      </c>
      <c r="K4846" s="6" t="b">
        <f t="shared" ref="K4846:M4846" si="4630">FALSE()</f>
        <v>0</v>
      </c>
      <c r="L4846" s="6" t="b">
        <f t="shared" si="4630"/>
        <v>0</v>
      </c>
      <c r="M4846" s="6" t="b">
        <f t="shared" si="4630"/>
        <v>0</v>
      </c>
      <c r="N4846" s="4">
        <v>1.28093384546206</v>
      </c>
      <c r="T4846" s="4">
        <f t="shared" si="3"/>
        <v>359</v>
      </c>
      <c r="U4846" s="4" t="str">
        <f t="shared" si="4"/>
        <v/>
      </c>
    </row>
    <row r="4847" ht="15.75" customHeight="1">
      <c r="A4847" s="4" t="s">
        <v>5670</v>
      </c>
      <c r="B4847" s="4" t="s">
        <v>13</v>
      </c>
      <c r="C4847" s="4">
        <v>11.0</v>
      </c>
      <c r="D4847" s="4">
        <v>2.0</v>
      </c>
      <c r="E4847" s="4">
        <v>2.0</v>
      </c>
      <c r="K4847" s="6" t="b">
        <f>TRUE()</f>
        <v>1</v>
      </c>
      <c r="L4847" s="6" t="b">
        <f t="shared" ref="L4847:M4847" si="4631">FALSE()</f>
        <v>0</v>
      </c>
      <c r="M4847" s="6" t="b">
        <f t="shared" si="4631"/>
        <v>0</v>
      </c>
      <c r="N4847" s="4">
        <v>2.484906649788</v>
      </c>
      <c r="T4847" s="4">
        <f t="shared" si="3"/>
        <v>37</v>
      </c>
      <c r="U4847" s="4" t="str">
        <f t="shared" si="4"/>
        <v/>
      </c>
    </row>
    <row r="4848" ht="15.75" customHeight="1">
      <c r="A4848" s="4" t="s">
        <v>5671</v>
      </c>
      <c r="B4848" s="4" t="s">
        <v>13</v>
      </c>
      <c r="C4848" s="4">
        <v>0.51</v>
      </c>
      <c r="D4848" s="4">
        <v>0.07</v>
      </c>
      <c r="E4848" s="4">
        <v>0.07</v>
      </c>
      <c r="K4848" s="6" t="b">
        <f t="shared" ref="K4848:M4848" si="4632">FALSE()</f>
        <v>0</v>
      </c>
      <c r="L4848" s="6" t="b">
        <f t="shared" si="4632"/>
        <v>0</v>
      </c>
      <c r="M4848" s="6" t="b">
        <f t="shared" si="4632"/>
        <v>0</v>
      </c>
      <c r="N4848" s="4">
        <v>0.412109650826833</v>
      </c>
      <c r="T4848" s="4">
        <f t="shared" si="3"/>
        <v>948</v>
      </c>
      <c r="U4848" s="4" t="str">
        <f t="shared" si="4"/>
        <v/>
      </c>
    </row>
    <row r="4849" ht="15.75" customHeight="1">
      <c r="A4849" s="4" t="s">
        <v>5672</v>
      </c>
      <c r="B4849" s="4" t="s">
        <v>13</v>
      </c>
      <c r="C4849" s="4">
        <v>0.029</v>
      </c>
      <c r="D4849" s="4">
        <v>0.007</v>
      </c>
      <c r="E4849" s="4">
        <v>0.007</v>
      </c>
      <c r="K4849" s="6" t="b">
        <f t="shared" ref="K4849:M4849" si="4633">FALSE()</f>
        <v>0</v>
      </c>
      <c r="L4849" s="6" t="b">
        <f t="shared" si="4633"/>
        <v>0</v>
      </c>
      <c r="M4849" s="6" t="b">
        <f t="shared" si="4633"/>
        <v>0</v>
      </c>
      <c r="N4849" s="4">
        <v>0.0285874568519125</v>
      </c>
      <c r="T4849" s="4">
        <f t="shared" si="3"/>
        <v>1565</v>
      </c>
      <c r="U4849" s="4" t="str">
        <f t="shared" si="4"/>
        <v/>
      </c>
    </row>
    <row r="4850" ht="15.75" customHeight="1">
      <c r="A4850" s="4" t="s">
        <v>5673</v>
      </c>
      <c r="B4850" s="4" t="s">
        <v>13</v>
      </c>
      <c r="C4850" s="4">
        <v>0.27</v>
      </c>
      <c r="D4850" s="4">
        <v>0.16</v>
      </c>
      <c r="E4850" s="4">
        <v>0.48</v>
      </c>
      <c r="K4850" s="6" t="b">
        <f t="shared" ref="K4850:M4850" si="4634">FALSE()</f>
        <v>0</v>
      </c>
      <c r="L4850" s="6" t="b">
        <f t="shared" si="4634"/>
        <v>0</v>
      </c>
      <c r="M4850" s="6" t="b">
        <f t="shared" si="4634"/>
        <v>0</v>
      </c>
      <c r="N4850" s="4">
        <v>0.2390169004705</v>
      </c>
      <c r="T4850" s="4">
        <f t="shared" si="3"/>
        <v>1092</v>
      </c>
      <c r="U4850" s="4" t="str">
        <f t="shared" si="4"/>
        <v/>
      </c>
    </row>
    <row r="4851" ht="15.75" customHeight="1">
      <c r="A4851" s="4" t="s">
        <v>5674</v>
      </c>
      <c r="B4851" s="4" t="s">
        <v>13</v>
      </c>
      <c r="C4851" s="4">
        <v>1.4</v>
      </c>
      <c r="D4851" s="4">
        <v>0.3</v>
      </c>
      <c r="E4851" s="4">
        <v>0.3</v>
      </c>
      <c r="K4851" s="6" t="b">
        <f t="shared" ref="K4851:M4851" si="4635">FALSE()</f>
        <v>0</v>
      </c>
      <c r="L4851" s="6" t="b">
        <f t="shared" si="4635"/>
        <v>0</v>
      </c>
      <c r="M4851" s="6" t="b">
        <f t="shared" si="4635"/>
        <v>0</v>
      </c>
      <c r="N4851" s="4">
        <v>0.8754687373539</v>
      </c>
      <c r="T4851" s="4">
        <f t="shared" si="3"/>
        <v>539</v>
      </c>
      <c r="U4851" s="4" t="str">
        <f t="shared" si="4"/>
        <v/>
      </c>
    </row>
    <row r="4852" ht="15.75" customHeight="1">
      <c r="A4852" s="4" t="s">
        <v>5675</v>
      </c>
      <c r="B4852" s="4" t="s">
        <v>13</v>
      </c>
      <c r="C4852" s="4">
        <v>0.094</v>
      </c>
      <c r="D4852" s="4">
        <v>0.038</v>
      </c>
      <c r="E4852" s="4">
        <v>0.05</v>
      </c>
      <c r="K4852" s="6" t="b">
        <f t="shared" ref="K4852:M4852" si="4636">FALSE()</f>
        <v>0</v>
      </c>
      <c r="L4852" s="6" t="b">
        <f t="shared" si="4636"/>
        <v>0</v>
      </c>
      <c r="M4852" s="6" t="b">
        <f t="shared" si="4636"/>
        <v>0</v>
      </c>
      <c r="N4852" s="4">
        <v>0.0898407039997894</v>
      </c>
      <c r="T4852" s="4">
        <f t="shared" si="3"/>
        <v>1274</v>
      </c>
      <c r="U4852" s="4" t="str">
        <f t="shared" si="4"/>
        <v/>
      </c>
    </row>
    <row r="4853" ht="15.75" customHeight="1">
      <c r="A4853" s="4" t="s">
        <v>5676</v>
      </c>
      <c r="B4853" s="4" t="s">
        <v>13</v>
      </c>
      <c r="C4853" s="4">
        <v>0.09099</v>
      </c>
      <c r="D4853" s="4">
        <v>0.01495</v>
      </c>
      <c r="E4853" s="4">
        <v>0.01495</v>
      </c>
      <c r="K4853" s="6" t="b">
        <f t="shared" ref="K4853:M4853" si="4637">FALSE()</f>
        <v>0</v>
      </c>
      <c r="L4853" s="6" t="b">
        <f t="shared" si="4637"/>
        <v>0</v>
      </c>
      <c r="M4853" s="6" t="b">
        <f t="shared" si="4637"/>
        <v>0</v>
      </c>
      <c r="N4853" s="4">
        <v>0.0870855409060852</v>
      </c>
      <c r="T4853" s="4">
        <f t="shared" si="3"/>
        <v>1279</v>
      </c>
      <c r="U4853" s="4" t="str">
        <f t="shared" si="4"/>
        <v/>
      </c>
    </row>
    <row r="4854" ht="15.75" customHeight="1">
      <c r="A4854" s="4" t="s">
        <v>5677</v>
      </c>
      <c r="B4854" s="4" t="s">
        <v>13</v>
      </c>
      <c r="C4854" s="4">
        <v>0.8</v>
      </c>
      <c r="D4854" s="4">
        <v>0.3</v>
      </c>
      <c r="E4854" s="4">
        <v>0.3</v>
      </c>
      <c r="K4854" s="6" t="b">
        <f t="shared" ref="K4854:M4854" si="4638">FALSE()</f>
        <v>0</v>
      </c>
      <c r="L4854" s="6" t="b">
        <f t="shared" si="4638"/>
        <v>0</v>
      </c>
      <c r="M4854" s="6" t="b">
        <f t="shared" si="4638"/>
        <v>0</v>
      </c>
      <c r="N4854" s="4">
        <v>0.587786664902119</v>
      </c>
      <c r="T4854" s="4">
        <f t="shared" si="3"/>
        <v>770</v>
      </c>
      <c r="U4854" s="4" t="str">
        <f t="shared" si="4"/>
        <v/>
      </c>
    </row>
    <row r="4855" ht="15.75" customHeight="1">
      <c r="A4855" s="4" t="s">
        <v>5678</v>
      </c>
      <c r="B4855" s="4" t="s">
        <v>13</v>
      </c>
      <c r="C4855" s="4">
        <v>0.085</v>
      </c>
      <c r="D4855" s="4">
        <v>0.053</v>
      </c>
      <c r="E4855" s="4">
        <v>0.148</v>
      </c>
      <c r="K4855" s="6" t="b">
        <f t="shared" ref="K4855:M4855" si="4639">FALSE()</f>
        <v>0</v>
      </c>
      <c r="L4855" s="6" t="b">
        <f t="shared" si="4639"/>
        <v>0</v>
      </c>
      <c r="M4855" s="6" t="b">
        <f t="shared" si="4639"/>
        <v>0</v>
      </c>
      <c r="N4855" s="4">
        <v>0.0815799869924228</v>
      </c>
      <c r="T4855" s="4">
        <f t="shared" si="3"/>
        <v>1285</v>
      </c>
      <c r="U4855" s="4" t="str">
        <f t="shared" si="4"/>
        <v/>
      </c>
    </row>
    <row r="4856" ht="15.75" customHeight="1">
      <c r="A4856" s="4" t="s">
        <v>5679</v>
      </c>
      <c r="B4856" s="4" t="s">
        <v>13</v>
      </c>
      <c r="C4856" s="4">
        <v>4.8</v>
      </c>
      <c r="D4856" s="4">
        <v>0.3</v>
      </c>
      <c r="E4856" s="4">
        <v>0.3</v>
      </c>
      <c r="K4856" s="6" t="b">
        <f t="shared" ref="K4856:K4859" si="4641">TRUE()</f>
        <v>1</v>
      </c>
      <c r="L4856" s="6" t="b">
        <f t="shared" ref="L4856:M4856" si="4640">FALSE()</f>
        <v>0</v>
      </c>
      <c r="M4856" s="6" t="b">
        <f t="shared" si="4640"/>
        <v>0</v>
      </c>
      <c r="N4856" s="4">
        <v>1.75785791755237</v>
      </c>
      <c r="T4856" s="4">
        <f t="shared" si="3"/>
        <v>221</v>
      </c>
      <c r="U4856" s="4" t="str">
        <f t="shared" si="4"/>
        <v/>
      </c>
    </row>
    <row r="4857" ht="15.75" customHeight="1">
      <c r="A4857" s="4" t="s">
        <v>5680</v>
      </c>
      <c r="B4857" s="4" t="s">
        <v>13</v>
      </c>
      <c r="C4857" s="4">
        <v>7.8</v>
      </c>
      <c r="D4857" s="4">
        <v>8.6</v>
      </c>
      <c r="E4857" s="4">
        <v>4.3</v>
      </c>
      <c r="K4857" s="6" t="b">
        <f t="shared" si="4641"/>
        <v>1</v>
      </c>
      <c r="L4857" s="6" t="b">
        <f t="shared" ref="L4857:M4857" si="4642">FALSE()</f>
        <v>0</v>
      </c>
      <c r="M4857" s="6" t="b">
        <f t="shared" si="4642"/>
        <v>0</v>
      </c>
      <c r="N4857" s="4">
        <v>2.17475172148416</v>
      </c>
      <c r="T4857" s="4">
        <f t="shared" si="3"/>
        <v>117</v>
      </c>
      <c r="U4857" s="4" t="str">
        <f t="shared" si="4"/>
        <v/>
      </c>
    </row>
    <row r="4858" ht="15.75" customHeight="1">
      <c r="A4858" s="4" t="s">
        <v>5681</v>
      </c>
      <c r="B4858" s="4" t="s">
        <v>13</v>
      </c>
      <c r="C4858" s="4">
        <v>8.4</v>
      </c>
      <c r="D4858" s="4">
        <v>3.9</v>
      </c>
      <c r="E4858" s="4">
        <v>4.6</v>
      </c>
      <c r="K4858" s="6" t="b">
        <f t="shared" si="4641"/>
        <v>1</v>
      </c>
      <c r="L4858" s="6" t="b">
        <f t="shared" ref="L4858:M4858" si="4643">FALSE()</f>
        <v>0</v>
      </c>
      <c r="M4858" s="6" t="b">
        <f t="shared" si="4643"/>
        <v>0</v>
      </c>
      <c r="N4858" s="4">
        <v>2.24070968927596</v>
      </c>
      <c r="T4858" s="4">
        <f t="shared" si="3"/>
        <v>99</v>
      </c>
      <c r="U4858" s="4" t="str">
        <f t="shared" si="4"/>
        <v/>
      </c>
    </row>
    <row r="4859" ht="15.75" customHeight="1">
      <c r="A4859" s="4" t="s">
        <v>5682</v>
      </c>
      <c r="B4859" s="4" t="s">
        <v>13</v>
      </c>
      <c r="C4859" s="4">
        <v>6.7</v>
      </c>
      <c r="D4859" s="4">
        <v>3.5</v>
      </c>
      <c r="E4859" s="4">
        <v>10.6</v>
      </c>
      <c r="K4859" s="6" t="b">
        <f t="shared" si="4641"/>
        <v>1</v>
      </c>
      <c r="L4859" s="6" t="b">
        <f t="shared" ref="L4859:M4859" si="4644">FALSE()</f>
        <v>0</v>
      </c>
      <c r="M4859" s="6" t="b">
        <f t="shared" si="4644"/>
        <v>0</v>
      </c>
      <c r="N4859" s="4">
        <v>2.04122032885964</v>
      </c>
      <c r="T4859" s="4">
        <f t="shared" si="3"/>
        <v>142</v>
      </c>
      <c r="U4859" s="4" t="str">
        <f t="shared" si="4"/>
        <v/>
      </c>
    </row>
    <row r="4860" ht="15.75" customHeight="1">
      <c r="A4860" s="4" t="s">
        <v>5683</v>
      </c>
      <c r="B4860" s="4" t="s">
        <v>13</v>
      </c>
      <c r="C4860" s="4">
        <v>2.74</v>
      </c>
      <c r="D4860" s="4">
        <v>0.17</v>
      </c>
      <c r="E4860" s="4">
        <v>0.17</v>
      </c>
      <c r="K4860" s="6" t="b">
        <f t="shared" ref="K4860:M4860" si="4645">FALSE()</f>
        <v>0</v>
      </c>
      <c r="L4860" s="6" t="b">
        <f t="shared" si="4645"/>
        <v>0</v>
      </c>
      <c r="M4860" s="6" t="b">
        <f t="shared" si="4645"/>
        <v>0</v>
      </c>
      <c r="N4860" s="4">
        <v>1.31908561142644</v>
      </c>
      <c r="T4860" s="4">
        <f t="shared" si="3"/>
        <v>350</v>
      </c>
      <c r="U4860" s="4" t="str">
        <f t="shared" si="4"/>
        <v/>
      </c>
    </row>
    <row r="4861" ht="15.75" customHeight="1">
      <c r="A4861" s="4" t="s">
        <v>5684</v>
      </c>
      <c r="B4861" s="4" t="s">
        <v>13</v>
      </c>
      <c r="C4861" s="4">
        <v>0.066</v>
      </c>
      <c r="D4861" s="4">
        <v>0.02</v>
      </c>
      <c r="E4861" s="4">
        <v>0.02</v>
      </c>
      <c r="K4861" s="6" t="b">
        <f t="shared" ref="K4861:M4861" si="4646">FALSE()</f>
        <v>0</v>
      </c>
      <c r="L4861" s="6" t="b">
        <f t="shared" si="4646"/>
        <v>0</v>
      </c>
      <c r="M4861" s="6" t="b">
        <f t="shared" si="4646"/>
        <v>0</v>
      </c>
      <c r="N4861" s="4">
        <v>0.0639133257436528</v>
      </c>
      <c r="T4861" s="4">
        <f t="shared" si="3"/>
        <v>1336</v>
      </c>
      <c r="U4861" s="4" t="str">
        <f t="shared" si="4"/>
        <v/>
      </c>
    </row>
    <row r="4862" ht="15.75" customHeight="1">
      <c r="A4862" s="4" t="s">
        <v>5685</v>
      </c>
      <c r="B4862" s="4" t="s">
        <v>13</v>
      </c>
      <c r="C4862" s="4">
        <v>1.9</v>
      </c>
      <c r="D4862" s="4">
        <v>1.2</v>
      </c>
      <c r="E4862" s="4">
        <v>1.22</v>
      </c>
      <c r="K4862" s="6" t="b">
        <f t="shared" ref="K4862:M4862" si="4647">FALSE()</f>
        <v>0</v>
      </c>
      <c r="L4862" s="6" t="b">
        <f t="shared" si="4647"/>
        <v>0</v>
      </c>
      <c r="M4862" s="6" t="b">
        <f t="shared" si="4647"/>
        <v>0</v>
      </c>
      <c r="N4862" s="4">
        <v>1.06471073699243</v>
      </c>
      <c r="T4862" s="4">
        <f t="shared" si="3"/>
        <v>454</v>
      </c>
      <c r="U4862" s="4" t="str">
        <f t="shared" si="4"/>
        <v/>
      </c>
    </row>
    <row r="4863" ht="15.75" customHeight="1">
      <c r="A4863" s="4" t="s">
        <v>5686</v>
      </c>
      <c r="B4863" s="4" t="s">
        <v>13</v>
      </c>
      <c r="C4863" s="4">
        <v>2.3</v>
      </c>
      <c r="D4863" s="4">
        <v>1.2</v>
      </c>
      <c r="E4863" s="4">
        <v>2.6</v>
      </c>
      <c r="K4863" s="6" t="b">
        <f t="shared" ref="K4863:M4863" si="4648">FALSE()</f>
        <v>0</v>
      </c>
      <c r="L4863" s="6" t="b">
        <f t="shared" si="4648"/>
        <v>0</v>
      </c>
      <c r="M4863" s="6" t="b">
        <f t="shared" si="4648"/>
        <v>0</v>
      </c>
      <c r="N4863" s="4">
        <v>1.19392246847244</v>
      </c>
      <c r="T4863" s="4">
        <f t="shared" si="3"/>
        <v>399</v>
      </c>
      <c r="U4863" s="4" t="str">
        <f t="shared" si="4"/>
        <v/>
      </c>
    </row>
    <row r="4864" ht="15.75" customHeight="1">
      <c r="A4864" s="4" t="s">
        <v>5687</v>
      </c>
      <c r="B4864" s="4" t="s">
        <v>13</v>
      </c>
      <c r="C4864" s="4">
        <v>0.62</v>
      </c>
      <c r="D4864" s="4">
        <v>0.33</v>
      </c>
      <c r="E4864" s="4">
        <v>1.16</v>
      </c>
      <c r="K4864" s="6" t="b">
        <f t="shared" ref="K4864:M4864" si="4649">FALSE()</f>
        <v>0</v>
      </c>
      <c r="L4864" s="6" t="b">
        <f t="shared" si="4649"/>
        <v>0</v>
      </c>
      <c r="M4864" s="6" t="b">
        <f t="shared" si="4649"/>
        <v>0</v>
      </c>
      <c r="N4864" s="4">
        <v>0.482426149244293</v>
      </c>
      <c r="T4864" s="4">
        <f t="shared" si="3"/>
        <v>873</v>
      </c>
      <c r="U4864" s="4" t="str">
        <f t="shared" si="4"/>
        <v/>
      </c>
    </row>
    <row r="4865" ht="15.75" customHeight="1">
      <c r="A4865" s="4" t="s">
        <v>5688</v>
      </c>
      <c r="B4865" s="4" t="s">
        <v>13</v>
      </c>
      <c r="C4865" s="4">
        <v>6.93</v>
      </c>
      <c r="D4865" s="4">
        <v>0.75</v>
      </c>
      <c r="E4865" s="4">
        <v>0.75</v>
      </c>
      <c r="K4865" s="6" t="b">
        <f>TRUE()</f>
        <v>1</v>
      </c>
      <c r="L4865" s="6" t="b">
        <f t="shared" ref="L4865:M4865" si="4650">FALSE()</f>
        <v>0</v>
      </c>
      <c r="M4865" s="6" t="b">
        <f t="shared" si="4650"/>
        <v>0</v>
      </c>
      <c r="N4865" s="4">
        <v>2.07065303564676</v>
      </c>
      <c r="T4865" s="4">
        <f t="shared" si="3"/>
        <v>134</v>
      </c>
      <c r="U4865" s="4" t="str">
        <f t="shared" si="4"/>
        <v/>
      </c>
    </row>
    <row r="4866" ht="15.75" customHeight="1">
      <c r="A4866" s="4" t="s">
        <v>5689</v>
      </c>
      <c r="B4866" s="4" t="s">
        <v>13</v>
      </c>
      <c r="C4866" s="4">
        <v>0.41</v>
      </c>
      <c r="D4866" s="4">
        <v>0.33</v>
      </c>
      <c r="E4866" s="4">
        <v>0.33</v>
      </c>
      <c r="K4866" s="6" t="b">
        <f t="shared" ref="K4866:M4866" si="4651">FALSE()</f>
        <v>0</v>
      </c>
      <c r="L4866" s="6" t="b">
        <f t="shared" si="4651"/>
        <v>0</v>
      </c>
      <c r="M4866" s="6" t="b">
        <f t="shared" si="4651"/>
        <v>0</v>
      </c>
      <c r="N4866" s="4">
        <v>0.343589704390077</v>
      </c>
      <c r="T4866" s="4">
        <f t="shared" si="3"/>
        <v>1006</v>
      </c>
      <c r="U4866" s="4" t="str">
        <f t="shared" si="4"/>
        <v/>
      </c>
    </row>
    <row r="4867" ht="15.75" customHeight="1">
      <c r="A4867" s="4" t="s">
        <v>5690</v>
      </c>
      <c r="B4867" s="4" t="s">
        <v>13</v>
      </c>
      <c r="C4867" s="4">
        <v>0.54</v>
      </c>
      <c r="D4867" s="4">
        <v>0.37</v>
      </c>
      <c r="E4867" s="4">
        <v>0.64</v>
      </c>
      <c r="K4867" s="6" t="b">
        <f t="shared" ref="K4867:M4867" si="4652">FALSE()</f>
        <v>0</v>
      </c>
      <c r="L4867" s="6" t="b">
        <f t="shared" si="4652"/>
        <v>0</v>
      </c>
      <c r="M4867" s="6" t="b">
        <f t="shared" si="4652"/>
        <v>0</v>
      </c>
      <c r="N4867" s="4">
        <v>0.431782416425538</v>
      </c>
      <c r="T4867" s="4">
        <f t="shared" si="3"/>
        <v>926</v>
      </c>
      <c r="U4867" s="4" t="str">
        <f t="shared" si="4"/>
        <v/>
      </c>
    </row>
    <row r="4868" ht="15.75" customHeight="1">
      <c r="A4868" s="4" t="s">
        <v>5691</v>
      </c>
      <c r="B4868" s="4" t="s">
        <v>13</v>
      </c>
      <c r="C4868" s="4">
        <v>0.0356</v>
      </c>
      <c r="D4868" s="4">
        <v>0.0217</v>
      </c>
      <c r="E4868" s="4">
        <v>0.0604</v>
      </c>
      <c r="K4868" s="6" t="b">
        <f t="shared" ref="K4868:M4868" si="4653">FALSE()</f>
        <v>0</v>
      </c>
      <c r="L4868" s="6" t="b">
        <f t="shared" si="4653"/>
        <v>0</v>
      </c>
      <c r="M4868" s="6" t="b">
        <f t="shared" si="4653"/>
        <v>0</v>
      </c>
      <c r="N4868" s="4">
        <v>0.0349809688952455</v>
      </c>
      <c r="T4868" s="4">
        <f t="shared" si="3"/>
        <v>1482</v>
      </c>
      <c r="U4868" s="4" t="str">
        <f t="shared" si="4"/>
        <v/>
      </c>
    </row>
    <row r="4869" ht="15.75" customHeight="1">
      <c r="A4869" s="4" t="s">
        <v>5692</v>
      </c>
      <c r="B4869" s="4" t="s">
        <v>13</v>
      </c>
      <c r="C4869" s="4">
        <v>0.2168</v>
      </c>
      <c r="D4869" s="4">
        <v>0.107</v>
      </c>
      <c r="E4869" s="4">
        <v>0.12</v>
      </c>
      <c r="K4869" s="6" t="b">
        <f t="shared" ref="K4869:M4869" si="4654">FALSE()</f>
        <v>0</v>
      </c>
      <c r="L4869" s="6" t="b">
        <f t="shared" si="4654"/>
        <v>0</v>
      </c>
      <c r="M4869" s="6" t="b">
        <f t="shared" si="4654"/>
        <v>0</v>
      </c>
      <c r="N4869" s="4">
        <v>0.196224461962946</v>
      </c>
      <c r="T4869" s="4">
        <f t="shared" si="3"/>
        <v>1138</v>
      </c>
      <c r="U4869" s="4" t="str">
        <f t="shared" si="4"/>
        <v/>
      </c>
    </row>
    <row r="4870" ht="15.75" customHeight="1">
      <c r="A4870" s="4" t="s">
        <v>5693</v>
      </c>
      <c r="B4870" s="4" t="s">
        <v>13</v>
      </c>
      <c r="C4870" s="4">
        <v>0.03823</v>
      </c>
      <c r="D4870" s="4">
        <v>0.01966</v>
      </c>
      <c r="E4870" s="4">
        <v>0.02961</v>
      </c>
      <c r="K4870" s="6" t="b">
        <f t="shared" ref="K4870:M4870" si="4655">FALSE()</f>
        <v>0</v>
      </c>
      <c r="L4870" s="6" t="b">
        <f t="shared" si="4655"/>
        <v>0</v>
      </c>
      <c r="M4870" s="6" t="b">
        <f t="shared" si="4655"/>
        <v>0</v>
      </c>
      <c r="N4870" s="4">
        <v>0.0375173401599473</v>
      </c>
      <c r="T4870" s="4">
        <f t="shared" si="3"/>
        <v>1464</v>
      </c>
      <c r="U4870" s="4" t="str">
        <f t="shared" si="4"/>
        <v/>
      </c>
    </row>
    <row r="4871" ht="15.75" customHeight="1">
      <c r="A4871" s="4" t="s">
        <v>5694</v>
      </c>
      <c r="B4871" s="4" t="s">
        <v>13</v>
      </c>
      <c r="C4871" s="4">
        <v>3.59</v>
      </c>
      <c r="D4871" s="4">
        <v>1.67</v>
      </c>
      <c r="E4871" s="4">
        <v>2.0</v>
      </c>
      <c r="K4871" s="6" t="b">
        <f t="shared" ref="K4871:M4871" si="4656">FALSE()</f>
        <v>0</v>
      </c>
      <c r="L4871" s="6" t="b">
        <f t="shared" si="4656"/>
        <v>0</v>
      </c>
      <c r="M4871" s="6" t="b">
        <f t="shared" si="4656"/>
        <v>0</v>
      </c>
      <c r="N4871" s="4">
        <v>1.52388002407245</v>
      </c>
      <c r="T4871" s="4">
        <f t="shared" si="3"/>
        <v>287</v>
      </c>
      <c r="U4871" s="4" t="str">
        <f t="shared" si="4"/>
        <v/>
      </c>
    </row>
    <row r="4872" ht="15.75" customHeight="1">
      <c r="A4872" s="4" t="s">
        <v>5695</v>
      </c>
      <c r="B4872" s="4" t="s">
        <v>13</v>
      </c>
      <c r="C4872" s="4">
        <v>0.0152</v>
      </c>
      <c r="D4872" s="4">
        <v>0.00453</v>
      </c>
      <c r="E4872" s="4">
        <v>0.00453</v>
      </c>
      <c r="K4872" s="6" t="b">
        <f t="shared" ref="K4872:M4872" si="4657">FALSE()</f>
        <v>0</v>
      </c>
      <c r="L4872" s="6" t="b">
        <f t="shared" si="4657"/>
        <v>0</v>
      </c>
      <c r="M4872" s="6" t="b">
        <f t="shared" si="4657"/>
        <v>0</v>
      </c>
      <c r="N4872" s="4">
        <v>0.0150856374180408</v>
      </c>
      <c r="T4872" s="4">
        <f t="shared" si="3"/>
        <v>1820</v>
      </c>
      <c r="U4872" s="4" t="str">
        <f t="shared" si="4"/>
        <v/>
      </c>
    </row>
    <row r="4873" ht="15.75" customHeight="1">
      <c r="A4873" s="4" t="s">
        <v>5696</v>
      </c>
      <c r="B4873" s="4" t="s">
        <v>13</v>
      </c>
      <c r="C4873" s="4">
        <v>0.4</v>
      </c>
      <c r="D4873" s="4">
        <v>0.25</v>
      </c>
      <c r="E4873" s="4">
        <v>0.31</v>
      </c>
      <c r="K4873" s="6" t="b">
        <f t="shared" ref="K4873:M4873" si="4658">FALSE()</f>
        <v>0</v>
      </c>
      <c r="L4873" s="6" t="b">
        <f t="shared" si="4658"/>
        <v>0</v>
      </c>
      <c r="M4873" s="6" t="b">
        <f t="shared" si="4658"/>
        <v>0</v>
      </c>
      <c r="N4873" s="4">
        <v>0.336472236621213</v>
      </c>
      <c r="T4873" s="4">
        <f t="shared" si="3"/>
        <v>1014</v>
      </c>
      <c r="U4873" s="4" t="str">
        <f t="shared" si="4"/>
        <v/>
      </c>
    </row>
    <row r="4874" ht="15.75" customHeight="1">
      <c r="A4874" s="4" t="s">
        <v>5697</v>
      </c>
      <c r="B4874" s="4" t="s">
        <v>13</v>
      </c>
      <c r="C4874" s="4">
        <v>3.7</v>
      </c>
      <c r="D4874" s="4">
        <v>2.1</v>
      </c>
      <c r="E4874" s="4">
        <v>2.1</v>
      </c>
      <c r="K4874" s="6" t="b">
        <f>TRUE()</f>
        <v>1</v>
      </c>
      <c r="L4874" s="6" t="b">
        <f t="shared" ref="L4874:M4874" si="4659">FALSE()</f>
        <v>0</v>
      </c>
      <c r="M4874" s="6" t="b">
        <f t="shared" si="4659"/>
        <v>0</v>
      </c>
      <c r="N4874" s="4">
        <v>1.54756250871601</v>
      </c>
      <c r="T4874" s="4">
        <f t="shared" si="3"/>
        <v>275</v>
      </c>
      <c r="U4874" s="4" t="str">
        <f t="shared" si="4"/>
        <v/>
      </c>
    </row>
    <row r="4875" ht="15.75" customHeight="1">
      <c r="A4875" s="4" t="s">
        <v>5698</v>
      </c>
      <c r="B4875" s="4" t="s">
        <v>13</v>
      </c>
      <c r="D4875" s="4">
        <v>1.1</v>
      </c>
      <c r="E4875" s="4">
        <v>3.9</v>
      </c>
      <c r="F4875" s="4">
        <v>6.9</v>
      </c>
      <c r="G4875" s="4">
        <v>1.1</v>
      </c>
      <c r="H4875" s="4">
        <v>3.9</v>
      </c>
      <c r="K4875" s="6" t="b">
        <f t="shared" ref="K4875:K4881" si="4660">FALSE()</f>
        <v>0</v>
      </c>
      <c r="L4875" s="6" t="b">
        <f>TRUE()</f>
        <v>1</v>
      </c>
      <c r="M4875" s="6" t="b">
        <f>FALSE()</f>
        <v>0</v>
      </c>
      <c r="O4875" s="4">
        <v>2.06686275947298</v>
      </c>
      <c r="T4875" s="4" t="str">
        <f t="shared" si="3"/>
        <v/>
      </c>
      <c r="U4875" s="4" t="str">
        <f t="shared" si="4"/>
        <v/>
      </c>
    </row>
    <row r="4876" ht="15.75" customHeight="1">
      <c r="A4876" s="4" t="s">
        <v>5699</v>
      </c>
      <c r="B4876" s="4" t="s">
        <v>13</v>
      </c>
      <c r="F4876" s="4">
        <v>1.676</v>
      </c>
      <c r="K4876" s="6" t="b">
        <f t="shared" si="4660"/>
        <v>0</v>
      </c>
      <c r="L4876" s="6" t="b">
        <f t="shared" ref="L4876:M4876" si="4661">FALSE()</f>
        <v>0</v>
      </c>
      <c r="M4876" s="6" t="b">
        <f t="shared" si="4661"/>
        <v>0</v>
      </c>
      <c r="O4876" s="4">
        <v>0.984323142265982</v>
      </c>
      <c r="T4876" s="4" t="str">
        <f t="shared" si="3"/>
        <v/>
      </c>
      <c r="U4876" s="4" t="str">
        <f t="shared" si="4"/>
        <v/>
      </c>
    </row>
    <row r="4877" ht="15.75" customHeight="1">
      <c r="A4877" s="4" t="s">
        <v>5700</v>
      </c>
      <c r="B4877" s="4" t="s">
        <v>13</v>
      </c>
      <c r="F4877" s="4">
        <v>0.03321</v>
      </c>
      <c r="K4877" s="6" t="b">
        <f t="shared" si="4660"/>
        <v>0</v>
      </c>
      <c r="L4877" s="6" t="b">
        <f t="shared" ref="L4877:M4877" si="4662">FALSE()</f>
        <v>0</v>
      </c>
      <c r="M4877" s="6" t="b">
        <f t="shared" si="4662"/>
        <v>0</v>
      </c>
      <c r="O4877" s="4">
        <v>0.0326704608609256</v>
      </c>
      <c r="T4877" s="4" t="str">
        <f t="shared" si="3"/>
        <v/>
      </c>
      <c r="U4877" s="4" t="str">
        <f t="shared" si="4"/>
        <v/>
      </c>
    </row>
    <row r="4878" ht="15.75" customHeight="1">
      <c r="A4878" s="4" t="s">
        <v>5701</v>
      </c>
      <c r="B4878" s="4" t="s">
        <v>13</v>
      </c>
      <c r="F4878" s="4">
        <v>0.5219</v>
      </c>
      <c r="K4878" s="6" t="b">
        <f t="shared" si="4660"/>
        <v>0</v>
      </c>
      <c r="L4878" s="6" t="b">
        <f t="shared" ref="L4878:M4878" si="4663">FALSE()</f>
        <v>0</v>
      </c>
      <c r="M4878" s="6" t="b">
        <f t="shared" si="4663"/>
        <v>0</v>
      </c>
      <c r="O4878" s="4">
        <v>0.419959554258617</v>
      </c>
      <c r="T4878" s="4" t="str">
        <f t="shared" si="3"/>
        <v/>
      </c>
      <c r="U4878" s="4" t="str">
        <f t="shared" si="4"/>
        <v/>
      </c>
    </row>
    <row r="4879" ht="15.75" customHeight="1">
      <c r="A4879" s="4" t="s">
        <v>5702</v>
      </c>
      <c r="B4879" s="4" t="s">
        <v>13</v>
      </c>
      <c r="F4879" s="4">
        <v>1.814</v>
      </c>
      <c r="K4879" s="6" t="b">
        <f t="shared" si="4660"/>
        <v>0</v>
      </c>
      <c r="L4879" s="6" t="b">
        <f t="shared" ref="L4879:M4879" si="4664">FALSE()</f>
        <v>0</v>
      </c>
      <c r="M4879" s="6" t="b">
        <f t="shared" si="4664"/>
        <v>0</v>
      </c>
      <c r="O4879" s="4">
        <v>1.0346069586922</v>
      </c>
      <c r="T4879" s="4" t="str">
        <f t="shared" si="3"/>
        <v/>
      </c>
      <c r="U4879" s="4" t="str">
        <f t="shared" si="4"/>
        <v/>
      </c>
    </row>
    <row r="4880" ht="15.75" customHeight="1">
      <c r="A4880" s="4" t="s">
        <v>5703</v>
      </c>
      <c r="B4880" s="4" t="s">
        <v>13</v>
      </c>
      <c r="D4880" s="4">
        <v>0.4</v>
      </c>
      <c r="E4880" s="4">
        <v>0.4</v>
      </c>
      <c r="F4880" s="4">
        <v>2.4</v>
      </c>
      <c r="G4880" s="4">
        <v>0.4</v>
      </c>
      <c r="H4880" s="4">
        <v>0.4</v>
      </c>
      <c r="K4880" s="6" t="b">
        <f t="shared" si="4660"/>
        <v>0</v>
      </c>
      <c r="L4880" s="6" t="b">
        <f t="shared" ref="L4880:M4880" si="4665">FALSE()</f>
        <v>0</v>
      </c>
      <c r="M4880" s="6" t="b">
        <f t="shared" si="4665"/>
        <v>0</v>
      </c>
      <c r="O4880" s="4">
        <v>1.22377543162212</v>
      </c>
      <c r="T4880" s="4" t="str">
        <f t="shared" si="3"/>
        <v/>
      </c>
      <c r="U4880" s="4" t="str">
        <f t="shared" si="4"/>
        <v/>
      </c>
    </row>
    <row r="4881" ht="15.75" customHeight="1">
      <c r="A4881" s="4" t="s">
        <v>5704</v>
      </c>
      <c r="B4881" s="4" t="s">
        <v>13</v>
      </c>
      <c r="F4881" s="4">
        <v>10.6</v>
      </c>
      <c r="K4881" s="6" t="b">
        <f t="shared" si="4660"/>
        <v>0</v>
      </c>
      <c r="L4881" s="6" t="b">
        <f>TRUE()</f>
        <v>1</v>
      </c>
      <c r="M4881" s="6" t="b">
        <f>FALSE()</f>
        <v>0</v>
      </c>
      <c r="O4881" s="4">
        <v>2.45100509811232</v>
      </c>
      <c r="T4881" s="4" t="str">
        <f t="shared" si="3"/>
        <v/>
      </c>
      <c r="U4881" s="4" t="str">
        <f t="shared" si="4"/>
        <v/>
      </c>
    </row>
    <row r="4882" ht="15.75" customHeight="1">
      <c r="A4882" s="4" t="s">
        <v>5705</v>
      </c>
      <c r="B4882" s="4" t="s">
        <v>13</v>
      </c>
      <c r="C4882" s="4">
        <v>7.6</v>
      </c>
      <c r="K4882" s="6" t="b">
        <f>TRUE()</f>
        <v>1</v>
      </c>
      <c r="L4882" s="6" t="b">
        <f t="shared" ref="L4882:M4882" si="4666">FALSE()</f>
        <v>0</v>
      </c>
      <c r="M4882" s="6" t="b">
        <f t="shared" si="4666"/>
        <v>0</v>
      </c>
      <c r="N4882" s="4">
        <v>2.15176220325946</v>
      </c>
      <c r="T4882" s="4">
        <f t="shared" si="3"/>
        <v>121</v>
      </c>
      <c r="U4882" s="4" t="str">
        <f t="shared" si="4"/>
        <v/>
      </c>
    </row>
    <row r="4883" ht="15.75" customHeight="1">
      <c r="A4883" s="4" t="s">
        <v>1094</v>
      </c>
      <c r="B4883" s="4" t="s">
        <v>13</v>
      </c>
      <c r="C4883" s="4">
        <v>2.162</v>
      </c>
      <c r="D4883" s="4">
        <v>0.107</v>
      </c>
      <c r="E4883" s="4">
        <v>0.092</v>
      </c>
      <c r="I4883" s="4">
        <v>1.205</v>
      </c>
      <c r="J4883" s="4">
        <v>0.083</v>
      </c>
      <c r="K4883" s="6" t="b">
        <f t="shared" ref="K4883:L4883" si="4667">FALSE()</f>
        <v>0</v>
      </c>
      <c r="L4883" s="6" t="b">
        <f t="shared" si="4667"/>
        <v>0</v>
      </c>
      <c r="M4883" s="6" t="b">
        <f t="shared" ref="M4883:M4884" si="4669">TRUE()</f>
        <v>1</v>
      </c>
      <c r="N4883" s="4">
        <v>1.15120473878728</v>
      </c>
      <c r="P4883" s="4">
        <v>0.790727508898809</v>
      </c>
      <c r="T4883" s="4">
        <f t="shared" si="3"/>
        <v>420</v>
      </c>
      <c r="U4883" s="4">
        <f t="shared" si="4"/>
        <v>374</v>
      </c>
    </row>
    <row r="4884" ht="15.75" customHeight="1">
      <c r="A4884" s="4" t="s">
        <v>1095</v>
      </c>
      <c r="B4884" s="4" t="s">
        <v>13</v>
      </c>
      <c r="C4884" s="4">
        <v>0.37</v>
      </c>
      <c r="D4884" s="4">
        <v>0.14</v>
      </c>
      <c r="E4884" s="4">
        <v>0.14</v>
      </c>
      <c r="I4884" s="4">
        <v>0.823</v>
      </c>
      <c r="J4884" s="4">
        <v>0.035</v>
      </c>
      <c r="K4884" s="6" t="b">
        <f t="shared" ref="K4884:L4884" si="4668">FALSE()</f>
        <v>0</v>
      </c>
      <c r="L4884" s="6" t="b">
        <f t="shared" si="4668"/>
        <v>0</v>
      </c>
      <c r="M4884" s="6" t="b">
        <f t="shared" si="4669"/>
        <v>1</v>
      </c>
      <c r="N4884" s="4">
        <v>0.314810739840034</v>
      </c>
      <c r="P4884" s="4">
        <v>0.600483495696526</v>
      </c>
      <c r="T4884" s="4">
        <f t="shared" si="3"/>
        <v>1038</v>
      </c>
      <c r="U4884" s="4">
        <f t="shared" si="4"/>
        <v>822</v>
      </c>
    </row>
    <row r="4885" ht="15.75" customHeight="1">
      <c r="A4885" s="4" t="s">
        <v>5706</v>
      </c>
      <c r="B4885" s="4" t="s">
        <v>13</v>
      </c>
      <c r="I4885" s="4">
        <v>0.419</v>
      </c>
      <c r="K4885" s="6" t="b">
        <f t="shared" ref="K4885:M4885" si="4670">FALSE()</f>
        <v>0</v>
      </c>
      <c r="L4885" s="6" t="b">
        <f t="shared" si="4670"/>
        <v>0</v>
      </c>
      <c r="M4885" s="6" t="b">
        <f t="shared" si="4670"/>
        <v>0</v>
      </c>
      <c r="P4885" s="4">
        <v>0.349952398177906</v>
      </c>
      <c r="T4885" s="4" t="str">
        <f t="shared" si="3"/>
        <v/>
      </c>
      <c r="U4885" s="4">
        <f t="shared" si="4"/>
        <v>1095</v>
      </c>
    </row>
    <row r="4886" ht="15.75" customHeight="1">
      <c r="A4886" s="4" t="s">
        <v>1096</v>
      </c>
      <c r="B4886" s="4" t="s">
        <v>13</v>
      </c>
      <c r="C4886" s="4">
        <v>0.208</v>
      </c>
      <c r="D4886" s="4">
        <v>0.022</v>
      </c>
      <c r="E4886" s="4">
        <v>0.022</v>
      </c>
      <c r="I4886" s="4">
        <v>1.048</v>
      </c>
      <c r="J4886" s="4">
        <v>0.032</v>
      </c>
      <c r="K4886" s="6" t="b">
        <f t="shared" ref="K4886:L4886" si="4671">FALSE()</f>
        <v>0</v>
      </c>
      <c r="L4886" s="6" t="b">
        <f t="shared" si="4671"/>
        <v>0</v>
      </c>
      <c r="M4886" s="6" t="b">
        <f t="shared" ref="M4886:M4887" si="4672">TRUE()</f>
        <v>1</v>
      </c>
      <c r="N4886" s="4">
        <v>0.188966099512623</v>
      </c>
      <c r="P4886" s="4">
        <v>0.716863707177261</v>
      </c>
      <c r="T4886" s="4">
        <f t="shared" si="3"/>
        <v>1147</v>
      </c>
      <c r="U4886" s="4">
        <f t="shared" si="4"/>
        <v>607</v>
      </c>
    </row>
    <row r="4887" ht="15.75" customHeight="1">
      <c r="A4887" s="4" t="s">
        <v>1097</v>
      </c>
      <c r="B4887" s="4" t="s">
        <v>13</v>
      </c>
      <c r="C4887" s="4">
        <v>4.84</v>
      </c>
      <c r="D4887" s="4">
        <v>0.44</v>
      </c>
      <c r="E4887" s="4">
        <v>0.44</v>
      </c>
      <c r="I4887" s="4">
        <v>1.142</v>
      </c>
      <c r="J4887" s="4">
        <v>0.046</v>
      </c>
      <c r="K4887" s="6" t="b">
        <f>TRUE()</f>
        <v>1</v>
      </c>
      <c r="L4887" s="6" t="b">
        <f>FALSE()</f>
        <v>0</v>
      </c>
      <c r="M4887" s="6" t="b">
        <f t="shared" si="4672"/>
        <v>1</v>
      </c>
      <c r="N4887" s="4">
        <v>1.76473079684014</v>
      </c>
      <c r="P4887" s="4">
        <v>0.761739972025557</v>
      </c>
      <c r="T4887" s="4">
        <f t="shared" si="3"/>
        <v>218</v>
      </c>
      <c r="U4887" s="4">
        <f t="shared" si="4"/>
        <v>456</v>
      </c>
    </row>
    <row r="4888" ht="15.75" customHeight="1">
      <c r="A4888" s="4" t="s">
        <v>1098</v>
      </c>
      <c r="B4888" s="4" t="s">
        <v>13</v>
      </c>
      <c r="C4888" s="4">
        <v>0.092</v>
      </c>
      <c r="D4888" s="4">
        <v>0.012</v>
      </c>
      <c r="E4888" s="4">
        <v>0.012</v>
      </c>
      <c r="I4888" s="4">
        <v>0.44</v>
      </c>
      <c r="J4888" s="4">
        <v>0.03</v>
      </c>
      <c r="K4888" s="6" t="b">
        <f t="shared" ref="K4888:M4888" si="4673">FALSE()</f>
        <v>0</v>
      </c>
      <c r="L4888" s="6" t="b">
        <f t="shared" si="4673"/>
        <v>0</v>
      </c>
      <c r="M4888" s="6" t="b">
        <f t="shared" si="4673"/>
        <v>0</v>
      </c>
      <c r="N4888" s="4">
        <v>0.0880108773227133</v>
      </c>
      <c r="P4888" s="4">
        <v>0.364643113587909</v>
      </c>
      <c r="T4888" s="4">
        <f t="shared" si="3"/>
        <v>1277</v>
      </c>
      <c r="U4888" s="4">
        <f t="shared" si="4"/>
        <v>1066</v>
      </c>
    </row>
    <row r="4889" ht="15.75" customHeight="1">
      <c r="A4889" s="4" t="s">
        <v>1100</v>
      </c>
      <c r="B4889" s="4" t="s">
        <v>13</v>
      </c>
      <c r="C4889" s="4">
        <v>0.751</v>
      </c>
      <c r="D4889" s="4">
        <v>0.09</v>
      </c>
      <c r="E4889" s="4">
        <v>0.1</v>
      </c>
      <c r="I4889" s="4">
        <v>1.1</v>
      </c>
      <c r="J4889" s="4">
        <v>0.1</v>
      </c>
      <c r="K4889" s="6" t="b">
        <f t="shared" ref="K4889:L4889" si="4674">FALSE()</f>
        <v>0</v>
      </c>
      <c r="L4889" s="6" t="b">
        <f t="shared" si="4674"/>
        <v>0</v>
      </c>
      <c r="M4889" s="6" t="b">
        <f t="shared" ref="M4889:M4907" si="4676">TRUE()</f>
        <v>1</v>
      </c>
      <c r="N4889" s="4">
        <v>0.560187053303715</v>
      </c>
      <c r="P4889" s="4">
        <v>0.741937344729377</v>
      </c>
      <c r="T4889" s="4">
        <f t="shared" si="3"/>
        <v>794</v>
      </c>
      <c r="U4889" s="4">
        <f t="shared" si="4"/>
        <v>512</v>
      </c>
    </row>
    <row r="4890" ht="15.75" customHeight="1">
      <c r="A4890" s="4" t="s">
        <v>1101</v>
      </c>
      <c r="B4890" s="4" t="s">
        <v>13</v>
      </c>
      <c r="C4890" s="4">
        <v>0.667</v>
      </c>
      <c r="D4890" s="4">
        <v>0.13</v>
      </c>
      <c r="E4890" s="4">
        <v>0.16</v>
      </c>
      <c r="I4890" s="4">
        <v>1.3</v>
      </c>
      <c r="J4890" s="4">
        <v>0.13</v>
      </c>
      <c r="K4890" s="6" t="b">
        <f t="shared" ref="K4890:L4890" si="4675">FALSE()</f>
        <v>0</v>
      </c>
      <c r="L4890" s="6" t="b">
        <f t="shared" si="4675"/>
        <v>0</v>
      </c>
      <c r="M4890" s="6" t="b">
        <f t="shared" si="4676"/>
        <v>1</v>
      </c>
      <c r="N4890" s="4">
        <v>0.511025603768657</v>
      </c>
      <c r="P4890" s="4">
        <v>0.832909122935104</v>
      </c>
      <c r="T4890" s="4">
        <f t="shared" si="3"/>
        <v>843</v>
      </c>
      <c r="U4890" s="4">
        <f t="shared" si="4"/>
        <v>256</v>
      </c>
    </row>
    <row r="4891" ht="15.75" customHeight="1">
      <c r="A4891" s="4" t="s">
        <v>1102</v>
      </c>
      <c r="B4891" s="4" t="s">
        <v>13</v>
      </c>
      <c r="C4891" s="4">
        <v>0.764</v>
      </c>
      <c r="D4891" s="4">
        <v>0.164</v>
      </c>
      <c r="E4891" s="4">
        <v>0.195</v>
      </c>
      <c r="I4891" s="4">
        <v>1.24</v>
      </c>
      <c r="J4891" s="4">
        <v>0.11</v>
      </c>
      <c r="K4891" s="6" t="b">
        <f t="shared" ref="K4891:L4891" si="4677">FALSE()</f>
        <v>0</v>
      </c>
      <c r="L4891" s="6" t="b">
        <f t="shared" si="4677"/>
        <v>0</v>
      </c>
      <c r="M4891" s="6" t="b">
        <f t="shared" si="4676"/>
        <v>1</v>
      </c>
      <c r="N4891" s="4">
        <v>0.5675839575846</v>
      </c>
      <c r="P4891" s="4">
        <v>0.806475865866949</v>
      </c>
      <c r="T4891" s="4">
        <f t="shared" si="3"/>
        <v>787</v>
      </c>
      <c r="U4891" s="4">
        <f t="shared" si="4"/>
        <v>325</v>
      </c>
    </row>
    <row r="4892" ht="15.75" customHeight="1">
      <c r="A4892" s="4" t="s">
        <v>1103</v>
      </c>
      <c r="B4892" s="4" t="s">
        <v>13</v>
      </c>
      <c r="C4892" s="4">
        <v>0.409</v>
      </c>
      <c r="D4892" s="4">
        <v>0.063</v>
      </c>
      <c r="E4892" s="4">
        <v>0.081</v>
      </c>
      <c r="I4892" s="4">
        <v>1.21</v>
      </c>
      <c r="J4892" s="4">
        <v>0.18</v>
      </c>
      <c r="K4892" s="6" t="b">
        <f t="shared" ref="K4892:L4892" si="4678">FALSE()</f>
        <v>0</v>
      </c>
      <c r="L4892" s="6" t="b">
        <f t="shared" si="4678"/>
        <v>0</v>
      </c>
      <c r="M4892" s="6" t="b">
        <f t="shared" si="4676"/>
        <v>1</v>
      </c>
      <c r="N4892" s="4">
        <v>0.342880232916543</v>
      </c>
      <c r="P4892" s="4">
        <v>0.792992515529661</v>
      </c>
      <c r="T4892" s="4">
        <f t="shared" si="3"/>
        <v>1009</v>
      </c>
      <c r="U4892" s="4">
        <f t="shared" si="4"/>
        <v>365</v>
      </c>
    </row>
    <row r="4893" ht="15.75" customHeight="1">
      <c r="A4893" s="4" t="s">
        <v>1104</v>
      </c>
      <c r="B4893" s="4" t="s">
        <v>13</v>
      </c>
      <c r="C4893" s="4">
        <v>0.812</v>
      </c>
      <c r="D4893" s="4">
        <v>0.025</v>
      </c>
      <c r="E4893" s="4">
        <v>0.066</v>
      </c>
      <c r="I4893" s="4">
        <v>1.33</v>
      </c>
      <c r="J4893" s="4">
        <v>0.33</v>
      </c>
      <c r="K4893" s="6" t="b">
        <f t="shared" ref="K4893:L4893" si="4679">FALSE()</f>
        <v>0</v>
      </c>
      <c r="L4893" s="6" t="b">
        <f t="shared" si="4679"/>
        <v>0</v>
      </c>
      <c r="M4893" s="6" t="b">
        <f t="shared" si="4676"/>
        <v>1</v>
      </c>
      <c r="N4893" s="4">
        <v>0.594431207620788</v>
      </c>
      <c r="P4893" s="4">
        <v>0.845868267577609</v>
      </c>
      <c r="T4893" s="4">
        <f t="shared" si="3"/>
        <v>760</v>
      </c>
      <c r="U4893" s="4">
        <f t="shared" si="4"/>
        <v>223</v>
      </c>
    </row>
    <row r="4894" ht="15.75" customHeight="1">
      <c r="A4894" s="4" t="s">
        <v>1106</v>
      </c>
      <c r="B4894" s="4" t="s">
        <v>13</v>
      </c>
      <c r="C4894" s="4">
        <v>2.98</v>
      </c>
      <c r="D4894" s="4">
        <v>0.16</v>
      </c>
      <c r="E4894" s="4">
        <v>0.16</v>
      </c>
      <c r="I4894" s="4">
        <v>1.07</v>
      </c>
      <c r="J4894" s="4">
        <v>0.04</v>
      </c>
      <c r="K4894" s="6" t="b">
        <f t="shared" ref="K4894:L4894" si="4680">FALSE()</f>
        <v>0</v>
      </c>
      <c r="L4894" s="6" t="b">
        <f t="shared" si="4680"/>
        <v>0</v>
      </c>
      <c r="M4894" s="6" t="b">
        <f t="shared" si="4676"/>
        <v>1</v>
      </c>
      <c r="N4894" s="4">
        <v>1.38128181929635</v>
      </c>
      <c r="P4894" s="4">
        <v>0.727548607277278</v>
      </c>
      <c r="T4894" s="4">
        <f t="shared" si="3"/>
        <v>325</v>
      </c>
      <c r="U4894" s="4">
        <f t="shared" si="4"/>
        <v>572</v>
      </c>
    </row>
    <row r="4895" ht="15.75" customHeight="1">
      <c r="A4895" s="4" t="s">
        <v>1107</v>
      </c>
      <c r="B4895" s="4" t="s">
        <v>13</v>
      </c>
      <c r="C4895" s="4">
        <v>2.36</v>
      </c>
      <c r="D4895" s="4">
        <v>0.21</v>
      </c>
      <c r="E4895" s="4">
        <v>0.21</v>
      </c>
      <c r="I4895" s="4">
        <v>1.33</v>
      </c>
      <c r="J4895" s="4">
        <v>0.03</v>
      </c>
      <c r="K4895" s="6" t="b">
        <f t="shared" ref="K4895:L4895" si="4681">FALSE()</f>
        <v>0</v>
      </c>
      <c r="L4895" s="6" t="b">
        <f t="shared" si="4681"/>
        <v>0</v>
      </c>
      <c r="M4895" s="6" t="b">
        <f t="shared" si="4676"/>
        <v>1</v>
      </c>
      <c r="N4895" s="4">
        <v>1.21194097397511</v>
      </c>
      <c r="P4895" s="4">
        <v>0.845868267577609</v>
      </c>
      <c r="T4895" s="4">
        <f t="shared" si="3"/>
        <v>389</v>
      </c>
      <c r="U4895" s="4">
        <f t="shared" si="4"/>
        <v>224</v>
      </c>
    </row>
    <row r="4896" ht="15.75" customHeight="1">
      <c r="A4896" s="4" t="s">
        <v>1108</v>
      </c>
      <c r="B4896" s="4" t="s">
        <v>13</v>
      </c>
      <c r="C4896" s="4">
        <v>0.613</v>
      </c>
      <c r="D4896" s="4">
        <v>0.1</v>
      </c>
      <c r="E4896" s="4">
        <v>0.1</v>
      </c>
      <c r="I4896" s="4">
        <v>1.267</v>
      </c>
      <c r="J4896" s="4">
        <v>0.03</v>
      </c>
      <c r="K4896" s="6" t="b">
        <f t="shared" ref="K4896:L4896" si="4682">FALSE()</f>
        <v>0</v>
      </c>
      <c r="L4896" s="6" t="b">
        <f t="shared" si="4682"/>
        <v>0</v>
      </c>
      <c r="M4896" s="6" t="b">
        <f t="shared" si="4676"/>
        <v>1</v>
      </c>
      <c r="N4896" s="4">
        <v>0.478095799143072</v>
      </c>
      <c r="P4896" s="4">
        <v>0.818457371525392</v>
      </c>
      <c r="T4896" s="4">
        <f t="shared" si="3"/>
        <v>882</v>
      </c>
      <c r="U4896" s="4">
        <f t="shared" si="4"/>
        <v>302</v>
      </c>
    </row>
    <row r="4897" ht="15.75" customHeight="1">
      <c r="A4897" s="4" t="s">
        <v>1109</v>
      </c>
      <c r="B4897" s="4" t="s">
        <v>13</v>
      </c>
      <c r="C4897" s="4">
        <v>0.52</v>
      </c>
      <c r="D4897" s="4">
        <v>0.12</v>
      </c>
      <c r="E4897" s="4">
        <v>0.12</v>
      </c>
      <c r="I4897" s="4">
        <v>1.214</v>
      </c>
      <c r="J4897" s="4">
        <v>0.062</v>
      </c>
      <c r="K4897" s="6" t="b">
        <f t="shared" ref="K4897:L4897" si="4683">FALSE()</f>
        <v>0</v>
      </c>
      <c r="L4897" s="6" t="b">
        <f t="shared" si="4683"/>
        <v>0</v>
      </c>
      <c r="M4897" s="6" t="b">
        <f t="shared" si="4676"/>
        <v>1</v>
      </c>
      <c r="N4897" s="4">
        <v>0.418710334858185</v>
      </c>
      <c r="P4897" s="4">
        <v>0.794800834286445</v>
      </c>
      <c r="T4897" s="4">
        <f t="shared" si="3"/>
        <v>942</v>
      </c>
      <c r="U4897" s="4">
        <f t="shared" si="4"/>
        <v>359</v>
      </c>
    </row>
    <row r="4898" ht="15.75" customHeight="1">
      <c r="A4898" s="4" t="s">
        <v>1110</v>
      </c>
      <c r="B4898" s="4" t="s">
        <v>13</v>
      </c>
      <c r="C4898" s="4">
        <v>0.639</v>
      </c>
      <c r="D4898" s="4">
        <v>0.052</v>
      </c>
      <c r="E4898" s="4">
        <v>0.058</v>
      </c>
      <c r="I4898" s="4">
        <v>1.023</v>
      </c>
      <c r="J4898" s="4">
        <v>0.052</v>
      </c>
      <c r="K4898" s="6" t="b">
        <f t="shared" ref="K4898:L4898" si="4684">FALSE()</f>
        <v>0</v>
      </c>
      <c r="L4898" s="6" t="b">
        <f t="shared" si="4684"/>
        <v>0</v>
      </c>
      <c r="M4898" s="6" t="b">
        <f t="shared" si="4676"/>
        <v>1</v>
      </c>
      <c r="N4898" s="4">
        <v>0.494086299761693</v>
      </c>
      <c r="P4898" s="4">
        <v>0.704581558185608</v>
      </c>
      <c r="T4898" s="4">
        <f t="shared" si="3"/>
        <v>863</v>
      </c>
      <c r="U4898" s="4">
        <f t="shared" si="4"/>
        <v>638</v>
      </c>
    </row>
    <row r="4899" ht="15.75" customHeight="1">
      <c r="A4899" s="4" t="s">
        <v>1111</v>
      </c>
      <c r="B4899" s="4" t="s">
        <v>13</v>
      </c>
      <c r="C4899" s="4">
        <v>0.29</v>
      </c>
      <c r="D4899" s="4">
        <v>0.06</v>
      </c>
      <c r="E4899" s="4">
        <v>0.065</v>
      </c>
      <c r="I4899" s="4">
        <v>1.33</v>
      </c>
      <c r="J4899" s="4">
        <v>0.05</v>
      </c>
      <c r="K4899" s="6" t="b">
        <f t="shared" ref="K4899:L4899" si="4685">FALSE()</f>
        <v>0</v>
      </c>
      <c r="L4899" s="6" t="b">
        <f t="shared" si="4685"/>
        <v>0</v>
      </c>
      <c r="M4899" s="6" t="b">
        <f t="shared" si="4676"/>
        <v>1</v>
      </c>
      <c r="N4899" s="4">
        <v>0.254642218373581</v>
      </c>
      <c r="P4899" s="4">
        <v>0.845868267577609</v>
      </c>
      <c r="T4899" s="4">
        <f t="shared" si="3"/>
        <v>1076</v>
      </c>
      <c r="U4899" s="4">
        <f t="shared" si="4"/>
        <v>225</v>
      </c>
    </row>
    <row r="4900" ht="15.75" customHeight="1">
      <c r="A4900" s="4" t="s">
        <v>1112</v>
      </c>
      <c r="B4900" s="4" t="s">
        <v>13</v>
      </c>
      <c r="C4900" s="4">
        <v>0.593</v>
      </c>
      <c r="D4900" s="4">
        <v>0.07</v>
      </c>
      <c r="E4900" s="4">
        <v>0.095</v>
      </c>
      <c r="I4900" s="4">
        <v>1.396</v>
      </c>
      <c r="J4900" s="4">
        <v>0.04</v>
      </c>
      <c r="K4900" s="6" t="b">
        <f t="shared" ref="K4900:L4900" si="4686">FALSE()</f>
        <v>0</v>
      </c>
      <c r="L4900" s="6" t="b">
        <f t="shared" si="4686"/>
        <v>0</v>
      </c>
      <c r="M4900" s="6" t="b">
        <f t="shared" si="4676"/>
        <v>1</v>
      </c>
      <c r="N4900" s="4">
        <v>0.465619030927911</v>
      </c>
      <c r="P4900" s="4">
        <v>0.873800680253203</v>
      </c>
      <c r="T4900" s="4">
        <f t="shared" si="3"/>
        <v>892</v>
      </c>
      <c r="U4900" s="4">
        <f t="shared" si="4"/>
        <v>182</v>
      </c>
    </row>
    <row r="4901" ht="15.75" customHeight="1">
      <c r="A4901" s="4" t="s">
        <v>1113</v>
      </c>
      <c r="B4901" s="4" t="s">
        <v>13</v>
      </c>
      <c r="C4901" s="4">
        <v>0.39</v>
      </c>
      <c r="D4901" s="4">
        <v>0.03</v>
      </c>
      <c r="E4901" s="4">
        <v>0.03</v>
      </c>
      <c r="I4901" s="4">
        <v>0.857</v>
      </c>
      <c r="J4901" s="4">
        <v>0.012</v>
      </c>
      <c r="K4901" s="6" t="b">
        <f t="shared" ref="K4901:L4901" si="4687">FALSE()</f>
        <v>0</v>
      </c>
      <c r="L4901" s="6" t="b">
        <f t="shared" si="4687"/>
        <v>0</v>
      </c>
      <c r="M4901" s="6" t="b">
        <f t="shared" si="4676"/>
        <v>1</v>
      </c>
      <c r="N4901" s="4">
        <v>0.3293037471426</v>
      </c>
      <c r="P4901" s="4">
        <v>0.618962282370569</v>
      </c>
      <c r="T4901" s="4">
        <f t="shared" si="3"/>
        <v>1022</v>
      </c>
      <c r="U4901" s="4">
        <f t="shared" si="4"/>
        <v>796</v>
      </c>
    </row>
    <row r="4902" ht="15.75" customHeight="1">
      <c r="A4902" s="4" t="s">
        <v>1114</v>
      </c>
      <c r="B4902" s="4" t="s">
        <v>13</v>
      </c>
      <c r="C4902" s="4">
        <v>0.67</v>
      </c>
      <c r="D4902" s="4">
        <v>0.089</v>
      </c>
      <c r="E4902" s="4">
        <v>0.089</v>
      </c>
      <c r="I4902" s="4">
        <v>1.536</v>
      </c>
      <c r="J4902" s="4">
        <v>0.062</v>
      </c>
      <c r="K4902" s="6" t="b">
        <f t="shared" ref="K4902:L4902" si="4688">FALSE()</f>
        <v>0</v>
      </c>
      <c r="L4902" s="6" t="b">
        <f t="shared" si="4688"/>
        <v>0</v>
      </c>
      <c r="M4902" s="6" t="b">
        <f t="shared" si="4676"/>
        <v>1</v>
      </c>
      <c r="N4902" s="4">
        <v>0.512823626428664</v>
      </c>
      <c r="P4902" s="4">
        <v>0.93058803657498</v>
      </c>
      <c r="T4902" s="4">
        <f t="shared" si="3"/>
        <v>837</v>
      </c>
      <c r="U4902" s="4">
        <f t="shared" si="4"/>
        <v>99</v>
      </c>
    </row>
    <row r="4903" ht="15.75" customHeight="1">
      <c r="A4903" s="4" t="s">
        <v>1115</v>
      </c>
      <c r="B4903" s="4" t="s">
        <v>13</v>
      </c>
      <c r="C4903" s="4">
        <v>0.96</v>
      </c>
      <c r="D4903" s="4">
        <v>0.056</v>
      </c>
      <c r="E4903" s="4">
        <v>0.056</v>
      </c>
      <c r="I4903" s="4">
        <v>0.93</v>
      </c>
      <c r="J4903" s="4">
        <v>0.03</v>
      </c>
      <c r="K4903" s="6" t="b">
        <f t="shared" ref="K4903:L4903" si="4689">FALSE()</f>
        <v>0</v>
      </c>
      <c r="L4903" s="6" t="b">
        <f t="shared" si="4689"/>
        <v>0</v>
      </c>
      <c r="M4903" s="6" t="b">
        <f t="shared" si="4676"/>
        <v>1</v>
      </c>
      <c r="N4903" s="4">
        <v>0.672944473242426</v>
      </c>
      <c r="P4903" s="4">
        <v>0.657520002916794</v>
      </c>
      <c r="T4903" s="4">
        <f t="shared" si="3"/>
        <v>681</v>
      </c>
      <c r="U4903" s="4">
        <f t="shared" si="4"/>
        <v>743</v>
      </c>
    </row>
    <row r="4904" ht="15.75" customHeight="1">
      <c r="A4904" s="4" t="s">
        <v>1116</v>
      </c>
      <c r="B4904" s="4" t="s">
        <v>13</v>
      </c>
      <c r="C4904" s="4">
        <v>1.12</v>
      </c>
      <c r="D4904" s="4">
        <v>0.12</v>
      </c>
      <c r="E4904" s="4">
        <v>0.12</v>
      </c>
      <c r="I4904" s="4">
        <v>1.61</v>
      </c>
      <c r="J4904" s="4">
        <v>0.16</v>
      </c>
      <c r="K4904" s="6" t="b">
        <f t="shared" ref="K4904:L4904" si="4690">FALSE()</f>
        <v>0</v>
      </c>
      <c r="L4904" s="6" t="b">
        <f t="shared" si="4690"/>
        <v>0</v>
      </c>
      <c r="M4904" s="6" t="b">
        <f t="shared" si="4676"/>
        <v>1</v>
      </c>
      <c r="N4904" s="4">
        <v>0.751416088683921</v>
      </c>
      <c r="P4904" s="4">
        <v>0.959350221334602</v>
      </c>
      <c r="T4904" s="4">
        <f t="shared" si="3"/>
        <v>616</v>
      </c>
      <c r="U4904" s="4">
        <f t="shared" si="4"/>
        <v>75</v>
      </c>
    </row>
    <row r="4905" ht="15.75" customHeight="1">
      <c r="A4905" s="4" t="s">
        <v>1117</v>
      </c>
      <c r="B4905" s="4" t="s">
        <v>13</v>
      </c>
      <c r="C4905" s="4">
        <v>0.57</v>
      </c>
      <c r="D4905" s="4">
        <v>0.05</v>
      </c>
      <c r="E4905" s="4">
        <v>0.05</v>
      </c>
      <c r="I4905" s="4">
        <v>1.42</v>
      </c>
      <c r="J4905" s="4">
        <v>0.03</v>
      </c>
      <c r="K4905" s="6" t="b">
        <f t="shared" ref="K4905:L4905" si="4691">FALSE()</f>
        <v>0</v>
      </c>
      <c r="L4905" s="6" t="b">
        <f t="shared" si="4691"/>
        <v>0</v>
      </c>
      <c r="M4905" s="6" t="b">
        <f t="shared" si="4676"/>
        <v>1</v>
      </c>
      <c r="N4905" s="4">
        <v>0.451075619360217</v>
      </c>
      <c r="P4905" s="4">
        <v>0.883767540168595</v>
      </c>
      <c r="T4905" s="4">
        <f t="shared" si="3"/>
        <v>913</v>
      </c>
      <c r="U4905" s="4">
        <f t="shared" si="4"/>
        <v>165</v>
      </c>
    </row>
    <row r="4906" ht="15.75" customHeight="1">
      <c r="A4906" s="4" t="s">
        <v>1118</v>
      </c>
      <c r="B4906" s="4" t="s">
        <v>13</v>
      </c>
      <c r="C4906" s="4">
        <v>3.63</v>
      </c>
      <c r="D4906" s="4">
        <v>0.27</v>
      </c>
      <c r="E4906" s="4">
        <v>0.27</v>
      </c>
      <c r="I4906" s="4">
        <v>1.64</v>
      </c>
      <c r="J4906" s="4">
        <v>0.07</v>
      </c>
      <c r="K4906" s="6" t="b">
        <f>TRUE()</f>
        <v>1</v>
      </c>
      <c r="L4906" s="6" t="b">
        <f>FALSE()</f>
        <v>0</v>
      </c>
      <c r="M4906" s="6" t="b">
        <f t="shared" si="4676"/>
        <v>1</v>
      </c>
      <c r="N4906" s="4">
        <v>1.53255686809814</v>
      </c>
      <c r="P4906" s="4">
        <v>0.970778917158225</v>
      </c>
      <c r="T4906" s="4">
        <f t="shared" si="3"/>
        <v>281</v>
      </c>
      <c r="U4906" s="4">
        <f t="shared" si="4"/>
        <v>65</v>
      </c>
    </row>
    <row r="4907" ht="15.75" customHeight="1">
      <c r="A4907" s="4" t="s">
        <v>1120</v>
      </c>
      <c r="B4907" s="4" t="s">
        <v>13</v>
      </c>
      <c r="C4907" s="4">
        <v>2.38</v>
      </c>
      <c r="D4907" s="4">
        <v>0.26</v>
      </c>
      <c r="E4907" s="4">
        <v>0.26</v>
      </c>
      <c r="I4907" s="4">
        <v>1.48</v>
      </c>
      <c r="J4907" s="4">
        <v>0.37</v>
      </c>
      <c r="K4907" s="6" t="b">
        <f t="shared" ref="K4907:L4907" si="4692">FALSE()</f>
        <v>0</v>
      </c>
      <c r="L4907" s="6" t="b">
        <f t="shared" si="4692"/>
        <v>0</v>
      </c>
      <c r="M4907" s="6" t="b">
        <f t="shared" si="4676"/>
        <v>1</v>
      </c>
      <c r="N4907" s="4">
        <v>1.21787570949493</v>
      </c>
      <c r="P4907" s="4">
        <v>0.908258560176891</v>
      </c>
      <c r="T4907" s="4">
        <f t="shared" si="3"/>
        <v>387</v>
      </c>
      <c r="U4907" s="4">
        <f t="shared" si="4"/>
        <v>128</v>
      </c>
    </row>
    <row r="4908" ht="15.75" customHeight="1">
      <c r="A4908" s="4" t="s">
        <v>1121</v>
      </c>
      <c r="B4908" s="4" t="s">
        <v>13</v>
      </c>
      <c r="C4908" s="4">
        <v>0.0648</v>
      </c>
      <c r="D4908" s="4">
        <v>0.009</v>
      </c>
      <c r="E4908" s="4">
        <v>0.009</v>
      </c>
      <c r="I4908" s="4">
        <v>0.2837</v>
      </c>
      <c r="J4908" s="4">
        <v>0.0232</v>
      </c>
      <c r="K4908" s="6" t="b">
        <f t="shared" ref="K4908:M4908" si="4693">FALSE()</f>
        <v>0</v>
      </c>
      <c r="L4908" s="6" t="b">
        <f t="shared" si="4693"/>
        <v>0</v>
      </c>
      <c r="M4908" s="6" t="b">
        <f t="shared" si="4693"/>
        <v>0</v>
      </c>
      <c r="N4908" s="4">
        <v>0.0627869880987648</v>
      </c>
      <c r="P4908" s="4">
        <v>0.249746533108744</v>
      </c>
      <c r="T4908" s="4">
        <f t="shared" si="3"/>
        <v>1340</v>
      </c>
      <c r="U4908" s="4">
        <f t="shared" si="4"/>
        <v>1484</v>
      </c>
    </row>
    <row r="4909" ht="15.75" customHeight="1">
      <c r="A4909" s="4" t="s">
        <v>1122</v>
      </c>
      <c r="B4909" s="4" t="s">
        <v>13</v>
      </c>
      <c r="C4909" s="4">
        <v>0.229</v>
      </c>
      <c r="D4909" s="4">
        <v>0.037</v>
      </c>
      <c r="E4909" s="4">
        <v>0.037</v>
      </c>
      <c r="I4909" s="4">
        <v>1.136</v>
      </c>
      <c r="J4909" s="4">
        <v>0.023</v>
      </c>
      <c r="K4909" s="6" t="b">
        <f t="shared" ref="K4909:L4909" si="4694">FALSE()</f>
        <v>0</v>
      </c>
      <c r="L4909" s="6" t="b">
        <f t="shared" si="4694"/>
        <v>0</v>
      </c>
      <c r="M4909" s="6" t="b">
        <f t="shared" ref="M4909:M4912" si="4696">TRUE()</f>
        <v>1</v>
      </c>
      <c r="N4909" s="4">
        <v>0.206200830583898</v>
      </c>
      <c r="P4909" s="4">
        <v>0.758934921097948</v>
      </c>
      <c r="T4909" s="4">
        <f t="shared" si="3"/>
        <v>1129</v>
      </c>
      <c r="U4909" s="4">
        <f t="shared" si="4"/>
        <v>466</v>
      </c>
    </row>
    <row r="4910" ht="15.75" customHeight="1">
      <c r="A4910" s="4" t="s">
        <v>1123</v>
      </c>
      <c r="B4910" s="4" t="s">
        <v>13</v>
      </c>
      <c r="C4910" s="4">
        <v>1.33</v>
      </c>
      <c r="D4910" s="4">
        <v>0.028</v>
      </c>
      <c r="E4910" s="4">
        <v>0.024</v>
      </c>
      <c r="I4910" s="4">
        <v>1.271</v>
      </c>
      <c r="J4910" s="4">
        <v>0.19</v>
      </c>
      <c r="K4910" s="6" t="b">
        <f t="shared" ref="K4910:L4910" si="4695">FALSE()</f>
        <v>0</v>
      </c>
      <c r="L4910" s="6" t="b">
        <f t="shared" si="4695"/>
        <v>0</v>
      </c>
      <c r="M4910" s="6" t="b">
        <f t="shared" si="4696"/>
        <v>1</v>
      </c>
      <c r="N4910" s="4">
        <v>0.845868267577609</v>
      </c>
      <c r="P4910" s="4">
        <v>0.820220263123421</v>
      </c>
      <c r="T4910" s="4">
        <f t="shared" si="3"/>
        <v>552</v>
      </c>
      <c r="U4910" s="4">
        <f t="shared" si="4"/>
        <v>291</v>
      </c>
    </row>
    <row r="4911" ht="15.75" customHeight="1">
      <c r="A4911" s="4" t="s">
        <v>1125</v>
      </c>
      <c r="B4911" s="4" t="s">
        <v>13</v>
      </c>
      <c r="C4911" s="4">
        <v>0.93</v>
      </c>
      <c r="D4911" s="4">
        <v>0.04</v>
      </c>
      <c r="E4911" s="4">
        <v>0.04</v>
      </c>
      <c r="I4911" s="4">
        <v>1.09</v>
      </c>
      <c r="J4911" s="4">
        <v>0.03</v>
      </c>
      <c r="K4911" s="6" t="b">
        <f t="shared" ref="K4911:L4911" si="4697">FALSE()</f>
        <v>0</v>
      </c>
      <c r="L4911" s="6" t="b">
        <f t="shared" si="4697"/>
        <v>0</v>
      </c>
      <c r="M4911" s="6" t="b">
        <f t="shared" si="4696"/>
        <v>1</v>
      </c>
      <c r="N4911" s="4">
        <v>0.657520002916794</v>
      </c>
      <c r="P4911" s="4">
        <v>0.73716406597672</v>
      </c>
      <c r="T4911" s="4">
        <f t="shared" si="3"/>
        <v>698</v>
      </c>
      <c r="U4911" s="4">
        <f t="shared" si="4"/>
        <v>537</v>
      </c>
    </row>
    <row r="4912" ht="15.75" customHeight="1">
      <c r="A4912" s="4" t="s">
        <v>1126</v>
      </c>
      <c r="B4912" s="4" t="s">
        <v>13</v>
      </c>
      <c r="C4912" s="4">
        <v>2.9</v>
      </c>
      <c r="D4912" s="4">
        <v>0.17</v>
      </c>
      <c r="E4912" s="4">
        <v>0.17</v>
      </c>
      <c r="I4912" s="4">
        <v>1.07</v>
      </c>
      <c r="J4912" s="4">
        <v>0.06</v>
      </c>
      <c r="K4912" s="6" t="b">
        <f t="shared" ref="K4912:L4912" si="4698">FALSE()</f>
        <v>0</v>
      </c>
      <c r="L4912" s="6" t="b">
        <f t="shared" si="4698"/>
        <v>0</v>
      </c>
      <c r="M4912" s="6" t="b">
        <f t="shared" si="4696"/>
        <v>1</v>
      </c>
      <c r="N4912" s="4">
        <v>1.3609765531356</v>
      </c>
      <c r="P4912" s="4">
        <v>0.727548607277278</v>
      </c>
      <c r="T4912" s="4">
        <f t="shared" si="3"/>
        <v>329</v>
      </c>
      <c r="U4912" s="4">
        <f t="shared" si="4"/>
        <v>573</v>
      </c>
    </row>
    <row r="4913" ht="15.75" customHeight="1">
      <c r="A4913" s="4" t="s">
        <v>5707</v>
      </c>
      <c r="B4913" s="4" t="s">
        <v>13</v>
      </c>
      <c r="C4913" s="4">
        <v>6.91</v>
      </c>
      <c r="D4913" s="4">
        <v>0.54</v>
      </c>
      <c r="E4913" s="4">
        <v>0.54</v>
      </c>
      <c r="K4913" s="6" t="b">
        <f>TRUE()</f>
        <v>1</v>
      </c>
      <c r="L4913" s="6" t="b">
        <f t="shared" ref="L4913:M4913" si="4699">FALSE()</f>
        <v>0</v>
      </c>
      <c r="M4913" s="6" t="b">
        <f t="shared" si="4699"/>
        <v>0</v>
      </c>
      <c r="N4913" s="4">
        <v>2.06812778177956</v>
      </c>
      <c r="T4913" s="4">
        <f t="shared" si="3"/>
        <v>136</v>
      </c>
      <c r="U4913" s="4" t="str">
        <f t="shared" si="4"/>
        <v/>
      </c>
    </row>
    <row r="4914" ht="15.75" customHeight="1">
      <c r="A4914" s="4" t="s">
        <v>5708</v>
      </c>
      <c r="B4914" s="4" t="s">
        <v>13</v>
      </c>
      <c r="C4914" s="4">
        <v>2.28</v>
      </c>
      <c r="D4914" s="4">
        <v>0.38</v>
      </c>
      <c r="E4914" s="4">
        <v>0.38</v>
      </c>
      <c r="K4914" s="6" t="b">
        <f t="shared" ref="K4914:M4914" si="4700">FALSE()</f>
        <v>0</v>
      </c>
      <c r="L4914" s="6" t="b">
        <f t="shared" si="4700"/>
        <v>0</v>
      </c>
      <c r="M4914" s="6" t="b">
        <f t="shared" si="4700"/>
        <v>0</v>
      </c>
      <c r="N4914" s="4">
        <v>1.18784342239605</v>
      </c>
      <c r="T4914" s="4">
        <f t="shared" si="3"/>
        <v>404</v>
      </c>
      <c r="U4914" s="4" t="str">
        <f t="shared" si="4"/>
        <v/>
      </c>
    </row>
    <row r="4915" ht="15.75" customHeight="1">
      <c r="A4915" s="4" t="s">
        <v>5709</v>
      </c>
      <c r="B4915" s="4" t="s">
        <v>13</v>
      </c>
      <c r="D4915" s="4">
        <v>0.47</v>
      </c>
      <c r="E4915" s="4">
        <v>0.47</v>
      </c>
      <c r="F4915" s="4">
        <v>9.43</v>
      </c>
      <c r="G4915" s="4">
        <v>0.47</v>
      </c>
      <c r="H4915" s="4">
        <v>0.47</v>
      </c>
      <c r="K4915" s="6" t="b">
        <f t="shared" ref="K4915:K4916" si="4701">FALSE()</f>
        <v>0</v>
      </c>
      <c r="L4915" s="6" t="b">
        <f t="shared" ref="L4915:L4916" si="4702">TRUE()</f>
        <v>1</v>
      </c>
      <c r="M4915" s="6" t="b">
        <f t="shared" ref="M4915:M4917" si="4703">FALSE()</f>
        <v>0</v>
      </c>
      <c r="O4915" s="4">
        <v>2.34468626901268</v>
      </c>
      <c r="T4915" s="4" t="str">
        <f t="shared" si="3"/>
        <v/>
      </c>
      <c r="U4915" s="4" t="str">
        <f t="shared" si="4"/>
        <v/>
      </c>
    </row>
    <row r="4916" ht="15.75" customHeight="1">
      <c r="A4916" s="4" t="s">
        <v>5710</v>
      </c>
      <c r="B4916" s="4" t="s">
        <v>13</v>
      </c>
      <c r="F4916" s="4">
        <v>12.32</v>
      </c>
      <c r="K4916" s="6" t="b">
        <f t="shared" si="4701"/>
        <v>0</v>
      </c>
      <c r="L4916" s="6" t="b">
        <f t="shared" si="4702"/>
        <v>1</v>
      </c>
      <c r="M4916" s="6" t="b">
        <f t="shared" si="4703"/>
        <v>0</v>
      </c>
      <c r="O4916" s="4">
        <v>2.58926666511224</v>
      </c>
      <c r="T4916" s="4" t="str">
        <f t="shared" si="3"/>
        <v/>
      </c>
      <c r="U4916" s="4" t="str">
        <f t="shared" si="4"/>
        <v/>
      </c>
    </row>
    <row r="4917" ht="15.75" customHeight="1">
      <c r="A4917" s="4" t="s">
        <v>5711</v>
      </c>
      <c r="B4917" s="4" t="s">
        <v>13</v>
      </c>
      <c r="C4917" s="4">
        <v>8.0</v>
      </c>
      <c r="D4917" s="4">
        <v>0.8</v>
      </c>
      <c r="E4917" s="4">
        <v>0.8</v>
      </c>
      <c r="F4917" s="4">
        <v>7.97</v>
      </c>
      <c r="K4917" s="6" t="b">
        <f t="shared" ref="K4917:L4917" si="4704">TRUE()</f>
        <v>1</v>
      </c>
      <c r="L4917" s="6" t="b">
        <f t="shared" si="4704"/>
        <v>1</v>
      </c>
      <c r="M4917" s="6" t="b">
        <f t="shared" si="4703"/>
        <v>0</v>
      </c>
      <c r="N4917" s="4">
        <v>2.19722457733622</v>
      </c>
      <c r="O4917" s="4">
        <v>2.19388567607071</v>
      </c>
      <c r="T4917" s="4">
        <f t="shared" si="3"/>
        <v>108</v>
      </c>
      <c r="U4917" s="4" t="str">
        <f t="shared" si="4"/>
        <v/>
      </c>
    </row>
    <row r="4918" ht="15.75" customHeight="1">
      <c r="A4918" s="4" t="s">
        <v>5712</v>
      </c>
      <c r="B4918" s="4" t="s">
        <v>13</v>
      </c>
      <c r="F4918" s="4">
        <v>1.36</v>
      </c>
      <c r="K4918" s="6" t="b">
        <f t="shared" ref="K4918:M4918" si="4705">FALSE()</f>
        <v>0</v>
      </c>
      <c r="L4918" s="6" t="b">
        <f t="shared" si="4705"/>
        <v>0</v>
      </c>
      <c r="M4918" s="6" t="b">
        <f t="shared" si="4705"/>
        <v>0</v>
      </c>
      <c r="O4918" s="4">
        <v>0.858661619037519</v>
      </c>
      <c r="T4918" s="4" t="str">
        <f t="shared" si="3"/>
        <v/>
      </c>
      <c r="U4918" s="4" t="str">
        <f t="shared" si="4"/>
        <v/>
      </c>
    </row>
    <row r="4919" ht="15.75" customHeight="1">
      <c r="A4919" s="4" t="s">
        <v>5713</v>
      </c>
      <c r="B4919" s="4" t="s">
        <v>13</v>
      </c>
      <c r="D4919" s="4">
        <v>0.04</v>
      </c>
      <c r="E4919" s="4">
        <v>0.06</v>
      </c>
      <c r="F4919" s="4">
        <v>1.895</v>
      </c>
      <c r="G4919" s="4">
        <v>0.04</v>
      </c>
      <c r="H4919" s="4">
        <v>0.06</v>
      </c>
      <c r="K4919" s="6" t="b">
        <f t="shared" ref="K4919:M4919" si="4706">FALSE()</f>
        <v>0</v>
      </c>
      <c r="L4919" s="6" t="b">
        <f t="shared" si="4706"/>
        <v>0</v>
      </c>
      <c r="M4919" s="6" t="b">
        <f t="shared" si="4706"/>
        <v>0</v>
      </c>
      <c r="O4919" s="4">
        <v>1.06298511102496</v>
      </c>
      <c r="T4919" s="4" t="str">
        <f t="shared" si="3"/>
        <v/>
      </c>
      <c r="U4919" s="4" t="str">
        <f t="shared" si="4"/>
        <v/>
      </c>
    </row>
    <row r="4920" ht="15.75" customHeight="1">
      <c r="A4920" s="4" t="s">
        <v>5714</v>
      </c>
      <c r="B4920" s="4" t="s">
        <v>13</v>
      </c>
      <c r="D4920" s="4">
        <v>0.06</v>
      </c>
      <c r="E4920" s="4">
        <v>0.06</v>
      </c>
      <c r="F4920" s="4">
        <v>0.906</v>
      </c>
      <c r="G4920" s="4">
        <v>0.06</v>
      </c>
      <c r="H4920" s="4">
        <v>0.06</v>
      </c>
      <c r="K4920" s="6" t="b">
        <f t="shared" ref="K4920:M4920" si="4707">FALSE()</f>
        <v>0</v>
      </c>
      <c r="L4920" s="6" t="b">
        <f t="shared" si="4707"/>
        <v>0</v>
      </c>
      <c r="M4920" s="6" t="b">
        <f t="shared" si="4707"/>
        <v>0</v>
      </c>
      <c r="O4920" s="4">
        <v>0.64500680523201</v>
      </c>
      <c r="T4920" s="4" t="str">
        <f t="shared" si="3"/>
        <v/>
      </c>
      <c r="U4920" s="4" t="str">
        <f t="shared" si="4"/>
        <v/>
      </c>
    </row>
    <row r="4921" ht="15.75" customHeight="1">
      <c r="A4921" s="4" t="s">
        <v>1127</v>
      </c>
      <c r="B4921" s="4" t="s">
        <v>13</v>
      </c>
      <c r="C4921" s="4">
        <v>0.01472</v>
      </c>
      <c r="D4921" s="4">
        <v>0.0013</v>
      </c>
      <c r="E4921" s="4">
        <v>0.0013</v>
      </c>
      <c r="F4921" s="4">
        <v>0.0166</v>
      </c>
      <c r="G4921" s="4">
        <v>0.0025</v>
      </c>
      <c r="H4921" s="4">
        <v>0.0025</v>
      </c>
      <c r="I4921" s="4">
        <v>0.14658</v>
      </c>
      <c r="J4921" s="4">
        <v>0.00312</v>
      </c>
      <c r="K4921" s="6" t="b">
        <f t="shared" ref="K4921:M4921" si="4708">FALSE()</f>
        <v>0</v>
      </c>
      <c r="L4921" s="6" t="b">
        <f t="shared" si="4708"/>
        <v>0</v>
      </c>
      <c r="M4921" s="6" t="b">
        <f t="shared" si="4708"/>
        <v>0</v>
      </c>
      <c r="N4921" s="4">
        <v>0.0146127123678454</v>
      </c>
      <c r="O4921" s="4">
        <v>0.016463726030665</v>
      </c>
      <c r="P4921" s="4">
        <v>0.136783598465431</v>
      </c>
      <c r="Q4921" s="4">
        <v>-0.61900343739597</v>
      </c>
      <c r="R4921" s="4">
        <v>-0.641934350826336</v>
      </c>
      <c r="S4921" s="4">
        <v>-1.26985175378981</v>
      </c>
      <c r="T4921" s="4">
        <f t="shared" si="3"/>
        <v>1827</v>
      </c>
      <c r="U4921" s="4">
        <f t="shared" si="4"/>
        <v>3383</v>
      </c>
    </row>
    <row r="4922" ht="15.75" customHeight="1">
      <c r="A4922" s="4" t="s">
        <v>1128</v>
      </c>
      <c r="B4922" s="4" t="s">
        <v>13</v>
      </c>
      <c r="C4922" s="4">
        <v>0.0353</v>
      </c>
      <c r="D4922" s="4">
        <v>0.0019</v>
      </c>
      <c r="E4922" s="4">
        <v>0.0019</v>
      </c>
      <c r="F4922" s="4">
        <v>0.0358</v>
      </c>
      <c r="G4922" s="4">
        <v>0.0031</v>
      </c>
      <c r="H4922" s="4">
        <v>0.0031</v>
      </c>
      <c r="I4922" s="4">
        <v>0.25489</v>
      </c>
      <c r="J4922" s="4">
        <v>0.00517</v>
      </c>
      <c r="K4922" s="6" t="b">
        <f t="shared" ref="K4922:M4922" si="4709">FALSE()</f>
        <v>0</v>
      </c>
      <c r="L4922" s="6" t="b">
        <f t="shared" si="4709"/>
        <v>0</v>
      </c>
      <c r="M4922" s="6" t="b">
        <f t="shared" si="4709"/>
        <v>0</v>
      </c>
      <c r="N4922" s="4">
        <v>0.0346912397899303</v>
      </c>
      <c r="O4922" s="4">
        <v>0.035174075007654</v>
      </c>
      <c r="P4922" s="4">
        <v>0.227047919339923</v>
      </c>
      <c r="Q4922" s="4">
        <v>-0.606362826483793</v>
      </c>
      <c r="R4922" s="4">
        <v>-0.629753159235111</v>
      </c>
      <c r="S4922" s="4">
        <v>-1.06720169872881</v>
      </c>
      <c r="T4922" s="4">
        <f t="shared" si="3"/>
        <v>1485</v>
      </c>
      <c r="U4922" s="4">
        <f t="shared" si="4"/>
        <v>1755</v>
      </c>
    </row>
    <row r="4923" ht="15.75" customHeight="1">
      <c r="A4923" s="4" t="s">
        <v>1129</v>
      </c>
      <c r="B4923" s="4" t="s">
        <v>13</v>
      </c>
      <c r="C4923" s="4">
        <v>0.02725</v>
      </c>
      <c r="D4923" s="4">
        <v>0.0028</v>
      </c>
      <c r="E4923" s="4">
        <v>0.0028</v>
      </c>
      <c r="F4923" s="4">
        <v>0.03</v>
      </c>
      <c r="G4923" s="4">
        <v>0.011</v>
      </c>
      <c r="H4923" s="4">
        <v>0.011</v>
      </c>
      <c r="I4923" s="4">
        <v>0.22366</v>
      </c>
      <c r="J4923" s="4">
        <v>0.0036</v>
      </c>
      <c r="K4923" s="6" t="b">
        <f t="shared" ref="K4923:M4923" si="4710">FALSE()</f>
        <v>0</v>
      </c>
      <c r="L4923" s="6" t="b">
        <f t="shared" si="4710"/>
        <v>0</v>
      </c>
      <c r="M4923" s="6" t="b">
        <f t="shared" si="4710"/>
        <v>0</v>
      </c>
      <c r="N4923" s="4">
        <v>0.026885328781382</v>
      </c>
      <c r="O4923" s="4">
        <v>0.0295588022415444</v>
      </c>
      <c r="P4923" s="4">
        <v>0.201846367724964</v>
      </c>
      <c r="Q4923" s="4">
        <v>-0.611307283133114</v>
      </c>
      <c r="R4923" s="4">
        <v>-0.63343289419496</v>
      </c>
      <c r="S4923" s="4">
        <v>-1.12563361839971</v>
      </c>
      <c r="T4923" s="4">
        <f t="shared" si="3"/>
        <v>1600</v>
      </c>
      <c r="U4923" s="4">
        <f t="shared" si="4"/>
        <v>2204</v>
      </c>
    </row>
    <row r="4924" ht="15.75" customHeight="1">
      <c r="A4924" s="4" t="s">
        <v>5715</v>
      </c>
      <c r="B4924" s="4" t="s">
        <v>13</v>
      </c>
      <c r="C4924" s="4">
        <v>2.13</v>
      </c>
      <c r="D4924" s="4">
        <v>0.09</v>
      </c>
      <c r="E4924" s="4">
        <v>0.09</v>
      </c>
      <c r="K4924" s="6" t="b">
        <f t="shared" ref="K4924:M4924" si="4711">FALSE()</f>
        <v>0</v>
      </c>
      <c r="L4924" s="6" t="b">
        <f t="shared" si="4711"/>
        <v>0</v>
      </c>
      <c r="M4924" s="6" t="b">
        <f t="shared" si="4711"/>
        <v>0</v>
      </c>
      <c r="N4924" s="4">
        <v>1.14103300455206</v>
      </c>
      <c r="T4924" s="4">
        <f t="shared" si="3"/>
        <v>423</v>
      </c>
      <c r="U4924" s="4" t="str">
        <f t="shared" si="4"/>
        <v/>
      </c>
    </row>
    <row r="4925" ht="15.75" customHeight="1">
      <c r="A4925" s="4" t="s">
        <v>5716</v>
      </c>
      <c r="B4925" s="4" t="s">
        <v>13</v>
      </c>
      <c r="C4925" s="4">
        <v>2.78</v>
      </c>
      <c r="K4925" s="6" t="b">
        <f t="shared" ref="K4925:M4925" si="4712">FALSE()</f>
        <v>0</v>
      </c>
      <c r="L4925" s="6" t="b">
        <f t="shared" si="4712"/>
        <v>0</v>
      </c>
      <c r="M4925" s="6" t="b">
        <f t="shared" si="4712"/>
        <v>0</v>
      </c>
      <c r="N4925" s="4">
        <v>1.3297240096315</v>
      </c>
      <c r="T4925" s="4">
        <f t="shared" si="3"/>
        <v>344</v>
      </c>
      <c r="U4925" s="4" t="str">
        <f t="shared" si="4"/>
        <v/>
      </c>
    </row>
    <row r="4926" ht="15.75" customHeight="1">
      <c r="A4926" s="4" t="s">
        <v>5717</v>
      </c>
      <c r="B4926" s="4" t="s">
        <v>13</v>
      </c>
      <c r="C4926" s="4">
        <v>4.49</v>
      </c>
      <c r="K4926" s="6" t="b">
        <f>TRUE()</f>
        <v>1</v>
      </c>
      <c r="L4926" s="6" t="b">
        <f t="shared" ref="L4926:M4926" si="4713">FALSE()</f>
        <v>0</v>
      </c>
      <c r="M4926" s="6" t="b">
        <f t="shared" si="4713"/>
        <v>0</v>
      </c>
      <c r="N4926" s="4">
        <v>1.70292825552144</v>
      </c>
      <c r="T4926" s="4">
        <f t="shared" si="3"/>
        <v>230</v>
      </c>
      <c r="U4926" s="4" t="str">
        <f t="shared" si="4"/>
        <v/>
      </c>
    </row>
    <row r="4927" ht="15.75" customHeight="1">
      <c r="A4927" s="4" t="s">
        <v>5718</v>
      </c>
      <c r="B4927" s="4" t="s">
        <v>13</v>
      </c>
      <c r="C4927" s="4">
        <v>2.34</v>
      </c>
      <c r="D4927" s="4">
        <v>0.53</v>
      </c>
      <c r="E4927" s="4">
        <v>0.53</v>
      </c>
      <c r="K4927" s="6" t="b">
        <f t="shared" ref="K4927:M4927" si="4714">FALSE()</f>
        <v>0</v>
      </c>
      <c r="L4927" s="6" t="b">
        <f t="shared" si="4714"/>
        <v>0</v>
      </c>
      <c r="M4927" s="6" t="b">
        <f t="shared" si="4714"/>
        <v>0</v>
      </c>
      <c r="N4927" s="4">
        <v>1.20597080698861</v>
      </c>
      <c r="T4927" s="4">
        <f t="shared" si="3"/>
        <v>390</v>
      </c>
      <c r="U4927" s="4" t="str">
        <f t="shared" si="4"/>
        <v/>
      </c>
    </row>
    <row r="4928" ht="15.75" customHeight="1">
      <c r="A4928" s="4" t="s">
        <v>5719</v>
      </c>
      <c r="B4928" s="4" t="s">
        <v>13</v>
      </c>
      <c r="C4928" s="4">
        <v>3.5</v>
      </c>
      <c r="D4928" s="4">
        <v>0.3</v>
      </c>
      <c r="E4928" s="4">
        <v>0.3</v>
      </c>
      <c r="K4928" s="6" t="b">
        <f t="shared" ref="K4928:M4928" si="4715">FALSE()</f>
        <v>0</v>
      </c>
      <c r="L4928" s="6" t="b">
        <f t="shared" si="4715"/>
        <v>0</v>
      </c>
      <c r="M4928" s="6" t="b">
        <f t="shared" si="4715"/>
        <v>0</v>
      </c>
      <c r="N4928" s="4">
        <v>1.50407739677627</v>
      </c>
      <c r="T4928" s="4">
        <f t="shared" si="3"/>
        <v>292</v>
      </c>
      <c r="U4928" s="4" t="str">
        <f t="shared" si="4"/>
        <v/>
      </c>
    </row>
    <row r="4929" ht="15.75" customHeight="1">
      <c r="A4929" s="4" t="s">
        <v>5720</v>
      </c>
      <c r="B4929" s="4" t="s">
        <v>13</v>
      </c>
      <c r="C4929" s="4">
        <v>0.0444</v>
      </c>
      <c r="D4929" s="4">
        <v>0.003</v>
      </c>
      <c r="E4929" s="4">
        <v>0.003</v>
      </c>
      <c r="K4929" s="6" t="b">
        <f t="shared" ref="K4929:M4929" si="4716">FALSE()</f>
        <v>0</v>
      </c>
      <c r="L4929" s="6" t="b">
        <f t="shared" si="4716"/>
        <v>0</v>
      </c>
      <c r="M4929" s="6" t="b">
        <f t="shared" si="4716"/>
        <v>0</v>
      </c>
      <c r="N4929" s="4">
        <v>0.0434425578428367</v>
      </c>
      <c r="T4929" s="4">
        <f t="shared" si="3"/>
        <v>1432</v>
      </c>
      <c r="U4929" s="4" t="str">
        <f t="shared" si="4"/>
        <v/>
      </c>
    </row>
    <row r="4930" ht="15.75" customHeight="1">
      <c r="A4930" s="4" t="s">
        <v>5721</v>
      </c>
      <c r="B4930" s="4" t="s">
        <v>13</v>
      </c>
      <c r="C4930" s="4">
        <v>0.017</v>
      </c>
      <c r="K4930" s="6" t="b">
        <f t="shared" ref="K4930:M4930" si="4717">FALSE()</f>
        <v>0</v>
      </c>
      <c r="L4930" s="6" t="b">
        <f t="shared" si="4717"/>
        <v>0</v>
      </c>
      <c r="M4930" s="6" t="b">
        <f t="shared" si="4717"/>
        <v>0</v>
      </c>
      <c r="N4930" s="4">
        <v>0.0168571170664229</v>
      </c>
      <c r="T4930" s="4">
        <f t="shared" si="3"/>
        <v>1791</v>
      </c>
      <c r="U4930" s="4" t="str">
        <f t="shared" si="4"/>
        <v/>
      </c>
    </row>
    <row r="4931" ht="15.75" customHeight="1">
      <c r="A4931" s="4" t="s">
        <v>5722</v>
      </c>
      <c r="B4931" s="4" t="s">
        <v>13</v>
      </c>
      <c r="C4931" s="4">
        <v>0.727</v>
      </c>
      <c r="D4931" s="4">
        <v>0.06</v>
      </c>
      <c r="E4931" s="4">
        <v>0.06</v>
      </c>
      <c r="K4931" s="6" t="b">
        <f t="shared" ref="K4931:M4931" si="4718">FALSE()</f>
        <v>0</v>
      </c>
      <c r="L4931" s="6" t="b">
        <f t="shared" si="4718"/>
        <v>0</v>
      </c>
      <c r="M4931" s="6" t="b">
        <f t="shared" si="4718"/>
        <v>0</v>
      </c>
      <c r="N4931" s="4">
        <v>0.546385799164542</v>
      </c>
      <c r="T4931" s="4">
        <f t="shared" si="3"/>
        <v>803</v>
      </c>
      <c r="U4931" s="4" t="str">
        <f t="shared" si="4"/>
        <v/>
      </c>
    </row>
    <row r="4932" ht="15.75" customHeight="1">
      <c r="A4932" s="4" t="s">
        <v>5723</v>
      </c>
      <c r="B4932" s="4" t="s">
        <v>13</v>
      </c>
      <c r="C4932" s="4">
        <v>0.271</v>
      </c>
      <c r="D4932" s="4">
        <v>0.022</v>
      </c>
      <c r="E4932" s="4">
        <v>0.022</v>
      </c>
      <c r="K4932" s="6" t="b">
        <f t="shared" ref="K4932:M4932" si="4719">FALSE()</f>
        <v>0</v>
      </c>
      <c r="L4932" s="6" t="b">
        <f t="shared" si="4719"/>
        <v>0</v>
      </c>
      <c r="M4932" s="6" t="b">
        <f t="shared" si="4719"/>
        <v>0</v>
      </c>
      <c r="N4932" s="4">
        <v>0.239803992207317</v>
      </c>
      <c r="T4932" s="4">
        <f t="shared" si="3"/>
        <v>1089</v>
      </c>
      <c r="U4932" s="4" t="str">
        <f t="shared" si="4"/>
        <v/>
      </c>
    </row>
    <row r="4933" ht="15.75" customHeight="1">
      <c r="A4933" s="4" t="s">
        <v>5724</v>
      </c>
      <c r="B4933" s="4" t="s">
        <v>13</v>
      </c>
      <c r="C4933" s="4">
        <v>0.453</v>
      </c>
      <c r="D4933" s="4">
        <v>0.258</v>
      </c>
      <c r="E4933" s="4">
        <v>0.431</v>
      </c>
      <c r="K4933" s="6" t="b">
        <f t="shared" ref="K4933:M4933" si="4720">FALSE()</f>
        <v>0</v>
      </c>
      <c r="L4933" s="6" t="b">
        <f t="shared" si="4720"/>
        <v>0</v>
      </c>
      <c r="M4933" s="6" t="b">
        <f t="shared" si="4720"/>
        <v>0</v>
      </c>
      <c r="N4933" s="4">
        <v>0.373630384588146</v>
      </c>
      <c r="T4933" s="4">
        <f t="shared" si="3"/>
        <v>979</v>
      </c>
      <c r="U4933" s="4" t="str">
        <f t="shared" si="4"/>
        <v/>
      </c>
    </row>
    <row r="4934" ht="15.75" customHeight="1">
      <c r="A4934" s="4" t="s">
        <v>5725</v>
      </c>
      <c r="B4934" s="4" t="s">
        <v>13</v>
      </c>
      <c r="C4934" s="4">
        <v>0.25</v>
      </c>
      <c r="D4934" s="4">
        <v>0.041</v>
      </c>
      <c r="E4934" s="4">
        <v>0.041</v>
      </c>
      <c r="K4934" s="6" t="b">
        <f t="shared" ref="K4934:M4934" si="4721">FALSE()</f>
        <v>0</v>
      </c>
      <c r="L4934" s="6" t="b">
        <f t="shared" si="4721"/>
        <v>0</v>
      </c>
      <c r="M4934" s="6" t="b">
        <f t="shared" si="4721"/>
        <v>0</v>
      </c>
      <c r="N4934" s="4">
        <v>0.22314355131421</v>
      </c>
      <c r="T4934" s="4">
        <f t="shared" si="3"/>
        <v>1112</v>
      </c>
      <c r="U4934" s="4" t="str">
        <f t="shared" si="4"/>
        <v/>
      </c>
    </row>
    <row r="4935" ht="15.75" customHeight="1">
      <c r="A4935" s="4" t="s">
        <v>5726</v>
      </c>
      <c r="B4935" s="4" t="s">
        <v>13</v>
      </c>
      <c r="C4935" s="4">
        <v>0.0694</v>
      </c>
      <c r="K4935" s="6" t="b">
        <f t="shared" ref="K4935:M4935" si="4722">FALSE()</f>
        <v>0</v>
      </c>
      <c r="L4935" s="6" t="b">
        <f t="shared" si="4722"/>
        <v>0</v>
      </c>
      <c r="M4935" s="6" t="b">
        <f t="shared" si="4722"/>
        <v>0</v>
      </c>
      <c r="N4935" s="4">
        <v>0.0670977435324941</v>
      </c>
      <c r="T4935" s="4">
        <f t="shared" si="3"/>
        <v>1325</v>
      </c>
      <c r="U4935" s="4" t="str">
        <f t="shared" si="4"/>
        <v/>
      </c>
    </row>
    <row r="4936" ht="15.75" customHeight="1">
      <c r="A4936" s="4" t="s">
        <v>5727</v>
      </c>
      <c r="B4936" s="4" t="s">
        <v>13</v>
      </c>
      <c r="C4936" s="4">
        <v>0.18</v>
      </c>
      <c r="K4936" s="6" t="b">
        <f t="shared" ref="K4936:M4936" si="4723">FALSE()</f>
        <v>0</v>
      </c>
      <c r="L4936" s="6" t="b">
        <f t="shared" si="4723"/>
        <v>0</v>
      </c>
      <c r="M4936" s="6" t="b">
        <f t="shared" si="4723"/>
        <v>0</v>
      </c>
      <c r="N4936" s="4">
        <v>0.165514438477573</v>
      </c>
      <c r="T4936" s="4">
        <f t="shared" si="3"/>
        <v>1170</v>
      </c>
      <c r="U4936" s="4" t="str">
        <f t="shared" si="4"/>
        <v/>
      </c>
    </row>
    <row r="4937" ht="15.75" customHeight="1">
      <c r="A4937" s="4" t="s">
        <v>5728</v>
      </c>
      <c r="B4937" s="4" t="s">
        <v>13</v>
      </c>
      <c r="C4937" s="4">
        <v>4.6</v>
      </c>
      <c r="D4937" s="4">
        <v>2.2</v>
      </c>
      <c r="E4937" s="4">
        <v>3.7</v>
      </c>
      <c r="K4937" s="6" t="b">
        <f>TRUE()</f>
        <v>1</v>
      </c>
      <c r="L4937" s="6" t="b">
        <f t="shared" ref="L4937:M4937" si="4724">FALSE()</f>
        <v>0</v>
      </c>
      <c r="M4937" s="6" t="b">
        <f t="shared" si="4724"/>
        <v>0</v>
      </c>
      <c r="N4937" s="4">
        <v>1.7227665977411</v>
      </c>
      <c r="T4937" s="4">
        <f t="shared" si="3"/>
        <v>226</v>
      </c>
      <c r="U4937" s="4" t="str">
        <f t="shared" si="4"/>
        <v/>
      </c>
    </row>
    <row r="4938" ht="15.75" customHeight="1">
      <c r="A4938" s="4" t="s">
        <v>5729</v>
      </c>
      <c r="B4938" s="4" t="s">
        <v>13</v>
      </c>
      <c r="C4938" s="4">
        <v>0.19</v>
      </c>
      <c r="D4938" s="4">
        <v>0.11</v>
      </c>
      <c r="E4938" s="4">
        <v>0.19</v>
      </c>
      <c r="K4938" s="6" t="b">
        <f t="shared" ref="K4938:M4938" si="4725">FALSE()</f>
        <v>0</v>
      </c>
      <c r="L4938" s="6" t="b">
        <f t="shared" si="4725"/>
        <v>0</v>
      </c>
      <c r="M4938" s="6" t="b">
        <f t="shared" si="4725"/>
        <v>0</v>
      </c>
      <c r="N4938" s="4">
        <v>0.173953307123438</v>
      </c>
      <c r="T4938" s="4">
        <f t="shared" si="3"/>
        <v>1164</v>
      </c>
      <c r="U4938" s="4" t="str">
        <f t="shared" si="4"/>
        <v/>
      </c>
    </row>
    <row r="4939" ht="15.75" customHeight="1">
      <c r="A4939" s="4" t="s">
        <v>5730</v>
      </c>
      <c r="B4939" s="4" t="s">
        <v>13</v>
      </c>
      <c r="C4939" s="4">
        <v>0.96</v>
      </c>
      <c r="D4939" s="4">
        <v>0.14</v>
      </c>
      <c r="E4939" s="4">
        <v>0.14</v>
      </c>
      <c r="K4939" s="6" t="b">
        <f t="shared" ref="K4939:M4939" si="4726">FALSE()</f>
        <v>0</v>
      </c>
      <c r="L4939" s="6" t="b">
        <f t="shared" si="4726"/>
        <v>0</v>
      </c>
      <c r="M4939" s="6" t="b">
        <f t="shared" si="4726"/>
        <v>0</v>
      </c>
      <c r="N4939" s="4">
        <v>0.672944473242426</v>
      </c>
      <c r="T4939" s="4">
        <f t="shared" si="3"/>
        <v>682</v>
      </c>
      <c r="U4939" s="4" t="str">
        <f t="shared" si="4"/>
        <v/>
      </c>
    </row>
    <row r="4940" ht="15.75" customHeight="1">
      <c r="A4940" s="4" t="s">
        <v>5731</v>
      </c>
      <c r="B4940" s="4" t="s">
        <v>13</v>
      </c>
      <c r="C4940" s="4">
        <v>0.88</v>
      </c>
      <c r="D4940" s="4">
        <v>0.18</v>
      </c>
      <c r="E4940" s="4">
        <v>0.27</v>
      </c>
      <c r="K4940" s="6" t="b">
        <f t="shared" ref="K4940:M4940" si="4727">FALSE()</f>
        <v>0</v>
      </c>
      <c r="L4940" s="6" t="b">
        <f t="shared" si="4727"/>
        <v>0</v>
      </c>
      <c r="M4940" s="6" t="b">
        <f t="shared" si="4727"/>
        <v>0</v>
      </c>
      <c r="N4940" s="4">
        <v>0.631271776841858</v>
      </c>
      <c r="T4940" s="4">
        <f t="shared" si="3"/>
        <v>726</v>
      </c>
      <c r="U4940" s="4" t="str">
        <f t="shared" si="4"/>
        <v/>
      </c>
    </row>
    <row r="4941" ht="15.75" customHeight="1">
      <c r="A4941" s="4" t="s">
        <v>5732</v>
      </c>
      <c r="B4941" s="4" t="s">
        <v>13</v>
      </c>
      <c r="C4941" s="4">
        <v>0.11</v>
      </c>
      <c r="D4941" s="4">
        <v>0.002</v>
      </c>
      <c r="E4941" s="4">
        <v>0.002</v>
      </c>
      <c r="K4941" s="6" t="b">
        <f t="shared" ref="K4941:M4941" si="4728">FALSE()</f>
        <v>0</v>
      </c>
      <c r="L4941" s="6" t="b">
        <f t="shared" si="4728"/>
        <v>0</v>
      </c>
      <c r="M4941" s="6" t="b">
        <f t="shared" si="4728"/>
        <v>0</v>
      </c>
      <c r="N4941" s="4">
        <v>0.104360015324243</v>
      </c>
      <c r="T4941" s="4">
        <f t="shared" si="3"/>
        <v>1247</v>
      </c>
      <c r="U4941" s="4" t="str">
        <f t="shared" si="4"/>
        <v/>
      </c>
    </row>
    <row r="4942" ht="15.75" customHeight="1">
      <c r="A4942" s="4" t="s">
        <v>5733</v>
      </c>
      <c r="B4942" s="4" t="s">
        <v>13</v>
      </c>
      <c r="C4942" s="4">
        <v>0.68</v>
      </c>
      <c r="D4942" s="4">
        <v>0.1</v>
      </c>
      <c r="E4942" s="4">
        <v>0.1</v>
      </c>
      <c r="K4942" s="6" t="b">
        <f t="shared" ref="K4942:M4942" si="4729">FALSE()</f>
        <v>0</v>
      </c>
      <c r="L4942" s="6" t="b">
        <f t="shared" si="4729"/>
        <v>0</v>
      </c>
      <c r="M4942" s="6" t="b">
        <f t="shared" si="4729"/>
        <v>0</v>
      </c>
      <c r="N4942" s="4">
        <v>0.518793793415168</v>
      </c>
      <c r="T4942" s="4">
        <f t="shared" si="3"/>
        <v>831</v>
      </c>
      <c r="U4942" s="4" t="str">
        <f t="shared" si="4"/>
        <v/>
      </c>
    </row>
    <row r="4943" ht="15.75" customHeight="1">
      <c r="A4943" s="4" t="s">
        <v>5734</v>
      </c>
      <c r="B4943" s="4" t="s">
        <v>13</v>
      </c>
      <c r="C4943" s="4">
        <v>2.73</v>
      </c>
      <c r="D4943" s="4">
        <v>0.43</v>
      </c>
      <c r="E4943" s="4">
        <v>0.43</v>
      </c>
      <c r="K4943" s="6" t="b">
        <f t="shared" ref="K4943:M4943" si="4730">FALSE()</f>
        <v>0</v>
      </c>
      <c r="L4943" s="6" t="b">
        <f t="shared" si="4730"/>
        <v>0</v>
      </c>
      <c r="M4943" s="6" t="b">
        <f t="shared" si="4730"/>
        <v>0</v>
      </c>
      <c r="N4943" s="4">
        <v>1.31640823365572</v>
      </c>
      <c r="T4943" s="4">
        <f t="shared" si="3"/>
        <v>351</v>
      </c>
      <c r="U4943" s="4" t="str">
        <f t="shared" si="4"/>
        <v/>
      </c>
    </row>
    <row r="4944" ht="15.75" customHeight="1">
      <c r="A4944" s="4" t="s">
        <v>5735</v>
      </c>
      <c r="B4944" s="4" t="s">
        <v>13</v>
      </c>
      <c r="C4944" s="4">
        <v>1.116</v>
      </c>
      <c r="D4944" s="4">
        <v>0.087</v>
      </c>
      <c r="E4944" s="4">
        <v>0.087</v>
      </c>
      <c r="K4944" s="6" t="b">
        <f t="shared" ref="K4944:M4944" si="4731">FALSE()</f>
        <v>0</v>
      </c>
      <c r="L4944" s="6" t="b">
        <f t="shared" si="4731"/>
        <v>0</v>
      </c>
      <c r="M4944" s="6" t="b">
        <f t="shared" si="4731"/>
        <v>0</v>
      </c>
      <c r="N4944" s="4">
        <v>0.749527513996053</v>
      </c>
      <c r="T4944" s="4">
        <f t="shared" si="3"/>
        <v>618</v>
      </c>
      <c r="U4944" s="4" t="str">
        <f t="shared" si="4"/>
        <v/>
      </c>
    </row>
    <row r="4945" ht="15.75" customHeight="1">
      <c r="A4945" s="4" t="s">
        <v>5736</v>
      </c>
      <c r="B4945" s="4" t="s">
        <v>13</v>
      </c>
      <c r="C4945" s="4">
        <v>0.47</v>
      </c>
      <c r="D4945" s="4">
        <v>0.26</v>
      </c>
      <c r="E4945" s="4">
        <v>0.54</v>
      </c>
      <c r="K4945" s="6" t="b">
        <f t="shared" ref="K4945:M4945" si="4732">FALSE()</f>
        <v>0</v>
      </c>
      <c r="L4945" s="6" t="b">
        <f t="shared" si="4732"/>
        <v>0</v>
      </c>
      <c r="M4945" s="6" t="b">
        <f t="shared" si="4732"/>
        <v>0</v>
      </c>
      <c r="N4945" s="4">
        <v>0.385262400790645</v>
      </c>
      <c r="T4945" s="4">
        <f t="shared" si="3"/>
        <v>969</v>
      </c>
      <c r="U4945" s="4" t="str">
        <f t="shared" si="4"/>
        <v/>
      </c>
    </row>
    <row r="4946" ht="15.75" customHeight="1">
      <c r="A4946" s="4" t="s">
        <v>5737</v>
      </c>
      <c r="B4946" s="4" t="s">
        <v>13</v>
      </c>
      <c r="C4946" s="4">
        <v>0.25</v>
      </c>
      <c r="D4946" s="4">
        <v>0.12</v>
      </c>
      <c r="E4946" s="4">
        <v>0.12</v>
      </c>
      <c r="K4946" s="6" t="b">
        <f t="shared" ref="K4946:M4946" si="4733">FALSE()</f>
        <v>0</v>
      </c>
      <c r="L4946" s="6" t="b">
        <f t="shared" si="4733"/>
        <v>0</v>
      </c>
      <c r="M4946" s="6" t="b">
        <f t="shared" si="4733"/>
        <v>0</v>
      </c>
      <c r="N4946" s="4">
        <v>0.22314355131421</v>
      </c>
      <c r="T4946" s="4">
        <f t="shared" si="3"/>
        <v>1113</v>
      </c>
      <c r="U4946" s="4" t="str">
        <f t="shared" si="4"/>
        <v/>
      </c>
    </row>
    <row r="4947" ht="15.75" customHeight="1">
      <c r="A4947" s="4" t="s">
        <v>5738</v>
      </c>
      <c r="B4947" s="4" t="s">
        <v>13</v>
      </c>
      <c r="C4947" s="4">
        <v>0.11</v>
      </c>
      <c r="D4947" s="4">
        <v>0.028</v>
      </c>
      <c r="E4947" s="4">
        <v>0.053</v>
      </c>
      <c r="K4947" s="6" t="b">
        <f t="shared" ref="K4947:M4947" si="4734">FALSE()</f>
        <v>0</v>
      </c>
      <c r="L4947" s="6" t="b">
        <f t="shared" si="4734"/>
        <v>0</v>
      </c>
      <c r="M4947" s="6" t="b">
        <f t="shared" si="4734"/>
        <v>0</v>
      </c>
      <c r="N4947" s="4">
        <v>0.104360015324243</v>
      </c>
      <c r="T4947" s="4">
        <f t="shared" si="3"/>
        <v>1248</v>
      </c>
      <c r="U4947" s="4" t="str">
        <f t="shared" si="4"/>
        <v/>
      </c>
    </row>
    <row r="4948" ht="15.75" customHeight="1">
      <c r="A4948" s="4" t="s">
        <v>5739</v>
      </c>
      <c r="B4948" s="4" t="s">
        <v>13</v>
      </c>
      <c r="C4948" s="4">
        <v>0.26</v>
      </c>
      <c r="D4948" s="4">
        <v>0.028</v>
      </c>
      <c r="E4948" s="4">
        <v>0.028</v>
      </c>
      <c r="K4948" s="6" t="b">
        <f t="shared" ref="K4948:M4948" si="4735">FALSE()</f>
        <v>0</v>
      </c>
      <c r="L4948" s="6" t="b">
        <f t="shared" si="4735"/>
        <v>0</v>
      </c>
      <c r="M4948" s="6" t="b">
        <f t="shared" si="4735"/>
        <v>0</v>
      </c>
      <c r="N4948" s="4">
        <v>0.231111720963387</v>
      </c>
      <c r="T4948" s="4">
        <f t="shared" si="3"/>
        <v>1102</v>
      </c>
      <c r="U4948" s="4" t="str">
        <f t="shared" si="4"/>
        <v/>
      </c>
    </row>
    <row r="4949" ht="15.75" customHeight="1">
      <c r="A4949" s="4" t="s">
        <v>5740</v>
      </c>
      <c r="B4949" s="4" t="s">
        <v>13</v>
      </c>
      <c r="C4949" s="4">
        <v>0.005222918</v>
      </c>
      <c r="D4949" s="4">
        <v>5.6634E-4</v>
      </c>
      <c r="E4949" s="4">
        <v>5.6634E-4</v>
      </c>
      <c r="K4949" s="6" t="b">
        <f t="shared" ref="K4949:M4949" si="4736">FALSE()</f>
        <v>0</v>
      </c>
      <c r="L4949" s="6" t="b">
        <f t="shared" si="4736"/>
        <v>0</v>
      </c>
      <c r="M4949" s="6" t="b">
        <f t="shared" si="4736"/>
        <v>0</v>
      </c>
      <c r="N4949" s="4">
        <v>0.0052093258702936</v>
      </c>
      <c r="T4949" s="4">
        <f t="shared" si="3"/>
        <v>2021</v>
      </c>
      <c r="U4949" s="4" t="str">
        <f t="shared" si="4"/>
        <v/>
      </c>
    </row>
    <row r="4950" ht="15.75" customHeight="1">
      <c r="A4950" s="4" t="s">
        <v>5741</v>
      </c>
      <c r="B4950" s="4" t="s">
        <v>13</v>
      </c>
      <c r="C4950" s="4">
        <v>10.08</v>
      </c>
      <c r="D4950" s="4">
        <v>3.6</v>
      </c>
      <c r="E4950" s="4">
        <v>3.6</v>
      </c>
      <c r="K4950" s="6" t="b">
        <f>TRUE()</f>
        <v>1</v>
      </c>
      <c r="L4950" s="6" t="b">
        <f t="shared" ref="L4950:M4950" si="4737">FALSE()</f>
        <v>0</v>
      </c>
      <c r="M4950" s="6" t="b">
        <f t="shared" si="4737"/>
        <v>0</v>
      </c>
      <c r="N4950" s="4">
        <v>2.40514168131914</v>
      </c>
      <c r="T4950" s="4">
        <f t="shared" si="3"/>
        <v>55</v>
      </c>
      <c r="U4950" s="4" t="str">
        <f t="shared" si="4"/>
        <v/>
      </c>
    </row>
    <row r="4951" ht="15.75" customHeight="1">
      <c r="A4951" s="4" t="s">
        <v>5742</v>
      </c>
      <c r="B4951" s="4" t="s">
        <v>13</v>
      </c>
      <c r="C4951" s="4">
        <v>0.64</v>
      </c>
      <c r="D4951" s="4">
        <v>0.31</v>
      </c>
      <c r="E4951" s="4">
        <v>0.35</v>
      </c>
      <c r="K4951" s="6" t="b">
        <f t="shared" ref="K4951:M4951" si="4738">FALSE()</f>
        <v>0</v>
      </c>
      <c r="L4951" s="6" t="b">
        <f t="shared" si="4738"/>
        <v>0</v>
      </c>
      <c r="M4951" s="6" t="b">
        <f t="shared" si="4738"/>
        <v>0</v>
      </c>
      <c r="N4951" s="4">
        <v>0.494696241836107</v>
      </c>
      <c r="T4951" s="4">
        <f t="shared" si="3"/>
        <v>858</v>
      </c>
      <c r="U4951" s="4" t="str">
        <f t="shared" si="4"/>
        <v/>
      </c>
    </row>
    <row r="4952" ht="15.75" customHeight="1">
      <c r="A4952" s="4" t="s">
        <v>5743</v>
      </c>
      <c r="B4952" s="4" t="s">
        <v>13</v>
      </c>
      <c r="C4952" s="4">
        <v>2.8</v>
      </c>
      <c r="D4952" s="4">
        <v>1.5</v>
      </c>
      <c r="E4952" s="4">
        <v>2.5</v>
      </c>
      <c r="K4952" s="6" t="b">
        <f t="shared" ref="K4952:M4952" si="4739">FALSE()</f>
        <v>0</v>
      </c>
      <c r="L4952" s="6" t="b">
        <f t="shared" si="4739"/>
        <v>0</v>
      </c>
      <c r="M4952" s="6" t="b">
        <f t="shared" si="4739"/>
        <v>0</v>
      </c>
      <c r="N4952" s="4">
        <v>1.33500106673234</v>
      </c>
      <c r="T4952" s="4">
        <f t="shared" si="3"/>
        <v>338</v>
      </c>
      <c r="U4952" s="4" t="str">
        <f t="shared" si="4"/>
        <v/>
      </c>
    </row>
    <row r="4953" ht="15.75" customHeight="1">
      <c r="A4953" s="4" t="s">
        <v>5744</v>
      </c>
      <c r="B4953" s="4" t="s">
        <v>13</v>
      </c>
      <c r="C4953" s="4">
        <v>0.64</v>
      </c>
      <c r="D4953" s="4">
        <v>0.044</v>
      </c>
      <c r="E4953" s="4">
        <v>0.044</v>
      </c>
      <c r="K4953" s="6" t="b">
        <f t="shared" ref="K4953:M4953" si="4740">FALSE()</f>
        <v>0</v>
      </c>
      <c r="L4953" s="6" t="b">
        <f t="shared" si="4740"/>
        <v>0</v>
      </c>
      <c r="M4953" s="6" t="b">
        <f t="shared" si="4740"/>
        <v>0</v>
      </c>
      <c r="N4953" s="4">
        <v>0.494696241836107</v>
      </c>
      <c r="T4953" s="4">
        <f t="shared" si="3"/>
        <v>859</v>
      </c>
      <c r="U4953" s="4" t="str">
        <f t="shared" si="4"/>
        <v/>
      </c>
    </row>
    <row r="4954" ht="15.75" customHeight="1">
      <c r="A4954" s="4" t="s">
        <v>5745</v>
      </c>
      <c r="B4954" s="4" t="s">
        <v>13</v>
      </c>
      <c r="C4954" s="4">
        <v>4.35</v>
      </c>
      <c r="D4954" s="4">
        <v>1.9</v>
      </c>
      <c r="E4954" s="4">
        <v>70.0</v>
      </c>
      <c r="K4954" s="6" t="b">
        <f>TRUE()</f>
        <v>1</v>
      </c>
      <c r="L4954" s="6" t="b">
        <f t="shared" ref="L4954:M4954" si="4741">FALSE()</f>
        <v>0</v>
      </c>
      <c r="M4954" s="6" t="b">
        <f t="shared" si="4741"/>
        <v>0</v>
      </c>
      <c r="N4954" s="4">
        <v>1.67709656090792</v>
      </c>
      <c r="T4954" s="4">
        <f t="shared" si="3"/>
        <v>239</v>
      </c>
      <c r="U4954" s="4" t="str">
        <f t="shared" si="4"/>
        <v/>
      </c>
    </row>
    <row r="4955" ht="15.75" customHeight="1">
      <c r="A4955" s="4" t="s">
        <v>5746</v>
      </c>
      <c r="B4955" s="4" t="s">
        <v>13</v>
      </c>
      <c r="C4955" s="4">
        <v>0.57</v>
      </c>
      <c r="D4955" s="4">
        <v>0.31</v>
      </c>
      <c r="E4955" s="4">
        <v>0.36</v>
      </c>
      <c r="K4955" s="6" t="b">
        <f t="shared" ref="K4955:M4955" si="4742">FALSE()</f>
        <v>0</v>
      </c>
      <c r="L4955" s="6" t="b">
        <f t="shared" si="4742"/>
        <v>0</v>
      </c>
      <c r="M4955" s="6" t="b">
        <f t="shared" si="4742"/>
        <v>0</v>
      </c>
      <c r="N4955" s="4">
        <v>0.451075619360217</v>
      </c>
      <c r="T4955" s="4">
        <f t="shared" si="3"/>
        <v>914</v>
      </c>
      <c r="U4955" s="4" t="str">
        <f t="shared" si="4"/>
        <v/>
      </c>
    </row>
    <row r="4956" ht="15.75" customHeight="1">
      <c r="A4956" s="4" t="s">
        <v>5747</v>
      </c>
      <c r="B4956" s="4" t="s">
        <v>13</v>
      </c>
      <c r="C4956" s="4">
        <v>3.68</v>
      </c>
      <c r="D4956" s="4">
        <v>1.44</v>
      </c>
      <c r="E4956" s="4">
        <v>0.77</v>
      </c>
      <c r="K4956" s="6" t="b">
        <f>TRUE()</f>
        <v>1</v>
      </c>
      <c r="L4956" s="6" t="b">
        <f t="shared" ref="L4956:M4956" si="4743">FALSE()</f>
        <v>0</v>
      </c>
      <c r="M4956" s="6" t="b">
        <f t="shared" si="4743"/>
        <v>0</v>
      </c>
      <c r="N4956" s="4">
        <v>1.54329810992956</v>
      </c>
      <c r="T4956" s="4">
        <f t="shared" si="3"/>
        <v>277</v>
      </c>
      <c r="U4956" s="4" t="str">
        <f t="shared" si="4"/>
        <v/>
      </c>
    </row>
    <row r="4957" ht="15.75" customHeight="1">
      <c r="A4957" s="4" t="s">
        <v>5748</v>
      </c>
      <c r="B4957" s="4" t="s">
        <v>13</v>
      </c>
      <c r="C4957" s="4">
        <v>0.142</v>
      </c>
      <c r="D4957" s="4">
        <v>0.028</v>
      </c>
      <c r="E4957" s="4">
        <v>0.028</v>
      </c>
      <c r="K4957" s="6" t="b">
        <f t="shared" ref="K4957:M4957" si="4744">FALSE()</f>
        <v>0</v>
      </c>
      <c r="L4957" s="6" t="b">
        <f t="shared" si="4744"/>
        <v>0</v>
      </c>
      <c r="M4957" s="6" t="b">
        <f t="shared" si="4744"/>
        <v>0</v>
      </c>
      <c r="N4957" s="4">
        <v>0.132781111233818</v>
      </c>
      <c r="T4957" s="4">
        <f t="shared" si="3"/>
        <v>1204</v>
      </c>
      <c r="U4957" s="4" t="str">
        <f t="shared" si="4"/>
        <v/>
      </c>
    </row>
    <row r="4958" ht="15.75" customHeight="1">
      <c r="A4958" s="4" t="s">
        <v>5749</v>
      </c>
      <c r="B4958" s="4" t="s">
        <v>13</v>
      </c>
      <c r="C4958" s="4">
        <v>0.174</v>
      </c>
      <c r="D4958" s="4">
        <v>0.104</v>
      </c>
      <c r="E4958" s="4">
        <v>0.16</v>
      </c>
      <c r="K4958" s="6" t="b">
        <f t="shared" ref="K4958:M4958" si="4745">FALSE()</f>
        <v>0</v>
      </c>
      <c r="L4958" s="6" t="b">
        <f t="shared" si="4745"/>
        <v>0</v>
      </c>
      <c r="M4958" s="6" t="b">
        <f t="shared" si="4745"/>
        <v>0</v>
      </c>
      <c r="N4958" s="4">
        <v>0.160416721405905</v>
      </c>
      <c r="T4958" s="4">
        <f t="shared" si="3"/>
        <v>1179</v>
      </c>
      <c r="U4958" s="4" t="str">
        <f t="shared" si="4"/>
        <v/>
      </c>
    </row>
    <row r="4959" ht="15.75" customHeight="1">
      <c r="A4959" s="4" t="s">
        <v>5750</v>
      </c>
      <c r="B4959" s="4" t="s">
        <v>13</v>
      </c>
      <c r="C4959" s="4">
        <v>0.2633</v>
      </c>
      <c r="D4959" s="4">
        <v>0.16</v>
      </c>
      <c r="E4959" s="4">
        <v>0.271</v>
      </c>
      <c r="K4959" s="6" t="b">
        <f t="shared" ref="K4959:M4959" si="4746">FALSE()</f>
        <v>0</v>
      </c>
      <c r="L4959" s="6" t="b">
        <f t="shared" si="4746"/>
        <v>0</v>
      </c>
      <c r="M4959" s="6" t="b">
        <f t="shared" si="4746"/>
        <v>0</v>
      </c>
      <c r="N4959" s="4">
        <v>0.233727344853855</v>
      </c>
      <c r="T4959" s="4">
        <f t="shared" si="3"/>
        <v>1097</v>
      </c>
      <c r="U4959" s="4" t="str">
        <f t="shared" si="4"/>
        <v/>
      </c>
    </row>
    <row r="4960" ht="15.75" customHeight="1">
      <c r="A4960" s="4" t="s">
        <v>5751</v>
      </c>
      <c r="B4960" s="4" t="s">
        <v>13</v>
      </c>
      <c r="C4960" s="4">
        <v>0.931</v>
      </c>
      <c r="D4960" s="4">
        <v>0.12</v>
      </c>
      <c r="E4960" s="4">
        <v>0.12</v>
      </c>
      <c r="K4960" s="6" t="b">
        <f t="shared" ref="K4960:M4960" si="4747">FALSE()</f>
        <v>0</v>
      </c>
      <c r="L4960" s="6" t="b">
        <f t="shared" si="4747"/>
        <v>0</v>
      </c>
      <c r="M4960" s="6" t="b">
        <f t="shared" si="4747"/>
        <v>0</v>
      </c>
      <c r="N4960" s="4">
        <v>0.658038003446377</v>
      </c>
      <c r="T4960" s="4">
        <f t="shared" si="3"/>
        <v>695</v>
      </c>
      <c r="U4960" s="4" t="str">
        <f t="shared" si="4"/>
        <v/>
      </c>
    </row>
    <row r="4961" ht="15.75" customHeight="1">
      <c r="A4961" s="4" t="s">
        <v>5752</v>
      </c>
      <c r="B4961" s="4" t="s">
        <v>13</v>
      </c>
      <c r="C4961" s="4">
        <v>0.72</v>
      </c>
      <c r="D4961" s="4">
        <v>0.07</v>
      </c>
      <c r="E4961" s="4">
        <v>0.65</v>
      </c>
      <c r="K4961" s="6" t="b">
        <f t="shared" ref="K4961:M4961" si="4748">FALSE()</f>
        <v>0</v>
      </c>
      <c r="L4961" s="6" t="b">
        <f t="shared" si="4748"/>
        <v>0</v>
      </c>
      <c r="M4961" s="6" t="b">
        <f t="shared" si="4748"/>
        <v>0</v>
      </c>
      <c r="N4961" s="4">
        <v>0.542324290825362</v>
      </c>
      <c r="T4961" s="4">
        <f t="shared" si="3"/>
        <v>810</v>
      </c>
      <c r="U4961" s="4" t="str">
        <f t="shared" si="4"/>
        <v/>
      </c>
    </row>
    <row r="4962" ht="15.75" customHeight="1">
      <c r="A4962" s="4" t="s">
        <v>5753</v>
      </c>
      <c r="B4962" s="4" t="s">
        <v>13</v>
      </c>
      <c r="C4962" s="4">
        <v>4.4</v>
      </c>
      <c r="D4962" s="4">
        <v>1.6</v>
      </c>
      <c r="E4962" s="4">
        <v>1.6</v>
      </c>
      <c r="K4962" s="6" t="b">
        <f>TRUE()</f>
        <v>1</v>
      </c>
      <c r="L4962" s="6" t="b">
        <f t="shared" ref="L4962:M4962" si="4749">FALSE()</f>
        <v>0</v>
      </c>
      <c r="M4962" s="6" t="b">
        <f t="shared" si="4749"/>
        <v>0</v>
      </c>
      <c r="N4962" s="4">
        <v>1.68639895357023</v>
      </c>
      <c r="T4962" s="4">
        <f t="shared" si="3"/>
        <v>233</v>
      </c>
      <c r="U4962" s="4" t="str">
        <f t="shared" si="4"/>
        <v/>
      </c>
    </row>
    <row r="4963" ht="15.75" customHeight="1">
      <c r="A4963" s="4" t="s">
        <v>5754</v>
      </c>
      <c r="B4963" s="4" t="s">
        <v>13</v>
      </c>
      <c r="C4963" s="4">
        <v>0.066</v>
      </c>
      <c r="D4963" s="4">
        <v>0.006</v>
      </c>
      <c r="E4963" s="4">
        <v>0.006</v>
      </c>
      <c r="K4963" s="6" t="b">
        <f t="shared" ref="K4963:M4963" si="4750">FALSE()</f>
        <v>0</v>
      </c>
      <c r="L4963" s="6" t="b">
        <f t="shared" si="4750"/>
        <v>0</v>
      </c>
      <c r="M4963" s="6" t="b">
        <f t="shared" si="4750"/>
        <v>0</v>
      </c>
      <c r="N4963" s="4">
        <v>0.0639133257436528</v>
      </c>
      <c r="T4963" s="4">
        <f t="shared" si="3"/>
        <v>1337</v>
      </c>
      <c r="U4963" s="4" t="str">
        <f t="shared" si="4"/>
        <v/>
      </c>
    </row>
    <row r="4964" ht="15.75" customHeight="1">
      <c r="A4964" s="4" t="s">
        <v>5755</v>
      </c>
      <c r="B4964" s="4" t="s">
        <v>13</v>
      </c>
      <c r="C4964" s="4">
        <v>0.24</v>
      </c>
      <c r="D4964" s="4">
        <v>0.17</v>
      </c>
      <c r="E4964" s="4">
        <v>0.9</v>
      </c>
      <c r="K4964" s="6" t="b">
        <f t="shared" ref="K4964:M4964" si="4751">FALSE()</f>
        <v>0</v>
      </c>
      <c r="L4964" s="6" t="b">
        <f t="shared" si="4751"/>
        <v>0</v>
      </c>
      <c r="M4964" s="6" t="b">
        <f t="shared" si="4751"/>
        <v>0</v>
      </c>
      <c r="N4964" s="4">
        <v>0.215111379616946</v>
      </c>
      <c r="T4964" s="4">
        <f t="shared" si="3"/>
        <v>1119</v>
      </c>
      <c r="U4964" s="4" t="str">
        <f t="shared" si="4"/>
        <v/>
      </c>
    </row>
    <row r="4965" ht="15.75" customHeight="1">
      <c r="A4965" s="4" t="s">
        <v>5756</v>
      </c>
      <c r="B4965" s="4" t="s">
        <v>13</v>
      </c>
      <c r="C4965" s="4">
        <v>2.54</v>
      </c>
      <c r="D4965" s="4">
        <v>1.4</v>
      </c>
      <c r="E4965" s="4">
        <v>1.5</v>
      </c>
      <c r="K4965" s="6" t="b">
        <f t="shared" ref="K4965:M4965" si="4752">FALSE()</f>
        <v>0</v>
      </c>
      <c r="L4965" s="6" t="b">
        <f t="shared" si="4752"/>
        <v>0</v>
      </c>
      <c r="M4965" s="6" t="b">
        <f t="shared" si="4752"/>
        <v>0</v>
      </c>
      <c r="N4965" s="4">
        <v>1.26412672714568</v>
      </c>
      <c r="T4965" s="4">
        <f t="shared" si="3"/>
        <v>365</v>
      </c>
      <c r="U4965" s="4" t="str">
        <f t="shared" si="4"/>
        <v/>
      </c>
    </row>
    <row r="4966" ht="15.75" customHeight="1">
      <c r="A4966" s="4" t="s">
        <v>5757</v>
      </c>
      <c r="B4966" s="4" t="s">
        <v>13</v>
      </c>
      <c r="C4966" s="4">
        <v>0.0563</v>
      </c>
      <c r="D4966" s="4">
        <v>0.0277</v>
      </c>
      <c r="E4966" s="4">
        <v>0.0302</v>
      </c>
      <c r="K4966" s="6" t="b">
        <f t="shared" ref="K4966:M4966" si="4753">FALSE()</f>
        <v>0</v>
      </c>
      <c r="L4966" s="6" t="b">
        <f t="shared" si="4753"/>
        <v>0</v>
      </c>
      <c r="M4966" s="6" t="b">
        <f t="shared" si="4753"/>
        <v>0</v>
      </c>
      <c r="N4966" s="4">
        <v>0.0547722358469794</v>
      </c>
      <c r="T4966" s="4">
        <f t="shared" si="3"/>
        <v>1373</v>
      </c>
      <c r="U4966" s="4" t="str">
        <f t="shared" si="4"/>
        <v/>
      </c>
    </row>
    <row r="4967" ht="15.75" customHeight="1">
      <c r="A4967" s="4" t="s">
        <v>5758</v>
      </c>
      <c r="B4967" s="4" t="s">
        <v>13</v>
      </c>
      <c r="C4967" s="4">
        <v>0.433</v>
      </c>
      <c r="D4967" s="4">
        <v>0.25</v>
      </c>
      <c r="E4967" s="4">
        <v>0.674</v>
      </c>
      <c r="K4967" s="6" t="b">
        <f t="shared" ref="K4967:M4967" si="4754">FALSE()</f>
        <v>0</v>
      </c>
      <c r="L4967" s="6" t="b">
        <f t="shared" si="4754"/>
        <v>0</v>
      </c>
      <c r="M4967" s="6" t="b">
        <f t="shared" si="4754"/>
        <v>0</v>
      </c>
      <c r="N4967" s="4">
        <v>0.359770148846035</v>
      </c>
      <c r="T4967" s="4">
        <f t="shared" si="3"/>
        <v>991</v>
      </c>
      <c r="U4967" s="4" t="str">
        <f t="shared" si="4"/>
        <v/>
      </c>
    </row>
    <row r="4968" ht="15.75" customHeight="1">
      <c r="A4968" s="4" t="s">
        <v>5759</v>
      </c>
      <c r="B4968" s="4" t="s">
        <v>13</v>
      </c>
      <c r="C4968" s="4">
        <v>0.00415</v>
      </c>
      <c r="D4968" s="4">
        <v>0.0022</v>
      </c>
      <c r="E4968" s="4">
        <v>0.0028</v>
      </c>
      <c r="K4968" s="6" t="b">
        <f t="shared" ref="K4968:M4968" si="4755">FALSE()</f>
        <v>0</v>
      </c>
      <c r="L4968" s="6" t="b">
        <f t="shared" si="4755"/>
        <v>0</v>
      </c>
      <c r="M4968" s="6" t="b">
        <f t="shared" si="4755"/>
        <v>0</v>
      </c>
      <c r="N4968" s="4">
        <v>0.00414141250055</v>
      </c>
      <c r="T4968" s="4">
        <f t="shared" si="3"/>
        <v>2039</v>
      </c>
      <c r="U4968" s="4" t="str">
        <f t="shared" si="4"/>
        <v/>
      </c>
    </row>
    <row r="4969" ht="15.75" customHeight="1">
      <c r="A4969" s="4" t="s">
        <v>5760</v>
      </c>
      <c r="B4969" s="4" t="s">
        <v>13</v>
      </c>
      <c r="C4969" s="4">
        <v>4.1</v>
      </c>
      <c r="D4969" s="4">
        <v>2.5</v>
      </c>
      <c r="E4969" s="4">
        <v>6.5</v>
      </c>
      <c r="K4969" s="6" t="b">
        <f t="shared" ref="K4969:K4971" si="4757">TRUE()</f>
        <v>1</v>
      </c>
      <c r="L4969" s="6" t="b">
        <f t="shared" ref="L4969:M4969" si="4756">FALSE()</f>
        <v>0</v>
      </c>
      <c r="M4969" s="6" t="b">
        <f t="shared" si="4756"/>
        <v>0</v>
      </c>
      <c r="N4969" s="4">
        <v>1.62924053973028</v>
      </c>
      <c r="T4969" s="4">
        <f t="shared" si="3"/>
        <v>253</v>
      </c>
      <c r="U4969" s="4" t="str">
        <f t="shared" si="4"/>
        <v/>
      </c>
    </row>
    <row r="4970" ht="15.75" customHeight="1">
      <c r="A4970" s="4" t="s">
        <v>5761</v>
      </c>
      <c r="B4970" s="4" t="s">
        <v>13</v>
      </c>
      <c r="C4970" s="4">
        <v>12.2</v>
      </c>
      <c r="K4970" s="6" t="b">
        <f t="shared" si="4757"/>
        <v>1</v>
      </c>
      <c r="L4970" s="6" t="b">
        <f t="shared" ref="L4970:M4970" si="4758">FALSE()</f>
        <v>0</v>
      </c>
      <c r="M4970" s="6" t="b">
        <f t="shared" si="4758"/>
        <v>0</v>
      </c>
      <c r="N4970" s="4">
        <v>2.58021682959233</v>
      </c>
      <c r="T4970" s="4">
        <f t="shared" si="3"/>
        <v>12</v>
      </c>
      <c r="U4970" s="4" t="str">
        <f t="shared" si="4"/>
        <v/>
      </c>
    </row>
    <row r="4971" ht="15.75" customHeight="1">
      <c r="A4971" s="4" t="s">
        <v>5762</v>
      </c>
      <c r="B4971" s="4" t="s">
        <v>13</v>
      </c>
      <c r="C4971" s="4">
        <v>4.18</v>
      </c>
      <c r="D4971" s="4">
        <v>2.43</v>
      </c>
      <c r="E4971" s="4">
        <v>3.19</v>
      </c>
      <c r="K4971" s="6" t="b">
        <f t="shared" si="4757"/>
        <v>1</v>
      </c>
      <c r="L4971" s="6" t="b">
        <f t="shared" ref="L4971:M4971" si="4759">FALSE()</f>
        <v>0</v>
      </c>
      <c r="M4971" s="6" t="b">
        <f t="shared" si="4759"/>
        <v>0</v>
      </c>
      <c r="N4971" s="4">
        <v>1.64480505627139</v>
      </c>
      <c r="T4971" s="4">
        <f t="shared" si="3"/>
        <v>247</v>
      </c>
      <c r="U4971" s="4" t="str">
        <f t="shared" si="4"/>
        <v/>
      </c>
    </row>
    <row r="4972" ht="15.75" customHeight="1">
      <c r="A4972" s="4" t="s">
        <v>5763</v>
      </c>
      <c r="B4972" s="4" t="s">
        <v>13</v>
      </c>
      <c r="C4972" s="4">
        <v>0.43</v>
      </c>
      <c r="D4972" s="4">
        <v>0.17</v>
      </c>
      <c r="E4972" s="4">
        <v>0.21</v>
      </c>
      <c r="K4972" s="6" t="b">
        <f t="shared" ref="K4972:M4972" si="4760">FALSE()</f>
        <v>0</v>
      </c>
      <c r="L4972" s="6" t="b">
        <f t="shared" si="4760"/>
        <v>0</v>
      </c>
      <c r="M4972" s="6" t="b">
        <f t="shared" si="4760"/>
        <v>0</v>
      </c>
      <c r="N4972" s="4">
        <v>0.357674444271816</v>
      </c>
      <c r="T4972" s="4">
        <f t="shared" si="3"/>
        <v>995</v>
      </c>
      <c r="U4972" s="4" t="str">
        <f t="shared" si="4"/>
        <v/>
      </c>
    </row>
    <row r="4973" ht="15.75" customHeight="1">
      <c r="A4973" s="4" t="s">
        <v>5764</v>
      </c>
      <c r="B4973" s="4" t="s">
        <v>13</v>
      </c>
      <c r="C4973" s="4">
        <v>0.71</v>
      </c>
      <c r="D4973" s="4">
        <v>0.13</v>
      </c>
      <c r="E4973" s="4">
        <v>0.13</v>
      </c>
      <c r="K4973" s="6" t="b">
        <f t="shared" ref="K4973:M4973" si="4761">FALSE()</f>
        <v>0</v>
      </c>
      <c r="L4973" s="6" t="b">
        <f t="shared" si="4761"/>
        <v>0</v>
      </c>
      <c r="M4973" s="6" t="b">
        <f t="shared" si="4761"/>
        <v>0</v>
      </c>
      <c r="N4973" s="4">
        <v>0.536493370514569</v>
      </c>
      <c r="T4973" s="4">
        <f t="shared" si="3"/>
        <v>814</v>
      </c>
      <c r="U4973" s="4" t="str">
        <f t="shared" si="4"/>
        <v/>
      </c>
    </row>
    <row r="4974" ht="15.75" customHeight="1">
      <c r="A4974" s="4" t="s">
        <v>5765</v>
      </c>
      <c r="B4974" s="4" t="s">
        <v>13</v>
      </c>
      <c r="C4974" s="4">
        <v>0.0045</v>
      </c>
      <c r="D4974" s="4">
        <v>0.001</v>
      </c>
      <c r="E4974" s="4">
        <v>0.0014</v>
      </c>
      <c r="K4974" s="6" t="b">
        <f t="shared" ref="K4974:M4974" si="4762">FALSE()</f>
        <v>0</v>
      </c>
      <c r="L4974" s="6" t="b">
        <f t="shared" si="4762"/>
        <v>0</v>
      </c>
      <c r="M4974" s="6" t="b">
        <f t="shared" si="4762"/>
        <v>0</v>
      </c>
      <c r="N4974" s="4">
        <v>0.004489905272852</v>
      </c>
      <c r="T4974" s="4">
        <f t="shared" si="3"/>
        <v>2033</v>
      </c>
      <c r="U4974" s="4" t="str">
        <f t="shared" si="4"/>
        <v/>
      </c>
    </row>
    <row r="4975" ht="15.75" customHeight="1">
      <c r="A4975" s="4" t="s">
        <v>5766</v>
      </c>
      <c r="B4975" s="4" t="s">
        <v>13</v>
      </c>
      <c r="C4975" s="4">
        <v>0.79</v>
      </c>
      <c r="D4975" s="4">
        <v>0.39</v>
      </c>
      <c r="E4975" s="4">
        <v>1.3</v>
      </c>
      <c r="K4975" s="6" t="b">
        <f t="shared" ref="K4975:M4975" si="4763">FALSE()</f>
        <v>0</v>
      </c>
      <c r="L4975" s="6" t="b">
        <f t="shared" si="4763"/>
        <v>0</v>
      </c>
      <c r="M4975" s="6" t="b">
        <f t="shared" si="4763"/>
        <v>0</v>
      </c>
      <c r="N4975" s="4">
        <v>0.582215619852664</v>
      </c>
      <c r="T4975" s="4">
        <f t="shared" si="3"/>
        <v>779</v>
      </c>
      <c r="U4975" s="4" t="str">
        <f t="shared" si="4"/>
        <v/>
      </c>
    </row>
    <row r="4976" ht="15.75" customHeight="1">
      <c r="A4976" s="4" t="s">
        <v>5767</v>
      </c>
      <c r="B4976" s="4" t="s">
        <v>13</v>
      </c>
      <c r="C4976" s="4">
        <v>5.91</v>
      </c>
      <c r="D4976" s="4">
        <v>1.74</v>
      </c>
      <c r="E4976" s="4">
        <v>1.74</v>
      </c>
      <c r="K4976" s="6" t="b">
        <f t="shared" ref="K4976:K4977" si="4765">TRUE()</f>
        <v>1</v>
      </c>
      <c r="L4976" s="6" t="b">
        <f t="shared" ref="L4976:M4976" si="4764">FALSE()</f>
        <v>0</v>
      </c>
      <c r="M4976" s="6" t="b">
        <f t="shared" si="4764"/>
        <v>0</v>
      </c>
      <c r="N4976" s="4">
        <v>1.93296963777958</v>
      </c>
      <c r="T4976" s="4">
        <f t="shared" si="3"/>
        <v>172</v>
      </c>
      <c r="U4976" s="4" t="str">
        <f t="shared" si="4"/>
        <v/>
      </c>
    </row>
    <row r="4977" ht="15.75" customHeight="1">
      <c r="A4977" s="4" t="s">
        <v>5768</v>
      </c>
      <c r="B4977" s="4" t="s">
        <v>13</v>
      </c>
      <c r="C4977" s="4">
        <v>11.49</v>
      </c>
      <c r="D4977" s="4">
        <v>8.0</v>
      </c>
      <c r="E4977" s="4">
        <v>8.0</v>
      </c>
      <c r="K4977" s="6" t="b">
        <f t="shared" si="4765"/>
        <v>1</v>
      </c>
      <c r="L4977" s="6" t="b">
        <f t="shared" ref="L4977:M4977" si="4766">FALSE()</f>
        <v>0</v>
      </c>
      <c r="M4977" s="6" t="b">
        <f t="shared" si="4766"/>
        <v>0</v>
      </c>
      <c r="N4977" s="4">
        <v>2.52492832413749</v>
      </c>
      <c r="T4977" s="4">
        <f t="shared" si="3"/>
        <v>26</v>
      </c>
      <c r="U4977" s="4" t="str">
        <f t="shared" si="4"/>
        <v/>
      </c>
    </row>
    <row r="4978" ht="15.75" customHeight="1">
      <c r="A4978" s="4" t="s">
        <v>5769</v>
      </c>
      <c r="B4978" s="4" t="s">
        <v>13</v>
      </c>
      <c r="C4978" s="4">
        <v>2.59</v>
      </c>
      <c r="D4978" s="4">
        <v>1.46</v>
      </c>
      <c r="E4978" s="4">
        <v>1.46</v>
      </c>
      <c r="K4978" s="6" t="b">
        <f t="shared" ref="K4978:M4978" si="4767">FALSE()</f>
        <v>0</v>
      </c>
      <c r="L4978" s="6" t="b">
        <f t="shared" si="4767"/>
        <v>0</v>
      </c>
      <c r="M4978" s="6" t="b">
        <f t="shared" si="4767"/>
        <v>0</v>
      </c>
      <c r="N4978" s="4">
        <v>1.27815220250019</v>
      </c>
      <c r="T4978" s="4">
        <f t="shared" si="3"/>
        <v>361</v>
      </c>
      <c r="U4978" s="4" t="str">
        <f t="shared" si="4"/>
        <v/>
      </c>
    </row>
    <row r="4979" ht="15.75" customHeight="1">
      <c r="A4979" s="4" t="s">
        <v>5770</v>
      </c>
      <c r="B4979" s="4" t="s">
        <v>13</v>
      </c>
      <c r="C4979" s="4">
        <v>0.02936</v>
      </c>
      <c r="D4979" s="4">
        <v>0.0123</v>
      </c>
      <c r="E4979" s="4">
        <v>0.0123</v>
      </c>
      <c r="K4979" s="6" t="b">
        <f t="shared" ref="K4979:M4979" si="4768">FALSE()</f>
        <v>0</v>
      </c>
      <c r="L4979" s="6" t="b">
        <f t="shared" si="4768"/>
        <v>0</v>
      </c>
      <c r="M4979" s="6" t="b">
        <f t="shared" si="4768"/>
        <v>0</v>
      </c>
      <c r="N4979" s="4">
        <v>0.0289372498945976</v>
      </c>
      <c r="T4979" s="4">
        <f t="shared" si="3"/>
        <v>1562</v>
      </c>
      <c r="U4979" s="4" t="str">
        <f t="shared" si="4"/>
        <v/>
      </c>
    </row>
    <row r="4980" ht="15.75" customHeight="1">
      <c r="A4980" s="4" t="s">
        <v>5771</v>
      </c>
      <c r="B4980" s="4" t="s">
        <v>13</v>
      </c>
      <c r="C4980" s="4">
        <v>9.08</v>
      </c>
      <c r="D4980" s="4">
        <v>5.7</v>
      </c>
      <c r="E4980" s="4">
        <v>10.85</v>
      </c>
      <c r="K4980" s="6" t="b">
        <f>TRUE()</f>
        <v>1</v>
      </c>
      <c r="L4980" s="6" t="b">
        <f t="shared" ref="L4980:M4980" si="4769">FALSE()</f>
        <v>0</v>
      </c>
      <c r="M4980" s="6" t="b">
        <f t="shared" si="4769"/>
        <v>0</v>
      </c>
      <c r="N4980" s="4">
        <v>2.31055326264322</v>
      </c>
      <c r="T4980" s="4">
        <f t="shared" si="3"/>
        <v>75</v>
      </c>
      <c r="U4980" s="4" t="str">
        <f t="shared" si="4"/>
        <v/>
      </c>
    </row>
    <row r="4981" ht="15.75" customHeight="1">
      <c r="A4981" s="4" t="s">
        <v>5772</v>
      </c>
      <c r="B4981" s="4" t="s">
        <v>13</v>
      </c>
      <c r="C4981" s="4">
        <v>0.2385</v>
      </c>
      <c r="D4981" s="4">
        <v>0.135</v>
      </c>
      <c r="E4981" s="4">
        <v>0.173</v>
      </c>
      <c r="K4981" s="6" t="b">
        <f t="shared" ref="K4981:M4981" si="4770">FALSE()</f>
        <v>0</v>
      </c>
      <c r="L4981" s="6" t="b">
        <f t="shared" si="4770"/>
        <v>0</v>
      </c>
      <c r="M4981" s="6" t="b">
        <f t="shared" si="4770"/>
        <v>0</v>
      </c>
      <c r="N4981" s="4">
        <v>0.213900969947277</v>
      </c>
      <c r="T4981" s="4">
        <f t="shared" si="3"/>
        <v>1121</v>
      </c>
      <c r="U4981" s="4" t="str">
        <f t="shared" si="4"/>
        <v/>
      </c>
    </row>
    <row r="4982" ht="15.75" customHeight="1">
      <c r="A4982" s="4" t="s">
        <v>5773</v>
      </c>
      <c r="B4982" s="4" t="s">
        <v>13</v>
      </c>
      <c r="C4982" s="4">
        <v>0.41</v>
      </c>
      <c r="D4982" s="4">
        <v>0.05</v>
      </c>
      <c r="E4982" s="4">
        <v>0.05</v>
      </c>
      <c r="K4982" s="6" t="b">
        <f t="shared" ref="K4982:M4982" si="4771">FALSE()</f>
        <v>0</v>
      </c>
      <c r="L4982" s="6" t="b">
        <f t="shared" si="4771"/>
        <v>0</v>
      </c>
      <c r="M4982" s="6" t="b">
        <f t="shared" si="4771"/>
        <v>0</v>
      </c>
      <c r="N4982" s="4">
        <v>0.343589704390077</v>
      </c>
      <c r="T4982" s="4">
        <f t="shared" si="3"/>
        <v>1007</v>
      </c>
      <c r="U4982" s="4" t="str">
        <f t="shared" si="4"/>
        <v/>
      </c>
    </row>
    <row r="4983" ht="15.75" customHeight="1">
      <c r="A4983" s="4" t="s">
        <v>5774</v>
      </c>
      <c r="B4983" s="4" t="s">
        <v>13</v>
      </c>
      <c r="C4983" s="4">
        <v>7.3</v>
      </c>
      <c r="D4983" s="4">
        <v>4.0</v>
      </c>
      <c r="E4983" s="4">
        <v>8.35</v>
      </c>
      <c r="K4983" s="6" t="b">
        <f t="shared" ref="K4983:K4984" si="4773">TRUE()</f>
        <v>1</v>
      </c>
      <c r="L4983" s="6" t="b">
        <f t="shared" ref="L4983:M4983" si="4772">FALSE()</f>
        <v>0</v>
      </c>
      <c r="M4983" s="6" t="b">
        <f t="shared" si="4772"/>
        <v>0</v>
      </c>
      <c r="N4983" s="4">
        <v>2.11625551480255</v>
      </c>
      <c r="T4983" s="4">
        <f t="shared" si="3"/>
        <v>127</v>
      </c>
      <c r="U4983" s="4" t="str">
        <f t="shared" si="4"/>
        <v/>
      </c>
    </row>
    <row r="4984" ht="15.75" customHeight="1">
      <c r="A4984" s="4" t="s">
        <v>5775</v>
      </c>
      <c r="B4984" s="4" t="s">
        <v>13</v>
      </c>
      <c r="C4984" s="4">
        <v>9.0</v>
      </c>
      <c r="D4984" s="4">
        <v>4.5</v>
      </c>
      <c r="E4984" s="4">
        <v>9.0</v>
      </c>
      <c r="K4984" s="6" t="b">
        <f t="shared" si="4773"/>
        <v>1</v>
      </c>
      <c r="L4984" s="6" t="b">
        <f t="shared" ref="L4984:M4984" si="4774">FALSE()</f>
        <v>0</v>
      </c>
      <c r="M4984" s="6" t="b">
        <f t="shared" si="4774"/>
        <v>0</v>
      </c>
      <c r="N4984" s="4">
        <v>2.30258509299405</v>
      </c>
      <c r="T4984" s="4">
        <f t="shared" si="3"/>
        <v>81</v>
      </c>
      <c r="U4984" s="4" t="str">
        <f t="shared" si="4"/>
        <v/>
      </c>
    </row>
    <row r="4985" ht="15.75" customHeight="1">
      <c r="A4985" s="4" t="s">
        <v>5776</v>
      </c>
      <c r="B4985" s="4" t="s">
        <v>13</v>
      </c>
      <c r="C4985" s="4">
        <v>0.51</v>
      </c>
      <c r="D4985" s="4">
        <v>0.23</v>
      </c>
      <c r="E4985" s="4">
        <v>0.23</v>
      </c>
      <c r="K4985" s="6" t="b">
        <f t="shared" ref="K4985:M4985" si="4775">FALSE()</f>
        <v>0</v>
      </c>
      <c r="L4985" s="6" t="b">
        <f t="shared" si="4775"/>
        <v>0</v>
      </c>
      <c r="M4985" s="6" t="b">
        <f t="shared" si="4775"/>
        <v>0</v>
      </c>
      <c r="N4985" s="4">
        <v>0.412109650826833</v>
      </c>
      <c r="T4985" s="4">
        <f t="shared" si="3"/>
        <v>949</v>
      </c>
      <c r="U4985" s="4" t="str">
        <f t="shared" si="4"/>
        <v/>
      </c>
    </row>
    <row r="4986" ht="15.75" customHeight="1">
      <c r="A4986" s="4" t="s">
        <v>5777</v>
      </c>
      <c r="B4986" s="4" t="s">
        <v>13</v>
      </c>
      <c r="C4986" s="4">
        <v>1.62</v>
      </c>
      <c r="D4986" s="4">
        <v>0.94</v>
      </c>
      <c r="E4986" s="4">
        <v>1.64</v>
      </c>
      <c r="K4986" s="6" t="b">
        <f t="shared" ref="K4986:M4986" si="4776">FALSE()</f>
        <v>0</v>
      </c>
      <c r="L4986" s="6" t="b">
        <f t="shared" si="4776"/>
        <v>0</v>
      </c>
      <c r="M4986" s="6" t="b">
        <f t="shared" si="4776"/>
        <v>0</v>
      </c>
      <c r="N4986" s="4">
        <v>0.963174317773006</v>
      </c>
      <c r="T4986" s="4">
        <f t="shared" si="3"/>
        <v>495</v>
      </c>
      <c r="U4986" s="4" t="str">
        <f t="shared" si="4"/>
        <v/>
      </c>
    </row>
    <row r="4987" ht="15.75" customHeight="1">
      <c r="A4987" s="4" t="s">
        <v>5778</v>
      </c>
      <c r="B4987" s="4" t="s">
        <v>13</v>
      </c>
      <c r="C4987" s="4">
        <v>5.53</v>
      </c>
      <c r="D4987" s="4">
        <v>2.87</v>
      </c>
      <c r="E4987" s="4">
        <v>3.62</v>
      </c>
      <c r="K4987" s="6" t="b">
        <f>TRUE()</f>
        <v>1</v>
      </c>
      <c r="L4987" s="6" t="b">
        <f t="shared" ref="L4987:M4987" si="4777">FALSE()</f>
        <v>0</v>
      </c>
      <c r="M4987" s="6" t="b">
        <f t="shared" si="4777"/>
        <v>0</v>
      </c>
      <c r="N4987" s="4">
        <v>1.87640694328834</v>
      </c>
      <c r="T4987" s="4">
        <f t="shared" si="3"/>
        <v>188</v>
      </c>
      <c r="U4987" s="4" t="str">
        <f t="shared" si="4"/>
        <v/>
      </c>
    </row>
    <row r="4988" ht="15.75" customHeight="1">
      <c r="A4988" s="4" t="s">
        <v>5779</v>
      </c>
      <c r="B4988" s="4" t="s">
        <v>13</v>
      </c>
      <c r="C4988" s="4">
        <v>3.02</v>
      </c>
      <c r="D4988" s="4">
        <v>1.81</v>
      </c>
      <c r="E4988" s="4">
        <v>2.43</v>
      </c>
      <c r="K4988" s="6" t="b">
        <f t="shared" ref="K4988:M4988" si="4778">FALSE()</f>
        <v>0</v>
      </c>
      <c r="L4988" s="6" t="b">
        <f t="shared" si="4778"/>
        <v>0</v>
      </c>
      <c r="M4988" s="6" t="b">
        <f t="shared" si="4778"/>
        <v>0</v>
      </c>
      <c r="N4988" s="4">
        <v>1.39128190263093</v>
      </c>
      <c r="T4988" s="4">
        <f t="shared" si="3"/>
        <v>317</v>
      </c>
      <c r="U4988" s="4" t="str">
        <f t="shared" si="4"/>
        <v/>
      </c>
    </row>
    <row r="4989" ht="15.75" customHeight="1">
      <c r="A4989" s="4" t="s">
        <v>5780</v>
      </c>
      <c r="B4989" s="4" t="s">
        <v>13</v>
      </c>
      <c r="C4989" s="4">
        <v>1.63</v>
      </c>
      <c r="D4989" s="4">
        <v>0.29</v>
      </c>
      <c r="E4989" s="4">
        <v>0.0</v>
      </c>
      <c r="K4989" s="6" t="b">
        <f t="shared" ref="K4989:M4989" si="4779">FALSE()</f>
        <v>0</v>
      </c>
      <c r="L4989" s="6" t="b">
        <f t="shared" si="4779"/>
        <v>0</v>
      </c>
      <c r="M4989" s="6" t="b">
        <f t="shared" si="4779"/>
        <v>0</v>
      </c>
      <c r="N4989" s="4">
        <v>0.966983846189673</v>
      </c>
      <c r="T4989" s="4">
        <f t="shared" si="3"/>
        <v>493</v>
      </c>
      <c r="U4989" s="4" t="str">
        <f t="shared" si="4"/>
        <v/>
      </c>
    </row>
    <row r="4990" ht="15.75" customHeight="1">
      <c r="A4990" s="4" t="s">
        <v>5781</v>
      </c>
      <c r="B4990" s="4" t="s">
        <v>13</v>
      </c>
      <c r="C4990" s="4">
        <v>3.8</v>
      </c>
      <c r="D4990" s="4">
        <v>2.0</v>
      </c>
      <c r="E4990" s="4">
        <v>2.5</v>
      </c>
      <c r="K4990" s="6" t="b">
        <f t="shared" ref="K4990:K4992" si="4781">TRUE()</f>
        <v>1</v>
      </c>
      <c r="L4990" s="6" t="b">
        <f t="shared" ref="L4990:M4990" si="4780">FALSE()</f>
        <v>0</v>
      </c>
      <c r="M4990" s="6" t="b">
        <f t="shared" si="4780"/>
        <v>0</v>
      </c>
      <c r="N4990" s="4">
        <v>1.56861591791385</v>
      </c>
      <c r="T4990" s="4">
        <f t="shared" si="3"/>
        <v>268</v>
      </c>
      <c r="U4990" s="4" t="str">
        <f t="shared" si="4"/>
        <v/>
      </c>
    </row>
    <row r="4991" ht="15.75" customHeight="1">
      <c r="A4991" s="4" t="s">
        <v>5782</v>
      </c>
      <c r="B4991" s="4" t="s">
        <v>13</v>
      </c>
      <c r="C4991" s="4">
        <v>5.9</v>
      </c>
      <c r="D4991" s="4">
        <v>2.2</v>
      </c>
      <c r="E4991" s="4">
        <v>2.2</v>
      </c>
      <c r="K4991" s="6" t="b">
        <f t="shared" si="4781"/>
        <v>1</v>
      </c>
      <c r="L4991" s="6" t="b">
        <f t="shared" ref="L4991:M4991" si="4782">FALSE()</f>
        <v>0</v>
      </c>
      <c r="M4991" s="6" t="b">
        <f t="shared" si="4782"/>
        <v>0</v>
      </c>
      <c r="N4991" s="4">
        <v>1.93152141160321</v>
      </c>
      <c r="T4991" s="4">
        <f t="shared" si="3"/>
        <v>174</v>
      </c>
      <c r="U4991" s="4" t="str">
        <f t="shared" si="4"/>
        <v/>
      </c>
    </row>
    <row r="4992" ht="15.75" customHeight="1">
      <c r="A4992" s="4" t="s">
        <v>5783</v>
      </c>
      <c r="B4992" s="4" t="s">
        <v>13</v>
      </c>
      <c r="C4992" s="4">
        <v>10.33</v>
      </c>
      <c r="D4992" s="4">
        <v>3.0</v>
      </c>
      <c r="E4992" s="4">
        <v>3.0</v>
      </c>
      <c r="K4992" s="6" t="b">
        <f t="shared" si="4781"/>
        <v>1</v>
      </c>
      <c r="L4992" s="6" t="b">
        <f t="shared" ref="L4992:M4992" si="4783">FALSE()</f>
        <v>0</v>
      </c>
      <c r="M4992" s="6" t="b">
        <f t="shared" si="4783"/>
        <v>0</v>
      </c>
      <c r="N4992" s="4">
        <v>2.42745407503992</v>
      </c>
      <c r="T4992" s="4">
        <f t="shared" si="3"/>
        <v>46</v>
      </c>
      <c r="U4992" s="4" t="str">
        <f t="shared" si="4"/>
        <v/>
      </c>
    </row>
    <row r="4993" ht="15.75" customHeight="1">
      <c r="A4993" s="4" t="s">
        <v>5784</v>
      </c>
      <c r="B4993" s="4" t="s">
        <v>13</v>
      </c>
      <c r="C4993" s="4">
        <v>0.014</v>
      </c>
      <c r="D4993" s="4">
        <v>0.0016</v>
      </c>
      <c r="E4993" s="4">
        <v>0.0016</v>
      </c>
      <c r="K4993" s="6" t="b">
        <f t="shared" ref="K4993:M4993" si="4784">FALSE()</f>
        <v>0</v>
      </c>
      <c r="L4993" s="6" t="b">
        <f t="shared" si="4784"/>
        <v>0</v>
      </c>
      <c r="M4993" s="6" t="b">
        <f t="shared" si="4784"/>
        <v>0</v>
      </c>
      <c r="N4993" s="4">
        <v>0.0139029051689914</v>
      </c>
      <c r="T4993" s="4">
        <f t="shared" si="3"/>
        <v>1849</v>
      </c>
      <c r="U4993" s="4" t="str">
        <f t="shared" si="4"/>
        <v/>
      </c>
    </row>
    <row r="4994" ht="15.75" customHeight="1">
      <c r="A4994" s="4" t="s">
        <v>5785</v>
      </c>
      <c r="B4994" s="4" t="s">
        <v>13</v>
      </c>
      <c r="C4994" s="4">
        <v>0.046</v>
      </c>
      <c r="D4994" s="4">
        <v>0.025</v>
      </c>
      <c r="E4994" s="4">
        <v>0.037</v>
      </c>
      <c r="K4994" s="6" t="b">
        <f t="shared" ref="K4994:M4994" si="4785">FALSE()</f>
        <v>0</v>
      </c>
      <c r="L4994" s="6" t="b">
        <f t="shared" si="4785"/>
        <v>0</v>
      </c>
      <c r="M4994" s="6" t="b">
        <f t="shared" si="4785"/>
        <v>0</v>
      </c>
      <c r="N4994" s="4">
        <v>0.0449733656427311</v>
      </c>
      <c r="T4994" s="4">
        <f t="shared" si="3"/>
        <v>1425</v>
      </c>
      <c r="U4994" s="4" t="str">
        <f t="shared" si="4"/>
        <v/>
      </c>
    </row>
    <row r="4995" ht="15.75" customHeight="1">
      <c r="A4995" s="4" t="s">
        <v>5786</v>
      </c>
      <c r="B4995" s="4" t="s">
        <v>13</v>
      </c>
      <c r="C4995" s="4">
        <v>0.01658</v>
      </c>
      <c r="D4995" s="4">
        <v>0.00856</v>
      </c>
      <c r="E4995" s="4">
        <v>0.01482</v>
      </c>
      <c r="K4995" s="6" t="b">
        <f t="shared" ref="K4995:M4995" si="4786">FALSE()</f>
        <v>0</v>
      </c>
      <c r="L4995" s="6" t="b">
        <f t="shared" si="4786"/>
        <v>0</v>
      </c>
      <c r="M4995" s="6" t="b">
        <f t="shared" si="4786"/>
        <v>0</v>
      </c>
      <c r="N4995" s="4">
        <v>0.0164440524159328</v>
      </c>
      <c r="T4995" s="4">
        <f t="shared" si="3"/>
        <v>1796</v>
      </c>
      <c r="U4995" s="4" t="str">
        <f t="shared" si="4"/>
        <v/>
      </c>
    </row>
    <row r="4996" ht="15.75" customHeight="1">
      <c r="A4996" s="4" t="s">
        <v>5787</v>
      </c>
      <c r="B4996" s="4" t="s">
        <v>13</v>
      </c>
      <c r="C4996" s="4">
        <v>0.14</v>
      </c>
      <c r="D4996" s="4">
        <v>0.07</v>
      </c>
      <c r="E4996" s="4">
        <v>0.07</v>
      </c>
      <c r="K4996" s="6" t="b">
        <f t="shared" ref="K4996:M4996" si="4787">FALSE()</f>
        <v>0</v>
      </c>
      <c r="L4996" s="6" t="b">
        <f t="shared" si="4787"/>
        <v>0</v>
      </c>
      <c r="M4996" s="6" t="b">
        <f t="shared" si="4787"/>
        <v>0</v>
      </c>
      <c r="N4996" s="4">
        <v>0.131028262406404</v>
      </c>
      <c r="T4996" s="4">
        <f t="shared" si="3"/>
        <v>1205</v>
      </c>
      <c r="U4996" s="4" t="str">
        <f t="shared" si="4"/>
        <v/>
      </c>
    </row>
    <row r="4997" ht="15.75" customHeight="1">
      <c r="A4997" s="4" t="s">
        <v>5788</v>
      </c>
      <c r="B4997" s="4" t="s">
        <v>13</v>
      </c>
      <c r="C4997" s="4">
        <v>0.0201</v>
      </c>
      <c r="D4997" s="4">
        <v>0.0088</v>
      </c>
      <c r="E4997" s="4">
        <v>0.0173</v>
      </c>
      <c r="K4997" s="6" t="b">
        <f t="shared" ref="K4997:M4997" si="4788">FALSE()</f>
        <v>0</v>
      </c>
      <c r="L4997" s="6" t="b">
        <f t="shared" si="4788"/>
        <v>0</v>
      </c>
      <c r="M4997" s="6" t="b">
        <f t="shared" si="4788"/>
        <v>0</v>
      </c>
      <c r="N4997" s="4">
        <v>0.0199006617063361</v>
      </c>
      <c r="T4997" s="4">
        <f t="shared" si="3"/>
        <v>1728</v>
      </c>
      <c r="U4997" s="4" t="str">
        <f t="shared" si="4"/>
        <v/>
      </c>
    </row>
    <row r="4998" ht="15.75" customHeight="1">
      <c r="A4998" s="4" t="s">
        <v>5789</v>
      </c>
      <c r="B4998" s="4" t="s">
        <v>13</v>
      </c>
      <c r="C4998" s="4">
        <v>0.0513</v>
      </c>
      <c r="D4998" s="4">
        <v>0.0267</v>
      </c>
      <c r="E4998" s="4">
        <v>0.038</v>
      </c>
      <c r="K4998" s="6" t="b">
        <f t="shared" ref="K4998:M4998" si="4789">FALSE()</f>
        <v>0</v>
      </c>
      <c r="L4998" s="6" t="b">
        <f t="shared" si="4789"/>
        <v>0</v>
      </c>
      <c r="M4998" s="6" t="b">
        <f t="shared" si="4789"/>
        <v>0</v>
      </c>
      <c r="N4998" s="4">
        <v>0.0500274935996481</v>
      </c>
      <c r="T4998" s="4">
        <f t="shared" si="3"/>
        <v>1398</v>
      </c>
      <c r="U4998" s="4" t="str">
        <f t="shared" si="4"/>
        <v/>
      </c>
    </row>
    <row r="4999" ht="15.75" customHeight="1">
      <c r="A4999" s="4" t="s">
        <v>5790</v>
      </c>
      <c r="B4999" s="4" t="s">
        <v>13</v>
      </c>
      <c r="C4999" s="4">
        <v>0.0632</v>
      </c>
      <c r="D4999" s="4">
        <v>0.0337</v>
      </c>
      <c r="E4999" s="4">
        <v>0.0516</v>
      </c>
      <c r="K4999" s="6" t="b">
        <f t="shared" ref="K4999:M4999" si="4790">FALSE()</f>
        <v>0</v>
      </c>
      <c r="L4999" s="6" t="b">
        <f t="shared" si="4790"/>
        <v>0</v>
      </c>
      <c r="M4999" s="6" t="b">
        <f t="shared" si="4790"/>
        <v>0</v>
      </c>
      <c r="N4999" s="4">
        <v>0.0612832284168985</v>
      </c>
      <c r="T4999" s="4">
        <f t="shared" si="3"/>
        <v>1346</v>
      </c>
      <c r="U4999" s="4" t="str">
        <f t="shared" si="4"/>
        <v/>
      </c>
    </row>
    <row r="5000" ht="15.75" customHeight="1">
      <c r="A5000" s="4" t="s">
        <v>5791</v>
      </c>
      <c r="B5000" s="4" t="s">
        <v>13</v>
      </c>
      <c r="C5000" s="4">
        <v>0.019636</v>
      </c>
      <c r="D5000" s="4">
        <v>0.002888</v>
      </c>
      <c r="E5000" s="4">
        <v>0.002888</v>
      </c>
      <c r="K5000" s="6" t="b">
        <f t="shared" ref="K5000:M5000" si="4791">FALSE()</f>
        <v>0</v>
      </c>
      <c r="L5000" s="6" t="b">
        <f t="shared" si="4791"/>
        <v>0</v>
      </c>
      <c r="M5000" s="6" t="b">
        <f t="shared" si="4791"/>
        <v>0</v>
      </c>
      <c r="N5000" s="4">
        <v>0.0194457008604192</v>
      </c>
      <c r="T5000" s="4">
        <f t="shared" si="3"/>
        <v>1742</v>
      </c>
      <c r="U5000" s="4" t="str">
        <f t="shared" si="4"/>
        <v/>
      </c>
    </row>
    <row r="5001" ht="15.75" customHeight="1">
      <c r="A5001" s="4" t="s">
        <v>5792</v>
      </c>
      <c r="B5001" s="4" t="s">
        <v>13</v>
      </c>
      <c r="C5001" s="4">
        <v>0.32</v>
      </c>
      <c r="D5001" s="4">
        <v>0.16</v>
      </c>
      <c r="E5001" s="4">
        <v>0.34</v>
      </c>
      <c r="K5001" s="6" t="b">
        <f t="shared" ref="K5001:M5001" si="4792">FALSE()</f>
        <v>0</v>
      </c>
      <c r="L5001" s="6" t="b">
        <f t="shared" si="4792"/>
        <v>0</v>
      </c>
      <c r="M5001" s="6" t="b">
        <f t="shared" si="4792"/>
        <v>0</v>
      </c>
      <c r="N5001" s="4">
        <v>0.27763173659828</v>
      </c>
      <c r="T5001" s="4">
        <f t="shared" si="3"/>
        <v>1057</v>
      </c>
      <c r="U5001" s="4" t="str">
        <f t="shared" si="4"/>
        <v/>
      </c>
    </row>
    <row r="5002" ht="15.75" customHeight="1">
      <c r="A5002" s="4" t="s">
        <v>5793</v>
      </c>
      <c r="B5002" s="4" t="s">
        <v>13</v>
      </c>
      <c r="C5002" s="4">
        <v>0.0267</v>
      </c>
      <c r="D5002" s="4">
        <v>0.0236</v>
      </c>
      <c r="E5002" s="4">
        <v>0.0236</v>
      </c>
      <c r="K5002" s="6" t="b">
        <f t="shared" ref="K5002:M5002" si="4793">FALSE()</f>
        <v>0</v>
      </c>
      <c r="L5002" s="6" t="b">
        <f t="shared" si="4793"/>
        <v>0</v>
      </c>
      <c r="M5002" s="6" t="b">
        <f t="shared" si="4793"/>
        <v>0</v>
      </c>
      <c r="N5002" s="4">
        <v>0.026349775322782</v>
      </c>
      <c r="T5002" s="4">
        <f t="shared" si="3"/>
        <v>1609</v>
      </c>
      <c r="U5002" s="4" t="str">
        <f t="shared" si="4"/>
        <v/>
      </c>
    </row>
    <row r="5003" ht="15.75" customHeight="1">
      <c r="A5003" s="4" t="s">
        <v>5794</v>
      </c>
      <c r="B5003" s="4" t="s">
        <v>13</v>
      </c>
      <c r="C5003" s="4">
        <v>0.01246</v>
      </c>
      <c r="D5003" s="4">
        <v>0.00837</v>
      </c>
      <c r="E5003" s="4">
        <v>0.0185</v>
      </c>
      <c r="K5003" s="6" t="b">
        <f t="shared" ref="K5003:M5003" si="4794">FALSE()</f>
        <v>0</v>
      </c>
      <c r="L5003" s="6" t="b">
        <f t="shared" si="4794"/>
        <v>0</v>
      </c>
      <c r="M5003" s="6" t="b">
        <f t="shared" si="4794"/>
        <v>0</v>
      </c>
      <c r="N5003" s="4">
        <v>0.0123830130453282</v>
      </c>
      <c r="T5003" s="4">
        <f t="shared" si="3"/>
        <v>1883</v>
      </c>
      <c r="U5003" s="4" t="str">
        <f t="shared" si="4"/>
        <v/>
      </c>
    </row>
    <row r="5004" ht="15.75" customHeight="1">
      <c r="A5004" s="4" t="s">
        <v>5795</v>
      </c>
      <c r="B5004" s="4" t="s">
        <v>13</v>
      </c>
      <c r="C5004" s="4">
        <v>4.5</v>
      </c>
      <c r="D5004" s="4">
        <v>0.6</v>
      </c>
      <c r="E5004" s="4">
        <v>0.6</v>
      </c>
      <c r="K5004" s="6" t="b">
        <f>TRUE()</f>
        <v>1</v>
      </c>
      <c r="L5004" s="6" t="b">
        <f t="shared" ref="L5004:M5004" si="4795">FALSE()</f>
        <v>0</v>
      </c>
      <c r="M5004" s="6" t="b">
        <f t="shared" si="4795"/>
        <v>0</v>
      </c>
      <c r="N5004" s="4">
        <v>1.70474809223843</v>
      </c>
      <c r="T5004" s="4">
        <f t="shared" si="3"/>
        <v>229</v>
      </c>
      <c r="U5004" s="4" t="str">
        <f t="shared" si="4"/>
        <v/>
      </c>
    </row>
    <row r="5005" ht="15.75" customHeight="1">
      <c r="A5005" s="4" t="s">
        <v>5796</v>
      </c>
      <c r="B5005" s="4" t="s">
        <v>13</v>
      </c>
      <c r="C5005" s="4">
        <v>0.41</v>
      </c>
      <c r="D5005" s="4">
        <v>0.19</v>
      </c>
      <c r="E5005" s="4">
        <v>0.45</v>
      </c>
      <c r="K5005" s="6" t="b">
        <f t="shared" ref="K5005:M5005" si="4796">FALSE()</f>
        <v>0</v>
      </c>
      <c r="L5005" s="6" t="b">
        <f t="shared" si="4796"/>
        <v>0</v>
      </c>
      <c r="M5005" s="6" t="b">
        <f t="shared" si="4796"/>
        <v>0</v>
      </c>
      <c r="N5005" s="4">
        <v>0.343589704390077</v>
      </c>
      <c r="T5005" s="4">
        <f t="shared" si="3"/>
        <v>1008</v>
      </c>
      <c r="U5005" s="4" t="str">
        <f t="shared" si="4"/>
        <v/>
      </c>
    </row>
    <row r="5006" ht="15.75" customHeight="1">
      <c r="A5006" s="4" t="s">
        <v>5797</v>
      </c>
      <c r="B5006" s="4" t="s">
        <v>13</v>
      </c>
      <c r="C5006" s="4">
        <v>0.89</v>
      </c>
      <c r="D5006" s="4">
        <v>0.31</v>
      </c>
      <c r="E5006" s="4">
        <v>0.36</v>
      </c>
      <c r="K5006" s="6" t="b">
        <f t="shared" ref="K5006:M5006" si="4797">FALSE()</f>
        <v>0</v>
      </c>
      <c r="L5006" s="6" t="b">
        <f t="shared" si="4797"/>
        <v>0</v>
      </c>
      <c r="M5006" s="6" t="b">
        <f t="shared" si="4797"/>
        <v>0</v>
      </c>
      <c r="N5006" s="4">
        <v>0.636576829071551</v>
      </c>
      <c r="T5006" s="4">
        <f t="shared" si="3"/>
        <v>717</v>
      </c>
      <c r="U5006" s="4" t="str">
        <f t="shared" si="4"/>
        <v/>
      </c>
    </row>
    <row r="5007" ht="15.75" customHeight="1">
      <c r="A5007" s="4" t="s">
        <v>5798</v>
      </c>
      <c r="B5007" s="4" t="s">
        <v>13</v>
      </c>
      <c r="C5007" s="4">
        <v>1.37</v>
      </c>
      <c r="D5007" s="4">
        <v>0.72</v>
      </c>
      <c r="E5007" s="4">
        <v>0.8</v>
      </c>
      <c r="K5007" s="6" t="b">
        <f t="shared" ref="K5007:M5007" si="4798">FALSE()</f>
        <v>0</v>
      </c>
      <c r="L5007" s="6" t="b">
        <f t="shared" si="4798"/>
        <v>0</v>
      </c>
      <c r="M5007" s="6" t="b">
        <f t="shared" si="4798"/>
        <v>0</v>
      </c>
      <c r="N5007" s="4">
        <v>0.86288995514704</v>
      </c>
      <c r="T5007" s="4">
        <f t="shared" si="3"/>
        <v>544</v>
      </c>
      <c r="U5007" s="4" t="str">
        <f t="shared" si="4"/>
        <v/>
      </c>
    </row>
    <row r="5008" ht="15.75" customHeight="1">
      <c r="A5008" s="4" t="s">
        <v>5799</v>
      </c>
      <c r="B5008" s="4" t="s">
        <v>13</v>
      </c>
      <c r="C5008" s="4">
        <v>0.0201</v>
      </c>
      <c r="D5008" s="4">
        <v>0.0116</v>
      </c>
      <c r="E5008" s="4">
        <v>0.0164</v>
      </c>
      <c r="K5008" s="6" t="b">
        <f t="shared" ref="K5008:M5008" si="4799">FALSE()</f>
        <v>0</v>
      </c>
      <c r="L5008" s="6" t="b">
        <f t="shared" si="4799"/>
        <v>0</v>
      </c>
      <c r="M5008" s="6" t="b">
        <f t="shared" si="4799"/>
        <v>0</v>
      </c>
      <c r="N5008" s="4">
        <v>0.0199006617063361</v>
      </c>
      <c r="T5008" s="4">
        <f t="shared" si="3"/>
        <v>1729</v>
      </c>
      <c r="U5008" s="4" t="str">
        <f t="shared" si="4"/>
        <v/>
      </c>
    </row>
    <row r="5009" ht="15.75" customHeight="1">
      <c r="A5009" s="4" t="s">
        <v>5800</v>
      </c>
      <c r="B5009" s="4" t="s">
        <v>13</v>
      </c>
      <c r="C5009" s="4">
        <v>1.8</v>
      </c>
      <c r="D5009" s="4">
        <v>1.1</v>
      </c>
      <c r="E5009" s="4">
        <v>3.4</v>
      </c>
      <c r="K5009" s="6" t="b">
        <f t="shared" ref="K5009:M5009" si="4800">FALSE()</f>
        <v>0</v>
      </c>
      <c r="L5009" s="6" t="b">
        <f t="shared" si="4800"/>
        <v>0</v>
      </c>
      <c r="M5009" s="6" t="b">
        <f t="shared" si="4800"/>
        <v>0</v>
      </c>
      <c r="N5009" s="4">
        <v>1.02961941718116</v>
      </c>
      <c r="T5009" s="4">
        <f t="shared" si="3"/>
        <v>469</v>
      </c>
      <c r="U5009" s="4" t="str">
        <f t="shared" si="4"/>
        <v/>
      </c>
    </row>
    <row r="5010" ht="15.75" customHeight="1">
      <c r="A5010" s="4" t="s">
        <v>5801</v>
      </c>
      <c r="B5010" s="4" t="s">
        <v>13</v>
      </c>
      <c r="C5010" s="4">
        <v>2.8</v>
      </c>
      <c r="D5010" s="4">
        <v>1.7</v>
      </c>
      <c r="E5010" s="4">
        <v>5.1</v>
      </c>
      <c r="K5010" s="6" t="b">
        <f t="shared" ref="K5010:M5010" si="4801">FALSE()</f>
        <v>0</v>
      </c>
      <c r="L5010" s="6" t="b">
        <f t="shared" si="4801"/>
        <v>0</v>
      </c>
      <c r="M5010" s="6" t="b">
        <f t="shared" si="4801"/>
        <v>0</v>
      </c>
      <c r="N5010" s="4">
        <v>1.33500106673234</v>
      </c>
      <c r="T5010" s="4">
        <f t="shared" si="3"/>
        <v>339</v>
      </c>
      <c r="U5010" s="4" t="str">
        <f t="shared" si="4"/>
        <v/>
      </c>
    </row>
    <row r="5011" ht="15.75" customHeight="1">
      <c r="A5011" s="4" t="s">
        <v>5802</v>
      </c>
      <c r="B5011" s="4" t="s">
        <v>13</v>
      </c>
      <c r="C5011" s="4">
        <v>0.91</v>
      </c>
      <c r="D5011" s="4">
        <v>0.52</v>
      </c>
      <c r="E5011" s="4">
        <v>0.66</v>
      </c>
      <c r="K5011" s="6" t="b">
        <f t="shared" ref="K5011:M5011" si="4802">FALSE()</f>
        <v>0</v>
      </c>
      <c r="L5011" s="6" t="b">
        <f t="shared" si="4802"/>
        <v>0</v>
      </c>
      <c r="M5011" s="6" t="b">
        <f t="shared" si="4802"/>
        <v>0</v>
      </c>
      <c r="N5011" s="4">
        <v>0.647103242058539</v>
      </c>
      <c r="T5011" s="4">
        <f t="shared" si="3"/>
        <v>710</v>
      </c>
      <c r="U5011" s="4" t="str">
        <f t="shared" si="4"/>
        <v/>
      </c>
    </row>
    <row r="5012" ht="15.75" customHeight="1">
      <c r="A5012" s="4" t="s">
        <v>5803</v>
      </c>
      <c r="B5012" s="4" t="s">
        <v>13</v>
      </c>
      <c r="C5012" s="4">
        <v>0.056</v>
      </c>
      <c r="D5012" s="4">
        <v>0.031</v>
      </c>
      <c r="E5012" s="4">
        <v>0.033</v>
      </c>
      <c r="K5012" s="6" t="b">
        <f t="shared" ref="K5012:M5012" si="4803">FALSE()</f>
        <v>0</v>
      </c>
      <c r="L5012" s="6" t="b">
        <f t="shared" si="4803"/>
        <v>0</v>
      </c>
      <c r="M5012" s="6" t="b">
        <f t="shared" si="4803"/>
        <v>0</v>
      </c>
      <c r="N5012" s="4">
        <v>0.0544881852840697</v>
      </c>
      <c r="T5012" s="4">
        <f t="shared" si="3"/>
        <v>1375</v>
      </c>
      <c r="U5012" s="4" t="str">
        <f t="shared" si="4"/>
        <v/>
      </c>
    </row>
    <row r="5013" ht="15.75" customHeight="1">
      <c r="A5013" s="4" t="s">
        <v>5804</v>
      </c>
      <c r="B5013" s="4" t="s">
        <v>13</v>
      </c>
      <c r="C5013" s="4">
        <v>0.0264</v>
      </c>
      <c r="D5013" s="4">
        <v>0.0148</v>
      </c>
      <c r="E5013" s="4">
        <v>0.0249</v>
      </c>
      <c r="K5013" s="6" t="b">
        <f t="shared" ref="K5013:M5013" si="4804">FALSE()</f>
        <v>0</v>
      </c>
      <c r="L5013" s="6" t="b">
        <f t="shared" si="4804"/>
        <v>0</v>
      </c>
      <c r="M5013" s="6" t="b">
        <f t="shared" si="4804"/>
        <v>0</v>
      </c>
      <c r="N5013" s="4">
        <v>0.0260575343192896</v>
      </c>
      <c r="T5013" s="4">
        <f t="shared" si="3"/>
        <v>1613</v>
      </c>
      <c r="U5013" s="4" t="str">
        <f t="shared" si="4"/>
        <v/>
      </c>
    </row>
    <row r="5014" ht="15.75" customHeight="1">
      <c r="A5014" s="4" t="s">
        <v>5805</v>
      </c>
      <c r="B5014" s="4" t="s">
        <v>13</v>
      </c>
      <c r="C5014" s="4">
        <v>0.2</v>
      </c>
      <c r="D5014" s="4">
        <v>0.13</v>
      </c>
      <c r="E5014" s="4">
        <v>0.16</v>
      </c>
      <c r="K5014" s="6" t="b">
        <f t="shared" ref="K5014:M5014" si="4805">FALSE()</f>
        <v>0</v>
      </c>
      <c r="L5014" s="6" t="b">
        <f t="shared" si="4805"/>
        <v>0</v>
      </c>
      <c r="M5014" s="6" t="b">
        <f t="shared" si="4805"/>
        <v>0</v>
      </c>
      <c r="N5014" s="4">
        <v>0.182321556793955</v>
      </c>
      <c r="T5014" s="4">
        <f t="shared" si="3"/>
        <v>1153</v>
      </c>
      <c r="U5014" s="4" t="str">
        <f t="shared" si="4"/>
        <v/>
      </c>
    </row>
    <row r="5015" ht="15.75" customHeight="1">
      <c r="A5015" s="4" t="s">
        <v>5806</v>
      </c>
      <c r="B5015" s="4" t="s">
        <v>13</v>
      </c>
      <c r="C5015" s="4">
        <v>0.69</v>
      </c>
      <c r="D5015" s="4">
        <v>0.22</v>
      </c>
      <c r="E5015" s="4">
        <v>0.44</v>
      </c>
      <c r="K5015" s="6" t="b">
        <f t="shared" ref="K5015:M5015" si="4806">FALSE()</f>
        <v>0</v>
      </c>
      <c r="L5015" s="6" t="b">
        <f t="shared" si="4806"/>
        <v>0</v>
      </c>
      <c r="M5015" s="6" t="b">
        <f t="shared" si="4806"/>
        <v>0</v>
      </c>
      <c r="N5015" s="4">
        <v>0.524728528934982</v>
      </c>
      <c r="T5015" s="4">
        <f t="shared" si="3"/>
        <v>825</v>
      </c>
      <c r="U5015" s="4" t="str">
        <f t="shared" si="4"/>
        <v/>
      </c>
    </row>
    <row r="5016" ht="15.75" customHeight="1">
      <c r="A5016" s="4" t="s">
        <v>5807</v>
      </c>
      <c r="B5016" s="4" t="s">
        <v>13</v>
      </c>
      <c r="C5016" s="4">
        <v>0.95</v>
      </c>
      <c r="D5016" s="4">
        <v>0.44</v>
      </c>
      <c r="E5016" s="4">
        <v>0.75</v>
      </c>
      <c r="K5016" s="6" t="b">
        <f t="shared" ref="K5016:M5016" si="4807">FALSE()</f>
        <v>0</v>
      </c>
      <c r="L5016" s="6" t="b">
        <f t="shared" si="4807"/>
        <v>0</v>
      </c>
      <c r="M5016" s="6" t="b">
        <f t="shared" si="4807"/>
        <v>0</v>
      </c>
      <c r="N5016" s="4">
        <v>0.667829372575655</v>
      </c>
      <c r="T5016" s="4">
        <f t="shared" si="3"/>
        <v>686</v>
      </c>
      <c r="U5016" s="4" t="str">
        <f t="shared" si="4"/>
        <v/>
      </c>
    </row>
    <row r="5017" ht="15.75" customHeight="1">
      <c r="A5017" s="4" t="s">
        <v>5808</v>
      </c>
      <c r="B5017" s="4" t="s">
        <v>13</v>
      </c>
      <c r="C5017" s="4">
        <v>0.77</v>
      </c>
      <c r="D5017" s="4">
        <v>0.33</v>
      </c>
      <c r="E5017" s="4">
        <v>0.77</v>
      </c>
      <c r="K5017" s="6" t="b">
        <f t="shared" ref="K5017:M5017" si="4808">FALSE()</f>
        <v>0</v>
      </c>
      <c r="L5017" s="6" t="b">
        <f t="shared" si="4808"/>
        <v>0</v>
      </c>
      <c r="M5017" s="6" t="b">
        <f t="shared" si="4808"/>
        <v>0</v>
      </c>
      <c r="N5017" s="4">
        <v>0.570979546585738</v>
      </c>
      <c r="T5017" s="4">
        <f t="shared" si="3"/>
        <v>785</v>
      </c>
      <c r="U5017" s="4" t="str">
        <f t="shared" si="4"/>
        <v/>
      </c>
    </row>
    <row r="5018" ht="15.75" customHeight="1">
      <c r="A5018" s="4" t="s">
        <v>5809</v>
      </c>
      <c r="B5018" s="4" t="s">
        <v>13</v>
      </c>
      <c r="C5018" s="4">
        <v>11.2</v>
      </c>
      <c r="D5018" s="4">
        <v>5.9</v>
      </c>
      <c r="E5018" s="4">
        <v>6.3</v>
      </c>
      <c r="K5018" s="6" t="b">
        <f>TRUE()</f>
        <v>1</v>
      </c>
      <c r="L5018" s="6" t="b">
        <f t="shared" ref="L5018:M5018" si="4809">FALSE()</f>
        <v>0</v>
      </c>
      <c r="M5018" s="6" t="b">
        <f t="shared" si="4809"/>
        <v>0</v>
      </c>
      <c r="N5018" s="4">
        <v>2.50143595173921</v>
      </c>
      <c r="T5018" s="4">
        <f t="shared" si="3"/>
        <v>29</v>
      </c>
      <c r="U5018" s="4" t="str">
        <f t="shared" si="4"/>
        <v/>
      </c>
    </row>
    <row r="5019" ht="15.75" customHeight="1">
      <c r="A5019" s="4" t="s">
        <v>5810</v>
      </c>
      <c r="B5019" s="4" t="s">
        <v>13</v>
      </c>
      <c r="C5019" s="4">
        <v>0.97</v>
      </c>
      <c r="D5019" s="4">
        <v>0.56</v>
      </c>
      <c r="E5019" s="4">
        <v>1.78</v>
      </c>
      <c r="K5019" s="6" t="b">
        <f t="shared" ref="K5019:M5019" si="4810">FALSE()</f>
        <v>0</v>
      </c>
      <c r="L5019" s="6" t="b">
        <f t="shared" si="4810"/>
        <v>0</v>
      </c>
      <c r="M5019" s="6" t="b">
        <f t="shared" si="4810"/>
        <v>0</v>
      </c>
      <c r="N5019" s="4">
        <v>0.678033542749897</v>
      </c>
      <c r="T5019" s="4">
        <f t="shared" si="3"/>
        <v>678</v>
      </c>
      <c r="U5019" s="4" t="str">
        <f t="shared" si="4"/>
        <v/>
      </c>
    </row>
    <row r="5020" ht="15.75" customHeight="1">
      <c r="A5020" s="4" t="s">
        <v>5811</v>
      </c>
      <c r="B5020" s="4" t="s">
        <v>13</v>
      </c>
      <c r="C5020" s="4">
        <v>4.4</v>
      </c>
      <c r="D5020" s="4">
        <v>2.0</v>
      </c>
      <c r="E5020" s="4">
        <v>3.0</v>
      </c>
      <c r="K5020" s="6" t="b">
        <f t="shared" ref="K5020:K5022" si="4812">TRUE()</f>
        <v>1</v>
      </c>
      <c r="L5020" s="6" t="b">
        <f t="shared" ref="L5020:M5020" si="4811">FALSE()</f>
        <v>0</v>
      </c>
      <c r="M5020" s="6" t="b">
        <f t="shared" si="4811"/>
        <v>0</v>
      </c>
      <c r="N5020" s="4">
        <v>1.68639895357023</v>
      </c>
      <c r="T5020" s="4">
        <f t="shared" si="3"/>
        <v>234</v>
      </c>
      <c r="U5020" s="4" t="str">
        <f t="shared" si="4"/>
        <v/>
      </c>
    </row>
    <row r="5021" ht="15.75" customHeight="1">
      <c r="A5021" s="4" t="s">
        <v>5812</v>
      </c>
      <c r="B5021" s="4" t="s">
        <v>13</v>
      </c>
      <c r="C5021" s="4">
        <v>7.12</v>
      </c>
      <c r="D5021" s="4">
        <v>1.47</v>
      </c>
      <c r="E5021" s="4">
        <v>1.47</v>
      </c>
      <c r="K5021" s="6" t="b">
        <f t="shared" si="4812"/>
        <v>1</v>
      </c>
      <c r="L5021" s="6" t="b">
        <f t="shared" ref="L5021:M5021" si="4813">FALSE()</f>
        <v>0</v>
      </c>
      <c r="M5021" s="6" t="b">
        <f t="shared" si="4813"/>
        <v>0</v>
      </c>
      <c r="N5021" s="4">
        <v>2.09433015417359</v>
      </c>
      <c r="T5021" s="4">
        <f t="shared" si="3"/>
        <v>129</v>
      </c>
      <c r="U5021" s="4" t="str">
        <f t="shared" si="4"/>
        <v/>
      </c>
    </row>
    <row r="5022" ht="15.75" customHeight="1">
      <c r="A5022" s="4" t="s">
        <v>5813</v>
      </c>
      <c r="B5022" s="4" t="s">
        <v>13</v>
      </c>
      <c r="C5022" s="4">
        <v>6.22</v>
      </c>
      <c r="D5022" s="4">
        <v>3.67</v>
      </c>
      <c r="E5022" s="4">
        <v>3.8</v>
      </c>
      <c r="K5022" s="6" t="b">
        <f t="shared" si="4812"/>
        <v>1</v>
      </c>
      <c r="L5022" s="6" t="b">
        <f t="shared" ref="L5022:M5022" si="4814">FALSE()</f>
        <v>0</v>
      </c>
      <c r="M5022" s="6" t="b">
        <f t="shared" si="4814"/>
        <v>0</v>
      </c>
      <c r="N5022" s="4">
        <v>1.97685495290474</v>
      </c>
      <c r="T5022" s="4">
        <f t="shared" si="3"/>
        <v>156</v>
      </c>
      <c r="U5022" s="4" t="str">
        <f t="shared" si="4"/>
        <v/>
      </c>
    </row>
    <row r="5023" ht="15.75" customHeight="1">
      <c r="A5023" s="4" t="s">
        <v>5814</v>
      </c>
      <c r="B5023" s="4" t="s">
        <v>13</v>
      </c>
      <c r="C5023" s="4">
        <v>0.51</v>
      </c>
      <c r="D5023" s="4">
        <v>0.23</v>
      </c>
      <c r="E5023" s="4">
        <v>0.51</v>
      </c>
      <c r="K5023" s="6" t="b">
        <f t="shared" ref="K5023:M5023" si="4815">FALSE()</f>
        <v>0</v>
      </c>
      <c r="L5023" s="6" t="b">
        <f t="shared" si="4815"/>
        <v>0</v>
      </c>
      <c r="M5023" s="6" t="b">
        <f t="shared" si="4815"/>
        <v>0</v>
      </c>
      <c r="N5023" s="4">
        <v>0.412109650826833</v>
      </c>
      <c r="T5023" s="4">
        <f t="shared" si="3"/>
        <v>950</v>
      </c>
      <c r="U5023" s="4" t="str">
        <f t="shared" si="4"/>
        <v/>
      </c>
    </row>
    <row r="5024" ht="15.75" customHeight="1">
      <c r="A5024" s="4" t="s">
        <v>5815</v>
      </c>
      <c r="B5024" s="4" t="s">
        <v>13</v>
      </c>
      <c r="C5024" s="4">
        <v>3.3</v>
      </c>
      <c r="D5024" s="4">
        <v>4.6</v>
      </c>
      <c r="E5024" s="4">
        <v>4.6</v>
      </c>
      <c r="K5024" s="6" t="b">
        <f t="shared" ref="K5024:M5024" si="4816">FALSE()</f>
        <v>0</v>
      </c>
      <c r="L5024" s="6" t="b">
        <f t="shared" si="4816"/>
        <v>0</v>
      </c>
      <c r="M5024" s="6" t="b">
        <f t="shared" si="4816"/>
        <v>0</v>
      </c>
      <c r="N5024" s="4">
        <v>1.45861502269952</v>
      </c>
      <c r="T5024" s="4">
        <f t="shared" si="3"/>
        <v>302</v>
      </c>
      <c r="U5024" s="4" t="str">
        <f t="shared" si="4"/>
        <v/>
      </c>
    </row>
    <row r="5025" ht="15.75" customHeight="1">
      <c r="A5025" s="4" t="s">
        <v>5816</v>
      </c>
      <c r="B5025" s="4" t="s">
        <v>13</v>
      </c>
      <c r="C5025" s="4">
        <v>3.43</v>
      </c>
      <c r="D5025" s="4">
        <v>1.17</v>
      </c>
      <c r="E5025" s="4">
        <v>1.83</v>
      </c>
      <c r="K5025" s="6" t="b">
        <f t="shared" ref="K5025:M5025" si="4817">FALSE()</f>
        <v>0</v>
      </c>
      <c r="L5025" s="6" t="b">
        <f t="shared" si="4817"/>
        <v>0</v>
      </c>
      <c r="M5025" s="6" t="b">
        <f t="shared" si="4817"/>
        <v>0</v>
      </c>
      <c r="N5025" s="4">
        <v>1.48839958405704</v>
      </c>
      <c r="T5025" s="4">
        <f t="shared" si="3"/>
        <v>296</v>
      </c>
      <c r="U5025" s="4" t="str">
        <f t="shared" si="4"/>
        <v/>
      </c>
    </row>
    <row r="5026" ht="15.75" customHeight="1">
      <c r="A5026" s="4" t="s">
        <v>5817</v>
      </c>
      <c r="B5026" s="4" t="s">
        <v>13</v>
      </c>
      <c r="C5026" s="4">
        <v>10.22</v>
      </c>
      <c r="D5026" s="4">
        <v>3.3</v>
      </c>
      <c r="E5026" s="4">
        <v>5.46</v>
      </c>
      <c r="K5026" s="6" t="b">
        <f>TRUE()</f>
        <v>1</v>
      </c>
      <c r="L5026" s="6" t="b">
        <f t="shared" ref="L5026:M5026" si="4818">FALSE()</f>
        <v>0</v>
      </c>
      <c r="M5026" s="6" t="b">
        <f t="shared" si="4818"/>
        <v>0</v>
      </c>
      <c r="N5026" s="4">
        <v>2.41769790009455</v>
      </c>
      <c r="T5026" s="4">
        <f t="shared" si="3"/>
        <v>52</v>
      </c>
      <c r="U5026" s="4" t="str">
        <f t="shared" si="4"/>
        <v/>
      </c>
    </row>
    <row r="5027" ht="15.75" customHeight="1">
      <c r="A5027" s="4" t="s">
        <v>5818</v>
      </c>
      <c r="B5027" s="4" t="s">
        <v>13</v>
      </c>
      <c r="C5027" s="4">
        <v>3.34</v>
      </c>
      <c r="D5027" s="4">
        <v>1.9</v>
      </c>
      <c r="E5027" s="4">
        <v>1.9</v>
      </c>
      <c r="K5027" s="6" t="b">
        <f t="shared" ref="K5027:M5027" si="4819">FALSE()</f>
        <v>0</v>
      </c>
      <c r="L5027" s="6" t="b">
        <f t="shared" si="4819"/>
        <v>0</v>
      </c>
      <c r="M5027" s="6" t="b">
        <f t="shared" si="4819"/>
        <v>0</v>
      </c>
      <c r="N5027" s="4">
        <v>1.46787434811231</v>
      </c>
      <c r="T5027" s="4">
        <f t="shared" si="3"/>
        <v>300</v>
      </c>
      <c r="U5027" s="4" t="str">
        <f t="shared" si="4"/>
        <v/>
      </c>
    </row>
    <row r="5028" ht="15.75" customHeight="1">
      <c r="A5028" s="4" t="s">
        <v>5819</v>
      </c>
      <c r="B5028" s="4" t="s">
        <v>13</v>
      </c>
      <c r="C5028" s="4">
        <v>0.00708</v>
      </c>
      <c r="D5028" s="4">
        <v>0.0025</v>
      </c>
      <c r="E5028" s="4">
        <v>0.0025</v>
      </c>
      <c r="K5028" s="6" t="b">
        <f t="shared" ref="K5028:M5028" si="4820">FALSE()</f>
        <v>0</v>
      </c>
      <c r="L5028" s="6" t="b">
        <f t="shared" si="4820"/>
        <v>0</v>
      </c>
      <c r="M5028" s="6" t="b">
        <f t="shared" si="4820"/>
        <v>0</v>
      </c>
      <c r="N5028" s="4">
        <v>0.007055054473677</v>
      </c>
      <c r="T5028" s="4">
        <f t="shared" si="3"/>
        <v>1984</v>
      </c>
      <c r="U5028" s="4" t="str">
        <f t="shared" si="4"/>
        <v/>
      </c>
    </row>
    <row r="5029" ht="15.75" customHeight="1">
      <c r="A5029" s="4" t="s">
        <v>5820</v>
      </c>
      <c r="B5029" s="4" t="s">
        <v>13</v>
      </c>
      <c r="C5029" s="4">
        <v>0.0078</v>
      </c>
      <c r="D5029" s="4">
        <v>0.003</v>
      </c>
      <c r="E5029" s="4">
        <v>0.0038</v>
      </c>
      <c r="K5029" s="6" t="b">
        <f t="shared" ref="K5029:M5029" si="4821">FALSE()</f>
        <v>0</v>
      </c>
      <c r="L5029" s="6" t="b">
        <f t="shared" si="4821"/>
        <v>0</v>
      </c>
      <c r="M5029" s="6" t="b">
        <f t="shared" si="4821"/>
        <v>0</v>
      </c>
      <c r="N5029" s="4">
        <v>0.0077697372643606</v>
      </c>
      <c r="T5029" s="4">
        <f t="shared" si="3"/>
        <v>1977</v>
      </c>
      <c r="U5029" s="4" t="str">
        <f t="shared" si="4"/>
        <v/>
      </c>
    </row>
    <row r="5030" ht="15.75" customHeight="1">
      <c r="A5030" s="4" t="s">
        <v>5821</v>
      </c>
      <c r="B5030" s="4" t="s">
        <v>13</v>
      </c>
      <c r="C5030" s="4">
        <v>1.75</v>
      </c>
      <c r="D5030" s="4">
        <v>0.51</v>
      </c>
      <c r="E5030" s="4">
        <v>0.53</v>
      </c>
      <c r="K5030" s="6" t="b">
        <f t="shared" ref="K5030:M5030" si="4822">FALSE()</f>
        <v>0</v>
      </c>
      <c r="L5030" s="6" t="b">
        <f t="shared" si="4822"/>
        <v>0</v>
      </c>
      <c r="M5030" s="6" t="b">
        <f t="shared" si="4822"/>
        <v>0</v>
      </c>
      <c r="N5030" s="4">
        <v>1.01160091167848</v>
      </c>
      <c r="T5030" s="4">
        <f t="shared" si="3"/>
        <v>478</v>
      </c>
      <c r="U5030" s="4" t="str">
        <f t="shared" si="4"/>
        <v/>
      </c>
    </row>
    <row r="5031" ht="15.75" customHeight="1">
      <c r="A5031" s="4" t="s">
        <v>5822</v>
      </c>
      <c r="B5031" s="4" t="s">
        <v>13</v>
      </c>
      <c r="C5031" s="4">
        <v>2.2</v>
      </c>
      <c r="D5031" s="4">
        <v>1.3</v>
      </c>
      <c r="E5031" s="4">
        <v>1.8</v>
      </c>
      <c r="K5031" s="6" t="b">
        <f t="shared" ref="K5031:M5031" si="4823">FALSE()</f>
        <v>0</v>
      </c>
      <c r="L5031" s="6" t="b">
        <f t="shared" si="4823"/>
        <v>0</v>
      </c>
      <c r="M5031" s="6" t="b">
        <f t="shared" si="4823"/>
        <v>0</v>
      </c>
      <c r="N5031" s="4">
        <v>1.16315080980568</v>
      </c>
      <c r="T5031" s="4">
        <f t="shared" si="3"/>
        <v>415</v>
      </c>
      <c r="U5031" s="4" t="str">
        <f t="shared" si="4"/>
        <v/>
      </c>
    </row>
    <row r="5032" ht="15.75" customHeight="1">
      <c r="A5032" s="4" t="s">
        <v>5823</v>
      </c>
      <c r="B5032" s="4" t="s">
        <v>13</v>
      </c>
      <c r="C5032" s="4">
        <v>0.1167</v>
      </c>
      <c r="D5032" s="4">
        <v>0.0614</v>
      </c>
      <c r="E5032" s="4">
        <v>0.079</v>
      </c>
      <c r="K5032" s="6" t="b">
        <f t="shared" ref="K5032:M5032" si="4824">FALSE()</f>
        <v>0</v>
      </c>
      <c r="L5032" s="6" t="b">
        <f t="shared" si="4824"/>
        <v>0</v>
      </c>
      <c r="M5032" s="6" t="b">
        <f t="shared" si="4824"/>
        <v>0</v>
      </c>
      <c r="N5032" s="4">
        <v>0.110377907469609</v>
      </c>
      <c r="T5032" s="4">
        <f t="shared" si="3"/>
        <v>1238</v>
      </c>
      <c r="U5032" s="4" t="str">
        <f t="shared" si="4"/>
        <v/>
      </c>
    </row>
    <row r="5033" ht="15.75" customHeight="1">
      <c r="A5033" s="4" t="s">
        <v>5824</v>
      </c>
      <c r="B5033" s="4" t="s">
        <v>13</v>
      </c>
      <c r="C5033" s="4">
        <v>4.36</v>
      </c>
      <c r="D5033" s="4">
        <v>2.2</v>
      </c>
      <c r="E5033" s="4">
        <v>2.35</v>
      </c>
      <c r="K5033" s="6" t="b">
        <f t="shared" ref="K5033:K5034" si="4826">TRUE()</f>
        <v>1</v>
      </c>
      <c r="L5033" s="6" t="b">
        <f t="shared" ref="L5033:M5033" si="4825">FALSE()</f>
        <v>0</v>
      </c>
      <c r="M5033" s="6" t="b">
        <f t="shared" si="4825"/>
        <v>0</v>
      </c>
      <c r="N5033" s="4">
        <v>1.67896397508271</v>
      </c>
      <c r="T5033" s="4">
        <f t="shared" si="3"/>
        <v>238</v>
      </c>
      <c r="U5033" s="4" t="str">
        <f t="shared" si="4"/>
        <v/>
      </c>
    </row>
    <row r="5034" ht="15.75" customHeight="1">
      <c r="A5034" s="4" t="s">
        <v>1131</v>
      </c>
      <c r="B5034" s="4" t="s">
        <v>13</v>
      </c>
      <c r="C5034" s="4">
        <v>4.34</v>
      </c>
      <c r="D5034" s="4">
        <v>1.48</v>
      </c>
      <c r="E5034" s="4">
        <v>1.48</v>
      </c>
      <c r="I5034" s="4">
        <v>1.614</v>
      </c>
      <c r="J5034" s="4">
        <v>0.083</v>
      </c>
      <c r="K5034" s="6" t="b">
        <f t="shared" si="4826"/>
        <v>1</v>
      </c>
      <c r="L5034" s="6" t="b">
        <f>FALSE()</f>
        <v>0</v>
      </c>
      <c r="M5034" s="6" t="b">
        <f>TRUE()</f>
        <v>1</v>
      </c>
      <c r="N5034" s="4">
        <v>1.6752256529721</v>
      </c>
      <c r="P5034" s="4">
        <v>0.96088161520203</v>
      </c>
      <c r="T5034" s="4">
        <f t="shared" si="3"/>
        <v>240</v>
      </c>
      <c r="U5034" s="4">
        <f t="shared" si="4"/>
        <v>74</v>
      </c>
    </row>
    <row r="5035" ht="15.75" customHeight="1">
      <c r="A5035" s="4" t="s">
        <v>5825</v>
      </c>
      <c r="B5035" s="4" t="s">
        <v>13</v>
      </c>
      <c r="F5035" s="4">
        <v>12.5</v>
      </c>
      <c r="K5035" s="6" t="b">
        <f t="shared" ref="K5035:K5046" si="4827">FALSE()</f>
        <v>0</v>
      </c>
      <c r="L5035" s="6" t="b">
        <f>TRUE()</f>
        <v>1</v>
      </c>
      <c r="M5035" s="6" t="b">
        <f>FALSE()</f>
        <v>0</v>
      </c>
      <c r="O5035" s="4">
        <v>2.60268968544438</v>
      </c>
      <c r="T5035" s="4" t="str">
        <f t="shared" si="3"/>
        <v/>
      </c>
      <c r="U5035" s="4" t="str">
        <f t="shared" si="4"/>
        <v/>
      </c>
    </row>
    <row r="5036" ht="15.75" customHeight="1">
      <c r="A5036" s="4" t="s">
        <v>1132</v>
      </c>
      <c r="B5036" s="4" t="s">
        <v>13</v>
      </c>
      <c r="C5036" s="4">
        <v>0.68</v>
      </c>
      <c r="D5036" s="4">
        <v>0.15</v>
      </c>
      <c r="E5036" s="4">
        <v>0.15</v>
      </c>
      <c r="I5036" s="4">
        <v>1.72</v>
      </c>
      <c r="J5036" s="4">
        <v>0.11</v>
      </c>
      <c r="K5036" s="6" t="b">
        <f t="shared" si="4827"/>
        <v>0</v>
      </c>
      <c r="L5036" s="6" t="b">
        <f t="shared" ref="L5036:L5042" si="4828">FALSE()</f>
        <v>0</v>
      </c>
      <c r="M5036" s="6" t="b">
        <f t="shared" ref="M5036:M5042" si="4829">TRUE()</f>
        <v>1</v>
      </c>
      <c r="N5036" s="4">
        <v>0.518793793415168</v>
      </c>
      <c r="P5036" s="4">
        <v>1.00063188030791</v>
      </c>
      <c r="T5036" s="4">
        <f t="shared" si="3"/>
        <v>832</v>
      </c>
      <c r="U5036" s="4">
        <f t="shared" si="4"/>
        <v>40</v>
      </c>
    </row>
    <row r="5037" ht="15.75" customHeight="1">
      <c r="A5037" s="4" t="s">
        <v>1133</v>
      </c>
      <c r="B5037" s="4" t="s">
        <v>13</v>
      </c>
      <c r="C5037" s="4">
        <v>0.54</v>
      </c>
      <c r="D5037" s="4">
        <v>0.1</v>
      </c>
      <c r="E5037" s="4">
        <v>0.1</v>
      </c>
      <c r="I5037" s="4">
        <v>1.077</v>
      </c>
      <c r="J5037" s="4">
        <v>0.075</v>
      </c>
      <c r="K5037" s="6" t="b">
        <f t="shared" si="4827"/>
        <v>0</v>
      </c>
      <c r="L5037" s="6" t="b">
        <f t="shared" si="4828"/>
        <v>0</v>
      </c>
      <c r="M5037" s="6" t="b">
        <f t="shared" si="4829"/>
        <v>1</v>
      </c>
      <c r="N5037" s="4">
        <v>0.431782416425538</v>
      </c>
      <c r="P5037" s="4">
        <v>0.730924544893975</v>
      </c>
      <c r="T5037" s="4">
        <f t="shared" si="3"/>
        <v>927</v>
      </c>
      <c r="U5037" s="4">
        <f t="shared" si="4"/>
        <v>561</v>
      </c>
    </row>
    <row r="5038" ht="15.75" customHeight="1">
      <c r="A5038" s="4" t="s">
        <v>1134</v>
      </c>
      <c r="B5038" s="4" t="s">
        <v>13</v>
      </c>
      <c r="C5038" s="4">
        <v>1.24</v>
      </c>
      <c r="D5038" s="4">
        <v>0.17</v>
      </c>
      <c r="E5038" s="4">
        <v>0.17</v>
      </c>
      <c r="I5038" s="4">
        <v>1.11</v>
      </c>
      <c r="J5038" s="4">
        <v>0.05</v>
      </c>
      <c r="K5038" s="6" t="b">
        <f t="shared" si="4827"/>
        <v>0</v>
      </c>
      <c r="L5038" s="6" t="b">
        <f t="shared" si="4828"/>
        <v>0</v>
      </c>
      <c r="M5038" s="6" t="b">
        <f t="shared" si="4829"/>
        <v>1</v>
      </c>
      <c r="N5038" s="4">
        <v>0.806475865866949</v>
      </c>
      <c r="P5038" s="4">
        <v>0.746687947487975</v>
      </c>
      <c r="T5038" s="4">
        <f t="shared" si="3"/>
        <v>575</v>
      </c>
      <c r="U5038" s="4">
        <f t="shared" si="4"/>
        <v>503</v>
      </c>
    </row>
    <row r="5039" ht="15.75" customHeight="1">
      <c r="A5039" s="4" t="s">
        <v>1135</v>
      </c>
      <c r="B5039" s="4" t="s">
        <v>13</v>
      </c>
      <c r="C5039" s="4">
        <v>1.17</v>
      </c>
      <c r="D5039" s="4">
        <v>0.14</v>
      </c>
      <c r="E5039" s="4">
        <v>0.14</v>
      </c>
      <c r="I5039" s="4">
        <v>1.23</v>
      </c>
      <c r="J5039" s="4">
        <v>0.07</v>
      </c>
      <c r="K5039" s="6" t="b">
        <f t="shared" si="4827"/>
        <v>0</v>
      </c>
      <c r="L5039" s="6" t="b">
        <f t="shared" si="4828"/>
        <v>0</v>
      </c>
      <c r="M5039" s="6" t="b">
        <f t="shared" si="4829"/>
        <v>1</v>
      </c>
      <c r="N5039" s="4">
        <v>0.774727167552368</v>
      </c>
      <c r="P5039" s="4">
        <v>0.802001585472027</v>
      </c>
      <c r="T5039" s="4">
        <f t="shared" si="3"/>
        <v>602</v>
      </c>
      <c r="U5039" s="4">
        <f t="shared" si="4"/>
        <v>341</v>
      </c>
    </row>
    <row r="5040" ht="15.75" customHeight="1">
      <c r="A5040" s="4" t="s">
        <v>1136</v>
      </c>
      <c r="B5040" s="4" t="s">
        <v>13</v>
      </c>
      <c r="C5040" s="4">
        <v>1.06</v>
      </c>
      <c r="D5040" s="4">
        <v>0.15</v>
      </c>
      <c r="E5040" s="4">
        <v>0.15</v>
      </c>
      <c r="I5040" s="4">
        <v>1.47</v>
      </c>
      <c r="J5040" s="4">
        <v>0.14</v>
      </c>
      <c r="K5040" s="6" t="b">
        <f t="shared" si="4827"/>
        <v>0</v>
      </c>
      <c r="L5040" s="6" t="b">
        <f t="shared" si="4828"/>
        <v>0</v>
      </c>
      <c r="M5040" s="6" t="b">
        <f t="shared" si="4829"/>
        <v>1</v>
      </c>
      <c r="N5040" s="4">
        <v>0.72270598280149</v>
      </c>
      <c r="P5040" s="4">
        <v>0.904218150639886</v>
      </c>
      <c r="T5040" s="4">
        <f t="shared" si="3"/>
        <v>642</v>
      </c>
      <c r="U5040" s="4">
        <f t="shared" si="4"/>
        <v>130</v>
      </c>
    </row>
    <row r="5041" ht="15.75" customHeight="1">
      <c r="A5041" s="4" t="s">
        <v>1138</v>
      </c>
      <c r="B5041" s="4" t="s">
        <v>13</v>
      </c>
      <c r="C5041" s="4">
        <v>0.75</v>
      </c>
      <c r="D5041" s="4">
        <v>0.15</v>
      </c>
      <c r="E5041" s="4">
        <v>0.15</v>
      </c>
      <c r="I5041" s="4">
        <v>1.26</v>
      </c>
      <c r="J5041" s="4">
        <v>0.09</v>
      </c>
      <c r="K5041" s="6" t="b">
        <f t="shared" si="4827"/>
        <v>0</v>
      </c>
      <c r="L5041" s="6" t="b">
        <f t="shared" si="4828"/>
        <v>0</v>
      </c>
      <c r="M5041" s="6" t="b">
        <f t="shared" si="4829"/>
        <v>1</v>
      </c>
      <c r="N5041" s="4">
        <v>0.559615787935423</v>
      </c>
      <c r="P5041" s="4">
        <v>0.815364813284195</v>
      </c>
      <c r="T5041" s="4">
        <f t="shared" si="3"/>
        <v>796</v>
      </c>
      <c r="U5041" s="4">
        <f t="shared" si="4"/>
        <v>306</v>
      </c>
    </row>
    <row r="5042" ht="15.75" customHeight="1">
      <c r="A5042" s="4" t="s">
        <v>1139</v>
      </c>
      <c r="B5042" s="4" t="s">
        <v>13</v>
      </c>
      <c r="C5042" s="4">
        <v>1.3</v>
      </c>
      <c r="D5042" s="4">
        <v>0.08</v>
      </c>
      <c r="E5042" s="4">
        <v>0.08</v>
      </c>
      <c r="I5042" s="4">
        <v>1.2</v>
      </c>
      <c r="J5042" s="4">
        <v>0.17</v>
      </c>
      <c r="K5042" s="6" t="b">
        <f t="shared" si="4827"/>
        <v>0</v>
      </c>
      <c r="L5042" s="6" t="b">
        <f t="shared" si="4828"/>
        <v>0</v>
      </c>
      <c r="M5042" s="6" t="b">
        <f t="shared" si="4829"/>
        <v>1</v>
      </c>
      <c r="N5042" s="4">
        <v>0.832909122935104</v>
      </c>
      <c r="P5042" s="4">
        <v>0.78845736036427</v>
      </c>
      <c r="T5042" s="4">
        <f t="shared" si="3"/>
        <v>561</v>
      </c>
      <c r="U5042" s="4">
        <f t="shared" si="4"/>
        <v>385</v>
      </c>
    </row>
    <row r="5043" ht="15.75" customHeight="1">
      <c r="A5043" s="4" t="s">
        <v>5826</v>
      </c>
      <c r="B5043" s="4" t="s">
        <v>13</v>
      </c>
      <c r="D5043" s="4">
        <v>0.5</v>
      </c>
      <c r="E5043" s="4">
        <v>0.5</v>
      </c>
      <c r="F5043" s="4">
        <v>11.5</v>
      </c>
      <c r="G5043" s="4">
        <v>0.5</v>
      </c>
      <c r="H5043" s="4">
        <v>0.5</v>
      </c>
      <c r="K5043" s="6" t="b">
        <f t="shared" si="4827"/>
        <v>0</v>
      </c>
      <c r="L5043" s="6" t="b">
        <f>TRUE()</f>
        <v>1</v>
      </c>
      <c r="M5043" s="6" t="b">
        <f>FALSE()</f>
        <v>0</v>
      </c>
      <c r="O5043" s="4">
        <v>2.52572864430826</v>
      </c>
      <c r="T5043" s="4" t="str">
        <f t="shared" si="3"/>
        <v/>
      </c>
      <c r="U5043" s="4" t="str">
        <f t="shared" si="4"/>
        <v/>
      </c>
    </row>
    <row r="5044" ht="15.75" customHeight="1">
      <c r="A5044" s="4" t="s">
        <v>5827</v>
      </c>
      <c r="B5044" s="4" t="s">
        <v>13</v>
      </c>
      <c r="F5044" s="4">
        <v>1.7</v>
      </c>
      <c r="K5044" s="6" t="b">
        <f t="shared" si="4827"/>
        <v>0</v>
      </c>
      <c r="L5044" s="6" t="b">
        <f t="shared" ref="L5044:M5044" si="4830">FALSE()</f>
        <v>0</v>
      </c>
      <c r="M5044" s="6" t="b">
        <f t="shared" si="4830"/>
        <v>0</v>
      </c>
      <c r="O5044" s="4">
        <v>0.993251773010283</v>
      </c>
      <c r="T5044" s="4" t="str">
        <f t="shared" si="3"/>
        <v/>
      </c>
      <c r="U5044" s="4" t="str">
        <f t="shared" si="4"/>
        <v/>
      </c>
    </row>
    <row r="5045" ht="15.75" customHeight="1">
      <c r="A5045" s="4" t="s">
        <v>5828</v>
      </c>
      <c r="B5045" s="4" t="s">
        <v>13</v>
      </c>
      <c r="F5045" s="4">
        <v>1.5</v>
      </c>
      <c r="K5045" s="6" t="b">
        <f t="shared" si="4827"/>
        <v>0</v>
      </c>
      <c r="L5045" s="6" t="b">
        <f t="shared" ref="L5045:M5045" si="4831">FALSE()</f>
        <v>0</v>
      </c>
      <c r="M5045" s="6" t="b">
        <f t="shared" si="4831"/>
        <v>0</v>
      </c>
      <c r="O5045" s="4">
        <v>0.916290731874155</v>
      </c>
      <c r="T5045" s="4" t="str">
        <f t="shared" si="3"/>
        <v/>
      </c>
      <c r="U5045" s="4" t="str">
        <f t="shared" si="4"/>
        <v/>
      </c>
    </row>
    <row r="5046" ht="15.75" customHeight="1">
      <c r="A5046" s="4" t="s">
        <v>5829</v>
      </c>
      <c r="B5046" s="4" t="s">
        <v>13</v>
      </c>
      <c r="F5046" s="4">
        <v>4.1</v>
      </c>
      <c r="K5046" s="6" t="b">
        <f t="shared" si="4827"/>
        <v>0</v>
      </c>
      <c r="L5046" s="6" t="b">
        <f t="shared" ref="L5046:M5046" si="4832">FALSE()</f>
        <v>0</v>
      </c>
      <c r="M5046" s="6" t="b">
        <f t="shared" si="4832"/>
        <v>0</v>
      </c>
      <c r="O5046" s="4">
        <v>1.62924053973028</v>
      </c>
      <c r="T5046" s="4" t="str">
        <f t="shared" si="3"/>
        <v/>
      </c>
      <c r="U5046" s="4" t="str">
        <f t="shared" si="4"/>
        <v/>
      </c>
    </row>
    <row r="5047" ht="15.75" customHeight="1">
      <c r="A5047" s="4" t="s">
        <v>5830</v>
      </c>
      <c r="B5047" s="4" t="s">
        <v>13</v>
      </c>
      <c r="C5047" s="4">
        <v>8.48</v>
      </c>
      <c r="D5047" s="4">
        <v>0.02</v>
      </c>
      <c r="E5047" s="4">
        <v>0.02</v>
      </c>
      <c r="K5047" s="6" t="b">
        <f t="shared" ref="K5047:K5049" si="4834">TRUE()</f>
        <v>1</v>
      </c>
      <c r="L5047" s="6" t="b">
        <f t="shared" ref="L5047:M5047" si="4833">FALSE()</f>
        <v>0</v>
      </c>
      <c r="M5047" s="6" t="b">
        <f t="shared" si="4833"/>
        <v>0</v>
      </c>
      <c r="N5047" s="4">
        <v>2.24918431626693</v>
      </c>
      <c r="T5047" s="4">
        <f t="shared" si="3"/>
        <v>94</v>
      </c>
      <c r="U5047" s="4" t="str">
        <f t="shared" si="4"/>
        <v/>
      </c>
    </row>
    <row r="5048" ht="15.75" customHeight="1">
      <c r="A5048" s="4" t="s">
        <v>5831</v>
      </c>
      <c r="B5048" s="4" t="s">
        <v>13</v>
      </c>
      <c r="C5048" s="4">
        <v>7.0</v>
      </c>
      <c r="D5048" s="4">
        <v>2.0</v>
      </c>
      <c r="E5048" s="4">
        <v>2.0</v>
      </c>
      <c r="K5048" s="6" t="b">
        <f t="shared" si="4834"/>
        <v>1</v>
      </c>
      <c r="L5048" s="6" t="b">
        <f t="shared" ref="L5048:M5048" si="4835">FALSE()</f>
        <v>0</v>
      </c>
      <c r="M5048" s="6" t="b">
        <f t="shared" si="4835"/>
        <v>0</v>
      </c>
      <c r="N5048" s="4">
        <v>2.07944154167984</v>
      </c>
      <c r="T5048" s="4">
        <f t="shared" si="3"/>
        <v>133</v>
      </c>
      <c r="U5048" s="4" t="str">
        <f t="shared" si="4"/>
        <v/>
      </c>
    </row>
    <row r="5049" ht="15.75" customHeight="1">
      <c r="A5049" s="4" t="s">
        <v>5832</v>
      </c>
      <c r="B5049" s="4" t="s">
        <v>13</v>
      </c>
      <c r="C5049" s="4">
        <v>4.4</v>
      </c>
      <c r="D5049" s="4">
        <v>1.1</v>
      </c>
      <c r="E5049" s="4">
        <v>1.1</v>
      </c>
      <c r="K5049" s="6" t="b">
        <f t="shared" si="4834"/>
        <v>1</v>
      </c>
      <c r="L5049" s="6" t="b">
        <f t="shared" ref="L5049:M5049" si="4836">FALSE()</f>
        <v>0</v>
      </c>
      <c r="M5049" s="6" t="b">
        <f t="shared" si="4836"/>
        <v>0</v>
      </c>
      <c r="N5049" s="4">
        <v>1.68639895357023</v>
      </c>
      <c r="T5049" s="4">
        <f t="shared" si="3"/>
        <v>235</v>
      </c>
      <c r="U5049" s="4" t="str">
        <f t="shared" si="4"/>
        <v/>
      </c>
    </row>
    <row r="5050" ht="15.75" customHeight="1">
      <c r="A5050" s="4" t="s">
        <v>5833</v>
      </c>
      <c r="B5050" s="4" t="s">
        <v>13</v>
      </c>
      <c r="D5050" s="4">
        <v>1.6</v>
      </c>
      <c r="E5050" s="4">
        <v>1.6</v>
      </c>
      <c r="F5050" s="4">
        <v>7.1</v>
      </c>
      <c r="G5050" s="4">
        <v>1.6</v>
      </c>
      <c r="H5050" s="4">
        <v>1.6</v>
      </c>
      <c r="K5050" s="6" t="b">
        <f>FALSE()</f>
        <v>0</v>
      </c>
      <c r="L5050" s="6" t="b">
        <f>TRUE()</f>
        <v>1</v>
      </c>
      <c r="M5050" s="6" t="b">
        <f t="shared" ref="M5050:M5051" si="4838">FALSE()</f>
        <v>0</v>
      </c>
      <c r="O5050" s="4">
        <v>2.09186406167839</v>
      </c>
      <c r="T5050" s="4" t="str">
        <f t="shared" si="3"/>
        <v/>
      </c>
      <c r="U5050" s="4" t="str">
        <f t="shared" si="4"/>
        <v/>
      </c>
    </row>
    <row r="5051" ht="15.75" customHeight="1">
      <c r="A5051" s="4" t="s">
        <v>5834</v>
      </c>
      <c r="B5051" s="4" t="s">
        <v>13</v>
      </c>
      <c r="C5051" s="4">
        <v>12.6</v>
      </c>
      <c r="D5051" s="4">
        <v>2.0</v>
      </c>
      <c r="E5051" s="4">
        <v>2.0</v>
      </c>
      <c r="F5051" s="4">
        <v>9.82</v>
      </c>
      <c r="G5051" s="4">
        <v>0.24</v>
      </c>
      <c r="H5051" s="4">
        <v>0.24</v>
      </c>
      <c r="K5051" s="6" t="b">
        <f t="shared" ref="K5051:L5051" si="4837">TRUE()</f>
        <v>1</v>
      </c>
      <c r="L5051" s="6" t="b">
        <f t="shared" si="4837"/>
        <v>1</v>
      </c>
      <c r="M5051" s="6" t="b">
        <f t="shared" si="4838"/>
        <v>0</v>
      </c>
      <c r="N5051" s="4">
        <v>2.61006979274201</v>
      </c>
      <c r="O5051" s="4">
        <v>2.38139627341834</v>
      </c>
      <c r="T5051" s="4">
        <f t="shared" si="3"/>
        <v>7</v>
      </c>
      <c r="U5051" s="4" t="str">
        <f t="shared" si="4"/>
        <v/>
      </c>
    </row>
    <row r="5052" ht="15.75" customHeight="1">
      <c r="A5052" s="4" t="s">
        <v>1140</v>
      </c>
      <c r="B5052" s="4" t="s">
        <v>13</v>
      </c>
      <c r="C5052" s="4">
        <v>0.01142</v>
      </c>
      <c r="D5052" s="4">
        <v>0.0012</v>
      </c>
      <c r="E5052" s="4">
        <v>0.0012</v>
      </c>
      <c r="I5052" s="4">
        <v>0.16719</v>
      </c>
      <c r="J5052" s="4">
        <v>0.004532</v>
      </c>
      <c r="K5052" s="6" t="b">
        <f t="shared" ref="K5052:M5052" si="4839">FALSE()</f>
        <v>0</v>
      </c>
      <c r="L5052" s="6" t="b">
        <f t="shared" si="4839"/>
        <v>0</v>
      </c>
      <c r="M5052" s="6" t="b">
        <f t="shared" si="4839"/>
        <v>0</v>
      </c>
      <c r="N5052" s="4">
        <v>0.0113552840381344</v>
      </c>
      <c r="P5052" s="4">
        <v>0.154599150677743</v>
      </c>
      <c r="T5052" s="4">
        <f t="shared" si="3"/>
        <v>1910</v>
      </c>
      <c r="U5052" s="4">
        <f t="shared" si="4"/>
        <v>3083</v>
      </c>
    </row>
    <row r="5053" ht="15.75" customHeight="1">
      <c r="A5053" s="4" t="s">
        <v>5835</v>
      </c>
      <c r="B5053" s="4" t="s">
        <v>13</v>
      </c>
      <c r="D5053" s="4">
        <v>0.00425</v>
      </c>
      <c r="E5053" s="4">
        <v>0.00425</v>
      </c>
      <c r="F5053" s="4">
        <v>0.0421</v>
      </c>
      <c r="G5053" s="4">
        <v>0.00425</v>
      </c>
      <c r="H5053" s="4">
        <v>0.00425</v>
      </c>
      <c r="K5053" s="6" t="b">
        <f t="shared" ref="K5053:M5053" si="4840">FALSE()</f>
        <v>0</v>
      </c>
      <c r="L5053" s="6" t="b">
        <f t="shared" si="4840"/>
        <v>0</v>
      </c>
      <c r="M5053" s="6" t="b">
        <f t="shared" si="4840"/>
        <v>0</v>
      </c>
      <c r="O5053" s="4">
        <v>0.0412379080162447</v>
      </c>
      <c r="T5053" s="4" t="str">
        <f t="shared" si="3"/>
        <v/>
      </c>
      <c r="U5053" s="4" t="str">
        <f t="shared" si="4"/>
        <v/>
      </c>
    </row>
    <row r="5054" ht="15.75" customHeight="1">
      <c r="A5054" s="4" t="s">
        <v>5836</v>
      </c>
      <c r="B5054" s="4" t="s">
        <v>13</v>
      </c>
      <c r="D5054" s="4">
        <v>0.7</v>
      </c>
      <c r="E5054" s="4">
        <v>0.7</v>
      </c>
      <c r="F5054" s="4">
        <v>7.3</v>
      </c>
      <c r="G5054" s="4">
        <v>0.7</v>
      </c>
      <c r="H5054" s="4">
        <v>0.7</v>
      </c>
      <c r="K5054" s="6" t="b">
        <f t="shared" ref="K5054:K5071" si="4841">FALSE()</f>
        <v>0</v>
      </c>
      <c r="L5054" s="6" t="b">
        <f>TRUE()</f>
        <v>1</v>
      </c>
      <c r="M5054" s="6" t="b">
        <f>FALSE()</f>
        <v>0</v>
      </c>
      <c r="O5054" s="4">
        <v>2.11625551480255</v>
      </c>
      <c r="T5054" s="4" t="str">
        <f t="shared" si="3"/>
        <v/>
      </c>
      <c r="U5054" s="4" t="str">
        <f t="shared" si="4"/>
        <v/>
      </c>
    </row>
    <row r="5055" ht="15.75" customHeight="1">
      <c r="A5055" s="4" t="s">
        <v>5837</v>
      </c>
      <c r="B5055" s="4" t="s">
        <v>13</v>
      </c>
      <c r="D5055" s="4">
        <v>0.1</v>
      </c>
      <c r="E5055" s="4">
        <v>0.1</v>
      </c>
      <c r="F5055" s="4">
        <v>2.9</v>
      </c>
      <c r="G5055" s="4">
        <v>0.1</v>
      </c>
      <c r="H5055" s="4">
        <v>0.1</v>
      </c>
      <c r="K5055" s="6" t="b">
        <f t="shared" si="4841"/>
        <v>0</v>
      </c>
      <c r="L5055" s="6" t="b">
        <f t="shared" ref="L5055:M5055" si="4842">FALSE()</f>
        <v>0</v>
      </c>
      <c r="M5055" s="6" t="b">
        <f t="shared" si="4842"/>
        <v>0</v>
      </c>
      <c r="O5055" s="4">
        <v>1.3609765531356</v>
      </c>
      <c r="T5055" s="4" t="str">
        <f t="shared" si="3"/>
        <v/>
      </c>
      <c r="U5055" s="4" t="str">
        <f t="shared" si="4"/>
        <v/>
      </c>
    </row>
    <row r="5056" ht="15.75" customHeight="1">
      <c r="A5056" s="4" t="s">
        <v>1141</v>
      </c>
      <c r="B5056" s="4" t="s">
        <v>13</v>
      </c>
      <c r="C5056" s="4">
        <v>2.31</v>
      </c>
      <c r="D5056" s="4">
        <v>0.77</v>
      </c>
      <c r="E5056" s="4">
        <v>0.77</v>
      </c>
      <c r="I5056" s="4">
        <v>0.941</v>
      </c>
      <c r="J5056" s="4">
        <v>0.047</v>
      </c>
      <c r="K5056" s="6" t="b">
        <f t="shared" si="4841"/>
        <v>0</v>
      </c>
      <c r="L5056" s="6" t="b">
        <f t="shared" ref="L5056:L5058" si="4843">FALSE()</f>
        <v>0</v>
      </c>
      <c r="M5056" s="6" t="b">
        <f>TRUE()</f>
        <v>1</v>
      </c>
      <c r="N5056" s="4">
        <v>1.19694818938897</v>
      </c>
      <c r="P5056" s="4">
        <v>0.663203304186873</v>
      </c>
      <c r="T5056" s="4">
        <f t="shared" si="3"/>
        <v>396</v>
      </c>
      <c r="U5056" s="4">
        <f t="shared" si="4"/>
        <v>736</v>
      </c>
    </row>
    <row r="5057" ht="15.75" customHeight="1">
      <c r="A5057" s="4" t="s">
        <v>5838</v>
      </c>
      <c r="B5057" s="4" t="s">
        <v>13</v>
      </c>
      <c r="D5057" s="4">
        <v>0.039</v>
      </c>
      <c r="E5057" s="4">
        <v>0.039</v>
      </c>
      <c r="F5057" s="4">
        <v>0.54</v>
      </c>
      <c r="G5057" s="4">
        <v>0.039</v>
      </c>
      <c r="H5057" s="4">
        <v>0.039</v>
      </c>
      <c r="K5057" s="6" t="b">
        <f t="shared" si="4841"/>
        <v>0</v>
      </c>
      <c r="L5057" s="6" t="b">
        <f t="shared" si="4843"/>
        <v>0</v>
      </c>
      <c r="M5057" s="6" t="b">
        <f t="shared" ref="M5057:M5059" si="4844">FALSE()</f>
        <v>0</v>
      </c>
      <c r="O5057" s="4">
        <v>0.431782416425538</v>
      </c>
      <c r="T5057" s="4" t="str">
        <f t="shared" si="3"/>
        <v/>
      </c>
      <c r="U5057" s="4" t="str">
        <f t="shared" si="4"/>
        <v/>
      </c>
    </row>
    <row r="5058" ht="15.75" customHeight="1">
      <c r="A5058" s="4" t="s">
        <v>5839</v>
      </c>
      <c r="B5058" s="4" t="s">
        <v>13</v>
      </c>
      <c r="D5058" s="4">
        <v>0.02</v>
      </c>
      <c r="E5058" s="4">
        <v>0.02</v>
      </c>
      <c r="F5058" s="4">
        <v>1.88</v>
      </c>
      <c r="G5058" s="4">
        <v>0.02</v>
      </c>
      <c r="H5058" s="4">
        <v>0.02</v>
      </c>
      <c r="K5058" s="6" t="b">
        <f t="shared" si="4841"/>
        <v>0</v>
      </c>
      <c r="L5058" s="6" t="b">
        <f t="shared" si="4843"/>
        <v>0</v>
      </c>
      <c r="M5058" s="6" t="b">
        <f t="shared" si="4844"/>
        <v>0</v>
      </c>
      <c r="O5058" s="4">
        <v>1.05779029414785</v>
      </c>
      <c r="T5058" s="4" t="str">
        <f t="shared" si="3"/>
        <v/>
      </c>
      <c r="U5058" s="4" t="str">
        <f t="shared" si="4"/>
        <v/>
      </c>
    </row>
    <row r="5059" ht="15.75" customHeight="1">
      <c r="A5059" s="4" t="s">
        <v>5840</v>
      </c>
      <c r="B5059" s="4" t="s">
        <v>13</v>
      </c>
      <c r="D5059" s="4">
        <v>0.25</v>
      </c>
      <c r="E5059" s="4">
        <v>0.25</v>
      </c>
      <c r="F5059" s="4">
        <v>7.95</v>
      </c>
      <c r="G5059" s="4">
        <v>0.25</v>
      </c>
      <c r="H5059" s="4">
        <v>0.25</v>
      </c>
      <c r="K5059" s="6" t="b">
        <f t="shared" si="4841"/>
        <v>0</v>
      </c>
      <c r="L5059" s="6" t="b">
        <f>TRUE()</f>
        <v>1</v>
      </c>
      <c r="M5059" s="6" t="b">
        <f t="shared" si="4844"/>
        <v>0</v>
      </c>
      <c r="O5059" s="4">
        <v>2.19165353228676</v>
      </c>
      <c r="T5059" s="4" t="str">
        <f t="shared" si="3"/>
        <v/>
      </c>
      <c r="U5059" s="4" t="str">
        <f t="shared" si="4"/>
        <v/>
      </c>
    </row>
    <row r="5060" ht="15.75" customHeight="1">
      <c r="A5060" s="4" t="s">
        <v>5841</v>
      </c>
      <c r="B5060" s="4" t="s">
        <v>13</v>
      </c>
      <c r="D5060" s="4">
        <v>1.9E-4</v>
      </c>
      <c r="E5060" s="4">
        <v>1.9E-4</v>
      </c>
      <c r="F5060" s="4">
        <v>0.00337</v>
      </c>
      <c r="G5060" s="4">
        <v>1.9E-4</v>
      </c>
      <c r="H5060" s="4">
        <v>1.9E-4</v>
      </c>
      <c r="K5060" s="6" t="b">
        <f t="shared" si="4841"/>
        <v>0</v>
      </c>
      <c r="L5060" s="6" t="b">
        <f t="shared" ref="L5060:M5060" si="4845">FALSE()</f>
        <v>0</v>
      </c>
      <c r="M5060" s="6" t="b">
        <f t="shared" si="4845"/>
        <v>0</v>
      </c>
      <c r="O5060" s="4">
        <v>0.0033643342754262</v>
      </c>
      <c r="T5060" s="4" t="str">
        <f t="shared" si="3"/>
        <v/>
      </c>
      <c r="U5060" s="4" t="str">
        <f t="shared" si="4"/>
        <v/>
      </c>
    </row>
    <row r="5061" ht="15.75" customHeight="1">
      <c r="A5061" s="4" t="s">
        <v>5842</v>
      </c>
      <c r="B5061" s="4" t="s">
        <v>13</v>
      </c>
      <c r="D5061" s="4">
        <v>2.67E-4</v>
      </c>
      <c r="E5061" s="4">
        <v>2.67E-4</v>
      </c>
      <c r="F5061" s="4">
        <v>8.2E-4</v>
      </c>
      <c r="G5061" s="4">
        <v>2.67E-4</v>
      </c>
      <c r="H5061" s="4">
        <v>2.67E-4</v>
      </c>
      <c r="K5061" s="6" t="b">
        <f t="shared" si="4841"/>
        <v>0</v>
      </c>
      <c r="L5061" s="6" t="b">
        <f t="shared" ref="L5061:M5061" si="4846">FALSE()</f>
        <v>0</v>
      </c>
      <c r="M5061" s="6" t="b">
        <f t="shared" si="4846"/>
        <v>0</v>
      </c>
      <c r="O5061" s="4">
        <v>8.196639836763E-4</v>
      </c>
      <c r="T5061" s="4" t="str">
        <f t="shared" si="3"/>
        <v/>
      </c>
      <c r="U5061" s="4" t="str">
        <f t="shared" si="4"/>
        <v/>
      </c>
    </row>
    <row r="5062" ht="15.75" customHeight="1">
      <c r="A5062" s="4" t="s">
        <v>5843</v>
      </c>
      <c r="B5062" s="4" t="s">
        <v>13</v>
      </c>
      <c r="F5062" s="4">
        <v>3.2</v>
      </c>
      <c r="K5062" s="6" t="b">
        <f t="shared" si="4841"/>
        <v>0</v>
      </c>
      <c r="L5062" s="6" t="b">
        <f t="shared" ref="L5062:M5062" si="4847">FALSE()</f>
        <v>0</v>
      </c>
      <c r="M5062" s="6" t="b">
        <f t="shared" si="4847"/>
        <v>0</v>
      </c>
      <c r="O5062" s="4">
        <v>1.43508452528932</v>
      </c>
      <c r="T5062" s="4" t="str">
        <f t="shared" si="3"/>
        <v/>
      </c>
      <c r="U5062" s="4" t="str">
        <f t="shared" si="4"/>
        <v/>
      </c>
    </row>
    <row r="5063" ht="15.75" customHeight="1">
      <c r="A5063" s="4" t="s">
        <v>5844</v>
      </c>
      <c r="B5063" s="4" t="s">
        <v>13</v>
      </c>
      <c r="D5063" s="4">
        <v>0.1</v>
      </c>
      <c r="E5063" s="4">
        <v>0.1</v>
      </c>
      <c r="F5063" s="4">
        <v>1.53</v>
      </c>
      <c r="G5063" s="4">
        <v>0.1</v>
      </c>
      <c r="H5063" s="4">
        <v>0.1</v>
      </c>
      <c r="K5063" s="6" t="b">
        <f t="shared" si="4841"/>
        <v>0</v>
      </c>
      <c r="L5063" s="6" t="b">
        <f t="shared" ref="L5063:M5063" si="4848">FALSE()</f>
        <v>0</v>
      </c>
      <c r="M5063" s="6" t="b">
        <f t="shared" si="4848"/>
        <v>0</v>
      </c>
      <c r="O5063" s="4">
        <v>0.928219302739429</v>
      </c>
      <c r="T5063" s="4" t="str">
        <f t="shared" si="3"/>
        <v/>
      </c>
      <c r="U5063" s="4" t="str">
        <f t="shared" si="4"/>
        <v/>
      </c>
    </row>
    <row r="5064" ht="15.75" customHeight="1">
      <c r="A5064" s="4" t="s">
        <v>1142</v>
      </c>
      <c r="B5064" s="4" t="s">
        <v>13</v>
      </c>
      <c r="C5064" s="4">
        <v>1.0</v>
      </c>
      <c r="D5064" s="4">
        <v>0.0</v>
      </c>
      <c r="E5064" s="4">
        <v>0.0</v>
      </c>
      <c r="I5064" s="4">
        <v>0.4</v>
      </c>
      <c r="J5064" s="4">
        <v>0.4</v>
      </c>
      <c r="K5064" s="6" t="b">
        <f t="shared" si="4841"/>
        <v>0</v>
      </c>
      <c r="L5064" s="6" t="b">
        <f t="shared" ref="L5064:M5064" si="4849">FALSE()</f>
        <v>0</v>
      </c>
      <c r="M5064" s="6" t="b">
        <f t="shared" si="4849"/>
        <v>0</v>
      </c>
      <c r="N5064" s="4">
        <v>0.693147180559945</v>
      </c>
      <c r="P5064" s="4">
        <v>0.336472236621213</v>
      </c>
      <c r="T5064" s="4">
        <f t="shared" si="3"/>
        <v>660</v>
      </c>
      <c r="U5064" s="4">
        <f t="shared" si="4"/>
        <v>1120</v>
      </c>
    </row>
    <row r="5065" ht="15.75" customHeight="1">
      <c r="A5065" s="4" t="s">
        <v>5845</v>
      </c>
      <c r="B5065" s="4" t="s">
        <v>13</v>
      </c>
      <c r="D5065" s="4">
        <v>6.0E-4</v>
      </c>
      <c r="E5065" s="4">
        <v>6.0E-4</v>
      </c>
      <c r="F5065" s="4">
        <v>0.0062</v>
      </c>
      <c r="G5065" s="4">
        <v>6.0E-4</v>
      </c>
      <c r="H5065" s="4">
        <v>6.0E-4</v>
      </c>
      <c r="K5065" s="6" t="b">
        <f t="shared" si="4841"/>
        <v>0</v>
      </c>
      <c r="L5065" s="6" t="b">
        <f t="shared" ref="L5065:M5065" si="4850">FALSE()</f>
        <v>0</v>
      </c>
      <c r="M5065" s="6" t="b">
        <f t="shared" si="4850"/>
        <v>0</v>
      </c>
      <c r="O5065" s="4">
        <v>0.0061808590750811</v>
      </c>
      <c r="T5065" s="4" t="str">
        <f t="shared" si="3"/>
        <v/>
      </c>
      <c r="U5065" s="4" t="str">
        <f t="shared" si="4"/>
        <v/>
      </c>
    </row>
    <row r="5066" ht="15.75" customHeight="1">
      <c r="A5066" s="4" t="s">
        <v>5846</v>
      </c>
      <c r="B5066" s="4" t="s">
        <v>13</v>
      </c>
      <c r="F5066" s="4">
        <v>2.8</v>
      </c>
      <c r="K5066" s="6" t="b">
        <f t="shared" si="4841"/>
        <v>0</v>
      </c>
      <c r="L5066" s="6" t="b">
        <f t="shared" ref="L5066:M5066" si="4851">FALSE()</f>
        <v>0</v>
      </c>
      <c r="M5066" s="6" t="b">
        <f t="shared" si="4851"/>
        <v>0</v>
      </c>
      <c r="O5066" s="4">
        <v>1.33500106673234</v>
      </c>
      <c r="T5066" s="4" t="str">
        <f t="shared" si="3"/>
        <v/>
      </c>
      <c r="U5066" s="4" t="str">
        <f t="shared" si="4"/>
        <v/>
      </c>
    </row>
    <row r="5067" ht="15.75" customHeight="1">
      <c r="A5067" s="4" t="s">
        <v>5847</v>
      </c>
      <c r="B5067" s="4" t="s">
        <v>13</v>
      </c>
      <c r="F5067" s="4">
        <v>2.6</v>
      </c>
      <c r="K5067" s="6" t="b">
        <f t="shared" si="4841"/>
        <v>0</v>
      </c>
      <c r="L5067" s="6" t="b">
        <f t="shared" ref="L5067:M5067" si="4852">FALSE()</f>
        <v>0</v>
      </c>
      <c r="M5067" s="6" t="b">
        <f t="shared" si="4852"/>
        <v>0</v>
      </c>
      <c r="O5067" s="4">
        <v>1.28093384546206</v>
      </c>
      <c r="T5067" s="4" t="str">
        <f t="shared" si="3"/>
        <v/>
      </c>
      <c r="U5067" s="4" t="str">
        <f t="shared" si="4"/>
        <v/>
      </c>
    </row>
    <row r="5068" ht="15.75" customHeight="1">
      <c r="A5068" s="4" t="s">
        <v>5848</v>
      </c>
      <c r="B5068" s="4" t="s">
        <v>13</v>
      </c>
      <c r="C5068" s="4">
        <v>0.013</v>
      </c>
      <c r="K5068" s="6" t="b">
        <f t="shared" si="4841"/>
        <v>0</v>
      </c>
      <c r="L5068" s="6" t="b">
        <f t="shared" ref="L5068:M5068" si="4853">FALSE()</f>
        <v>0</v>
      </c>
      <c r="M5068" s="6" t="b">
        <f t="shared" si="4853"/>
        <v>0</v>
      </c>
      <c r="N5068" s="4">
        <v>0.0129162252665463</v>
      </c>
      <c r="T5068" s="4">
        <f t="shared" si="3"/>
        <v>1871</v>
      </c>
      <c r="U5068" s="4" t="str">
        <f t="shared" si="4"/>
        <v/>
      </c>
    </row>
    <row r="5069" ht="15.75" customHeight="1">
      <c r="A5069" s="4" t="s">
        <v>5850</v>
      </c>
      <c r="B5069" s="4" t="s">
        <v>13</v>
      </c>
      <c r="C5069" s="4">
        <v>0.012</v>
      </c>
      <c r="D5069" s="4">
        <v>6.0E-4</v>
      </c>
      <c r="E5069" s="4">
        <v>6.0E-4</v>
      </c>
      <c r="K5069" s="6" t="b">
        <f t="shared" si="4841"/>
        <v>0</v>
      </c>
      <c r="L5069" s="6" t="b">
        <f t="shared" ref="L5069:M5069" si="4854">FALSE()</f>
        <v>0</v>
      </c>
      <c r="M5069" s="6" t="b">
        <f t="shared" si="4854"/>
        <v>0</v>
      </c>
      <c r="N5069" s="4">
        <v>0.0119285708652738</v>
      </c>
      <c r="T5069" s="4">
        <f t="shared" si="3"/>
        <v>1899</v>
      </c>
      <c r="U5069" s="4" t="str">
        <f t="shared" si="4"/>
        <v/>
      </c>
    </row>
    <row r="5070" ht="15.75" customHeight="1">
      <c r="A5070" s="4" t="s">
        <v>5851</v>
      </c>
      <c r="B5070" s="4" t="s">
        <v>13</v>
      </c>
      <c r="C5070" s="4">
        <v>2.5</v>
      </c>
      <c r="D5070" s="4">
        <v>1.0</v>
      </c>
      <c r="E5070" s="4">
        <v>1.0</v>
      </c>
      <c r="K5070" s="6" t="b">
        <f t="shared" si="4841"/>
        <v>0</v>
      </c>
      <c r="L5070" s="6" t="b">
        <f t="shared" ref="L5070:M5070" si="4855">FALSE()</f>
        <v>0</v>
      </c>
      <c r="M5070" s="6" t="b">
        <f t="shared" si="4855"/>
        <v>0</v>
      </c>
      <c r="N5070" s="4">
        <v>1.25276296849537</v>
      </c>
      <c r="T5070" s="4">
        <f t="shared" si="3"/>
        <v>371</v>
      </c>
      <c r="U5070" s="4" t="str">
        <f t="shared" si="4"/>
        <v/>
      </c>
    </row>
    <row r="5071" ht="15.75" customHeight="1">
      <c r="A5071" s="4" t="s">
        <v>5852</v>
      </c>
      <c r="B5071" s="4" t="s">
        <v>13</v>
      </c>
      <c r="F5071" s="4">
        <v>10.0</v>
      </c>
      <c r="K5071" s="6" t="b">
        <f t="shared" si="4841"/>
        <v>0</v>
      </c>
      <c r="L5071" s="6" t="b">
        <f>TRUE()</f>
        <v>1</v>
      </c>
      <c r="M5071" s="6" t="b">
        <f t="shared" ref="M5071:M5074" si="4857">FALSE()</f>
        <v>0</v>
      </c>
      <c r="O5071" s="4">
        <v>2.39789527279837</v>
      </c>
      <c r="T5071" s="4" t="str">
        <f t="shared" si="3"/>
        <v/>
      </c>
      <c r="U5071" s="4" t="str">
        <f t="shared" si="4"/>
        <v/>
      </c>
    </row>
    <row r="5072" ht="15.75" customHeight="1">
      <c r="A5072" s="4" t="s">
        <v>5853</v>
      </c>
      <c r="B5072" s="4" t="s">
        <v>13</v>
      </c>
      <c r="C5072" s="4">
        <v>10.47</v>
      </c>
      <c r="F5072" s="4">
        <v>9.42</v>
      </c>
      <c r="K5072" s="6" t="b">
        <f t="shared" ref="K5072:L5072" si="4856">TRUE()</f>
        <v>1</v>
      </c>
      <c r="L5072" s="6" t="b">
        <f t="shared" si="4856"/>
        <v>1</v>
      </c>
      <c r="M5072" s="6" t="b">
        <f t="shared" si="4857"/>
        <v>0</v>
      </c>
      <c r="N5072" s="4">
        <v>2.43973493114128</v>
      </c>
      <c r="O5072" s="4">
        <v>2.34372703632522</v>
      </c>
      <c r="T5072" s="4">
        <f t="shared" si="3"/>
        <v>42</v>
      </c>
      <c r="U5072" s="4" t="str">
        <f t="shared" si="4"/>
        <v/>
      </c>
    </row>
    <row r="5073" ht="15.75" customHeight="1">
      <c r="A5073" s="4" t="s">
        <v>1144</v>
      </c>
      <c r="B5073" s="4" t="s">
        <v>13</v>
      </c>
      <c r="C5073" s="4">
        <v>8.5</v>
      </c>
      <c r="F5073" s="4">
        <v>8.0</v>
      </c>
      <c r="I5073" s="4">
        <v>0.74</v>
      </c>
      <c r="J5073" s="4">
        <v>0.136</v>
      </c>
      <c r="K5073" s="6" t="b">
        <f t="shared" ref="K5073:L5073" si="4858">TRUE()</f>
        <v>1</v>
      </c>
      <c r="L5073" s="6" t="b">
        <f t="shared" si="4858"/>
        <v>1</v>
      </c>
      <c r="M5073" s="6" t="b">
        <f t="shared" si="4857"/>
        <v>0</v>
      </c>
      <c r="N5073" s="4">
        <v>2.2512917986065</v>
      </c>
      <c r="O5073" s="4">
        <v>2.19722457733622</v>
      </c>
      <c r="P5073" s="4">
        <v>0.553885113226438</v>
      </c>
      <c r="Q5073" s="4">
        <v>4.59281011755444</v>
      </c>
      <c r="R5073" s="4">
        <v>4.42303049028732</v>
      </c>
      <c r="S5073" s="4">
        <v>-0.159551729098673</v>
      </c>
      <c r="T5073" s="4">
        <f t="shared" si="3"/>
        <v>92</v>
      </c>
      <c r="U5073" s="4">
        <f t="shared" si="4"/>
        <v>880</v>
      </c>
    </row>
    <row r="5074" ht="15.75" customHeight="1">
      <c r="A5074" s="4" t="s">
        <v>5855</v>
      </c>
      <c r="B5074" s="4" t="s">
        <v>13</v>
      </c>
      <c r="F5074" s="4">
        <v>10.0</v>
      </c>
      <c r="K5074" s="6" t="b">
        <f>FALSE()</f>
        <v>0</v>
      </c>
      <c r="L5074" s="6" t="b">
        <f>TRUE()</f>
        <v>1</v>
      </c>
      <c r="M5074" s="6" t="b">
        <f t="shared" si="4857"/>
        <v>0</v>
      </c>
      <c r="O5074" s="4">
        <v>2.39789527279837</v>
      </c>
      <c r="T5074" s="4" t="str">
        <f t="shared" si="3"/>
        <v/>
      </c>
      <c r="U5074" s="4" t="str">
        <f t="shared" si="4"/>
        <v/>
      </c>
    </row>
    <row r="5075" ht="15.75" customHeight="1">
      <c r="A5075" s="4" t="s">
        <v>5856</v>
      </c>
      <c r="B5075" s="4" t="s">
        <v>13</v>
      </c>
      <c r="C5075" s="4">
        <v>12.0</v>
      </c>
      <c r="D5075" s="4">
        <v>0.6</v>
      </c>
      <c r="E5075" s="4">
        <v>0.6</v>
      </c>
      <c r="K5075" s="6" t="b">
        <f>TRUE()</f>
        <v>1</v>
      </c>
      <c r="L5075" s="6" t="b">
        <f t="shared" ref="L5075:M5075" si="4859">FALSE()</f>
        <v>0</v>
      </c>
      <c r="M5075" s="6" t="b">
        <f t="shared" si="4859"/>
        <v>0</v>
      </c>
      <c r="N5075" s="4">
        <v>2.56494935746154</v>
      </c>
      <c r="T5075" s="4">
        <f t="shared" si="3"/>
        <v>17</v>
      </c>
      <c r="U5075" s="4" t="str">
        <f t="shared" si="4"/>
        <v/>
      </c>
    </row>
    <row r="5076" ht="15.75" customHeight="1">
      <c r="A5076" s="4" t="s">
        <v>5857</v>
      </c>
      <c r="B5076" s="4" t="s">
        <v>13</v>
      </c>
      <c r="D5076" s="4">
        <v>1.5</v>
      </c>
      <c r="E5076" s="4">
        <v>1.5</v>
      </c>
      <c r="F5076" s="4">
        <v>11.3</v>
      </c>
      <c r="G5076" s="4">
        <v>1.5</v>
      </c>
      <c r="H5076" s="4">
        <v>1.5</v>
      </c>
      <c r="K5076" s="6" t="b">
        <f>FALSE()</f>
        <v>0</v>
      </c>
      <c r="L5076" s="6" t="b">
        <f>TRUE()</f>
        <v>1</v>
      </c>
      <c r="M5076" s="6" t="b">
        <f t="shared" ref="M5076:M5077" si="4861">FALSE()</f>
        <v>0</v>
      </c>
      <c r="O5076" s="4">
        <v>2.50959926237837</v>
      </c>
      <c r="T5076" s="4" t="str">
        <f t="shared" si="3"/>
        <v/>
      </c>
      <c r="U5076" s="4" t="str">
        <f t="shared" si="4"/>
        <v/>
      </c>
    </row>
    <row r="5077" ht="15.75" customHeight="1">
      <c r="A5077" s="4" t="s">
        <v>5859</v>
      </c>
      <c r="B5077" s="4" t="s">
        <v>13</v>
      </c>
      <c r="C5077" s="4">
        <v>7.54</v>
      </c>
      <c r="F5077" s="4">
        <v>6.6</v>
      </c>
      <c r="K5077" s="6" t="b">
        <f t="shared" ref="K5077:L5077" si="4860">TRUE()</f>
        <v>1</v>
      </c>
      <c r="L5077" s="6" t="b">
        <f t="shared" si="4860"/>
        <v>1</v>
      </c>
      <c r="M5077" s="6" t="b">
        <f t="shared" si="4861"/>
        <v>0</v>
      </c>
      <c r="N5077" s="4">
        <v>2.14476100780048</v>
      </c>
      <c r="O5077" s="4">
        <v>2.02814824729229</v>
      </c>
      <c r="T5077" s="4">
        <f t="shared" si="3"/>
        <v>122</v>
      </c>
      <c r="U5077" s="4" t="str">
        <f t="shared" si="4"/>
        <v/>
      </c>
    </row>
    <row r="5078" ht="15.75" customHeight="1">
      <c r="A5078" s="4" t="s">
        <v>5860</v>
      </c>
      <c r="B5078" s="4" t="s">
        <v>13</v>
      </c>
      <c r="C5078" s="4">
        <v>9.4</v>
      </c>
      <c r="K5078" s="6" t="b">
        <f>TRUE()</f>
        <v>1</v>
      </c>
      <c r="L5078" s="6" t="b">
        <f t="shared" ref="L5078:M5078" si="4862">FALSE()</f>
        <v>0</v>
      </c>
      <c r="M5078" s="6" t="b">
        <f t="shared" si="4862"/>
        <v>0</v>
      </c>
      <c r="N5078" s="4">
        <v>2.34180580614733</v>
      </c>
      <c r="T5078" s="4">
        <f t="shared" si="3"/>
        <v>68</v>
      </c>
      <c r="U5078" s="4" t="str">
        <f t="shared" si="4"/>
        <v/>
      </c>
    </row>
    <row r="5079" ht="15.75" customHeight="1">
      <c r="A5079" s="4" t="s">
        <v>5862</v>
      </c>
      <c r="B5079" s="4" t="s">
        <v>13</v>
      </c>
      <c r="F5079" s="4">
        <v>11.0</v>
      </c>
      <c r="K5079" s="6" t="b">
        <f t="shared" ref="K5079:K5081" si="4863">FALSE()</f>
        <v>0</v>
      </c>
      <c r="L5079" s="6" t="b">
        <f t="shared" ref="L5079:L5081" si="4864">TRUE()</f>
        <v>1</v>
      </c>
      <c r="M5079" s="6" t="b">
        <f t="shared" ref="M5079:M5081" si="4865">FALSE()</f>
        <v>0</v>
      </c>
      <c r="O5079" s="4">
        <v>2.484906649788</v>
      </c>
      <c r="T5079" s="4" t="str">
        <f t="shared" si="3"/>
        <v/>
      </c>
      <c r="U5079" s="4" t="str">
        <f t="shared" si="4"/>
        <v/>
      </c>
    </row>
    <row r="5080" ht="15.75" customHeight="1">
      <c r="A5080" s="4" t="s">
        <v>5864</v>
      </c>
      <c r="B5080" s="4" t="s">
        <v>13</v>
      </c>
      <c r="F5080" s="4">
        <v>11.0</v>
      </c>
      <c r="K5080" s="6" t="b">
        <f t="shared" si="4863"/>
        <v>0</v>
      </c>
      <c r="L5080" s="6" t="b">
        <f t="shared" si="4864"/>
        <v>1</v>
      </c>
      <c r="M5080" s="6" t="b">
        <f t="shared" si="4865"/>
        <v>0</v>
      </c>
      <c r="O5080" s="4">
        <v>2.484906649788</v>
      </c>
      <c r="T5080" s="4" t="str">
        <f t="shared" si="3"/>
        <v/>
      </c>
      <c r="U5080" s="4" t="str">
        <f t="shared" si="4"/>
        <v/>
      </c>
    </row>
    <row r="5081" ht="15.75" customHeight="1">
      <c r="A5081" s="4" t="s">
        <v>5865</v>
      </c>
      <c r="B5081" s="4" t="s">
        <v>13</v>
      </c>
      <c r="D5081" s="4">
        <v>2.0</v>
      </c>
      <c r="E5081" s="4">
        <v>2.0</v>
      </c>
      <c r="F5081" s="4">
        <v>11.0</v>
      </c>
      <c r="G5081" s="4">
        <v>2.0</v>
      </c>
      <c r="H5081" s="4">
        <v>2.0</v>
      </c>
      <c r="K5081" s="6" t="b">
        <f t="shared" si="4863"/>
        <v>0</v>
      </c>
      <c r="L5081" s="6" t="b">
        <f t="shared" si="4864"/>
        <v>1</v>
      </c>
      <c r="M5081" s="6" t="b">
        <f t="shared" si="4865"/>
        <v>0</v>
      </c>
      <c r="O5081" s="4">
        <v>2.484906649788</v>
      </c>
      <c r="T5081" s="4" t="str">
        <f t="shared" si="3"/>
        <v/>
      </c>
      <c r="U5081" s="4" t="str">
        <f t="shared" si="4"/>
        <v/>
      </c>
    </row>
    <row r="5082" ht="15.75" customHeight="1">
      <c r="A5082" s="4" t="s">
        <v>5867</v>
      </c>
      <c r="B5082" s="4" t="s">
        <v>13</v>
      </c>
      <c r="C5082" s="4">
        <v>12.0</v>
      </c>
      <c r="K5082" s="6" t="b">
        <f>TRUE()</f>
        <v>1</v>
      </c>
      <c r="L5082" s="6" t="b">
        <f t="shared" ref="L5082:M5082" si="4866">FALSE()</f>
        <v>0</v>
      </c>
      <c r="M5082" s="6" t="b">
        <f t="shared" si="4866"/>
        <v>0</v>
      </c>
      <c r="N5082" s="4">
        <v>2.56494935746154</v>
      </c>
      <c r="T5082" s="4">
        <f t="shared" si="3"/>
        <v>18</v>
      </c>
      <c r="U5082" s="4" t="str">
        <f t="shared" si="4"/>
        <v/>
      </c>
    </row>
    <row r="5083" ht="15.75" customHeight="1">
      <c r="A5083" s="4" t="s">
        <v>5868</v>
      </c>
      <c r="B5083" s="4" t="s">
        <v>13</v>
      </c>
      <c r="D5083" s="4">
        <v>2.0E-4</v>
      </c>
      <c r="E5083" s="4">
        <v>2.0E-4</v>
      </c>
      <c r="F5083" s="4">
        <v>0.7949</v>
      </c>
      <c r="G5083" s="4">
        <v>2.0E-4</v>
      </c>
      <c r="H5083" s="4">
        <v>2.0E-4</v>
      </c>
      <c r="K5083" s="6" t="b">
        <f t="shared" ref="K5083:M5083" si="4867">FALSE()</f>
        <v>0</v>
      </c>
      <c r="L5083" s="6" t="b">
        <f t="shared" si="4867"/>
        <v>0</v>
      </c>
      <c r="M5083" s="6" t="b">
        <f t="shared" si="4867"/>
        <v>0</v>
      </c>
      <c r="O5083" s="4">
        <v>0.584949310081959</v>
      </c>
      <c r="T5083" s="4" t="str">
        <f t="shared" si="3"/>
        <v/>
      </c>
      <c r="U5083" s="4" t="str">
        <f t="shared" si="4"/>
        <v/>
      </c>
    </row>
    <row r="5084" ht="15.75" customHeight="1">
      <c r="A5084" s="4" t="s">
        <v>1145</v>
      </c>
      <c r="B5084" s="4" t="s">
        <v>13</v>
      </c>
      <c r="C5084" s="4">
        <v>0.736</v>
      </c>
      <c r="D5084" s="4">
        <v>0.09</v>
      </c>
      <c r="E5084" s="4">
        <v>0.09</v>
      </c>
      <c r="I5084" s="4">
        <v>1.534</v>
      </c>
      <c r="J5084" s="4">
        <v>0.4</v>
      </c>
      <c r="K5084" s="6" t="b">
        <f t="shared" ref="K5084:L5084" si="4868">FALSE()</f>
        <v>0</v>
      </c>
      <c r="L5084" s="6" t="b">
        <f t="shared" si="4868"/>
        <v>0</v>
      </c>
      <c r="M5084" s="6" t="b">
        <f t="shared" ref="M5084:M5093" si="4870">TRUE()</f>
        <v>1</v>
      </c>
      <c r="N5084" s="4">
        <v>0.551583616238158</v>
      </c>
      <c r="P5084" s="4">
        <v>0.929799081898947</v>
      </c>
      <c r="T5084" s="4">
        <f t="shared" si="3"/>
        <v>798</v>
      </c>
      <c r="U5084" s="4">
        <f t="shared" si="4"/>
        <v>100</v>
      </c>
    </row>
    <row r="5085" ht="15.75" customHeight="1">
      <c r="A5085" s="4" t="s">
        <v>1146</v>
      </c>
      <c r="B5085" s="4" t="s">
        <v>13</v>
      </c>
      <c r="C5085" s="4">
        <v>1.294</v>
      </c>
      <c r="D5085" s="4">
        <v>0.049</v>
      </c>
      <c r="E5085" s="4">
        <v>0.05</v>
      </c>
      <c r="I5085" s="4">
        <v>1.143</v>
      </c>
      <c r="J5085" s="4">
        <v>0.025</v>
      </c>
      <c r="K5085" s="6" t="b">
        <f t="shared" ref="K5085:L5085" si="4869">FALSE()</f>
        <v>0</v>
      </c>
      <c r="L5085" s="6" t="b">
        <f t="shared" si="4869"/>
        <v>0</v>
      </c>
      <c r="M5085" s="6" t="b">
        <f t="shared" si="4870"/>
        <v>1</v>
      </c>
      <c r="N5085" s="4">
        <v>0.830297018707179</v>
      </c>
      <c r="P5085" s="4">
        <v>0.76220671649144</v>
      </c>
      <c r="T5085" s="4">
        <f t="shared" si="3"/>
        <v>563</v>
      </c>
      <c r="U5085" s="4">
        <f t="shared" si="4"/>
        <v>453</v>
      </c>
    </row>
    <row r="5086" ht="15.75" customHeight="1">
      <c r="A5086" s="4" t="s">
        <v>1147</v>
      </c>
      <c r="B5086" s="4" t="s">
        <v>13</v>
      </c>
      <c r="C5086" s="4">
        <v>2.494</v>
      </c>
      <c r="D5086" s="4">
        <v>0.054</v>
      </c>
      <c r="E5086" s="4">
        <v>0.054</v>
      </c>
      <c r="I5086" s="4">
        <v>1.254</v>
      </c>
      <c r="J5086" s="4">
        <v>0.013</v>
      </c>
      <c r="K5086" s="6" t="b">
        <f t="shared" ref="K5086:L5086" si="4871">FALSE()</f>
        <v>0</v>
      </c>
      <c r="L5086" s="6" t="b">
        <f t="shared" si="4871"/>
        <v>0</v>
      </c>
      <c r="M5086" s="6" t="b">
        <f t="shared" si="4870"/>
        <v>1</v>
      </c>
      <c r="N5086" s="4">
        <v>1.25104721171187</v>
      </c>
      <c r="P5086" s="4">
        <v>0.812706415617585</v>
      </c>
      <c r="T5086" s="4">
        <f t="shared" si="3"/>
        <v>372</v>
      </c>
      <c r="U5086" s="4">
        <f t="shared" si="4"/>
        <v>312</v>
      </c>
    </row>
    <row r="5087" ht="15.75" customHeight="1">
      <c r="A5087" s="4" t="s">
        <v>1148</v>
      </c>
      <c r="B5087" s="4" t="s">
        <v>13</v>
      </c>
      <c r="C5087" s="4">
        <v>4.31</v>
      </c>
      <c r="D5087" s="4">
        <v>0.47</v>
      </c>
      <c r="E5087" s="4">
        <v>0.47</v>
      </c>
      <c r="I5087" s="4">
        <v>1.096</v>
      </c>
      <c r="J5087" s="4">
        <v>0.14</v>
      </c>
      <c r="K5087" s="6" t="b">
        <f t="shared" ref="K5087:K5089" si="4872">TRUE()</f>
        <v>1</v>
      </c>
      <c r="L5087" s="6" t="b">
        <f t="shared" ref="L5087:L5089" si="4873">FALSE()</f>
        <v>0</v>
      </c>
      <c r="M5087" s="6" t="b">
        <f t="shared" si="4870"/>
        <v>1</v>
      </c>
      <c r="N5087" s="4">
        <v>1.66959183525385</v>
      </c>
      <c r="P5087" s="4">
        <v>0.740030766458796</v>
      </c>
      <c r="T5087" s="4">
        <f t="shared" si="3"/>
        <v>243</v>
      </c>
      <c r="U5087" s="4">
        <f t="shared" si="4"/>
        <v>522</v>
      </c>
    </row>
    <row r="5088" ht="15.75" customHeight="1">
      <c r="A5088" s="4" t="s">
        <v>1150</v>
      </c>
      <c r="B5088" s="4" t="s">
        <v>13</v>
      </c>
      <c r="C5088" s="4">
        <v>5.85</v>
      </c>
      <c r="D5088" s="4">
        <v>0.47</v>
      </c>
      <c r="E5088" s="4">
        <v>0.47</v>
      </c>
      <c r="I5088" s="4">
        <v>1.552</v>
      </c>
      <c r="J5088" s="4">
        <v>0.057</v>
      </c>
      <c r="K5088" s="6" t="b">
        <f t="shared" si="4872"/>
        <v>1</v>
      </c>
      <c r="L5088" s="6" t="b">
        <f t="shared" si="4873"/>
        <v>0</v>
      </c>
      <c r="M5088" s="6" t="b">
        <f t="shared" si="4870"/>
        <v>1</v>
      </c>
      <c r="N5088" s="4">
        <v>1.92424865227413</v>
      </c>
      <c r="P5088" s="4">
        <v>0.936877365482543</v>
      </c>
      <c r="T5088" s="4">
        <f t="shared" si="3"/>
        <v>179</v>
      </c>
      <c r="U5088" s="4">
        <f t="shared" si="4"/>
        <v>95</v>
      </c>
    </row>
    <row r="5089" ht="15.75" customHeight="1">
      <c r="A5089" s="4" t="s">
        <v>1151</v>
      </c>
      <c r="B5089" s="4" t="s">
        <v>13</v>
      </c>
      <c r="C5089" s="4">
        <v>4.32</v>
      </c>
      <c r="D5089" s="4">
        <v>0.18</v>
      </c>
      <c r="E5089" s="4">
        <v>0.18</v>
      </c>
      <c r="I5089" s="4">
        <v>1.107</v>
      </c>
      <c r="J5089" s="4">
        <v>0.064</v>
      </c>
      <c r="K5089" s="6" t="b">
        <f t="shared" si="4872"/>
        <v>1</v>
      </c>
      <c r="L5089" s="6" t="b">
        <f t="shared" si="4873"/>
        <v>0</v>
      </c>
      <c r="M5089" s="6" t="b">
        <f t="shared" si="4870"/>
        <v>1</v>
      </c>
      <c r="N5089" s="4">
        <v>1.67147330335355</v>
      </c>
      <c r="P5089" s="4">
        <v>0.745265134822052</v>
      </c>
      <c r="T5089" s="4">
        <f t="shared" si="3"/>
        <v>242</v>
      </c>
      <c r="U5089" s="4">
        <f t="shared" si="4"/>
        <v>508</v>
      </c>
    </row>
    <row r="5090" ht="15.75" customHeight="1">
      <c r="A5090" s="4" t="s">
        <v>1152</v>
      </c>
      <c r="B5090" s="4" t="s">
        <v>13</v>
      </c>
      <c r="C5090" s="4">
        <v>0.668</v>
      </c>
      <c r="D5090" s="4">
        <v>0.066</v>
      </c>
      <c r="E5090" s="4">
        <v>0.066</v>
      </c>
      <c r="I5090" s="4">
        <v>1.062</v>
      </c>
      <c r="J5090" s="4">
        <v>0.07</v>
      </c>
      <c r="K5090" s="6" t="b">
        <f t="shared" ref="K5090:L5090" si="4874">FALSE()</f>
        <v>0</v>
      </c>
      <c r="L5090" s="6" t="b">
        <f t="shared" si="4874"/>
        <v>0</v>
      </c>
      <c r="M5090" s="6" t="b">
        <f t="shared" si="4870"/>
        <v>1</v>
      </c>
      <c r="N5090" s="4">
        <v>0.511625303936555</v>
      </c>
      <c r="P5090" s="4">
        <v>0.723676385594768</v>
      </c>
      <c r="T5090" s="4">
        <f t="shared" si="3"/>
        <v>842</v>
      </c>
      <c r="U5090" s="4">
        <f t="shared" si="4"/>
        <v>584</v>
      </c>
    </row>
    <row r="5091" ht="15.75" customHeight="1">
      <c r="A5091" s="4" t="s">
        <v>1153</v>
      </c>
      <c r="B5091" s="4" t="s">
        <v>13</v>
      </c>
      <c r="C5091" s="4">
        <v>1.88</v>
      </c>
      <c r="D5091" s="4">
        <v>0.25</v>
      </c>
      <c r="E5091" s="4">
        <v>0.25</v>
      </c>
      <c r="I5091" s="4">
        <v>1.7</v>
      </c>
      <c r="J5091" s="4">
        <v>0.03</v>
      </c>
      <c r="K5091" s="6" t="b">
        <f t="shared" ref="K5091:L5091" si="4875">FALSE()</f>
        <v>0</v>
      </c>
      <c r="L5091" s="6" t="b">
        <f t="shared" si="4875"/>
        <v>0</v>
      </c>
      <c r="M5091" s="6" t="b">
        <f t="shared" si="4870"/>
        <v>1</v>
      </c>
      <c r="N5091" s="4">
        <v>1.05779029414785</v>
      </c>
      <c r="P5091" s="4">
        <v>0.993251773010283</v>
      </c>
      <c r="T5091" s="4">
        <f t="shared" si="3"/>
        <v>458</v>
      </c>
      <c r="U5091" s="4">
        <f t="shared" si="4"/>
        <v>44</v>
      </c>
    </row>
    <row r="5092" ht="15.75" customHeight="1">
      <c r="A5092" s="4" t="s">
        <v>1154</v>
      </c>
      <c r="B5092" s="4" t="s">
        <v>13</v>
      </c>
      <c r="C5092" s="4">
        <v>0.371</v>
      </c>
      <c r="D5092" s="4">
        <v>0.062</v>
      </c>
      <c r="E5092" s="4">
        <v>0.062</v>
      </c>
      <c r="I5092" s="4">
        <v>1.285</v>
      </c>
      <c r="J5092" s="4">
        <v>0.022</v>
      </c>
      <c r="K5092" s="6" t="b">
        <f t="shared" ref="K5092:L5092" si="4876">FALSE()</f>
        <v>0</v>
      </c>
      <c r="L5092" s="6" t="b">
        <f t="shared" si="4876"/>
        <v>0</v>
      </c>
      <c r="M5092" s="6" t="b">
        <f t="shared" si="4870"/>
        <v>1</v>
      </c>
      <c r="N5092" s="4">
        <v>0.315540400580177</v>
      </c>
      <c r="P5092" s="4">
        <v>0.826366024346168</v>
      </c>
      <c r="T5092" s="4">
        <f t="shared" si="3"/>
        <v>1036</v>
      </c>
      <c r="U5092" s="4">
        <f t="shared" si="4"/>
        <v>276</v>
      </c>
    </row>
    <row r="5093" ht="15.75" customHeight="1">
      <c r="A5093" s="4" t="s">
        <v>1156</v>
      </c>
      <c r="B5093" s="4" t="s">
        <v>13</v>
      </c>
      <c r="C5093" s="4">
        <v>1.19</v>
      </c>
      <c r="D5093" s="4">
        <v>0.16</v>
      </c>
      <c r="E5093" s="4">
        <v>0.16</v>
      </c>
      <c r="I5093" s="4">
        <v>1.009</v>
      </c>
      <c r="J5093" s="4">
        <v>0.014</v>
      </c>
      <c r="K5093" s="6" t="b">
        <f t="shared" ref="K5093:L5093" si="4877">FALSE()</f>
        <v>0</v>
      </c>
      <c r="L5093" s="6" t="b">
        <f t="shared" si="4877"/>
        <v>0</v>
      </c>
      <c r="M5093" s="6" t="b">
        <f t="shared" si="4870"/>
        <v>1</v>
      </c>
      <c r="N5093" s="4">
        <v>0.783901543828409</v>
      </c>
      <c r="P5093" s="4">
        <v>0.697637085832797</v>
      </c>
      <c r="T5093" s="4">
        <f t="shared" si="3"/>
        <v>592</v>
      </c>
      <c r="U5093" s="4">
        <f t="shared" si="4"/>
        <v>654</v>
      </c>
    </row>
    <row r="5094" ht="15.75" customHeight="1">
      <c r="A5094" s="4" t="s">
        <v>5869</v>
      </c>
      <c r="B5094" s="4" t="s">
        <v>13</v>
      </c>
      <c r="F5094" s="4">
        <v>0.63</v>
      </c>
      <c r="K5094" s="6" t="b">
        <f t="shared" ref="K5094:M5094" si="4878">FALSE()</f>
        <v>0</v>
      </c>
      <c r="L5094" s="6" t="b">
        <f t="shared" si="4878"/>
        <v>0</v>
      </c>
      <c r="M5094" s="6" t="b">
        <f t="shared" si="4878"/>
        <v>0</v>
      </c>
      <c r="O5094" s="4">
        <v>0.488580014818671</v>
      </c>
      <c r="T5094" s="4" t="str">
        <f t="shared" si="3"/>
        <v/>
      </c>
      <c r="U5094" s="4" t="str">
        <f t="shared" si="4"/>
        <v/>
      </c>
    </row>
    <row r="5095" ht="15.75" customHeight="1">
      <c r="A5095" s="4" t="s">
        <v>5870</v>
      </c>
      <c r="B5095" s="4" t="s">
        <v>13</v>
      </c>
      <c r="C5095" s="4">
        <v>1.04</v>
      </c>
      <c r="F5095" s="4">
        <v>1.093</v>
      </c>
      <c r="G5095" s="4">
        <v>0.023</v>
      </c>
      <c r="H5095" s="4">
        <v>0.023</v>
      </c>
      <c r="K5095" s="6" t="b">
        <f t="shared" ref="K5095:M5095" si="4879">FALSE()</f>
        <v>0</v>
      </c>
      <c r="L5095" s="6" t="b">
        <f t="shared" si="4879"/>
        <v>0</v>
      </c>
      <c r="M5095" s="6" t="b">
        <f t="shared" si="4879"/>
        <v>0</v>
      </c>
      <c r="N5095" s="4">
        <v>0.712949807856125</v>
      </c>
      <c r="O5095" s="4">
        <v>0.738598443463863</v>
      </c>
      <c r="T5095" s="4">
        <f t="shared" si="3"/>
        <v>647</v>
      </c>
      <c r="U5095" s="4" t="str">
        <f t="shared" si="4"/>
        <v/>
      </c>
    </row>
    <row r="5096" ht="15.75" customHeight="1">
      <c r="A5096" s="4" t="s">
        <v>5871</v>
      </c>
      <c r="B5096" s="4" t="s">
        <v>13</v>
      </c>
      <c r="D5096" s="4">
        <v>0.0047</v>
      </c>
      <c r="E5096" s="4">
        <v>0.0047</v>
      </c>
      <c r="F5096" s="4">
        <v>0.0887</v>
      </c>
      <c r="G5096" s="4">
        <v>0.0047</v>
      </c>
      <c r="H5096" s="4">
        <v>0.0047</v>
      </c>
      <c r="K5096" s="6" t="b">
        <f t="shared" ref="K5096:M5096" si="4880">FALSE()</f>
        <v>0</v>
      </c>
      <c r="L5096" s="6" t="b">
        <f t="shared" si="4880"/>
        <v>0</v>
      </c>
      <c r="M5096" s="6" t="b">
        <f t="shared" si="4880"/>
        <v>0</v>
      </c>
      <c r="O5096" s="4">
        <v>0.0849843239049972</v>
      </c>
      <c r="T5096" s="4" t="str">
        <f t="shared" si="3"/>
        <v/>
      </c>
      <c r="U5096" s="4" t="str">
        <f t="shared" si="4"/>
        <v/>
      </c>
    </row>
    <row r="5097" ht="15.75" customHeight="1">
      <c r="A5097" s="4" t="s">
        <v>5872</v>
      </c>
      <c r="B5097" s="4" t="s">
        <v>13</v>
      </c>
      <c r="D5097" s="4">
        <v>0.0079</v>
      </c>
      <c r="E5097" s="4">
        <v>0.0079</v>
      </c>
      <c r="F5097" s="4">
        <v>0.068</v>
      </c>
      <c r="G5097" s="4">
        <v>0.0079</v>
      </c>
      <c r="H5097" s="4">
        <v>0.0079</v>
      </c>
      <c r="K5097" s="6" t="b">
        <f t="shared" ref="K5097:M5097" si="4881">FALSE()</f>
        <v>0</v>
      </c>
      <c r="L5097" s="6" t="b">
        <f t="shared" si="4881"/>
        <v>0</v>
      </c>
      <c r="M5097" s="6" t="b">
        <f t="shared" si="4881"/>
        <v>0</v>
      </c>
      <c r="O5097" s="4">
        <v>0.0657877405380031</v>
      </c>
      <c r="T5097" s="4" t="str">
        <f t="shared" si="3"/>
        <v/>
      </c>
      <c r="U5097" s="4" t="str">
        <f t="shared" si="4"/>
        <v/>
      </c>
    </row>
    <row r="5098" ht="15.75" customHeight="1">
      <c r="A5098" s="4" t="s">
        <v>5874</v>
      </c>
      <c r="B5098" s="4" t="s">
        <v>13</v>
      </c>
      <c r="D5098" s="4">
        <v>0.0017</v>
      </c>
      <c r="E5098" s="4">
        <v>0.0017</v>
      </c>
      <c r="F5098" s="4">
        <v>0.01192</v>
      </c>
      <c r="G5098" s="4">
        <v>0.0017</v>
      </c>
      <c r="H5098" s="4">
        <v>0.0017</v>
      </c>
      <c r="K5098" s="6" t="b">
        <f t="shared" ref="K5098:M5098" si="4882">FALSE()</f>
        <v>0</v>
      </c>
      <c r="L5098" s="6" t="b">
        <f t="shared" si="4882"/>
        <v>0</v>
      </c>
      <c r="M5098" s="6" t="b">
        <f t="shared" si="4882"/>
        <v>0</v>
      </c>
      <c r="O5098" s="4">
        <v>0.0118495163571493</v>
      </c>
      <c r="T5098" s="4" t="str">
        <f t="shared" si="3"/>
        <v/>
      </c>
      <c r="U5098" s="4" t="str">
        <f t="shared" si="4"/>
        <v/>
      </c>
    </row>
    <row r="5099" ht="15.75" customHeight="1">
      <c r="A5099" s="4" t="s">
        <v>5875</v>
      </c>
      <c r="B5099" s="4" t="s">
        <v>13</v>
      </c>
      <c r="F5099" s="4">
        <v>1.82</v>
      </c>
      <c r="K5099" s="6" t="b">
        <f t="shared" ref="K5099:M5099" si="4883">FALSE()</f>
        <v>0</v>
      </c>
      <c r="L5099" s="6" t="b">
        <f t="shared" si="4883"/>
        <v>0</v>
      </c>
      <c r="M5099" s="6" t="b">
        <f t="shared" si="4883"/>
        <v>0</v>
      </c>
      <c r="O5099" s="4">
        <v>1.03673688495002</v>
      </c>
      <c r="T5099" s="4" t="str">
        <f t="shared" si="3"/>
        <v/>
      </c>
      <c r="U5099" s="4" t="str">
        <f t="shared" si="4"/>
        <v/>
      </c>
    </row>
    <row r="5100" ht="15.75" customHeight="1">
      <c r="A5100" s="4" t="s">
        <v>5878</v>
      </c>
      <c r="B5100" s="4" t="s">
        <v>13</v>
      </c>
      <c r="D5100" s="4">
        <v>6.6E-4</v>
      </c>
      <c r="E5100" s="4">
        <v>6.6E-4</v>
      </c>
      <c r="F5100" s="4">
        <v>0.0044</v>
      </c>
      <c r="G5100" s="4">
        <v>6.6E-4</v>
      </c>
      <c r="H5100" s="4">
        <v>6.6E-4</v>
      </c>
      <c r="K5100" s="6" t="b">
        <f t="shared" ref="K5100:M5100" si="4884">FALSE()</f>
        <v>0</v>
      </c>
      <c r="L5100" s="6" t="b">
        <f t="shared" si="4884"/>
        <v>0</v>
      </c>
      <c r="M5100" s="6" t="b">
        <f t="shared" si="4884"/>
        <v>0</v>
      </c>
      <c r="O5100" s="4">
        <v>0.0043903483012928</v>
      </c>
      <c r="T5100" s="4" t="str">
        <f t="shared" si="3"/>
        <v/>
      </c>
      <c r="U5100" s="4" t="str">
        <f t="shared" si="4"/>
        <v/>
      </c>
    </row>
    <row r="5101" ht="15.75" customHeight="1">
      <c r="A5101" s="4" t="s">
        <v>181</v>
      </c>
      <c r="B5101" s="4" t="s">
        <v>13</v>
      </c>
      <c r="C5101" s="4">
        <v>11.3</v>
      </c>
      <c r="D5101" s="4">
        <v>4.5</v>
      </c>
      <c r="E5101" s="4">
        <v>4.5</v>
      </c>
      <c r="I5101" s="4">
        <v>1.07</v>
      </c>
      <c r="J5101" s="4">
        <v>0.07</v>
      </c>
      <c r="K5101" s="6" t="b">
        <f>TRUE()</f>
        <v>1</v>
      </c>
      <c r="L5101" s="6" t="b">
        <f>FALSE()</f>
        <v>0</v>
      </c>
      <c r="M5101" s="6" t="b">
        <f>TRUE()</f>
        <v>1</v>
      </c>
      <c r="N5101" s="4">
        <v>2.50959926237837</v>
      </c>
      <c r="P5101" s="4">
        <v>0.727548607277278</v>
      </c>
      <c r="T5101" s="4">
        <f t="shared" si="3"/>
        <v>27</v>
      </c>
      <c r="U5101" s="4">
        <f t="shared" si="4"/>
        <v>574</v>
      </c>
    </row>
    <row r="5102" ht="15.75" customHeight="1">
      <c r="A5102" s="4" t="s">
        <v>5885</v>
      </c>
      <c r="B5102" s="4" t="s">
        <v>13</v>
      </c>
      <c r="D5102" s="4">
        <v>0.0019</v>
      </c>
      <c r="E5102" s="4">
        <v>0.0019</v>
      </c>
      <c r="F5102" s="4">
        <v>0.01249</v>
      </c>
      <c r="G5102" s="4">
        <v>0.0019</v>
      </c>
      <c r="H5102" s="4">
        <v>0.0019</v>
      </c>
      <c r="K5102" s="6" t="b">
        <f t="shared" ref="K5102:M5102" si="4885">FALSE()</f>
        <v>0</v>
      </c>
      <c r="L5102" s="6" t="b">
        <f t="shared" si="4885"/>
        <v>0</v>
      </c>
      <c r="M5102" s="6" t="b">
        <f t="shared" si="4885"/>
        <v>0</v>
      </c>
      <c r="O5102" s="4">
        <v>0.0124126434065739</v>
      </c>
      <c r="T5102" s="4" t="str">
        <f t="shared" si="3"/>
        <v/>
      </c>
      <c r="U5102" s="4" t="str">
        <f t="shared" si="4"/>
        <v/>
      </c>
    </row>
    <row r="5103" ht="15.75" customHeight="1">
      <c r="A5103" s="4" t="s">
        <v>1157</v>
      </c>
      <c r="B5103" s="4" t="s">
        <v>13</v>
      </c>
      <c r="C5103" s="4">
        <v>9.0</v>
      </c>
      <c r="D5103" s="4">
        <v>3.0</v>
      </c>
      <c r="E5103" s="4">
        <v>3.0</v>
      </c>
      <c r="I5103" s="4">
        <v>2.5</v>
      </c>
      <c r="K5103" s="6" t="b">
        <f>TRUE()</f>
        <v>1</v>
      </c>
      <c r="L5103" s="6" t="b">
        <f>FALSE()</f>
        <v>0</v>
      </c>
      <c r="M5103" s="6" t="b">
        <f>TRUE()</f>
        <v>1</v>
      </c>
      <c r="N5103" s="4">
        <v>2.30258509299405</v>
      </c>
      <c r="P5103" s="4">
        <v>1.25276296849537</v>
      </c>
      <c r="T5103" s="4">
        <f t="shared" si="3"/>
        <v>82</v>
      </c>
      <c r="U5103" s="4">
        <f t="shared" si="4"/>
        <v>4</v>
      </c>
    </row>
    <row r="5104" ht="15.75" customHeight="1">
      <c r="A5104" s="4" t="s">
        <v>5886</v>
      </c>
      <c r="B5104" s="4" t="s">
        <v>13</v>
      </c>
      <c r="D5104" s="4">
        <v>0.3</v>
      </c>
      <c r="E5104" s="4">
        <v>0.3</v>
      </c>
      <c r="F5104" s="4">
        <v>3.0</v>
      </c>
      <c r="G5104" s="4">
        <v>0.3</v>
      </c>
      <c r="H5104" s="4">
        <v>0.3</v>
      </c>
      <c r="K5104" s="6" t="b">
        <f t="shared" ref="K5104:M5104" si="4886">FALSE()</f>
        <v>0</v>
      </c>
      <c r="L5104" s="6" t="b">
        <f t="shared" si="4886"/>
        <v>0</v>
      </c>
      <c r="M5104" s="6" t="b">
        <f t="shared" si="4886"/>
        <v>0</v>
      </c>
      <c r="O5104" s="4">
        <v>1.38629436111989</v>
      </c>
      <c r="T5104" s="4" t="str">
        <f t="shared" si="3"/>
        <v/>
      </c>
      <c r="U5104" s="4" t="str">
        <f t="shared" si="4"/>
        <v/>
      </c>
    </row>
    <row r="5105" ht="15.75" customHeight="1">
      <c r="A5105" s="4" t="s">
        <v>5887</v>
      </c>
      <c r="B5105" s="4" t="s">
        <v>13</v>
      </c>
      <c r="D5105" s="4">
        <v>0.2</v>
      </c>
      <c r="E5105" s="4">
        <v>0.2</v>
      </c>
      <c r="F5105" s="4">
        <v>1.8</v>
      </c>
      <c r="G5105" s="4">
        <v>0.2</v>
      </c>
      <c r="H5105" s="4">
        <v>0.2</v>
      </c>
      <c r="K5105" s="6" t="b">
        <f t="shared" ref="K5105:M5105" si="4887">FALSE()</f>
        <v>0</v>
      </c>
      <c r="L5105" s="6" t="b">
        <f t="shared" si="4887"/>
        <v>0</v>
      </c>
      <c r="M5105" s="6" t="b">
        <f t="shared" si="4887"/>
        <v>0</v>
      </c>
      <c r="O5105" s="4">
        <v>1.02961941718116</v>
      </c>
      <c r="T5105" s="4" t="str">
        <f t="shared" si="3"/>
        <v/>
      </c>
      <c r="U5105" s="4" t="str">
        <f t="shared" si="4"/>
        <v/>
      </c>
    </row>
    <row r="5106" ht="15.75" customHeight="1">
      <c r="A5106" s="4" t="s">
        <v>5888</v>
      </c>
      <c r="B5106" s="4" t="s">
        <v>13</v>
      </c>
      <c r="D5106" s="4">
        <v>5.03</v>
      </c>
      <c r="E5106" s="4">
        <v>3.94</v>
      </c>
      <c r="F5106" s="4">
        <v>10.4</v>
      </c>
      <c r="G5106" s="4">
        <v>5.03</v>
      </c>
      <c r="H5106" s="4">
        <v>3.94</v>
      </c>
      <c r="K5106" s="6" t="b">
        <f t="shared" ref="K5106:K5108" si="4888">FALSE()</f>
        <v>0</v>
      </c>
      <c r="L5106" s="6" t="b">
        <f t="shared" ref="L5106:L5108" si="4889">TRUE()</f>
        <v>1</v>
      </c>
      <c r="M5106" s="6" t="b">
        <f t="shared" ref="M5106:M5107" si="4890">FALSE()</f>
        <v>0</v>
      </c>
      <c r="O5106" s="4">
        <v>2.43361335540045</v>
      </c>
      <c r="T5106" s="4" t="str">
        <f t="shared" si="3"/>
        <v/>
      </c>
      <c r="U5106" s="4" t="str">
        <f t="shared" si="4"/>
        <v/>
      </c>
    </row>
    <row r="5107" ht="15.75" customHeight="1">
      <c r="A5107" s="4" t="s">
        <v>5889</v>
      </c>
      <c r="B5107" s="4" t="s">
        <v>13</v>
      </c>
      <c r="F5107" s="4">
        <v>9.5</v>
      </c>
      <c r="K5107" s="6" t="b">
        <f t="shared" si="4888"/>
        <v>0</v>
      </c>
      <c r="L5107" s="6" t="b">
        <f t="shared" si="4889"/>
        <v>1</v>
      </c>
      <c r="M5107" s="6" t="b">
        <f t="shared" si="4890"/>
        <v>0</v>
      </c>
      <c r="O5107" s="4">
        <v>2.35137525716348</v>
      </c>
      <c r="T5107" s="4" t="str">
        <f t="shared" si="3"/>
        <v/>
      </c>
      <c r="U5107" s="4" t="str">
        <f t="shared" si="4"/>
        <v/>
      </c>
    </row>
    <row r="5108" ht="15.75" customHeight="1">
      <c r="A5108" s="4" t="s">
        <v>5890</v>
      </c>
      <c r="B5108" s="4" t="s">
        <v>13</v>
      </c>
      <c r="F5108" s="4">
        <v>50.0</v>
      </c>
      <c r="I5108" s="4">
        <v>1.0</v>
      </c>
      <c r="K5108" s="6" t="b">
        <f t="shared" si="4888"/>
        <v>0</v>
      </c>
      <c r="L5108" s="6" t="b">
        <f t="shared" si="4889"/>
        <v>1</v>
      </c>
      <c r="M5108" s="6" t="b">
        <f>TRUE()</f>
        <v>1</v>
      </c>
      <c r="O5108" s="4">
        <v>3.93182563272433</v>
      </c>
      <c r="P5108" s="4">
        <v>0.693147180559945</v>
      </c>
      <c r="T5108" s="4" t="str">
        <f t="shared" si="3"/>
        <v/>
      </c>
      <c r="U5108" s="4">
        <f t="shared" si="4"/>
        <v>665</v>
      </c>
    </row>
    <row r="5109" ht="15.75" customHeight="1">
      <c r="A5109" s="4" t="s">
        <v>5891</v>
      </c>
      <c r="B5109" s="4" t="s">
        <v>13</v>
      </c>
      <c r="C5109" s="4">
        <v>6.0</v>
      </c>
      <c r="K5109" s="6" t="b">
        <f>TRUE()</f>
        <v>1</v>
      </c>
      <c r="L5109" s="6" t="b">
        <f t="shared" ref="L5109:M5109" si="4891">FALSE()</f>
        <v>0</v>
      </c>
      <c r="M5109" s="6" t="b">
        <f t="shared" si="4891"/>
        <v>0</v>
      </c>
      <c r="N5109" s="4">
        <v>1.94591014905531</v>
      </c>
      <c r="T5109" s="4">
        <f t="shared" si="3"/>
        <v>168</v>
      </c>
      <c r="U5109" s="4" t="str">
        <f t="shared" si="4"/>
        <v/>
      </c>
    </row>
    <row r="5110" ht="15.75" customHeight="1">
      <c r="A5110" s="4" t="s">
        <v>5892</v>
      </c>
      <c r="B5110" s="4" t="s">
        <v>13</v>
      </c>
      <c r="I5110" s="4">
        <v>1.5</v>
      </c>
      <c r="K5110" s="6" t="b">
        <f t="shared" ref="K5110:L5110" si="4892">FALSE()</f>
        <v>0</v>
      </c>
      <c r="L5110" s="6" t="b">
        <f t="shared" si="4892"/>
        <v>0</v>
      </c>
      <c r="M5110" s="6" t="b">
        <f t="shared" ref="M5110:M5112" si="4894">TRUE()</f>
        <v>1</v>
      </c>
      <c r="P5110" s="4">
        <v>0.916290731874155</v>
      </c>
      <c r="T5110" s="4" t="str">
        <f t="shared" si="3"/>
        <v/>
      </c>
      <c r="U5110" s="4">
        <f t="shared" si="4"/>
        <v>116</v>
      </c>
    </row>
    <row r="5111" ht="15.75" customHeight="1">
      <c r="A5111" s="4" t="s">
        <v>5895</v>
      </c>
      <c r="B5111" s="4" t="s">
        <v>13</v>
      </c>
      <c r="I5111" s="4">
        <v>2.22</v>
      </c>
      <c r="K5111" s="6" t="b">
        <f t="shared" ref="K5111:L5111" si="4893">FALSE()</f>
        <v>0</v>
      </c>
      <c r="L5111" s="6" t="b">
        <f t="shared" si="4893"/>
        <v>0</v>
      </c>
      <c r="M5111" s="6" t="b">
        <f t="shared" si="4894"/>
        <v>1</v>
      </c>
      <c r="P5111" s="4">
        <v>1.16938135955632</v>
      </c>
      <c r="T5111" s="4" t="str">
        <f t="shared" si="3"/>
        <v/>
      </c>
      <c r="U5111" s="4">
        <f t="shared" si="4"/>
        <v>5</v>
      </c>
    </row>
    <row r="5112" ht="15.75" customHeight="1">
      <c r="A5112" s="4" t="s">
        <v>5899</v>
      </c>
      <c r="B5112" s="4" t="s">
        <v>13</v>
      </c>
      <c r="I5112" s="4">
        <v>1.96</v>
      </c>
      <c r="K5112" s="6" t="b">
        <f t="shared" ref="K5112:L5112" si="4895">FALSE()</f>
        <v>0</v>
      </c>
      <c r="L5112" s="6" t="b">
        <f t="shared" si="4895"/>
        <v>0</v>
      </c>
      <c r="M5112" s="6" t="b">
        <f t="shared" si="4894"/>
        <v>1</v>
      </c>
      <c r="P5112" s="4">
        <v>1.08518926833597</v>
      </c>
      <c r="T5112" s="4" t="str">
        <f t="shared" si="3"/>
        <v/>
      </c>
      <c r="U5112" s="4">
        <f t="shared" si="4"/>
        <v>13</v>
      </c>
    </row>
    <row r="5113" ht="15.75" customHeight="1">
      <c r="A5113" s="4" t="s">
        <v>5901</v>
      </c>
      <c r="B5113" s="4" t="s">
        <v>13</v>
      </c>
      <c r="C5113" s="4">
        <v>5.0</v>
      </c>
      <c r="K5113" s="6" t="b">
        <f>TRUE()</f>
        <v>1</v>
      </c>
      <c r="L5113" s="6" t="b">
        <f t="shared" ref="L5113:M5113" si="4896">FALSE()</f>
        <v>0</v>
      </c>
      <c r="M5113" s="6" t="b">
        <f t="shared" si="4896"/>
        <v>0</v>
      </c>
      <c r="N5113" s="4">
        <v>1.79175946922806</v>
      </c>
      <c r="T5113" s="4">
        <f t="shared" si="3"/>
        <v>212</v>
      </c>
      <c r="U5113" s="4" t="str">
        <f t="shared" si="4"/>
        <v/>
      </c>
    </row>
    <row r="5114" ht="15.75" customHeight="1">
      <c r="A5114" s="4" t="s">
        <v>5902</v>
      </c>
      <c r="B5114" s="4" t="s">
        <v>13</v>
      </c>
      <c r="I5114" s="4">
        <v>0.08716</v>
      </c>
      <c r="J5114" s="4">
        <v>0.00196</v>
      </c>
      <c r="K5114" s="6" t="b">
        <f t="shared" ref="K5114:M5114" si="4897">FALSE()</f>
        <v>0</v>
      </c>
      <c r="L5114" s="6" t="b">
        <f t="shared" si="4897"/>
        <v>0</v>
      </c>
      <c r="M5114" s="6" t="b">
        <f t="shared" si="4897"/>
        <v>0</v>
      </c>
      <c r="P5114" s="4">
        <v>0.0835687914193174</v>
      </c>
      <c r="T5114" s="4" t="str">
        <f t="shared" si="3"/>
        <v/>
      </c>
      <c r="U5114" s="4">
        <f t="shared" si="4"/>
        <v>4354</v>
      </c>
    </row>
    <row r="5115" ht="15.75" customHeight="1">
      <c r="A5115" s="4" t="s">
        <v>1158</v>
      </c>
      <c r="B5115" s="4" t="s">
        <v>13</v>
      </c>
      <c r="C5115" s="4">
        <v>3.8</v>
      </c>
      <c r="I5115" s="4">
        <v>0.81</v>
      </c>
      <c r="J5115" s="4">
        <v>0.1</v>
      </c>
      <c r="K5115" s="6" t="b">
        <f t="shared" ref="K5115:K5116" si="4898">TRUE()</f>
        <v>1</v>
      </c>
      <c r="L5115" s="6" t="b">
        <f t="shared" ref="L5115:L5116" si="4899">FALSE()</f>
        <v>0</v>
      </c>
      <c r="M5115" s="6" t="b">
        <f t="shared" ref="M5115:M5116" si="4900">TRUE()</f>
        <v>1</v>
      </c>
      <c r="N5115" s="4">
        <v>1.56861591791385</v>
      </c>
      <c r="P5115" s="4">
        <v>0.593326845277734</v>
      </c>
      <c r="T5115" s="4">
        <f t="shared" si="3"/>
        <v>269</v>
      </c>
      <c r="U5115" s="4">
        <f t="shared" si="4"/>
        <v>833</v>
      </c>
    </row>
    <row r="5116" ht="15.75" customHeight="1">
      <c r="A5116" s="4" t="s">
        <v>1159</v>
      </c>
      <c r="B5116" s="4" t="s">
        <v>13</v>
      </c>
      <c r="C5116" s="4">
        <v>9.7</v>
      </c>
      <c r="D5116" s="4">
        <v>5.6</v>
      </c>
      <c r="E5116" s="4">
        <v>5.6</v>
      </c>
      <c r="I5116" s="4">
        <v>1.13</v>
      </c>
      <c r="J5116" s="4">
        <v>0.21</v>
      </c>
      <c r="K5116" s="6" t="b">
        <f t="shared" si="4898"/>
        <v>1</v>
      </c>
      <c r="L5116" s="6" t="b">
        <f t="shared" si="4899"/>
        <v>0</v>
      </c>
      <c r="M5116" s="6" t="b">
        <f t="shared" si="4900"/>
        <v>1</v>
      </c>
      <c r="N5116" s="4">
        <v>2.37024374146786</v>
      </c>
      <c r="P5116" s="4">
        <v>0.756121979721334</v>
      </c>
      <c r="T5116" s="4">
        <f t="shared" si="3"/>
        <v>65</v>
      </c>
      <c r="U5116" s="4">
        <f t="shared" si="4"/>
        <v>479</v>
      </c>
    </row>
    <row r="5117" ht="15.75" customHeight="1">
      <c r="A5117" s="4" t="s">
        <v>5906</v>
      </c>
      <c r="B5117" s="4" t="s">
        <v>13</v>
      </c>
      <c r="D5117" s="4">
        <v>1.3</v>
      </c>
      <c r="E5117" s="4">
        <v>1.3</v>
      </c>
      <c r="F5117" s="4">
        <v>7.8</v>
      </c>
      <c r="G5117" s="4">
        <v>1.3</v>
      </c>
      <c r="H5117" s="4">
        <v>1.3</v>
      </c>
      <c r="K5117" s="6" t="b">
        <f t="shared" ref="K5117:K5119" si="4901">FALSE()</f>
        <v>0</v>
      </c>
      <c r="L5117" s="6" t="b">
        <f>TRUE()</f>
        <v>1</v>
      </c>
      <c r="M5117" s="6" t="b">
        <f>FALSE()</f>
        <v>0</v>
      </c>
      <c r="O5117" s="4">
        <v>2.17475172148416</v>
      </c>
      <c r="T5117" s="4" t="str">
        <f t="shared" si="3"/>
        <v/>
      </c>
      <c r="U5117" s="4" t="str">
        <f t="shared" si="4"/>
        <v/>
      </c>
    </row>
    <row r="5118" ht="15.75" customHeight="1">
      <c r="A5118" s="4" t="s">
        <v>5908</v>
      </c>
      <c r="B5118" s="4" t="s">
        <v>13</v>
      </c>
      <c r="D5118" s="4">
        <v>0.27</v>
      </c>
      <c r="E5118" s="4">
        <v>0.27</v>
      </c>
      <c r="F5118" s="4">
        <v>1.73</v>
      </c>
      <c r="G5118" s="4">
        <v>0.27</v>
      </c>
      <c r="H5118" s="4">
        <v>0.27</v>
      </c>
      <c r="K5118" s="6" t="b">
        <f t="shared" si="4901"/>
        <v>0</v>
      </c>
      <c r="L5118" s="6" t="b">
        <f t="shared" ref="L5118:M5118" si="4902">FALSE()</f>
        <v>0</v>
      </c>
      <c r="M5118" s="6" t="b">
        <f t="shared" si="4902"/>
        <v>0</v>
      </c>
      <c r="O5118" s="4">
        <v>1.00430160919687</v>
      </c>
      <c r="T5118" s="4" t="str">
        <f t="shared" si="3"/>
        <v/>
      </c>
      <c r="U5118" s="4" t="str">
        <f t="shared" si="4"/>
        <v/>
      </c>
    </row>
    <row r="5119" ht="15.75" customHeight="1">
      <c r="A5119" s="4" t="s">
        <v>5909</v>
      </c>
      <c r="B5119" s="4" t="s">
        <v>13</v>
      </c>
      <c r="D5119" s="4">
        <v>0.13</v>
      </c>
      <c r="E5119" s="4">
        <v>0.13</v>
      </c>
      <c r="F5119" s="4">
        <v>1.26</v>
      </c>
      <c r="G5119" s="4">
        <v>0.13</v>
      </c>
      <c r="H5119" s="4">
        <v>0.13</v>
      </c>
      <c r="K5119" s="6" t="b">
        <f t="shared" si="4901"/>
        <v>0</v>
      </c>
      <c r="L5119" s="6" t="b">
        <f t="shared" ref="L5119:M5119" si="4903">FALSE()</f>
        <v>0</v>
      </c>
      <c r="M5119" s="6" t="b">
        <f t="shared" si="4903"/>
        <v>0</v>
      </c>
      <c r="O5119" s="4">
        <v>0.815364813284195</v>
      </c>
      <c r="T5119" s="4" t="str">
        <f t="shared" si="3"/>
        <v/>
      </c>
      <c r="U5119" s="4" t="str">
        <f t="shared" si="4"/>
        <v/>
      </c>
    </row>
    <row r="5120" ht="15.75" customHeight="1">
      <c r="A5120" s="4" t="s">
        <v>1160</v>
      </c>
      <c r="B5120" s="4" t="s">
        <v>13</v>
      </c>
      <c r="C5120" s="4">
        <v>5.78</v>
      </c>
      <c r="D5120" s="4">
        <v>0.47</v>
      </c>
      <c r="E5120" s="4">
        <v>0.66</v>
      </c>
      <c r="F5120" s="4">
        <v>4.09</v>
      </c>
      <c r="G5120" s="4">
        <v>0.14</v>
      </c>
      <c r="H5120" s="4">
        <v>0.14</v>
      </c>
      <c r="I5120" s="4">
        <v>1.06</v>
      </c>
      <c r="K5120" s="6" t="b">
        <f>TRUE()</f>
        <v>1</v>
      </c>
      <c r="L5120" s="6" t="b">
        <f>FALSE()</f>
        <v>0</v>
      </c>
      <c r="M5120" s="6" t="b">
        <f>TRUE()</f>
        <v>1</v>
      </c>
      <c r="N5120" s="4">
        <v>1.9139771019523</v>
      </c>
      <c r="O5120" s="4">
        <v>1.62727783056243</v>
      </c>
      <c r="P5120" s="4">
        <v>0.72270598280149</v>
      </c>
      <c r="Q5120" s="4">
        <v>2.92213656647951</v>
      </c>
      <c r="R5120" s="4">
        <v>1.9423815776994</v>
      </c>
      <c r="S5120" s="4">
        <v>0.439174312998261</v>
      </c>
      <c r="T5120" s="4">
        <f t="shared" si="3"/>
        <v>181</v>
      </c>
      <c r="U5120" s="4">
        <f t="shared" si="4"/>
        <v>591</v>
      </c>
    </row>
    <row r="5121" ht="15.75" customHeight="1">
      <c r="A5121" s="4" t="s">
        <v>5910</v>
      </c>
      <c r="B5121" s="4" t="s">
        <v>13</v>
      </c>
      <c r="D5121" s="4">
        <v>0.002</v>
      </c>
      <c r="E5121" s="4">
        <v>0.0026</v>
      </c>
      <c r="F5121" s="4">
        <v>0.0124</v>
      </c>
      <c r="G5121" s="4">
        <v>0.002</v>
      </c>
      <c r="H5121" s="4">
        <v>0.0026</v>
      </c>
      <c r="K5121" s="6" t="b">
        <f t="shared" ref="K5121:M5121" si="4904">FALSE()</f>
        <v>0</v>
      </c>
      <c r="L5121" s="6" t="b">
        <f t="shared" si="4904"/>
        <v>0</v>
      </c>
      <c r="M5121" s="6" t="b">
        <f t="shared" si="4904"/>
        <v>0</v>
      </c>
      <c r="O5121" s="4">
        <v>0.0123237496888319</v>
      </c>
      <c r="T5121" s="4" t="str">
        <f t="shared" si="3"/>
        <v/>
      </c>
      <c r="U5121" s="4" t="str">
        <f t="shared" si="4"/>
        <v/>
      </c>
    </row>
    <row r="5122" ht="15.75" customHeight="1">
      <c r="A5122" s="4" t="s">
        <v>5911</v>
      </c>
      <c r="B5122" s="4" t="s">
        <v>13</v>
      </c>
      <c r="D5122" s="4">
        <v>0.00431</v>
      </c>
      <c r="E5122" s="4">
        <v>0.0033</v>
      </c>
      <c r="F5122" s="4">
        <v>0.0124</v>
      </c>
      <c r="G5122" s="4">
        <v>0.00431</v>
      </c>
      <c r="H5122" s="4">
        <v>0.0033</v>
      </c>
      <c r="K5122" s="6" t="b">
        <f t="shared" ref="K5122:M5122" si="4905">FALSE()</f>
        <v>0</v>
      </c>
      <c r="L5122" s="6" t="b">
        <f t="shared" si="4905"/>
        <v>0</v>
      </c>
      <c r="M5122" s="6" t="b">
        <f t="shared" si="4905"/>
        <v>0</v>
      </c>
      <c r="O5122" s="4">
        <v>0.0123237496888319</v>
      </c>
      <c r="T5122" s="4" t="str">
        <f t="shared" si="3"/>
        <v/>
      </c>
      <c r="U5122" s="4" t="str">
        <f t="shared" si="4"/>
        <v/>
      </c>
    </row>
    <row r="5123" ht="15.75" customHeight="1">
      <c r="A5123" s="4" t="s">
        <v>5912</v>
      </c>
      <c r="B5123" s="4" t="s">
        <v>13</v>
      </c>
      <c r="D5123" s="4">
        <v>0.0013</v>
      </c>
      <c r="E5123" s="4">
        <v>7.9E-4</v>
      </c>
      <c r="F5123" s="4">
        <v>0.00551</v>
      </c>
      <c r="G5123" s="4">
        <v>0.0013</v>
      </c>
      <c r="H5123" s="4">
        <v>7.9E-4</v>
      </c>
      <c r="K5123" s="6" t="b">
        <f t="shared" ref="K5123:M5123" si="4906">FALSE()</f>
        <v>0</v>
      </c>
      <c r="L5123" s="6" t="b">
        <f t="shared" si="4906"/>
        <v>0</v>
      </c>
      <c r="M5123" s="6" t="b">
        <f t="shared" si="4906"/>
        <v>0</v>
      </c>
      <c r="O5123" s="4">
        <v>0.0054948754819608</v>
      </c>
      <c r="T5123" s="4" t="str">
        <f t="shared" si="3"/>
        <v/>
      </c>
      <c r="U5123" s="4" t="str">
        <f t="shared" si="4"/>
        <v/>
      </c>
    </row>
    <row r="5124" ht="15.75" customHeight="1">
      <c r="A5124" s="4" t="s">
        <v>5913</v>
      </c>
      <c r="B5124" s="4" t="s">
        <v>13</v>
      </c>
      <c r="D5124" s="4">
        <v>8.2E-4</v>
      </c>
      <c r="E5124" s="4">
        <v>0.0021</v>
      </c>
      <c r="F5124" s="4">
        <v>0.00576</v>
      </c>
      <c r="G5124" s="4">
        <v>8.2E-4</v>
      </c>
      <c r="H5124" s="4">
        <v>0.0021</v>
      </c>
      <c r="K5124" s="6" t="b">
        <f t="shared" ref="K5124:M5124" si="4907">FALSE()</f>
        <v>0</v>
      </c>
      <c r="L5124" s="6" t="b">
        <f t="shared" si="4907"/>
        <v>0</v>
      </c>
      <c r="M5124" s="6" t="b">
        <f t="shared" si="4907"/>
        <v>0</v>
      </c>
      <c r="O5124" s="4">
        <v>0.0057434746270657</v>
      </c>
      <c r="T5124" s="4" t="str">
        <f t="shared" si="3"/>
        <v/>
      </c>
      <c r="U5124" s="4" t="str">
        <f t="shared" si="4"/>
        <v/>
      </c>
    </row>
    <row r="5125" ht="15.75" customHeight="1">
      <c r="A5125" s="4" t="s">
        <v>5914</v>
      </c>
      <c r="B5125" s="4" t="s">
        <v>13</v>
      </c>
      <c r="C5125" s="4">
        <v>0.06</v>
      </c>
      <c r="D5125" s="4">
        <v>0.009</v>
      </c>
      <c r="E5125" s="4">
        <v>0.009</v>
      </c>
      <c r="K5125" s="6" t="b">
        <f t="shared" ref="K5125:M5125" si="4908">FALSE()</f>
        <v>0</v>
      </c>
      <c r="L5125" s="6" t="b">
        <f t="shared" si="4908"/>
        <v>0</v>
      </c>
      <c r="M5125" s="6" t="b">
        <f t="shared" si="4908"/>
        <v>0</v>
      </c>
      <c r="N5125" s="4">
        <v>0.0582689081239757</v>
      </c>
      <c r="T5125" s="4">
        <f t="shared" si="3"/>
        <v>1359</v>
      </c>
      <c r="U5125" s="4" t="str">
        <f t="shared" si="4"/>
        <v/>
      </c>
    </row>
    <row r="5126" ht="15.75" customHeight="1">
      <c r="A5126" s="4" t="s">
        <v>5915</v>
      </c>
      <c r="B5126" s="4" t="s">
        <v>13</v>
      </c>
      <c r="D5126" s="4">
        <v>3.8E-4</v>
      </c>
      <c r="E5126" s="4">
        <v>3.8E-4</v>
      </c>
      <c r="F5126" s="4">
        <v>0.00365</v>
      </c>
      <c r="G5126" s="4">
        <v>3.8E-4</v>
      </c>
      <c r="H5126" s="4">
        <v>3.8E-4</v>
      </c>
      <c r="K5126" s="6" t="b">
        <f t="shared" ref="K5126:M5126" si="4909">FALSE()</f>
        <v>0</v>
      </c>
      <c r="L5126" s="6" t="b">
        <f t="shared" si="4909"/>
        <v>0</v>
      </c>
      <c r="M5126" s="6" t="b">
        <f t="shared" si="4909"/>
        <v>0</v>
      </c>
      <c r="O5126" s="4">
        <v>0.0036433549147985</v>
      </c>
      <c r="T5126" s="4" t="str">
        <f t="shared" si="3"/>
        <v/>
      </c>
      <c r="U5126" s="4" t="str">
        <f t="shared" si="4"/>
        <v/>
      </c>
    </row>
    <row r="5127" ht="15.75" customHeight="1">
      <c r="A5127" s="4" t="s">
        <v>5916</v>
      </c>
      <c r="B5127" s="4" t="s">
        <v>13</v>
      </c>
      <c r="D5127" s="4">
        <v>4.4E-4</v>
      </c>
      <c r="E5127" s="4">
        <v>4.4E-4</v>
      </c>
      <c r="F5127" s="4">
        <v>0.0033</v>
      </c>
      <c r="G5127" s="4">
        <v>4.4E-4</v>
      </c>
      <c r="H5127" s="4">
        <v>4.4E-4</v>
      </c>
      <c r="K5127" s="6" t="b">
        <f t="shared" ref="K5127:M5127" si="4910">FALSE()</f>
        <v>0</v>
      </c>
      <c r="L5127" s="6" t="b">
        <f t="shared" si="4910"/>
        <v>0</v>
      </c>
      <c r="M5127" s="6" t="b">
        <f t="shared" si="4910"/>
        <v>0</v>
      </c>
      <c r="O5127" s="4">
        <v>0.00329456694943</v>
      </c>
      <c r="T5127" s="4" t="str">
        <f t="shared" si="3"/>
        <v/>
      </c>
      <c r="U5127" s="4" t="str">
        <f t="shared" si="4"/>
        <v/>
      </c>
    </row>
    <row r="5128" ht="15.75" customHeight="1">
      <c r="A5128" s="4" t="s">
        <v>5917</v>
      </c>
      <c r="B5128" s="4" t="s">
        <v>13</v>
      </c>
      <c r="D5128" s="4">
        <v>5.3E-4</v>
      </c>
      <c r="E5128" s="4">
        <v>5.3E-4</v>
      </c>
      <c r="F5128" s="4">
        <v>0.00258</v>
      </c>
      <c r="G5128" s="4">
        <v>5.3E-4</v>
      </c>
      <c r="H5128" s="4">
        <v>5.3E-4</v>
      </c>
      <c r="K5128" s="6" t="b">
        <f t="shared" ref="K5128:M5128" si="4911">FALSE()</f>
        <v>0</v>
      </c>
      <c r="L5128" s="6" t="b">
        <f t="shared" si="4911"/>
        <v>0</v>
      </c>
      <c r="M5128" s="6" t="b">
        <f t="shared" si="4911"/>
        <v>0</v>
      </c>
      <c r="O5128" s="4">
        <v>0.0025766775134498</v>
      </c>
      <c r="T5128" s="4" t="str">
        <f t="shared" si="3"/>
        <v/>
      </c>
      <c r="U5128" s="4" t="str">
        <f t="shared" si="4"/>
        <v/>
      </c>
    </row>
    <row r="5129" ht="15.75" customHeight="1">
      <c r="A5129" s="4" t="s">
        <v>5918</v>
      </c>
      <c r="B5129" s="4" t="s">
        <v>13</v>
      </c>
      <c r="I5129" s="4">
        <v>0.8725</v>
      </c>
      <c r="J5129" s="4">
        <v>0.232</v>
      </c>
      <c r="K5129" s="6" t="b">
        <f t="shared" ref="K5129:L5129" si="4912">FALSE()</f>
        <v>0</v>
      </c>
      <c r="L5129" s="6" t="b">
        <f t="shared" si="4912"/>
        <v>0</v>
      </c>
      <c r="M5129" s="6" t="b">
        <f>TRUE()</f>
        <v>1</v>
      </c>
      <c r="P5129" s="4">
        <v>0.627274436409238</v>
      </c>
      <c r="T5129" s="4" t="str">
        <f t="shared" si="3"/>
        <v/>
      </c>
      <c r="U5129" s="4">
        <f t="shared" si="4"/>
        <v>783</v>
      </c>
    </row>
    <row r="5130" ht="15.75" customHeight="1">
      <c r="A5130" s="4" t="s">
        <v>1162</v>
      </c>
      <c r="B5130" s="4" t="s">
        <v>13</v>
      </c>
      <c r="C5130" s="4">
        <v>0.463</v>
      </c>
      <c r="D5130" s="4">
        <v>0.046</v>
      </c>
      <c r="E5130" s="4">
        <v>0.046</v>
      </c>
      <c r="I5130" s="4">
        <v>0.645</v>
      </c>
      <c r="J5130" s="4">
        <v>0.024</v>
      </c>
      <c r="K5130" s="6" t="b">
        <f t="shared" ref="K5130:M5130" si="4913">FALSE()</f>
        <v>0</v>
      </c>
      <c r="L5130" s="6" t="b">
        <f t="shared" si="4913"/>
        <v>0</v>
      </c>
      <c r="M5130" s="6" t="b">
        <f t="shared" si="4913"/>
        <v>0</v>
      </c>
      <c r="N5130" s="4">
        <v>0.380489122037987</v>
      </c>
      <c r="P5130" s="4">
        <v>0.497740384217335</v>
      </c>
      <c r="T5130" s="4">
        <f t="shared" si="3"/>
        <v>973</v>
      </c>
      <c r="U5130" s="4">
        <f t="shared" si="4"/>
        <v>919</v>
      </c>
    </row>
    <row r="5131" ht="15.75" customHeight="1">
      <c r="A5131" s="4" t="s">
        <v>5919</v>
      </c>
      <c r="B5131" s="4" t="s">
        <v>13</v>
      </c>
      <c r="D5131" s="4">
        <v>0.37</v>
      </c>
      <c r="E5131" s="4">
        <v>0.66</v>
      </c>
      <c r="F5131" s="4">
        <v>4.89</v>
      </c>
      <c r="G5131" s="4">
        <v>0.37</v>
      </c>
      <c r="H5131" s="4">
        <v>0.66</v>
      </c>
      <c r="K5131" s="6" t="b">
        <f t="shared" ref="K5131:M5131" si="4914">FALSE()</f>
        <v>0</v>
      </c>
      <c r="L5131" s="6" t="b">
        <f t="shared" si="4914"/>
        <v>0</v>
      </c>
      <c r="M5131" s="6" t="b">
        <f t="shared" si="4914"/>
        <v>0</v>
      </c>
      <c r="O5131" s="4">
        <v>1.7732559976635</v>
      </c>
      <c r="T5131" s="4" t="str">
        <f t="shared" si="3"/>
        <v/>
      </c>
      <c r="U5131" s="4" t="str">
        <f t="shared" si="4"/>
        <v/>
      </c>
    </row>
    <row r="5132" ht="15.75" customHeight="1">
      <c r="A5132" s="4" t="s">
        <v>5920</v>
      </c>
      <c r="B5132" s="4" t="s">
        <v>13</v>
      </c>
      <c r="I5132" s="4">
        <v>0.8431</v>
      </c>
      <c r="J5132" s="4">
        <v>0.3676</v>
      </c>
      <c r="K5132" s="6" t="b">
        <f t="shared" ref="K5132:L5132" si="4915">FALSE()</f>
        <v>0</v>
      </c>
      <c r="L5132" s="6" t="b">
        <f t="shared" si="4915"/>
        <v>0</v>
      </c>
      <c r="M5132" s="6" t="b">
        <f t="shared" ref="M5132:M5134" si="4917">TRUE()</f>
        <v>1</v>
      </c>
      <c r="P5132" s="4">
        <v>0.61144893657544</v>
      </c>
      <c r="T5132" s="4" t="str">
        <f t="shared" si="3"/>
        <v/>
      </c>
      <c r="U5132" s="4">
        <f t="shared" si="4"/>
        <v>808</v>
      </c>
    </row>
    <row r="5133" ht="15.75" customHeight="1">
      <c r="A5133" s="4" t="s">
        <v>5921</v>
      </c>
      <c r="B5133" s="4" t="s">
        <v>13</v>
      </c>
      <c r="I5133" s="4">
        <v>1.14</v>
      </c>
      <c r="J5133" s="4">
        <v>0.1</v>
      </c>
      <c r="K5133" s="6" t="b">
        <f t="shared" ref="K5133:L5133" si="4916">FALSE()</f>
        <v>0</v>
      </c>
      <c r="L5133" s="6" t="b">
        <f t="shared" si="4916"/>
        <v>0</v>
      </c>
      <c r="M5133" s="6" t="b">
        <f t="shared" si="4917"/>
        <v>1</v>
      </c>
      <c r="P5133" s="4">
        <v>0.76080582903376</v>
      </c>
      <c r="T5133" s="4" t="str">
        <f t="shared" si="3"/>
        <v/>
      </c>
      <c r="U5133" s="4">
        <f t="shared" si="4"/>
        <v>459</v>
      </c>
    </row>
    <row r="5134" ht="15.75" customHeight="1">
      <c r="A5134" s="4" t="s">
        <v>1163</v>
      </c>
      <c r="B5134" s="4" t="s">
        <v>13</v>
      </c>
      <c r="C5134" s="4">
        <v>2.84</v>
      </c>
      <c r="D5134" s="4">
        <v>0.25</v>
      </c>
      <c r="E5134" s="4">
        <v>0.25</v>
      </c>
      <c r="I5134" s="4">
        <v>0.9876</v>
      </c>
      <c r="J5134" s="4">
        <v>0.0419</v>
      </c>
      <c r="K5134" s="6" t="b">
        <f t="shared" ref="K5134:L5134" si="4918">FALSE()</f>
        <v>0</v>
      </c>
      <c r="L5134" s="6" t="b">
        <f t="shared" si="4918"/>
        <v>0</v>
      </c>
      <c r="M5134" s="6" t="b">
        <f t="shared" si="4917"/>
        <v>1</v>
      </c>
      <c r="N5134" s="4">
        <v>1.34547236659964</v>
      </c>
      <c r="P5134" s="4">
        <v>0.686927880746029</v>
      </c>
      <c r="T5134" s="4">
        <f t="shared" si="3"/>
        <v>334</v>
      </c>
      <c r="U5134" s="4">
        <f t="shared" si="4"/>
        <v>693</v>
      </c>
    </row>
    <row r="5135" ht="15.75" customHeight="1">
      <c r="A5135" s="4" t="s">
        <v>5922</v>
      </c>
      <c r="B5135" s="4" t="s">
        <v>13</v>
      </c>
      <c r="I5135" s="4">
        <v>0.1989</v>
      </c>
      <c r="J5135" s="4">
        <v>0.0134</v>
      </c>
      <c r="K5135" s="6" t="b">
        <f t="shared" ref="K5135:M5135" si="4919">FALSE()</f>
        <v>0</v>
      </c>
      <c r="L5135" s="6" t="b">
        <f t="shared" si="4919"/>
        <v>0</v>
      </c>
      <c r="M5135" s="6" t="b">
        <f t="shared" si="4919"/>
        <v>0</v>
      </c>
      <c r="P5135" s="4">
        <v>0.181404469731471</v>
      </c>
      <c r="T5135" s="4" t="str">
        <f t="shared" si="3"/>
        <v/>
      </c>
      <c r="U5135" s="4">
        <f t="shared" si="4"/>
        <v>2606</v>
      </c>
    </row>
    <row r="5136" ht="15.75" customHeight="1">
      <c r="A5136" s="4" t="s">
        <v>5923</v>
      </c>
      <c r="B5136" s="4" t="s">
        <v>13</v>
      </c>
      <c r="I5136" s="4">
        <v>0.1258</v>
      </c>
      <c r="J5136" s="4">
        <v>0.009</v>
      </c>
      <c r="K5136" s="6" t="b">
        <f t="shared" ref="K5136:M5136" si="4920">FALSE()</f>
        <v>0</v>
      </c>
      <c r="L5136" s="6" t="b">
        <f t="shared" si="4920"/>
        <v>0</v>
      </c>
      <c r="M5136" s="6" t="b">
        <f t="shared" si="4920"/>
        <v>0</v>
      </c>
      <c r="P5136" s="4">
        <v>0.118493894047789</v>
      </c>
      <c r="T5136" s="4" t="str">
        <f t="shared" si="3"/>
        <v/>
      </c>
      <c r="U5136" s="4">
        <f t="shared" si="4"/>
        <v>3777</v>
      </c>
    </row>
    <row r="5137" ht="15.75" customHeight="1">
      <c r="A5137" s="4" t="s">
        <v>1164</v>
      </c>
      <c r="B5137" s="4" t="s">
        <v>13</v>
      </c>
      <c r="C5137" s="4">
        <v>1.942</v>
      </c>
      <c r="D5137" s="4">
        <v>0.002</v>
      </c>
      <c r="E5137" s="4">
        <v>0.002</v>
      </c>
      <c r="I5137" s="4">
        <v>1.117</v>
      </c>
      <c r="J5137" s="4">
        <v>0.047</v>
      </c>
      <c r="K5137" s="6" t="b">
        <f t="shared" ref="K5137:L5137" si="4921">FALSE()</f>
        <v>0</v>
      </c>
      <c r="L5137" s="6" t="b">
        <f t="shared" si="4921"/>
        <v>0</v>
      </c>
      <c r="M5137" s="6" t="b">
        <f t="shared" ref="M5137:M5139" si="4922">TRUE()</f>
        <v>1</v>
      </c>
      <c r="N5137" s="4">
        <v>1.07908962217925</v>
      </c>
      <c r="P5137" s="4">
        <v>0.749999992152728</v>
      </c>
      <c r="T5137" s="4">
        <f t="shared" si="3"/>
        <v>448</v>
      </c>
      <c r="U5137" s="4">
        <f t="shared" si="4"/>
        <v>495</v>
      </c>
    </row>
    <row r="5138" ht="15.75" customHeight="1">
      <c r="A5138" s="4" t="s">
        <v>1165</v>
      </c>
      <c r="B5138" s="4" t="s">
        <v>13</v>
      </c>
      <c r="C5138" s="4">
        <v>4.98</v>
      </c>
      <c r="D5138" s="4">
        <v>0.18</v>
      </c>
      <c r="E5138" s="4">
        <v>0.18</v>
      </c>
      <c r="I5138" s="4">
        <v>1.19</v>
      </c>
      <c r="J5138" s="4">
        <v>0.04</v>
      </c>
      <c r="K5138" s="6" t="b">
        <f>TRUE()</f>
        <v>1</v>
      </c>
      <c r="L5138" s="6" t="b">
        <f>FALSE()</f>
        <v>0</v>
      </c>
      <c r="M5138" s="6" t="b">
        <f t="shared" si="4922"/>
        <v>1</v>
      </c>
      <c r="N5138" s="4">
        <v>1.78842056796254</v>
      </c>
      <c r="P5138" s="4">
        <v>0.783901543828409</v>
      </c>
      <c r="T5138" s="4">
        <f t="shared" si="3"/>
        <v>213</v>
      </c>
      <c r="U5138" s="4">
        <f t="shared" si="4"/>
        <v>402</v>
      </c>
    </row>
    <row r="5139" ht="15.75" customHeight="1">
      <c r="A5139" s="4" t="s">
        <v>5927</v>
      </c>
      <c r="B5139" s="4" t="s">
        <v>13</v>
      </c>
      <c r="I5139" s="4">
        <v>0.9296</v>
      </c>
      <c r="J5139" s="4">
        <v>0.0303</v>
      </c>
      <c r="K5139" s="6" t="b">
        <f t="shared" ref="K5139:L5139" si="4923">FALSE()</f>
        <v>0</v>
      </c>
      <c r="L5139" s="6" t="b">
        <f t="shared" si="4923"/>
        <v>0</v>
      </c>
      <c r="M5139" s="6" t="b">
        <f t="shared" si="4922"/>
        <v>1</v>
      </c>
      <c r="P5139" s="4">
        <v>0.657312727550729</v>
      </c>
      <c r="T5139" s="4" t="str">
        <f t="shared" si="3"/>
        <v/>
      </c>
      <c r="U5139" s="4">
        <f t="shared" si="4"/>
        <v>746</v>
      </c>
    </row>
    <row r="5140" ht="15.75" customHeight="1">
      <c r="A5140" s="4" t="s">
        <v>5928</v>
      </c>
      <c r="B5140" s="4" t="s">
        <v>13</v>
      </c>
      <c r="I5140" s="4">
        <v>0.6111</v>
      </c>
      <c r="J5140" s="4">
        <v>0.0366</v>
      </c>
      <c r="K5140" s="6" t="b">
        <f t="shared" ref="K5140:M5140" si="4924">FALSE()</f>
        <v>0</v>
      </c>
      <c r="L5140" s="6" t="b">
        <f t="shared" si="4924"/>
        <v>0</v>
      </c>
      <c r="M5140" s="6" t="b">
        <f t="shared" si="4924"/>
        <v>0</v>
      </c>
      <c r="P5140" s="4">
        <v>0.476917175514804</v>
      </c>
      <c r="T5140" s="4" t="str">
        <f t="shared" si="3"/>
        <v/>
      </c>
      <c r="U5140" s="4">
        <f t="shared" si="4"/>
        <v>941</v>
      </c>
    </row>
    <row r="5141" ht="15.75" customHeight="1">
      <c r="A5141" s="4" t="s">
        <v>5932</v>
      </c>
      <c r="B5141" s="4" t="s">
        <v>13</v>
      </c>
      <c r="I5141" s="4">
        <v>0.6486</v>
      </c>
      <c r="J5141" s="4">
        <v>0.036</v>
      </c>
      <c r="K5141" s="6" t="b">
        <f t="shared" ref="K5141:M5141" si="4925">FALSE()</f>
        <v>0</v>
      </c>
      <c r="L5141" s="6" t="b">
        <f t="shared" si="4925"/>
        <v>0</v>
      </c>
      <c r="M5141" s="6" t="b">
        <f t="shared" si="4925"/>
        <v>0</v>
      </c>
      <c r="P5141" s="4">
        <v>0.49992644289699</v>
      </c>
      <c r="T5141" s="4" t="str">
        <f t="shared" si="3"/>
        <v/>
      </c>
      <c r="U5141" s="4">
        <f t="shared" si="4"/>
        <v>917</v>
      </c>
    </row>
    <row r="5142" ht="15.75" customHeight="1">
      <c r="A5142" s="4" t="s">
        <v>1166</v>
      </c>
      <c r="B5142" s="4" t="s">
        <v>13</v>
      </c>
      <c r="C5142" s="4">
        <v>6.14</v>
      </c>
      <c r="D5142" s="4">
        <v>0.4</v>
      </c>
      <c r="E5142" s="4">
        <v>0.4</v>
      </c>
      <c r="I5142" s="4">
        <v>1.0</v>
      </c>
      <c r="J5142" s="4">
        <v>0.04</v>
      </c>
      <c r="K5142" s="6" t="b">
        <f>TRUE()</f>
        <v>1</v>
      </c>
      <c r="L5142" s="6" t="b">
        <f>FALSE()</f>
        <v>0</v>
      </c>
      <c r="M5142" s="6" t="b">
        <f>TRUE()</f>
        <v>1</v>
      </c>
      <c r="N5142" s="4">
        <v>1.96571277635149</v>
      </c>
      <c r="P5142" s="4">
        <v>0.693147180559945</v>
      </c>
      <c r="T5142" s="4">
        <f t="shared" si="3"/>
        <v>159</v>
      </c>
      <c r="U5142" s="4">
        <f t="shared" si="4"/>
        <v>666</v>
      </c>
    </row>
    <row r="5143" ht="15.75" customHeight="1">
      <c r="A5143" s="4" t="s">
        <v>5934</v>
      </c>
      <c r="B5143" s="4" t="s">
        <v>13</v>
      </c>
      <c r="D5143" s="4">
        <v>0.18</v>
      </c>
      <c r="E5143" s="4">
        <v>0.18</v>
      </c>
      <c r="F5143" s="4">
        <v>8.2</v>
      </c>
      <c r="G5143" s="4">
        <v>0.18</v>
      </c>
      <c r="H5143" s="4">
        <v>0.18</v>
      </c>
      <c r="K5143" s="6" t="b">
        <f t="shared" ref="K5143:K5150" si="4926">FALSE()</f>
        <v>0</v>
      </c>
      <c r="L5143" s="6" t="b">
        <f>TRUE()</f>
        <v>1</v>
      </c>
      <c r="M5143" s="6" t="b">
        <f>FALSE()</f>
        <v>0</v>
      </c>
      <c r="O5143" s="4">
        <v>2.219203484055</v>
      </c>
      <c r="T5143" s="4" t="str">
        <f t="shared" si="3"/>
        <v/>
      </c>
      <c r="U5143" s="4" t="str">
        <f t="shared" si="4"/>
        <v/>
      </c>
    </row>
    <row r="5144" ht="15.75" customHeight="1">
      <c r="A5144" s="4" t="s">
        <v>5935</v>
      </c>
      <c r="B5144" s="4" t="s">
        <v>13</v>
      </c>
      <c r="I5144" s="4">
        <v>0.2552</v>
      </c>
      <c r="J5144" s="4">
        <v>0.0187</v>
      </c>
      <c r="K5144" s="6" t="b">
        <f t="shared" si="4926"/>
        <v>0</v>
      </c>
      <c r="L5144" s="6" t="b">
        <f t="shared" ref="L5144:M5144" si="4927">FALSE()</f>
        <v>0</v>
      </c>
      <c r="M5144" s="6" t="b">
        <f t="shared" si="4927"/>
        <v>0</v>
      </c>
      <c r="P5144" s="4">
        <v>0.227294922436686</v>
      </c>
      <c r="T5144" s="4" t="str">
        <f t="shared" si="3"/>
        <v/>
      </c>
      <c r="U5144" s="4">
        <f t="shared" si="4"/>
        <v>1742</v>
      </c>
    </row>
    <row r="5145" ht="15.75" customHeight="1">
      <c r="A5145" s="4" t="s">
        <v>5937</v>
      </c>
      <c r="B5145" s="4" t="s">
        <v>13</v>
      </c>
      <c r="I5145" s="4">
        <v>0.8413</v>
      </c>
      <c r="J5145" s="4">
        <v>0.0437</v>
      </c>
      <c r="K5145" s="6" t="b">
        <f t="shared" si="4926"/>
        <v>0</v>
      </c>
      <c r="L5145" s="6" t="b">
        <f t="shared" ref="L5145:L5151" si="4928">FALSE()</f>
        <v>0</v>
      </c>
      <c r="M5145" s="6" t="b">
        <f>TRUE()</f>
        <v>1</v>
      </c>
      <c r="P5145" s="4">
        <v>0.610471843891037</v>
      </c>
      <c r="T5145" s="4" t="str">
        <f t="shared" si="3"/>
        <v/>
      </c>
      <c r="U5145" s="4">
        <f t="shared" si="4"/>
        <v>809</v>
      </c>
    </row>
    <row r="5146" ht="15.75" customHeight="1">
      <c r="A5146" s="4" t="s">
        <v>5939</v>
      </c>
      <c r="B5146" s="4" t="s">
        <v>13</v>
      </c>
      <c r="I5146" s="4">
        <v>0.4202</v>
      </c>
      <c r="J5146" s="4">
        <v>0.0285</v>
      </c>
      <c r="K5146" s="6" t="b">
        <f t="shared" si="4926"/>
        <v>0</v>
      </c>
      <c r="L5146" s="6" t="b">
        <f t="shared" si="4928"/>
        <v>0</v>
      </c>
      <c r="M5146" s="6" t="b">
        <f t="shared" ref="M5146:M5149" si="4929">FALSE()</f>
        <v>0</v>
      </c>
      <c r="P5146" s="4">
        <v>0.350797706765856</v>
      </c>
      <c r="T5146" s="4" t="str">
        <f t="shared" si="3"/>
        <v/>
      </c>
      <c r="U5146" s="4">
        <f t="shared" si="4"/>
        <v>1092</v>
      </c>
    </row>
    <row r="5147" ht="15.75" customHeight="1">
      <c r="A5147" s="4" t="s">
        <v>1167</v>
      </c>
      <c r="B5147" s="4" t="s">
        <v>13</v>
      </c>
      <c r="C5147" s="4">
        <v>0.0604</v>
      </c>
      <c r="D5147" s="4">
        <v>0.0132</v>
      </c>
      <c r="E5147" s="4">
        <v>0.0132</v>
      </c>
      <c r="I5147" s="4">
        <v>0.554</v>
      </c>
      <c r="J5147" s="4">
        <v>0.0678</v>
      </c>
      <c r="K5147" s="6" t="b">
        <f t="shared" si="4926"/>
        <v>0</v>
      </c>
      <c r="L5147" s="6" t="b">
        <f t="shared" si="4928"/>
        <v>0</v>
      </c>
      <c r="M5147" s="6" t="b">
        <f t="shared" si="4929"/>
        <v>0</v>
      </c>
      <c r="N5147" s="4">
        <v>0.0586461954327334</v>
      </c>
      <c r="P5147" s="4">
        <v>0.440832251945456</v>
      </c>
      <c r="T5147" s="4">
        <f t="shared" si="3"/>
        <v>1354</v>
      </c>
      <c r="U5147" s="4">
        <f t="shared" si="4"/>
        <v>970</v>
      </c>
    </row>
    <row r="5148" ht="15.75" customHeight="1">
      <c r="A5148" s="4" t="s">
        <v>1169</v>
      </c>
      <c r="B5148" s="4" t="s">
        <v>13</v>
      </c>
      <c r="C5148" s="4">
        <v>0.0208</v>
      </c>
      <c r="D5148" s="4">
        <v>0.0047</v>
      </c>
      <c r="E5148" s="4">
        <v>0.0035</v>
      </c>
      <c r="I5148" s="4">
        <v>0.3131</v>
      </c>
      <c r="J5148" s="4">
        <v>0.0196</v>
      </c>
      <c r="K5148" s="6" t="b">
        <f t="shared" si="4926"/>
        <v>0</v>
      </c>
      <c r="L5148" s="6" t="b">
        <f t="shared" si="4928"/>
        <v>0</v>
      </c>
      <c r="M5148" s="6" t="b">
        <f t="shared" si="4929"/>
        <v>0</v>
      </c>
      <c r="N5148" s="4">
        <v>0.0205866336083883</v>
      </c>
      <c r="P5148" s="4">
        <v>0.272390753882822</v>
      </c>
      <c r="T5148" s="4">
        <f t="shared" si="3"/>
        <v>1713</v>
      </c>
      <c r="U5148" s="4">
        <f t="shared" si="4"/>
        <v>1327</v>
      </c>
    </row>
    <row r="5149" ht="15.75" customHeight="1">
      <c r="A5149" s="4" t="s">
        <v>1170</v>
      </c>
      <c r="B5149" s="4" t="s">
        <v>13</v>
      </c>
      <c r="C5149" s="4">
        <v>0.0227</v>
      </c>
      <c r="D5149" s="4">
        <v>0.0035</v>
      </c>
      <c r="E5149" s="4">
        <v>0.0035</v>
      </c>
      <c r="I5149" s="4">
        <v>0.5023</v>
      </c>
      <c r="J5149" s="4">
        <v>0.0259</v>
      </c>
      <c r="K5149" s="6" t="b">
        <f t="shared" si="4926"/>
        <v>0</v>
      </c>
      <c r="L5149" s="6" t="b">
        <f t="shared" si="4928"/>
        <v>0</v>
      </c>
      <c r="M5149" s="6" t="b">
        <f t="shared" si="4929"/>
        <v>0</v>
      </c>
      <c r="N5149" s="4">
        <v>0.02244618882983</v>
      </c>
      <c r="P5149" s="4">
        <v>0.406997267086241</v>
      </c>
      <c r="T5149" s="4">
        <f t="shared" si="3"/>
        <v>1676</v>
      </c>
      <c r="U5149" s="4">
        <f t="shared" si="4"/>
        <v>1013</v>
      </c>
    </row>
    <row r="5150" ht="15.75" customHeight="1">
      <c r="A5150" s="4" t="s">
        <v>1171</v>
      </c>
      <c r="B5150" s="4" t="s">
        <v>13</v>
      </c>
      <c r="C5150" s="4">
        <v>3.2</v>
      </c>
      <c r="D5150" s="4">
        <v>0.11</v>
      </c>
      <c r="E5150" s="4">
        <v>0.11</v>
      </c>
      <c r="I5150" s="4">
        <v>1.188</v>
      </c>
      <c r="J5150" s="4">
        <v>0.03</v>
      </c>
      <c r="K5150" s="6" t="b">
        <f t="shared" si="4926"/>
        <v>0</v>
      </c>
      <c r="L5150" s="6" t="b">
        <f t="shared" si="4928"/>
        <v>0</v>
      </c>
      <c r="M5150" s="6" t="b">
        <f t="shared" ref="M5150:M5151" si="4930">TRUE()</f>
        <v>1</v>
      </c>
      <c r="N5150" s="4">
        <v>1.43508452528932</v>
      </c>
      <c r="P5150" s="4">
        <v>0.782987884559735</v>
      </c>
      <c r="T5150" s="4">
        <f t="shared" si="3"/>
        <v>309</v>
      </c>
      <c r="U5150" s="4">
        <f t="shared" si="4"/>
        <v>405</v>
      </c>
    </row>
    <row r="5151" ht="15.75" customHeight="1">
      <c r="A5151" s="4" t="s">
        <v>167</v>
      </c>
      <c r="B5151" s="4" t="s">
        <v>13</v>
      </c>
      <c r="C5151" s="4">
        <v>12.74</v>
      </c>
      <c r="D5151" s="4">
        <v>1.0</v>
      </c>
      <c r="E5151" s="4">
        <v>1.0</v>
      </c>
      <c r="I5151" s="4">
        <v>1.026</v>
      </c>
      <c r="J5151" s="4">
        <v>0.067</v>
      </c>
      <c r="K5151" s="6" t="b">
        <f>TRUE()</f>
        <v>1</v>
      </c>
      <c r="L5151" s="6" t="b">
        <f t="shared" si="4928"/>
        <v>0</v>
      </c>
      <c r="M5151" s="6" t="b">
        <f t="shared" si="4930"/>
        <v>1</v>
      </c>
      <c r="N5151" s="4">
        <v>2.6203112867942</v>
      </c>
      <c r="P5151" s="4">
        <v>0.706063405826492</v>
      </c>
      <c r="T5151" s="4">
        <f t="shared" si="3"/>
        <v>6</v>
      </c>
      <c r="U5151" s="4">
        <f t="shared" si="4"/>
        <v>635</v>
      </c>
    </row>
    <row r="5152" ht="15.75" customHeight="1">
      <c r="A5152" s="4" t="s">
        <v>5940</v>
      </c>
      <c r="B5152" s="4" t="s">
        <v>13</v>
      </c>
      <c r="I5152" s="4">
        <v>0.4488</v>
      </c>
      <c r="J5152" s="4">
        <v>0.0187</v>
      </c>
      <c r="K5152" s="6" t="b">
        <f t="shared" ref="K5152:M5152" si="4931">FALSE()</f>
        <v>0</v>
      </c>
      <c r="L5152" s="6" t="b">
        <f t="shared" si="4931"/>
        <v>0</v>
      </c>
      <c r="M5152" s="6" t="b">
        <f t="shared" si="4931"/>
        <v>0</v>
      </c>
      <c r="P5152" s="4">
        <v>0.370735627587067</v>
      </c>
      <c r="T5152" s="4" t="str">
        <f t="shared" si="3"/>
        <v/>
      </c>
      <c r="U5152" s="4">
        <f t="shared" si="4"/>
        <v>1061</v>
      </c>
    </row>
    <row r="5153" ht="15.75" customHeight="1">
      <c r="A5153" s="4" t="s">
        <v>1172</v>
      </c>
      <c r="B5153" s="4" t="s">
        <v>13</v>
      </c>
      <c r="C5153" s="4">
        <v>0.01271</v>
      </c>
      <c r="D5153" s="4">
        <v>0.00186</v>
      </c>
      <c r="E5153" s="4">
        <v>0.00186</v>
      </c>
      <c r="I5153" s="4">
        <v>0.1294</v>
      </c>
      <c r="J5153" s="4">
        <v>0.0045</v>
      </c>
      <c r="K5153" s="6" t="b">
        <f t="shared" ref="K5153:M5153" si="4932">FALSE()</f>
        <v>0</v>
      </c>
      <c r="L5153" s="6" t="b">
        <f t="shared" si="4932"/>
        <v>0</v>
      </c>
      <c r="M5153" s="6" t="b">
        <f t="shared" si="4932"/>
        <v>0</v>
      </c>
      <c r="N5153" s="4">
        <v>0.0126299059000218</v>
      </c>
      <c r="P5153" s="4">
        <v>0.121686518256599</v>
      </c>
      <c r="T5153" s="4">
        <f t="shared" si="3"/>
        <v>1880</v>
      </c>
      <c r="U5153" s="4">
        <f t="shared" si="4"/>
        <v>3701</v>
      </c>
    </row>
    <row r="5154" ht="15.75" customHeight="1">
      <c r="A5154" s="4" t="s">
        <v>1173</v>
      </c>
      <c r="B5154" s="4" t="s">
        <v>13</v>
      </c>
      <c r="C5154" s="4">
        <v>0.0532</v>
      </c>
      <c r="D5154" s="4">
        <v>0.0053</v>
      </c>
      <c r="E5154" s="4">
        <v>0.0053</v>
      </c>
      <c r="I5154" s="4">
        <v>0.256</v>
      </c>
      <c r="J5154" s="4">
        <v>0.0259</v>
      </c>
      <c r="K5154" s="6" t="b">
        <f t="shared" ref="K5154:M5154" si="4933">FALSE()</f>
        <v>0</v>
      </c>
      <c r="L5154" s="6" t="b">
        <f t="shared" si="4933"/>
        <v>0</v>
      </c>
      <c r="M5154" s="6" t="b">
        <f t="shared" si="4933"/>
        <v>0</v>
      </c>
      <c r="N5154" s="4">
        <v>0.0518331486400172</v>
      </c>
      <c r="P5154" s="4">
        <v>0.227932068046007</v>
      </c>
      <c r="T5154" s="4">
        <f t="shared" si="3"/>
        <v>1384</v>
      </c>
      <c r="U5154" s="4">
        <f t="shared" si="4"/>
        <v>1737</v>
      </c>
    </row>
    <row r="5155" ht="15.75" customHeight="1">
      <c r="A5155" s="4" t="s">
        <v>1174</v>
      </c>
      <c r="B5155" s="4" t="s">
        <v>13</v>
      </c>
      <c r="C5155" s="4">
        <v>0.032</v>
      </c>
      <c r="D5155" s="4">
        <v>0.00271</v>
      </c>
      <c r="E5155" s="4">
        <v>0.00258</v>
      </c>
      <c r="I5155" s="4">
        <v>0.20198</v>
      </c>
      <c r="J5155" s="4">
        <v>0.00812</v>
      </c>
      <c r="K5155" s="6" t="b">
        <f t="shared" ref="K5155:M5155" si="4934">FALSE()</f>
        <v>0</v>
      </c>
      <c r="L5155" s="6" t="b">
        <f t="shared" si="4934"/>
        <v>0</v>
      </c>
      <c r="M5155" s="6" t="b">
        <f t="shared" si="4934"/>
        <v>0</v>
      </c>
      <c r="N5155" s="4">
        <v>0.0314986670593709</v>
      </c>
      <c r="P5155" s="4">
        <v>0.183970197039479</v>
      </c>
      <c r="T5155" s="4">
        <f t="shared" si="3"/>
        <v>1527</v>
      </c>
      <c r="U5155" s="4">
        <f t="shared" si="4"/>
        <v>2559</v>
      </c>
    </row>
    <row r="5156" ht="15.75" customHeight="1">
      <c r="A5156" s="4" t="s">
        <v>5941</v>
      </c>
      <c r="B5156" s="4" t="s">
        <v>13</v>
      </c>
      <c r="D5156" s="4">
        <v>0.005</v>
      </c>
      <c r="E5156" s="4">
        <v>0.005</v>
      </c>
      <c r="F5156" s="4">
        <v>0.0236</v>
      </c>
      <c r="G5156" s="4">
        <v>0.005</v>
      </c>
      <c r="H5156" s="4">
        <v>0.005</v>
      </c>
      <c r="K5156" s="6" t="b">
        <f t="shared" ref="K5156:M5156" si="4935">FALSE()</f>
        <v>0</v>
      </c>
      <c r="L5156" s="6" t="b">
        <f t="shared" si="4935"/>
        <v>0</v>
      </c>
      <c r="M5156" s="6" t="b">
        <f t="shared" si="4935"/>
        <v>0</v>
      </c>
      <c r="O5156" s="4">
        <v>0.0233258253034966</v>
      </c>
      <c r="T5156" s="4" t="str">
        <f t="shared" si="3"/>
        <v/>
      </c>
      <c r="U5156" s="4" t="str">
        <f t="shared" si="4"/>
        <v/>
      </c>
    </row>
    <row r="5157" ht="15.75" customHeight="1">
      <c r="A5157" s="4" t="s">
        <v>1175</v>
      </c>
      <c r="B5157" s="4" t="s">
        <v>13</v>
      </c>
      <c r="C5157" s="4">
        <v>0.0425</v>
      </c>
      <c r="D5157" s="4">
        <v>0.0057</v>
      </c>
      <c r="E5157" s="4">
        <v>0.0057</v>
      </c>
      <c r="I5157" s="4">
        <v>0.2308</v>
      </c>
      <c r="J5157" s="4">
        <v>0.00384</v>
      </c>
      <c r="K5157" s="6" t="b">
        <f t="shared" ref="K5157:M5157" si="4936">FALSE()</f>
        <v>0</v>
      </c>
      <c r="L5157" s="6" t="b">
        <f t="shared" si="4936"/>
        <v>0</v>
      </c>
      <c r="M5157" s="6" t="b">
        <f t="shared" si="4936"/>
        <v>0</v>
      </c>
      <c r="N5157" s="4">
        <v>0.0416216746908194</v>
      </c>
      <c r="P5157" s="4">
        <v>0.20766436446575</v>
      </c>
      <c r="T5157" s="4">
        <f t="shared" si="3"/>
        <v>1442</v>
      </c>
      <c r="U5157" s="4">
        <f t="shared" si="4"/>
        <v>2102</v>
      </c>
    </row>
    <row r="5158" ht="15.75" customHeight="1">
      <c r="A5158" s="4" t="s">
        <v>1176</v>
      </c>
      <c r="B5158" s="4" t="s">
        <v>13</v>
      </c>
      <c r="C5158" s="4">
        <v>0.0079</v>
      </c>
      <c r="D5158" s="4">
        <v>0.006</v>
      </c>
      <c r="E5158" s="4">
        <v>0.0057</v>
      </c>
      <c r="I5158" s="4">
        <v>0.23651</v>
      </c>
      <c r="J5158" s="4">
        <v>0.00384</v>
      </c>
      <c r="K5158" s="6" t="b">
        <f t="shared" ref="K5158:M5158" si="4937">FALSE()</f>
        <v>0</v>
      </c>
      <c r="L5158" s="6" t="b">
        <f t="shared" si="4937"/>
        <v>0</v>
      </c>
      <c r="M5158" s="6" t="b">
        <f t="shared" si="4937"/>
        <v>0</v>
      </c>
      <c r="N5158" s="4">
        <v>0.0078689583786951</v>
      </c>
      <c r="P5158" s="4">
        <v>0.212292895289939</v>
      </c>
      <c r="T5158" s="4">
        <f t="shared" si="3"/>
        <v>1973</v>
      </c>
      <c r="U5158" s="4">
        <f t="shared" si="4"/>
        <v>2003</v>
      </c>
    </row>
    <row r="5159" ht="15.75" customHeight="1">
      <c r="A5159" s="4" t="s">
        <v>1178</v>
      </c>
      <c r="B5159" s="4" t="s">
        <v>13</v>
      </c>
      <c r="C5159" s="4">
        <v>0.03131</v>
      </c>
      <c r="D5159" s="4">
        <v>0.0041</v>
      </c>
      <c r="E5159" s="4">
        <v>0.00428</v>
      </c>
      <c r="I5159" s="4">
        <v>0.15978</v>
      </c>
      <c r="J5159" s="4">
        <v>0.0071</v>
      </c>
      <c r="K5159" s="6" t="b">
        <f t="shared" ref="K5159:M5159" si="4938">FALSE()</f>
        <v>0</v>
      </c>
      <c r="L5159" s="6" t="b">
        <f t="shared" si="4938"/>
        <v>0</v>
      </c>
      <c r="M5159" s="6" t="b">
        <f t="shared" si="4938"/>
        <v>0</v>
      </c>
      <c r="N5159" s="4">
        <v>0.0308298387924391</v>
      </c>
      <c r="P5159" s="4">
        <v>0.148230331959043</v>
      </c>
      <c r="T5159" s="4">
        <f t="shared" si="3"/>
        <v>1530</v>
      </c>
      <c r="U5159" s="4">
        <f t="shared" si="4"/>
        <v>3184</v>
      </c>
    </row>
    <row r="5160" ht="15.75" customHeight="1">
      <c r="A5160" s="4" t="s">
        <v>5942</v>
      </c>
      <c r="B5160" s="4" t="s">
        <v>13</v>
      </c>
      <c r="I5160" s="4">
        <v>0.25765</v>
      </c>
      <c r="J5160" s="4">
        <v>0.01133</v>
      </c>
      <c r="K5160" s="6" t="b">
        <f t="shared" ref="K5160:M5160" si="4939">FALSE()</f>
        <v>0</v>
      </c>
      <c r="L5160" s="6" t="b">
        <f t="shared" si="4939"/>
        <v>0</v>
      </c>
      <c r="M5160" s="6" t="b">
        <f t="shared" si="4939"/>
        <v>0</v>
      </c>
      <c r="P5160" s="4">
        <v>0.229244900172186</v>
      </c>
      <c r="T5160" s="4" t="str">
        <f t="shared" si="3"/>
        <v/>
      </c>
      <c r="U5160" s="4">
        <f t="shared" si="4"/>
        <v>1712</v>
      </c>
    </row>
    <row r="5161" ht="15.75" customHeight="1">
      <c r="A5161" s="4" t="s">
        <v>5943</v>
      </c>
      <c r="B5161" s="4" t="s">
        <v>13</v>
      </c>
      <c r="I5161" s="4">
        <v>0.2311</v>
      </c>
      <c r="J5161" s="4">
        <v>0.01561</v>
      </c>
      <c r="K5161" s="6" t="b">
        <f t="shared" ref="K5161:M5161" si="4940">FALSE()</f>
        <v>0</v>
      </c>
      <c r="L5161" s="6" t="b">
        <f t="shared" si="4940"/>
        <v>0</v>
      </c>
      <c r="M5161" s="6" t="b">
        <f t="shared" si="4940"/>
        <v>0</v>
      </c>
      <c r="P5161" s="4">
        <v>0.207908078671432</v>
      </c>
      <c r="T5161" s="4" t="str">
        <f t="shared" si="3"/>
        <v/>
      </c>
      <c r="U5161" s="4">
        <f t="shared" si="4"/>
        <v>2093</v>
      </c>
    </row>
    <row r="5162" ht="15.75" customHeight="1">
      <c r="A5162" s="4" t="s">
        <v>5944</v>
      </c>
      <c r="B5162" s="4" t="s">
        <v>13</v>
      </c>
      <c r="I5162" s="4">
        <v>0.285</v>
      </c>
      <c r="J5162" s="4">
        <v>0.009</v>
      </c>
      <c r="K5162" s="6" t="b">
        <f t="shared" ref="K5162:M5162" si="4941">FALSE()</f>
        <v>0</v>
      </c>
      <c r="L5162" s="6" t="b">
        <f t="shared" si="4941"/>
        <v>0</v>
      </c>
      <c r="M5162" s="6" t="b">
        <f t="shared" si="4941"/>
        <v>0</v>
      </c>
      <c r="P5162" s="4">
        <v>0.250758718347183</v>
      </c>
      <c r="T5162" s="4" t="str">
        <f t="shared" si="3"/>
        <v/>
      </c>
      <c r="U5162" s="4">
        <f t="shared" si="4"/>
        <v>1472</v>
      </c>
    </row>
    <row r="5163" ht="15.75" customHeight="1">
      <c r="A5163" s="4" t="s">
        <v>1179</v>
      </c>
      <c r="B5163" s="4" t="s">
        <v>13</v>
      </c>
      <c r="C5163" s="4">
        <v>3.35</v>
      </c>
      <c r="D5163" s="4">
        <v>0.18</v>
      </c>
      <c r="E5163" s="4">
        <v>0.18</v>
      </c>
      <c r="I5163" s="4">
        <v>1.3</v>
      </c>
      <c r="J5163" s="4">
        <v>0.05</v>
      </c>
      <c r="K5163" s="6" t="b">
        <f t="shared" ref="K5163:L5163" si="4942">FALSE()</f>
        <v>0</v>
      </c>
      <c r="L5163" s="6" t="b">
        <f t="shared" si="4942"/>
        <v>0</v>
      </c>
      <c r="M5163" s="6" t="b">
        <f>TRUE()</f>
        <v>1</v>
      </c>
      <c r="N5163" s="4">
        <v>1.47017584510059</v>
      </c>
      <c r="P5163" s="4">
        <v>0.832909122935104</v>
      </c>
      <c r="T5163" s="4">
        <f t="shared" si="3"/>
        <v>299</v>
      </c>
      <c r="U5163" s="4">
        <f t="shared" si="4"/>
        <v>257</v>
      </c>
    </row>
    <row r="5164" ht="15.75" customHeight="1">
      <c r="A5164" s="4" t="s">
        <v>1180</v>
      </c>
      <c r="B5164" s="4" t="s">
        <v>13</v>
      </c>
      <c r="C5164" s="4">
        <v>0.028</v>
      </c>
      <c r="D5164" s="4">
        <v>0.00302</v>
      </c>
      <c r="E5164" s="4">
        <v>0.00299</v>
      </c>
      <c r="I5164" s="4">
        <v>0.2195</v>
      </c>
      <c r="J5164" s="4">
        <v>0.0107</v>
      </c>
      <c r="K5164" s="6" t="b">
        <f t="shared" ref="K5164:M5164" si="4943">FALSE()</f>
        <v>0</v>
      </c>
      <c r="L5164" s="6" t="b">
        <f t="shared" si="4943"/>
        <v>0</v>
      </c>
      <c r="M5164" s="6" t="b">
        <f t="shared" si="4943"/>
        <v>0</v>
      </c>
      <c r="N5164" s="4">
        <v>0.0276151670329733</v>
      </c>
      <c r="P5164" s="4">
        <v>0.198440938673838</v>
      </c>
      <c r="T5164" s="4">
        <f t="shared" si="3"/>
        <v>1587</v>
      </c>
      <c r="U5164" s="4">
        <f t="shared" si="4"/>
        <v>2271</v>
      </c>
    </row>
    <row r="5165" ht="15.75" customHeight="1">
      <c r="A5165" s="4" t="s">
        <v>5945</v>
      </c>
      <c r="B5165" s="4" t="s">
        <v>13</v>
      </c>
      <c r="D5165" s="4">
        <v>0.00381</v>
      </c>
      <c r="E5165" s="4">
        <v>0.00374</v>
      </c>
      <c r="F5165" s="4">
        <v>0.02762</v>
      </c>
      <c r="G5165" s="4">
        <v>0.00381</v>
      </c>
      <c r="H5165" s="4">
        <v>0.00374</v>
      </c>
      <c r="K5165" s="6" t="b">
        <f t="shared" ref="K5165:M5165" si="4944">FALSE()</f>
        <v>0</v>
      </c>
      <c r="L5165" s="6" t="b">
        <f t="shared" si="4944"/>
        <v>0</v>
      </c>
      <c r="M5165" s="6" t="b">
        <f t="shared" si="4944"/>
        <v>0</v>
      </c>
      <c r="O5165" s="4">
        <v>0.0272454488901954</v>
      </c>
      <c r="T5165" s="4" t="str">
        <f t="shared" si="3"/>
        <v/>
      </c>
      <c r="U5165" s="4" t="str">
        <f t="shared" si="4"/>
        <v/>
      </c>
    </row>
    <row r="5166" ht="15.75" customHeight="1">
      <c r="A5166" s="4" t="s">
        <v>5946</v>
      </c>
      <c r="B5166" s="4" t="s">
        <v>13</v>
      </c>
      <c r="D5166" s="4">
        <v>0.0079</v>
      </c>
      <c r="E5166" s="4">
        <v>0.0079</v>
      </c>
      <c r="F5166" s="4">
        <v>0.0368</v>
      </c>
      <c r="G5166" s="4">
        <v>0.0079</v>
      </c>
      <c r="H5166" s="4">
        <v>0.0079</v>
      </c>
      <c r="K5166" s="6" t="b">
        <f t="shared" ref="K5166:M5166" si="4945">FALSE()</f>
        <v>0</v>
      </c>
      <c r="L5166" s="6" t="b">
        <f t="shared" si="4945"/>
        <v>0</v>
      </c>
      <c r="M5166" s="6" t="b">
        <f t="shared" si="4945"/>
        <v>0</v>
      </c>
      <c r="O5166" s="4">
        <v>0.0361390466158731</v>
      </c>
      <c r="T5166" s="4" t="str">
        <f t="shared" si="3"/>
        <v/>
      </c>
      <c r="U5166" s="4" t="str">
        <f t="shared" si="4"/>
        <v/>
      </c>
    </row>
    <row r="5167" ht="15.75" customHeight="1">
      <c r="A5167" s="4" t="s">
        <v>1181</v>
      </c>
      <c r="B5167" s="4" t="s">
        <v>13</v>
      </c>
      <c r="C5167" s="4">
        <v>0.0623</v>
      </c>
      <c r="D5167" s="4">
        <v>9.0E-4</v>
      </c>
      <c r="E5167" s="4">
        <v>9.0E-4</v>
      </c>
      <c r="I5167" s="4">
        <v>0.3265</v>
      </c>
      <c r="J5167" s="4">
        <v>0.0036</v>
      </c>
      <c r="K5167" s="6" t="b">
        <f t="shared" ref="K5167:M5167" si="4946">FALSE()</f>
        <v>0</v>
      </c>
      <c r="L5167" s="6" t="b">
        <f t="shared" si="4946"/>
        <v>0</v>
      </c>
      <c r="M5167" s="6" t="b">
        <f t="shared" si="4946"/>
        <v>0</v>
      </c>
      <c r="N5167" s="4">
        <v>0.0604363688038306</v>
      </c>
      <c r="P5167" s="4">
        <v>0.282543894595657</v>
      </c>
      <c r="T5167" s="4">
        <f t="shared" si="3"/>
        <v>1351</v>
      </c>
      <c r="U5167" s="4">
        <f t="shared" si="4"/>
        <v>1272</v>
      </c>
    </row>
    <row r="5168" ht="15.75" customHeight="1">
      <c r="A5168" s="4" t="s">
        <v>1182</v>
      </c>
      <c r="B5168" s="4" t="s">
        <v>13</v>
      </c>
      <c r="C5168" s="4">
        <v>1.057</v>
      </c>
      <c r="D5168" s="4">
        <v>0.016</v>
      </c>
      <c r="E5168" s="4">
        <v>0.006</v>
      </c>
      <c r="I5168" s="4">
        <v>1.16</v>
      </c>
      <c r="J5168" s="4">
        <v>0.036</v>
      </c>
      <c r="K5168" s="6" t="b">
        <f t="shared" ref="K5168:L5168" si="4947">FALSE()</f>
        <v>0</v>
      </c>
      <c r="L5168" s="6" t="b">
        <f t="shared" si="4947"/>
        <v>0</v>
      </c>
      <c r="M5168" s="6" t="b">
        <f t="shared" ref="M5168:M5169" si="4949">TRUE()</f>
        <v>1</v>
      </c>
      <c r="N5168" s="4">
        <v>0.72124861067082</v>
      </c>
      <c r="P5168" s="4">
        <v>0.770108221696074</v>
      </c>
      <c r="T5168" s="4">
        <f t="shared" si="3"/>
        <v>644</v>
      </c>
      <c r="U5168" s="4">
        <f t="shared" si="4"/>
        <v>441</v>
      </c>
    </row>
    <row r="5169" ht="15.75" customHeight="1">
      <c r="A5169" s="4" t="s">
        <v>1184</v>
      </c>
      <c r="B5169" s="4" t="s">
        <v>13</v>
      </c>
      <c r="C5169" s="4">
        <v>0.06428</v>
      </c>
      <c r="D5169" s="4">
        <v>0.031</v>
      </c>
      <c r="E5169" s="4">
        <v>0.031</v>
      </c>
      <c r="I5169" s="4">
        <v>0.8</v>
      </c>
      <c r="J5169" s="4">
        <v>0.018</v>
      </c>
      <c r="K5169" s="6" t="b">
        <f t="shared" ref="K5169:L5169" si="4948">FALSE()</f>
        <v>0</v>
      </c>
      <c r="L5169" s="6" t="b">
        <f t="shared" si="4948"/>
        <v>0</v>
      </c>
      <c r="M5169" s="6" t="b">
        <f t="shared" si="4949"/>
        <v>1</v>
      </c>
      <c r="N5169" s="4">
        <v>0.0622985141942242</v>
      </c>
      <c r="P5169" s="4">
        <v>0.587786664902119</v>
      </c>
      <c r="T5169" s="4">
        <f t="shared" si="3"/>
        <v>1342</v>
      </c>
      <c r="U5169" s="4">
        <f t="shared" si="4"/>
        <v>840</v>
      </c>
    </row>
    <row r="5170" ht="15.75" customHeight="1">
      <c r="A5170" s="4" t="s">
        <v>1185</v>
      </c>
      <c r="B5170" s="4" t="s">
        <v>13</v>
      </c>
      <c r="C5170" s="4">
        <v>0.011</v>
      </c>
      <c r="D5170" s="4">
        <v>0.0025</v>
      </c>
      <c r="E5170" s="4">
        <v>0.0025</v>
      </c>
      <c r="I5170" s="4">
        <v>0.17</v>
      </c>
      <c r="J5170" s="4">
        <v>0.0134</v>
      </c>
      <c r="K5170" s="6" t="b">
        <f t="shared" ref="K5170:M5170" si="4950">FALSE()</f>
        <v>0</v>
      </c>
      <c r="L5170" s="6" t="b">
        <f t="shared" si="4950"/>
        <v>0</v>
      </c>
      <c r="M5170" s="6" t="b">
        <f t="shared" si="4950"/>
        <v>0</v>
      </c>
      <c r="N5170" s="4">
        <v>0.0109399400383343</v>
      </c>
      <c r="P5170" s="4">
        <v>0.157003748809665</v>
      </c>
      <c r="T5170" s="4">
        <f t="shared" si="3"/>
        <v>1921</v>
      </c>
      <c r="U5170" s="4">
        <f t="shared" si="4"/>
        <v>3058</v>
      </c>
    </row>
    <row r="5171" ht="15.75" customHeight="1">
      <c r="A5171" s="4" t="s">
        <v>1186</v>
      </c>
      <c r="B5171" s="4" t="s">
        <v>13</v>
      </c>
      <c r="C5171" s="4">
        <v>0.01988</v>
      </c>
      <c r="D5171" s="4">
        <v>0.0041</v>
      </c>
      <c r="E5171" s="4">
        <v>0.0035</v>
      </c>
      <c r="I5171" s="4">
        <v>0.25685</v>
      </c>
      <c r="J5171" s="4">
        <v>0.00553</v>
      </c>
      <c r="K5171" s="6" t="b">
        <f t="shared" ref="K5171:M5171" si="4951">FALSE()</f>
        <v>0</v>
      </c>
      <c r="L5171" s="6" t="b">
        <f t="shared" si="4951"/>
        <v>0</v>
      </c>
      <c r="M5171" s="6" t="b">
        <f t="shared" si="4951"/>
        <v>0</v>
      </c>
      <c r="N5171" s="4">
        <v>0.0196849733163981</v>
      </c>
      <c r="P5171" s="4">
        <v>0.228608590745268</v>
      </c>
      <c r="T5171" s="4">
        <f t="shared" si="3"/>
        <v>1736</v>
      </c>
      <c r="U5171" s="4">
        <f t="shared" si="4"/>
        <v>1724</v>
      </c>
    </row>
    <row r="5172" ht="15.75" customHeight="1">
      <c r="A5172" s="4" t="s">
        <v>1187</v>
      </c>
      <c r="B5172" s="4" t="s">
        <v>13</v>
      </c>
      <c r="C5172" s="4">
        <v>0.02627</v>
      </c>
      <c r="D5172" s="4">
        <v>0.005</v>
      </c>
      <c r="E5172" s="4">
        <v>0.0057</v>
      </c>
      <c r="I5172" s="4">
        <v>0.4128</v>
      </c>
      <c r="J5172" s="4">
        <v>0.00642</v>
      </c>
      <c r="K5172" s="6" t="b">
        <f t="shared" ref="K5172:M5172" si="4952">FALSE()</f>
        <v>0</v>
      </c>
      <c r="L5172" s="6" t="b">
        <f t="shared" si="4952"/>
        <v>0</v>
      </c>
      <c r="M5172" s="6" t="b">
        <f t="shared" si="4952"/>
        <v>0</v>
      </c>
      <c r="N5172" s="4">
        <v>0.0259308700233494</v>
      </c>
      <c r="P5172" s="4">
        <v>0.345573550867559</v>
      </c>
      <c r="T5172" s="4">
        <f t="shared" si="3"/>
        <v>1615</v>
      </c>
      <c r="U5172" s="4">
        <f t="shared" si="4"/>
        <v>1104</v>
      </c>
    </row>
    <row r="5173" ht="15.75" customHeight="1">
      <c r="A5173" s="4" t="s">
        <v>1188</v>
      </c>
      <c r="B5173" s="4" t="s">
        <v>13</v>
      </c>
      <c r="C5173" s="4">
        <v>0.0191</v>
      </c>
      <c r="D5173" s="4">
        <v>0.0035</v>
      </c>
      <c r="E5173" s="4">
        <v>0.0035</v>
      </c>
      <c r="I5173" s="4">
        <v>0.23544</v>
      </c>
      <c r="J5173" s="4">
        <v>0.00785</v>
      </c>
      <c r="K5173" s="6" t="b">
        <f t="shared" ref="K5173:M5173" si="4953">FALSE()</f>
        <v>0</v>
      </c>
      <c r="L5173" s="6" t="b">
        <f t="shared" si="4953"/>
        <v>0</v>
      </c>
      <c r="M5173" s="6" t="b">
        <f t="shared" si="4953"/>
        <v>0</v>
      </c>
      <c r="N5173" s="4">
        <v>0.0189198848525108</v>
      </c>
      <c r="P5173" s="4">
        <v>0.211427181932608</v>
      </c>
      <c r="T5173" s="4">
        <f t="shared" si="3"/>
        <v>1749</v>
      </c>
      <c r="U5173" s="4">
        <f t="shared" si="4"/>
        <v>2025</v>
      </c>
    </row>
    <row r="5174" ht="15.75" customHeight="1">
      <c r="A5174" s="4" t="s">
        <v>1189</v>
      </c>
      <c r="B5174" s="4" t="s">
        <v>13</v>
      </c>
      <c r="C5174" s="4">
        <v>0.02586</v>
      </c>
      <c r="D5174" s="4">
        <v>0.0076</v>
      </c>
      <c r="E5174" s="4">
        <v>0.0088</v>
      </c>
      <c r="I5174" s="4">
        <v>0.3462</v>
      </c>
      <c r="J5174" s="4">
        <v>0.0098</v>
      </c>
      <c r="K5174" s="6" t="b">
        <f t="shared" ref="K5174:M5174" si="4954">FALSE()</f>
        <v>0</v>
      </c>
      <c r="L5174" s="6" t="b">
        <f t="shared" si="4954"/>
        <v>0</v>
      </c>
      <c r="M5174" s="6" t="b">
        <f t="shared" si="4954"/>
        <v>0</v>
      </c>
      <c r="N5174" s="4">
        <v>0.0255312851964082</v>
      </c>
      <c r="P5174" s="4">
        <v>0.297285808594476</v>
      </c>
      <c r="T5174" s="4">
        <f t="shared" si="3"/>
        <v>1623</v>
      </c>
      <c r="U5174" s="4">
        <f t="shared" si="4"/>
        <v>1220</v>
      </c>
    </row>
    <row r="5175" ht="15.75" customHeight="1">
      <c r="A5175" s="4" t="s">
        <v>1191</v>
      </c>
      <c r="B5175" s="4" t="s">
        <v>13</v>
      </c>
      <c r="C5175" s="4">
        <v>0.038</v>
      </c>
      <c r="D5175" s="4">
        <v>0.0164</v>
      </c>
      <c r="E5175" s="4">
        <v>0.0164</v>
      </c>
      <c r="I5175" s="4">
        <v>0.2257</v>
      </c>
      <c r="J5175" s="4">
        <v>0.0107</v>
      </c>
      <c r="K5175" s="6" t="b">
        <f t="shared" ref="K5175:M5175" si="4955">FALSE()</f>
        <v>0</v>
      </c>
      <c r="L5175" s="6" t="b">
        <f t="shared" si="4955"/>
        <v>0</v>
      </c>
      <c r="M5175" s="6" t="b">
        <f t="shared" si="4955"/>
        <v>0</v>
      </c>
      <c r="N5175" s="4">
        <v>0.0372957847436968</v>
      </c>
      <c r="P5175" s="4">
        <v>0.203512109364982</v>
      </c>
      <c r="T5175" s="4">
        <f t="shared" si="3"/>
        <v>1468</v>
      </c>
      <c r="U5175" s="4">
        <f t="shared" si="4"/>
        <v>2182</v>
      </c>
    </row>
    <row r="5176" ht="15.75" customHeight="1">
      <c r="A5176" s="4" t="s">
        <v>1192</v>
      </c>
      <c r="B5176" s="4" t="s">
        <v>13</v>
      </c>
      <c r="C5176" s="4">
        <v>0.0821</v>
      </c>
      <c r="D5176" s="4">
        <v>0.006</v>
      </c>
      <c r="E5176" s="4">
        <v>0.006</v>
      </c>
      <c r="I5176" s="4">
        <v>0.723</v>
      </c>
      <c r="J5176" s="4">
        <v>0.0152</v>
      </c>
      <c r="K5176" s="6" t="b">
        <f t="shared" ref="K5176:M5176" si="4956">FALSE()</f>
        <v>0</v>
      </c>
      <c r="L5176" s="6" t="b">
        <f t="shared" si="4956"/>
        <v>0</v>
      </c>
      <c r="M5176" s="6" t="b">
        <f t="shared" si="4956"/>
        <v>0</v>
      </c>
      <c r="N5176" s="4">
        <v>0.0789035975954659</v>
      </c>
      <c r="P5176" s="4">
        <v>0.544066957545793</v>
      </c>
      <c r="T5176" s="4">
        <f t="shared" si="3"/>
        <v>1292</v>
      </c>
      <c r="U5176" s="4">
        <f t="shared" si="4"/>
        <v>889</v>
      </c>
    </row>
    <row r="5177" ht="15.75" customHeight="1">
      <c r="A5177" s="4" t="s">
        <v>1193</v>
      </c>
      <c r="B5177" s="4" t="s">
        <v>13</v>
      </c>
      <c r="C5177" s="4">
        <v>0.101</v>
      </c>
      <c r="D5177" s="4">
        <v>0.101</v>
      </c>
      <c r="E5177" s="4">
        <v>0.0</v>
      </c>
      <c r="I5177" s="4">
        <v>0.2105</v>
      </c>
      <c r="J5177" s="4">
        <v>0.0152</v>
      </c>
      <c r="K5177" s="6" t="b">
        <f t="shared" ref="K5177:M5177" si="4957">FALSE()</f>
        <v>0</v>
      </c>
      <c r="L5177" s="6" t="b">
        <f t="shared" si="4957"/>
        <v>0</v>
      </c>
      <c r="M5177" s="6" t="b">
        <f t="shared" si="4957"/>
        <v>0</v>
      </c>
      <c r="N5177" s="4">
        <v>0.0962188577405429</v>
      </c>
      <c r="P5177" s="4">
        <v>0.191033497395976</v>
      </c>
      <c r="T5177" s="4">
        <f t="shared" si="3"/>
        <v>1259</v>
      </c>
      <c r="U5177" s="4">
        <f t="shared" si="4"/>
        <v>2411</v>
      </c>
    </row>
    <row r="5178" ht="15.75" customHeight="1">
      <c r="A5178" s="4" t="s">
        <v>5947</v>
      </c>
      <c r="B5178" s="4" t="s">
        <v>13</v>
      </c>
      <c r="C5178" s="4">
        <v>0.031</v>
      </c>
      <c r="D5178" s="4">
        <v>0.017</v>
      </c>
      <c r="E5178" s="4">
        <v>0.017</v>
      </c>
      <c r="K5178" s="6" t="b">
        <f t="shared" ref="K5178:M5178" si="4958">FALSE()</f>
        <v>0</v>
      </c>
      <c r="L5178" s="6" t="b">
        <f t="shared" si="4958"/>
        <v>0</v>
      </c>
      <c r="M5178" s="6" t="b">
        <f t="shared" si="4958"/>
        <v>0</v>
      </c>
      <c r="N5178" s="4">
        <v>0.0305292050348228</v>
      </c>
      <c r="T5178" s="4">
        <f t="shared" si="3"/>
        <v>1537</v>
      </c>
      <c r="U5178" s="4" t="str">
        <f t="shared" si="4"/>
        <v/>
      </c>
    </row>
    <row r="5179" ht="15.75" customHeight="1">
      <c r="A5179" s="4" t="s">
        <v>1194</v>
      </c>
      <c r="B5179" s="4" t="s">
        <v>13</v>
      </c>
      <c r="C5179" s="4">
        <v>1.18</v>
      </c>
      <c r="D5179" s="4">
        <v>0.14</v>
      </c>
      <c r="E5179" s="4">
        <v>0.14</v>
      </c>
      <c r="I5179" s="4">
        <v>1.3</v>
      </c>
      <c r="J5179" s="4">
        <v>0.08</v>
      </c>
      <c r="K5179" s="6" t="b">
        <f t="shared" ref="K5179:L5179" si="4959">FALSE()</f>
        <v>0</v>
      </c>
      <c r="L5179" s="6" t="b">
        <f t="shared" si="4959"/>
        <v>0</v>
      </c>
      <c r="M5179" s="6" t="b">
        <f>TRUE()</f>
        <v>1</v>
      </c>
      <c r="N5179" s="4">
        <v>0.779324876800998</v>
      </c>
      <c r="P5179" s="4">
        <v>0.832909122935104</v>
      </c>
      <c r="T5179" s="4">
        <f t="shared" si="3"/>
        <v>597</v>
      </c>
      <c r="U5179" s="4">
        <f t="shared" si="4"/>
        <v>258</v>
      </c>
    </row>
    <row r="5180" ht="15.75" customHeight="1">
      <c r="A5180" s="4" t="s">
        <v>1195</v>
      </c>
      <c r="B5180" s="4" t="s">
        <v>13</v>
      </c>
      <c r="C5180" s="4">
        <v>0.0214</v>
      </c>
      <c r="D5180" s="4">
        <v>0.0072</v>
      </c>
      <c r="E5180" s="4">
        <v>0.0072</v>
      </c>
      <c r="I5180" s="4">
        <v>0.215</v>
      </c>
      <c r="J5180" s="4">
        <v>0.0125</v>
      </c>
      <c r="K5180" s="6" t="b">
        <f t="shared" ref="K5180:M5180" si="4960">FALSE()</f>
        <v>0</v>
      </c>
      <c r="L5180" s="6" t="b">
        <f t="shared" si="4960"/>
        <v>0</v>
      </c>
      <c r="M5180" s="6" t="b">
        <f t="shared" si="4960"/>
        <v>0</v>
      </c>
      <c r="N5180" s="4">
        <v>0.0211742352314064</v>
      </c>
      <c r="P5180" s="4">
        <v>0.194744076792512</v>
      </c>
      <c r="T5180" s="4">
        <f t="shared" si="3"/>
        <v>1696</v>
      </c>
      <c r="U5180" s="4">
        <f t="shared" si="4"/>
        <v>2341</v>
      </c>
    </row>
    <row r="5181" ht="15.75" customHeight="1">
      <c r="A5181" s="4" t="s">
        <v>1196</v>
      </c>
      <c r="B5181" s="4" t="s">
        <v>13</v>
      </c>
      <c r="C5181" s="4">
        <v>0.456</v>
      </c>
      <c r="D5181" s="4">
        <v>0.05</v>
      </c>
      <c r="E5181" s="4">
        <v>0.055</v>
      </c>
      <c r="I5181" s="4">
        <v>0.767</v>
      </c>
      <c r="J5181" s="4">
        <v>0.04</v>
      </c>
      <c r="K5181" s="6" t="b">
        <f t="shared" ref="K5181:L5181" si="4961">FALSE()</f>
        <v>0</v>
      </c>
      <c r="L5181" s="6" t="b">
        <f t="shared" si="4961"/>
        <v>0</v>
      </c>
      <c r="M5181" s="6" t="b">
        <f t="shared" ref="M5181:M5182" si="4963">TRUE()</f>
        <v>1</v>
      </c>
      <c r="N5181" s="4">
        <v>0.375692949774494</v>
      </c>
      <c r="P5181" s="4">
        <v>0.569283193337559</v>
      </c>
      <c r="T5181" s="4">
        <f t="shared" si="3"/>
        <v>978</v>
      </c>
      <c r="U5181" s="4">
        <f t="shared" si="4"/>
        <v>863</v>
      </c>
    </row>
    <row r="5182" ht="15.75" customHeight="1">
      <c r="A5182" s="4" t="s">
        <v>1197</v>
      </c>
      <c r="B5182" s="4" t="s">
        <v>13</v>
      </c>
      <c r="C5182" s="4">
        <v>0.239</v>
      </c>
      <c r="D5182" s="4">
        <v>0.02</v>
      </c>
      <c r="E5182" s="4">
        <v>0.02</v>
      </c>
      <c r="I5182" s="4">
        <v>0.938</v>
      </c>
      <c r="J5182" s="4">
        <v>0.025</v>
      </c>
      <c r="K5182" s="6" t="b">
        <f t="shared" ref="K5182:L5182" si="4962">FALSE()</f>
        <v>0</v>
      </c>
      <c r="L5182" s="6" t="b">
        <f t="shared" si="4962"/>
        <v>0</v>
      </c>
      <c r="M5182" s="6" t="b">
        <f t="shared" si="4963"/>
        <v>1</v>
      </c>
      <c r="N5182" s="4">
        <v>0.214304602647005</v>
      </c>
      <c r="P5182" s="4">
        <v>0.661656513468575</v>
      </c>
      <c r="T5182" s="4">
        <f t="shared" si="3"/>
        <v>1120</v>
      </c>
      <c r="U5182" s="4">
        <f t="shared" si="4"/>
        <v>742</v>
      </c>
    </row>
    <row r="5183" ht="15.75" customHeight="1">
      <c r="A5183" s="4" t="s">
        <v>1198</v>
      </c>
      <c r="B5183" s="4" t="s">
        <v>13</v>
      </c>
      <c r="C5183" s="4">
        <v>0.01976</v>
      </c>
      <c r="D5183" s="4">
        <v>0.00277</v>
      </c>
      <c r="E5183" s="4">
        <v>0.00277</v>
      </c>
      <c r="I5183" s="4">
        <v>0.21545</v>
      </c>
      <c r="J5183" s="4">
        <v>0.008</v>
      </c>
      <c r="K5183" s="6" t="b">
        <f t="shared" ref="K5183:M5183" si="4964">FALSE()</f>
        <v>0</v>
      </c>
      <c r="L5183" s="6" t="b">
        <f t="shared" si="4964"/>
        <v>0</v>
      </c>
      <c r="M5183" s="6" t="b">
        <f t="shared" si="4964"/>
        <v>0</v>
      </c>
      <c r="N5183" s="4">
        <v>0.0195673054925287</v>
      </c>
      <c r="P5183" s="4">
        <v>0.195114378592707</v>
      </c>
      <c r="T5183" s="4">
        <f t="shared" si="3"/>
        <v>1739</v>
      </c>
      <c r="U5183" s="4">
        <f t="shared" si="4"/>
        <v>2324</v>
      </c>
    </row>
    <row r="5184" ht="15.75" customHeight="1">
      <c r="A5184" s="4" t="s">
        <v>1199</v>
      </c>
      <c r="B5184" s="4" t="s">
        <v>13</v>
      </c>
      <c r="C5184" s="4">
        <v>3.5</v>
      </c>
      <c r="D5184" s="4">
        <v>3.5</v>
      </c>
      <c r="E5184" s="4">
        <v>0.0</v>
      </c>
      <c r="I5184" s="4">
        <v>0.2596</v>
      </c>
      <c r="J5184" s="4">
        <v>0.0116</v>
      </c>
      <c r="K5184" s="6" t="b">
        <f t="shared" ref="K5184:M5184" si="4965">FALSE()</f>
        <v>0</v>
      </c>
      <c r="L5184" s="6" t="b">
        <f t="shared" si="4965"/>
        <v>0</v>
      </c>
      <c r="M5184" s="6" t="b">
        <f t="shared" si="4965"/>
        <v>0</v>
      </c>
      <c r="N5184" s="4">
        <v>1.50407739677627</v>
      </c>
      <c r="P5184" s="4">
        <v>0.230794210244733</v>
      </c>
      <c r="T5184" s="4">
        <f t="shared" si="3"/>
        <v>293</v>
      </c>
      <c r="U5184" s="4">
        <f t="shared" si="4"/>
        <v>1686</v>
      </c>
    </row>
    <row r="5185" ht="15.75" customHeight="1">
      <c r="A5185" s="4" t="s">
        <v>5948</v>
      </c>
      <c r="B5185" s="4" t="s">
        <v>13</v>
      </c>
      <c r="I5185" s="4">
        <v>0.187</v>
      </c>
      <c r="J5185" s="4">
        <v>0.008</v>
      </c>
      <c r="K5185" s="6" t="b">
        <f t="shared" ref="K5185:M5185" si="4966">FALSE()</f>
        <v>0</v>
      </c>
      <c r="L5185" s="6" t="b">
        <f t="shared" si="4966"/>
        <v>0</v>
      </c>
      <c r="M5185" s="6" t="b">
        <f t="shared" si="4966"/>
        <v>0</v>
      </c>
      <c r="P5185" s="4">
        <v>0.171429115627531</v>
      </c>
      <c r="T5185" s="4" t="str">
        <f t="shared" si="3"/>
        <v/>
      </c>
      <c r="U5185" s="4">
        <f t="shared" si="4"/>
        <v>2793</v>
      </c>
    </row>
    <row r="5186" ht="15.75" customHeight="1">
      <c r="A5186" s="4" t="s">
        <v>5949</v>
      </c>
      <c r="B5186" s="4" t="s">
        <v>13</v>
      </c>
      <c r="I5186" s="4">
        <v>0.2569</v>
      </c>
      <c r="J5186" s="4">
        <v>9.0E-4</v>
      </c>
      <c r="K5186" s="6" t="b">
        <f t="shared" ref="K5186:M5186" si="4967">FALSE()</f>
        <v>0</v>
      </c>
      <c r="L5186" s="6" t="b">
        <f t="shared" si="4967"/>
        <v>0</v>
      </c>
      <c r="M5186" s="6" t="b">
        <f t="shared" si="4967"/>
        <v>0</v>
      </c>
      <c r="P5186" s="4">
        <v>0.228648371948655</v>
      </c>
      <c r="T5186" s="4" t="str">
        <f t="shared" si="3"/>
        <v/>
      </c>
      <c r="U5186" s="4">
        <f t="shared" si="4"/>
        <v>1722</v>
      </c>
    </row>
    <row r="5187" ht="15.75" customHeight="1">
      <c r="A5187" s="4" t="s">
        <v>5950</v>
      </c>
      <c r="B5187" s="4" t="s">
        <v>13</v>
      </c>
      <c r="I5187" s="4">
        <v>0.854</v>
      </c>
      <c r="J5187" s="4">
        <v>0.052</v>
      </c>
      <c r="K5187" s="6" t="b">
        <f t="shared" ref="K5187:L5187" si="4968">FALSE()</f>
        <v>0</v>
      </c>
      <c r="L5187" s="6" t="b">
        <f t="shared" si="4968"/>
        <v>0</v>
      </c>
      <c r="M5187" s="6" t="b">
        <f>TRUE()</f>
        <v>1</v>
      </c>
      <c r="P5187" s="4">
        <v>0.617345467143664</v>
      </c>
      <c r="T5187" s="4" t="str">
        <f t="shared" si="3"/>
        <v/>
      </c>
      <c r="U5187" s="4">
        <f t="shared" si="4"/>
        <v>799</v>
      </c>
    </row>
    <row r="5188" ht="15.75" customHeight="1">
      <c r="A5188" s="4" t="s">
        <v>1200</v>
      </c>
      <c r="B5188" s="4" t="s">
        <v>13</v>
      </c>
      <c r="C5188" s="4">
        <v>0.0277</v>
      </c>
      <c r="D5188" s="4">
        <v>0.0098</v>
      </c>
      <c r="E5188" s="4">
        <v>0.028</v>
      </c>
      <c r="I5188" s="4">
        <v>0.2427</v>
      </c>
      <c r="J5188" s="4">
        <v>0.0161</v>
      </c>
      <c r="K5188" s="6" t="b">
        <f t="shared" ref="K5188:M5188" si="4969">FALSE()</f>
        <v>0</v>
      </c>
      <c r="L5188" s="6" t="b">
        <f t="shared" si="4969"/>
        <v>0</v>
      </c>
      <c r="M5188" s="6" t="b">
        <f t="shared" si="4969"/>
        <v>0</v>
      </c>
      <c r="N5188" s="4">
        <v>0.0273232956488903</v>
      </c>
      <c r="P5188" s="4">
        <v>0.217286431829812</v>
      </c>
      <c r="T5188" s="4">
        <f t="shared" si="3"/>
        <v>1592</v>
      </c>
      <c r="U5188" s="4">
        <f t="shared" si="4"/>
        <v>1910</v>
      </c>
    </row>
    <row r="5189" ht="15.75" customHeight="1">
      <c r="A5189" s="4" t="s">
        <v>1201</v>
      </c>
      <c r="B5189" s="4" t="s">
        <v>13</v>
      </c>
      <c r="C5189" s="4">
        <v>0.0485</v>
      </c>
      <c r="D5189" s="4">
        <v>0.0104</v>
      </c>
      <c r="E5189" s="4">
        <v>0.0104</v>
      </c>
      <c r="I5189" s="4">
        <v>0.3256</v>
      </c>
      <c r="J5189" s="4">
        <v>0.0143</v>
      </c>
      <c r="K5189" s="6" t="b">
        <f t="shared" ref="K5189:M5189" si="4970">FALSE()</f>
        <v>0</v>
      </c>
      <c r="L5189" s="6" t="b">
        <f t="shared" si="4970"/>
        <v>0</v>
      </c>
      <c r="M5189" s="6" t="b">
        <f t="shared" si="4970"/>
        <v>0</v>
      </c>
      <c r="N5189" s="4">
        <v>0.0473605713598375</v>
      </c>
      <c r="P5189" s="4">
        <v>0.281865187130216</v>
      </c>
      <c r="T5189" s="4">
        <f t="shared" si="3"/>
        <v>1408</v>
      </c>
      <c r="U5189" s="4">
        <f t="shared" si="4"/>
        <v>1275</v>
      </c>
    </row>
    <row r="5190" ht="15.75" customHeight="1">
      <c r="A5190" s="4" t="s">
        <v>1202</v>
      </c>
      <c r="B5190" s="4" t="s">
        <v>13</v>
      </c>
      <c r="C5190" s="4">
        <v>0.0186</v>
      </c>
      <c r="D5190" s="4">
        <v>0.00195</v>
      </c>
      <c r="E5190" s="4">
        <v>0.00195</v>
      </c>
      <c r="I5190" s="4">
        <v>0.15113</v>
      </c>
      <c r="J5190" s="4">
        <v>0.0071</v>
      </c>
      <c r="K5190" s="6" t="b">
        <f t="shared" ref="K5190:M5190" si="4971">FALSE()</f>
        <v>0</v>
      </c>
      <c r="L5190" s="6" t="b">
        <f t="shared" si="4971"/>
        <v>0</v>
      </c>
      <c r="M5190" s="6" t="b">
        <f t="shared" si="4971"/>
        <v>0</v>
      </c>
      <c r="N5190" s="4">
        <v>0.0184291354683671</v>
      </c>
      <c r="P5190" s="4">
        <v>0.140744068626896</v>
      </c>
      <c r="T5190" s="4">
        <f t="shared" si="3"/>
        <v>1762</v>
      </c>
      <c r="U5190" s="4">
        <f t="shared" si="4"/>
        <v>3304</v>
      </c>
    </row>
    <row r="5191" ht="15.75" customHeight="1">
      <c r="A5191" s="4" t="s">
        <v>1203</v>
      </c>
      <c r="B5191" s="4" t="s">
        <v>13</v>
      </c>
      <c r="C5191" s="4">
        <v>0.01183</v>
      </c>
      <c r="D5191" s="4">
        <v>0.00337</v>
      </c>
      <c r="E5191" s="4">
        <v>0.00362</v>
      </c>
      <c r="I5191" s="4">
        <v>0.1079</v>
      </c>
      <c r="J5191" s="4">
        <v>0.0</v>
      </c>
      <c r="K5191" s="6" t="b">
        <f t="shared" ref="K5191:M5191" si="4972">FALSE()</f>
        <v>0</v>
      </c>
      <c r="L5191" s="6" t="b">
        <f t="shared" si="4972"/>
        <v>0</v>
      </c>
      <c r="M5191" s="6" t="b">
        <f t="shared" si="4972"/>
        <v>0</v>
      </c>
      <c r="N5191" s="4">
        <v>0.0117605725646261</v>
      </c>
      <c r="P5191" s="4">
        <v>0.10246633154449</v>
      </c>
      <c r="T5191" s="4">
        <f t="shared" si="3"/>
        <v>1904</v>
      </c>
      <c r="U5191" s="4">
        <f t="shared" si="4"/>
        <v>4089</v>
      </c>
    </row>
    <row r="5192" ht="15.75" customHeight="1">
      <c r="A5192" s="4" t="s">
        <v>1204</v>
      </c>
      <c r="B5192" s="4" t="s">
        <v>13</v>
      </c>
      <c r="C5192" s="4">
        <v>0.02618</v>
      </c>
      <c r="D5192" s="4">
        <v>0.006</v>
      </c>
      <c r="E5192" s="4">
        <v>0.006</v>
      </c>
      <c r="I5192" s="4">
        <v>0.1882</v>
      </c>
      <c r="J5192" s="4">
        <v>0.0125</v>
      </c>
      <c r="K5192" s="6" t="b">
        <f t="shared" ref="K5192:M5192" si="4973">FALSE()</f>
        <v>0</v>
      </c>
      <c r="L5192" s="6" t="b">
        <f t="shared" si="4973"/>
        <v>0</v>
      </c>
      <c r="M5192" s="6" t="b">
        <f t="shared" si="4973"/>
        <v>0</v>
      </c>
      <c r="N5192" s="4">
        <v>0.0258431699575181</v>
      </c>
      <c r="P5192" s="4">
        <v>0.172439556939504</v>
      </c>
      <c r="T5192" s="4">
        <f t="shared" si="3"/>
        <v>1617</v>
      </c>
      <c r="U5192" s="4">
        <f t="shared" si="4"/>
        <v>2772</v>
      </c>
    </row>
    <row r="5193" ht="15.75" customHeight="1">
      <c r="A5193" s="4" t="s">
        <v>1205</v>
      </c>
      <c r="B5193" s="4" t="s">
        <v>13</v>
      </c>
      <c r="C5193" s="4">
        <v>0.0208</v>
      </c>
      <c r="D5193" s="4">
        <v>0.012</v>
      </c>
      <c r="E5193" s="4">
        <v>0.012</v>
      </c>
      <c r="I5193" s="4">
        <v>0.2025</v>
      </c>
      <c r="J5193" s="4">
        <v>0.071</v>
      </c>
      <c r="K5193" s="6" t="b">
        <f t="shared" ref="K5193:M5193" si="4974">FALSE()</f>
        <v>0</v>
      </c>
      <c r="L5193" s="6" t="b">
        <f t="shared" si="4974"/>
        <v>0</v>
      </c>
      <c r="M5193" s="6" t="b">
        <f t="shared" si="4974"/>
        <v>0</v>
      </c>
      <c r="N5193" s="4">
        <v>0.0205866336083883</v>
      </c>
      <c r="P5193" s="4">
        <v>0.184402722997779</v>
      </c>
      <c r="T5193" s="4">
        <f t="shared" si="3"/>
        <v>1714</v>
      </c>
      <c r="U5193" s="4">
        <f t="shared" si="4"/>
        <v>2542</v>
      </c>
    </row>
    <row r="5194" ht="15.75" customHeight="1">
      <c r="A5194" s="4" t="s">
        <v>1206</v>
      </c>
      <c r="B5194" s="4" t="s">
        <v>13</v>
      </c>
      <c r="C5194" s="4">
        <v>0.0255</v>
      </c>
      <c r="D5194" s="4">
        <v>0.0035</v>
      </c>
      <c r="E5194" s="4">
        <v>0.0035</v>
      </c>
      <c r="I5194" s="4">
        <v>0.2685</v>
      </c>
      <c r="J5194" s="4">
        <v>0.0054</v>
      </c>
      <c r="K5194" s="6" t="b">
        <f t="shared" ref="K5194:M5194" si="4975">FALSE()</f>
        <v>0</v>
      </c>
      <c r="L5194" s="6" t="b">
        <f t="shared" si="4975"/>
        <v>0</v>
      </c>
      <c r="M5194" s="6" t="b">
        <f t="shared" si="4975"/>
        <v>0</v>
      </c>
      <c r="N5194" s="4">
        <v>0.0251802985302982</v>
      </c>
      <c r="P5194" s="4">
        <v>0.2378351000572</v>
      </c>
      <c r="T5194" s="4">
        <f t="shared" si="3"/>
        <v>1626</v>
      </c>
      <c r="U5194" s="4">
        <f t="shared" si="4"/>
        <v>1611</v>
      </c>
    </row>
    <row r="5195" ht="15.75" customHeight="1">
      <c r="A5195" s="4" t="s">
        <v>1207</v>
      </c>
      <c r="B5195" s="4" t="s">
        <v>13</v>
      </c>
      <c r="C5195" s="4">
        <v>0.0277</v>
      </c>
      <c r="D5195" s="4">
        <v>0.0038</v>
      </c>
      <c r="E5195" s="4">
        <v>0.0038</v>
      </c>
      <c r="I5195" s="4">
        <v>0.2239</v>
      </c>
      <c r="J5195" s="4">
        <v>0.0071</v>
      </c>
      <c r="K5195" s="6" t="b">
        <f t="shared" ref="K5195:M5195" si="4976">FALSE()</f>
        <v>0</v>
      </c>
      <c r="L5195" s="6" t="b">
        <f t="shared" si="4976"/>
        <v>0</v>
      </c>
      <c r="M5195" s="6" t="b">
        <f t="shared" si="4976"/>
        <v>0</v>
      </c>
      <c r="N5195" s="4">
        <v>0.0273232956488903</v>
      </c>
      <c r="P5195" s="4">
        <v>0.202042481406156</v>
      </c>
      <c r="T5195" s="4">
        <f t="shared" si="3"/>
        <v>1593</v>
      </c>
      <c r="U5195" s="4">
        <f t="shared" si="4"/>
        <v>2201</v>
      </c>
    </row>
    <row r="5196" ht="15.75" customHeight="1">
      <c r="A5196" s="4" t="s">
        <v>1208</v>
      </c>
      <c r="B5196" s="4" t="s">
        <v>13</v>
      </c>
      <c r="C5196" s="4">
        <v>0.0167</v>
      </c>
      <c r="D5196" s="4">
        <v>0.0053</v>
      </c>
      <c r="E5196" s="4">
        <v>0.0053</v>
      </c>
      <c r="I5196" s="4">
        <v>0.3131</v>
      </c>
      <c r="J5196" s="4">
        <v>0.008</v>
      </c>
      <c r="K5196" s="6" t="b">
        <f t="shared" ref="K5196:M5196" si="4977">FALSE()</f>
        <v>0</v>
      </c>
      <c r="L5196" s="6" t="b">
        <f t="shared" si="4977"/>
        <v>0</v>
      </c>
      <c r="M5196" s="6" t="b">
        <f t="shared" si="4977"/>
        <v>0</v>
      </c>
      <c r="N5196" s="4">
        <v>0.0165620882989782</v>
      </c>
      <c r="P5196" s="4">
        <v>0.272390753882822</v>
      </c>
      <c r="T5196" s="4">
        <f t="shared" si="3"/>
        <v>1793</v>
      </c>
      <c r="U5196" s="4">
        <f t="shared" si="4"/>
        <v>1328</v>
      </c>
    </row>
    <row r="5197" ht="15.75" customHeight="1">
      <c r="A5197" s="4" t="s">
        <v>1209</v>
      </c>
      <c r="B5197" s="4" t="s">
        <v>13</v>
      </c>
      <c r="C5197" s="4">
        <v>0.0466</v>
      </c>
      <c r="D5197" s="4">
        <v>0.0072</v>
      </c>
      <c r="E5197" s="4">
        <v>0.0072</v>
      </c>
      <c r="I5197" s="4">
        <v>0.3372</v>
      </c>
      <c r="J5197" s="4">
        <v>0.0143</v>
      </c>
      <c r="K5197" s="6" t="b">
        <f t="shared" ref="K5197:M5197" si="4978">FALSE()</f>
        <v>0</v>
      </c>
      <c r="L5197" s="6" t="b">
        <f t="shared" si="4978"/>
        <v>0</v>
      </c>
      <c r="M5197" s="6" t="b">
        <f t="shared" si="4978"/>
        <v>0</v>
      </c>
      <c r="N5197" s="4">
        <v>0.0455468149559703</v>
      </c>
      <c r="P5197" s="4">
        <v>0.290577875563807</v>
      </c>
      <c r="T5197" s="4">
        <f t="shared" si="3"/>
        <v>1421</v>
      </c>
      <c r="U5197" s="4">
        <f t="shared" si="4"/>
        <v>1241</v>
      </c>
    </row>
    <row r="5198" ht="15.75" customHeight="1">
      <c r="A5198" s="4" t="s">
        <v>1210</v>
      </c>
      <c r="B5198" s="4" t="s">
        <v>13</v>
      </c>
      <c r="C5198" s="4">
        <v>0.0179</v>
      </c>
      <c r="D5198" s="4">
        <v>0.0066</v>
      </c>
      <c r="E5198" s="4">
        <v>0.0066</v>
      </c>
      <c r="I5198" s="4">
        <v>0.2239</v>
      </c>
      <c r="J5198" s="4">
        <v>0.0125</v>
      </c>
      <c r="K5198" s="6" t="b">
        <f t="shared" ref="K5198:M5198" si="4979">FALSE()</f>
        <v>0</v>
      </c>
      <c r="L5198" s="6" t="b">
        <f t="shared" si="4979"/>
        <v>0</v>
      </c>
      <c r="M5198" s="6" t="b">
        <f t="shared" si="4979"/>
        <v>0</v>
      </c>
      <c r="N5198" s="4">
        <v>0.0177416814761571</v>
      </c>
      <c r="P5198" s="4">
        <v>0.202042481406156</v>
      </c>
      <c r="T5198" s="4">
        <f t="shared" si="3"/>
        <v>1778</v>
      </c>
      <c r="U5198" s="4">
        <f t="shared" si="4"/>
        <v>2202</v>
      </c>
    </row>
    <row r="5199" ht="15.75" customHeight="1">
      <c r="A5199" s="4" t="s">
        <v>1211</v>
      </c>
      <c r="B5199" s="4" t="s">
        <v>13</v>
      </c>
      <c r="C5199" s="4">
        <v>0.0862</v>
      </c>
      <c r="D5199" s="4">
        <v>0.0113</v>
      </c>
      <c r="E5199" s="4">
        <v>0.0113</v>
      </c>
      <c r="I5199" s="4">
        <v>0.607</v>
      </c>
      <c r="J5199" s="4">
        <v>0.009</v>
      </c>
      <c r="K5199" s="6" t="b">
        <f t="shared" ref="K5199:M5199" si="4980">FALSE()</f>
        <v>0</v>
      </c>
      <c r="L5199" s="6" t="b">
        <f t="shared" si="4980"/>
        <v>0</v>
      </c>
      <c r="M5199" s="6" t="b">
        <f t="shared" si="4980"/>
        <v>0</v>
      </c>
      <c r="N5199" s="4">
        <v>0.0826853666186078</v>
      </c>
      <c r="P5199" s="4">
        <v>0.474369086755376</v>
      </c>
      <c r="T5199" s="4">
        <f t="shared" si="3"/>
        <v>1283</v>
      </c>
      <c r="U5199" s="4">
        <f t="shared" si="4"/>
        <v>943</v>
      </c>
    </row>
    <row r="5200" ht="15.75" customHeight="1">
      <c r="A5200" s="4" t="s">
        <v>1213</v>
      </c>
      <c r="B5200" s="4" t="s">
        <v>13</v>
      </c>
      <c r="C5200" s="4">
        <v>0.0374</v>
      </c>
      <c r="D5200" s="4">
        <v>0.0164</v>
      </c>
      <c r="E5200" s="4">
        <v>0.0164</v>
      </c>
      <c r="I5200" s="4">
        <v>0.2899</v>
      </c>
      <c r="J5200" s="4">
        <v>0.018</v>
      </c>
      <c r="K5200" s="6" t="b">
        <f t="shared" ref="K5200:M5200" si="4981">FALSE()</f>
        <v>0</v>
      </c>
      <c r="L5200" s="6" t="b">
        <f t="shared" si="4981"/>
        <v>0</v>
      </c>
      <c r="M5200" s="6" t="b">
        <f t="shared" si="4981"/>
        <v>0</v>
      </c>
      <c r="N5200" s="4">
        <v>0.0367175829351627</v>
      </c>
      <c r="P5200" s="4">
        <v>0.254564695988953</v>
      </c>
      <c r="T5200" s="4">
        <f t="shared" si="3"/>
        <v>1471</v>
      </c>
      <c r="U5200" s="4">
        <f t="shared" si="4"/>
        <v>1440</v>
      </c>
    </row>
    <row r="5201" ht="15.75" customHeight="1">
      <c r="A5201" s="4" t="s">
        <v>1214</v>
      </c>
      <c r="B5201" s="4" t="s">
        <v>13</v>
      </c>
      <c r="C5201" s="4">
        <v>0.441</v>
      </c>
      <c r="D5201" s="4">
        <v>0.049</v>
      </c>
      <c r="E5201" s="4">
        <v>0.049</v>
      </c>
      <c r="I5201" s="4">
        <v>1.022</v>
      </c>
      <c r="J5201" s="4">
        <v>0.03</v>
      </c>
      <c r="K5201" s="6" t="b">
        <f t="shared" ref="K5201:L5201" si="4982">FALSE()</f>
        <v>0</v>
      </c>
      <c r="L5201" s="6" t="b">
        <f t="shared" si="4982"/>
        <v>0</v>
      </c>
      <c r="M5201" s="6" t="b">
        <f>TRUE()</f>
        <v>1</v>
      </c>
      <c r="N5201" s="4">
        <v>0.365337317017385</v>
      </c>
      <c r="P5201" s="4">
        <v>0.70408712059828</v>
      </c>
      <c r="T5201" s="4">
        <f t="shared" si="3"/>
        <v>986</v>
      </c>
      <c r="U5201" s="4">
        <f t="shared" si="4"/>
        <v>639</v>
      </c>
    </row>
    <row r="5202" ht="15.75" customHeight="1">
      <c r="A5202" s="4" t="s">
        <v>1215</v>
      </c>
      <c r="B5202" s="4" t="s">
        <v>13</v>
      </c>
      <c r="C5202" s="4">
        <v>0.0299</v>
      </c>
      <c r="D5202" s="4">
        <v>0.00277</v>
      </c>
      <c r="E5202" s="4">
        <v>0.00277</v>
      </c>
      <c r="I5202" s="4">
        <v>0.2432</v>
      </c>
      <c r="J5202" s="4">
        <v>0.00669</v>
      </c>
      <c r="K5202" s="6" t="b">
        <f t="shared" ref="K5202:M5202" si="4983">FALSE()</f>
        <v>0</v>
      </c>
      <c r="L5202" s="6" t="b">
        <f t="shared" si="4983"/>
        <v>0</v>
      </c>
      <c r="M5202" s="6" t="b">
        <f t="shared" si="4983"/>
        <v>0</v>
      </c>
      <c r="N5202" s="4">
        <v>0.029461710149619</v>
      </c>
      <c r="P5202" s="4">
        <v>0.217688700631246</v>
      </c>
      <c r="T5202" s="4">
        <f t="shared" si="3"/>
        <v>1558</v>
      </c>
      <c r="U5202" s="4">
        <f t="shared" si="4"/>
        <v>1901</v>
      </c>
    </row>
    <row r="5203" ht="15.75" customHeight="1">
      <c r="A5203" s="4" t="s">
        <v>1216</v>
      </c>
      <c r="B5203" s="4" t="s">
        <v>13</v>
      </c>
      <c r="C5203" s="4">
        <v>0.02086</v>
      </c>
      <c r="D5203" s="4">
        <v>0.00311</v>
      </c>
      <c r="E5203" s="4">
        <v>0.00311</v>
      </c>
      <c r="I5203" s="4">
        <v>0.24614</v>
      </c>
      <c r="J5203" s="4">
        <v>0.009</v>
      </c>
      <c r="K5203" s="6" t="b">
        <f t="shared" ref="K5203:M5203" si="4984">FALSE()</f>
        <v>0</v>
      </c>
      <c r="L5203" s="6" t="b">
        <f t="shared" si="4984"/>
        <v>0</v>
      </c>
      <c r="M5203" s="6" t="b">
        <f t="shared" si="4984"/>
        <v>0</v>
      </c>
      <c r="N5203" s="4">
        <v>0.02064540931053</v>
      </c>
      <c r="P5203" s="4">
        <v>0.220050773603962</v>
      </c>
      <c r="T5203" s="4">
        <f t="shared" si="3"/>
        <v>1710</v>
      </c>
      <c r="U5203" s="4">
        <f t="shared" si="4"/>
        <v>1861</v>
      </c>
    </row>
    <row r="5204" ht="15.75" customHeight="1">
      <c r="A5204" s="4" t="s">
        <v>1217</v>
      </c>
      <c r="B5204" s="4" t="s">
        <v>13</v>
      </c>
      <c r="C5204" s="4">
        <v>0.0428</v>
      </c>
      <c r="D5204" s="4">
        <v>0.0038</v>
      </c>
      <c r="E5204" s="4">
        <v>0.0038</v>
      </c>
      <c r="I5204" s="4">
        <v>0.2614</v>
      </c>
      <c r="J5204" s="4">
        <v>0.0152</v>
      </c>
      <c r="K5204" s="6" t="b">
        <f t="shared" ref="K5204:M5204" si="4985">FALSE()</f>
        <v>0</v>
      </c>
      <c r="L5204" s="6" t="b">
        <f t="shared" si="4985"/>
        <v>0</v>
      </c>
      <c r="M5204" s="6" t="b">
        <f t="shared" si="4985"/>
        <v>0</v>
      </c>
      <c r="N5204" s="4">
        <v>0.0419094030772096</v>
      </c>
      <c r="P5204" s="4">
        <v>0.232222215247414</v>
      </c>
      <c r="T5204" s="4">
        <f t="shared" si="3"/>
        <v>1440</v>
      </c>
      <c r="U5204" s="4">
        <f t="shared" si="4"/>
        <v>1666</v>
      </c>
    </row>
    <row r="5205" ht="15.75" customHeight="1">
      <c r="A5205" s="4" t="s">
        <v>1218</v>
      </c>
      <c r="B5205" s="4" t="s">
        <v>13</v>
      </c>
      <c r="C5205" s="4">
        <v>0.02693</v>
      </c>
      <c r="D5205" s="4">
        <v>0.00485</v>
      </c>
      <c r="E5205" s="4">
        <v>0.00485</v>
      </c>
      <c r="I5205" s="4">
        <v>0.215</v>
      </c>
      <c r="J5205" s="4">
        <v>0.0045</v>
      </c>
      <c r="K5205" s="6" t="b">
        <f t="shared" ref="K5205:M5205" si="4986">FALSE()</f>
        <v>0</v>
      </c>
      <c r="L5205" s="6" t="b">
        <f t="shared" si="4986"/>
        <v>0</v>
      </c>
      <c r="M5205" s="6" t="b">
        <f t="shared" si="4986"/>
        <v>0</v>
      </c>
      <c r="N5205" s="4">
        <v>0.0265737689350312</v>
      </c>
      <c r="P5205" s="4">
        <v>0.194744076792512</v>
      </c>
      <c r="T5205" s="4">
        <f t="shared" si="3"/>
        <v>1607</v>
      </c>
      <c r="U5205" s="4">
        <f t="shared" si="4"/>
        <v>2342</v>
      </c>
    </row>
    <row r="5206" ht="15.75" customHeight="1">
      <c r="A5206" s="4" t="s">
        <v>1220</v>
      </c>
      <c r="B5206" s="4" t="s">
        <v>13</v>
      </c>
      <c r="C5206" s="4">
        <v>0.0415</v>
      </c>
      <c r="D5206" s="4">
        <v>0.01331</v>
      </c>
      <c r="E5206" s="4">
        <v>0.01331</v>
      </c>
      <c r="I5206" s="4">
        <v>0.2462</v>
      </c>
      <c r="J5206" s="4">
        <v>0.0062</v>
      </c>
      <c r="K5206" s="6" t="b">
        <f t="shared" ref="K5206:M5206" si="4987">FALSE()</f>
        <v>0</v>
      </c>
      <c r="L5206" s="6" t="b">
        <f t="shared" si="4987"/>
        <v>0</v>
      </c>
      <c r="M5206" s="6" t="b">
        <f t="shared" si="4987"/>
        <v>0</v>
      </c>
      <c r="N5206" s="4">
        <v>0.0406619817188896</v>
      </c>
      <c r="P5206" s="4">
        <v>0.220098921127985</v>
      </c>
      <c r="T5206" s="4">
        <f t="shared" si="3"/>
        <v>1447</v>
      </c>
      <c r="U5206" s="4">
        <f t="shared" si="4"/>
        <v>1858</v>
      </c>
    </row>
    <row r="5207" ht="15.75" customHeight="1">
      <c r="A5207" s="4" t="s">
        <v>1221</v>
      </c>
      <c r="B5207" s="4" t="s">
        <v>13</v>
      </c>
      <c r="C5207" s="4">
        <v>0.03725</v>
      </c>
      <c r="D5207" s="4">
        <v>0.0245</v>
      </c>
      <c r="E5207" s="4">
        <v>0.0245</v>
      </c>
      <c r="I5207" s="4">
        <v>0.2783</v>
      </c>
      <c r="J5207" s="4">
        <v>0.0071</v>
      </c>
      <c r="K5207" s="6" t="b">
        <f t="shared" ref="K5207:M5207" si="4988">FALSE()</f>
        <v>0</v>
      </c>
      <c r="L5207" s="6" t="b">
        <f t="shared" si="4988"/>
        <v>0</v>
      </c>
      <c r="M5207" s="6" t="b">
        <f t="shared" si="4988"/>
        <v>0</v>
      </c>
      <c r="N5207" s="4">
        <v>0.0365729802308402</v>
      </c>
      <c r="P5207" s="4">
        <v>0.245531070191839</v>
      </c>
      <c r="T5207" s="4">
        <f t="shared" si="3"/>
        <v>1473</v>
      </c>
      <c r="U5207" s="4">
        <f t="shared" si="4"/>
        <v>1518</v>
      </c>
    </row>
    <row r="5208" ht="15.75" customHeight="1">
      <c r="A5208" s="4" t="s">
        <v>1222</v>
      </c>
      <c r="B5208" s="4" t="s">
        <v>13</v>
      </c>
      <c r="C5208" s="4">
        <v>0.01381</v>
      </c>
      <c r="D5208" s="4">
        <v>0.00145</v>
      </c>
      <c r="E5208" s="4">
        <v>0.00145</v>
      </c>
      <c r="I5208" s="4">
        <v>0.2337</v>
      </c>
      <c r="J5208" s="4">
        <v>0.0098</v>
      </c>
      <c r="K5208" s="6" t="b">
        <f t="shared" ref="K5208:M5208" si="4989">FALSE()</f>
        <v>0</v>
      </c>
      <c r="L5208" s="6" t="b">
        <f t="shared" si="4989"/>
        <v>0</v>
      </c>
      <c r="M5208" s="6" t="b">
        <f t="shared" si="4989"/>
        <v>0</v>
      </c>
      <c r="N5208" s="4">
        <v>0.0137155108859412</v>
      </c>
      <c r="P5208" s="4">
        <v>0.210017784095282</v>
      </c>
      <c r="T5208" s="4">
        <f t="shared" si="3"/>
        <v>1851</v>
      </c>
      <c r="U5208" s="4">
        <f t="shared" si="4"/>
        <v>2048</v>
      </c>
    </row>
    <row r="5209" ht="15.75" customHeight="1">
      <c r="A5209" s="4" t="s">
        <v>1223</v>
      </c>
      <c r="B5209" s="4" t="s">
        <v>13</v>
      </c>
      <c r="C5209" s="4">
        <v>0.00934</v>
      </c>
      <c r="D5209" s="4">
        <v>0.00173</v>
      </c>
      <c r="E5209" s="4">
        <v>0.00173</v>
      </c>
      <c r="I5209" s="4">
        <v>0.19</v>
      </c>
      <c r="J5209" s="4">
        <v>0.0107</v>
      </c>
      <c r="K5209" s="6" t="b">
        <f t="shared" ref="K5209:M5209" si="4990">FALSE()</f>
        <v>0</v>
      </c>
      <c r="L5209" s="6" t="b">
        <f t="shared" si="4990"/>
        <v>0</v>
      </c>
      <c r="M5209" s="6" t="b">
        <f t="shared" si="4990"/>
        <v>0</v>
      </c>
      <c r="N5209" s="4">
        <v>0.0092966519050946</v>
      </c>
      <c r="P5209" s="4">
        <v>0.173953307123438</v>
      </c>
      <c r="T5209" s="4">
        <f t="shared" si="3"/>
        <v>1951</v>
      </c>
      <c r="U5209" s="4">
        <f t="shared" si="4"/>
        <v>2745</v>
      </c>
    </row>
    <row r="5210" ht="15.75" customHeight="1">
      <c r="A5210" s="4" t="s">
        <v>5951</v>
      </c>
      <c r="B5210" s="4" t="s">
        <v>13</v>
      </c>
      <c r="D5210" s="4">
        <v>0.00349</v>
      </c>
      <c r="E5210" s="4">
        <v>0.0033</v>
      </c>
      <c r="F5210" s="4">
        <v>0.01158</v>
      </c>
      <c r="G5210" s="4">
        <v>0.00349</v>
      </c>
      <c r="H5210" s="4">
        <v>0.0033</v>
      </c>
      <c r="K5210" s="6" t="b">
        <f t="shared" ref="K5210:M5210" si="4991">FALSE()</f>
        <v>0</v>
      </c>
      <c r="L5210" s="6" t="b">
        <f t="shared" si="4991"/>
        <v>0</v>
      </c>
      <c r="M5210" s="6" t="b">
        <f t="shared" si="4991"/>
        <v>0</v>
      </c>
      <c r="O5210" s="4">
        <v>0.0115134649578908</v>
      </c>
      <c r="T5210" s="4" t="str">
        <f t="shared" si="3"/>
        <v/>
      </c>
      <c r="U5210" s="4" t="str">
        <f t="shared" si="4"/>
        <v/>
      </c>
    </row>
    <row r="5211" ht="15.75" customHeight="1">
      <c r="A5211" s="4" t="s">
        <v>1224</v>
      </c>
      <c r="B5211" s="4" t="s">
        <v>13</v>
      </c>
      <c r="C5211" s="4">
        <v>0.29</v>
      </c>
      <c r="D5211" s="4">
        <v>0.04</v>
      </c>
      <c r="E5211" s="4">
        <v>0.04</v>
      </c>
      <c r="I5211" s="4">
        <v>0.82</v>
      </c>
      <c r="J5211" s="4">
        <v>0.06</v>
      </c>
      <c r="K5211" s="6" t="b">
        <f t="shared" ref="K5211:L5211" si="4992">FALSE()</f>
        <v>0</v>
      </c>
      <c r="L5211" s="6" t="b">
        <f t="shared" si="4992"/>
        <v>0</v>
      </c>
      <c r="M5211" s="6" t="b">
        <f>TRUE()</f>
        <v>1</v>
      </c>
      <c r="N5211" s="4">
        <v>0.254642218373581</v>
      </c>
      <c r="P5211" s="4">
        <v>0.598836501088704</v>
      </c>
      <c r="T5211" s="4">
        <f t="shared" si="3"/>
        <v>1077</v>
      </c>
      <c r="U5211" s="4">
        <f t="shared" si="4"/>
        <v>825</v>
      </c>
    </row>
    <row r="5212" ht="15.75" customHeight="1">
      <c r="A5212" s="4" t="s">
        <v>1225</v>
      </c>
      <c r="B5212" s="4" t="s">
        <v>13</v>
      </c>
      <c r="C5212" s="4">
        <v>0.0201</v>
      </c>
      <c r="D5212" s="4">
        <v>0.009</v>
      </c>
      <c r="E5212" s="4">
        <v>0.009</v>
      </c>
      <c r="I5212" s="4">
        <v>0.2025</v>
      </c>
      <c r="J5212" s="4">
        <v>0.0125</v>
      </c>
      <c r="K5212" s="6" t="b">
        <f t="shared" ref="K5212:M5212" si="4993">FALSE()</f>
        <v>0</v>
      </c>
      <c r="L5212" s="6" t="b">
        <f t="shared" si="4993"/>
        <v>0</v>
      </c>
      <c r="M5212" s="6" t="b">
        <f t="shared" si="4993"/>
        <v>0</v>
      </c>
      <c r="N5212" s="4">
        <v>0.0199006617063361</v>
      </c>
      <c r="P5212" s="4">
        <v>0.184402722997779</v>
      </c>
      <c r="T5212" s="4">
        <f t="shared" si="3"/>
        <v>1730</v>
      </c>
      <c r="U5212" s="4">
        <f t="shared" si="4"/>
        <v>2543</v>
      </c>
    </row>
    <row r="5213" ht="15.75" customHeight="1">
      <c r="A5213" s="4" t="s">
        <v>1226</v>
      </c>
      <c r="B5213" s="4" t="s">
        <v>13</v>
      </c>
      <c r="C5213" s="4">
        <v>0.0774</v>
      </c>
      <c r="D5213" s="4">
        <v>0.0072</v>
      </c>
      <c r="E5213" s="4">
        <v>0.0072</v>
      </c>
      <c r="I5213" s="4">
        <v>0.3693</v>
      </c>
      <c r="J5213" s="4">
        <v>0.0187</v>
      </c>
      <c r="K5213" s="6" t="b">
        <f t="shared" ref="K5213:M5213" si="4994">FALSE()</f>
        <v>0</v>
      </c>
      <c r="L5213" s="6" t="b">
        <f t="shared" si="4994"/>
        <v>0</v>
      </c>
      <c r="M5213" s="6" t="b">
        <f t="shared" si="4994"/>
        <v>0</v>
      </c>
      <c r="N5213" s="4">
        <v>0.0745507312642963</v>
      </c>
      <c r="P5213" s="4">
        <v>0.314299660356051</v>
      </c>
      <c r="T5213" s="4">
        <f t="shared" si="3"/>
        <v>1303</v>
      </c>
      <c r="U5213" s="4">
        <f t="shared" si="4"/>
        <v>1165</v>
      </c>
    </row>
    <row r="5214" ht="15.75" customHeight="1">
      <c r="A5214" s="4" t="s">
        <v>5952</v>
      </c>
      <c r="B5214" s="4" t="s">
        <v>13</v>
      </c>
      <c r="D5214" s="4">
        <v>0.0098</v>
      </c>
      <c r="E5214" s="4">
        <v>0.0098</v>
      </c>
      <c r="F5214" s="4">
        <v>0.084</v>
      </c>
      <c r="G5214" s="4">
        <v>0.0098</v>
      </c>
      <c r="H5214" s="4">
        <v>0.0098</v>
      </c>
      <c r="K5214" s="6" t="b">
        <f t="shared" ref="K5214:M5214" si="4995">FALSE()</f>
        <v>0</v>
      </c>
      <c r="L5214" s="6" t="b">
        <f t="shared" si="4995"/>
        <v>0</v>
      </c>
      <c r="M5214" s="6" t="b">
        <f t="shared" si="4995"/>
        <v>0</v>
      </c>
      <c r="O5214" s="4">
        <v>0.0806579030174544</v>
      </c>
      <c r="T5214" s="4" t="str">
        <f t="shared" si="3"/>
        <v/>
      </c>
      <c r="U5214" s="4" t="str">
        <f t="shared" si="4"/>
        <v/>
      </c>
    </row>
    <row r="5215" ht="15.75" customHeight="1">
      <c r="A5215" s="4" t="s">
        <v>1227</v>
      </c>
      <c r="B5215" s="4" t="s">
        <v>13</v>
      </c>
      <c r="C5215" s="4">
        <v>0.222</v>
      </c>
      <c r="D5215" s="4">
        <v>0.015</v>
      </c>
      <c r="E5215" s="4">
        <v>0.015</v>
      </c>
      <c r="I5215" s="4">
        <v>0.99</v>
      </c>
      <c r="J5215" s="4">
        <v>0.22</v>
      </c>
      <c r="K5215" s="6" t="b">
        <f t="shared" ref="K5215:L5215" si="4996">FALSE()</f>
        <v>0</v>
      </c>
      <c r="L5215" s="6" t="b">
        <f t="shared" si="4996"/>
        <v>0</v>
      </c>
      <c r="M5215" s="6" t="b">
        <f>TRUE()</f>
        <v>1</v>
      </c>
      <c r="N5215" s="4">
        <v>0.200488860749404</v>
      </c>
      <c r="P5215" s="4">
        <v>0.688134638736401</v>
      </c>
      <c r="T5215" s="4">
        <f t="shared" si="3"/>
        <v>1133</v>
      </c>
      <c r="U5215" s="4">
        <f t="shared" si="4"/>
        <v>687</v>
      </c>
    </row>
    <row r="5216" ht="15.75" customHeight="1">
      <c r="A5216" s="4" t="s">
        <v>1228</v>
      </c>
      <c r="B5216" s="4" t="s">
        <v>13</v>
      </c>
      <c r="C5216" s="4">
        <v>0.0334</v>
      </c>
      <c r="D5216" s="4">
        <v>0.0079</v>
      </c>
      <c r="E5216" s="4">
        <v>0.0079</v>
      </c>
      <c r="I5216" s="4">
        <v>0.2373</v>
      </c>
      <c r="J5216" s="4">
        <v>0.0098</v>
      </c>
      <c r="K5216" s="6" t="b">
        <f t="shared" ref="K5216:M5216" si="4997">FALSE()</f>
        <v>0</v>
      </c>
      <c r="L5216" s="6" t="b">
        <f t="shared" si="4997"/>
        <v>0</v>
      </c>
      <c r="M5216" s="6" t="b">
        <f t="shared" si="4997"/>
        <v>0</v>
      </c>
      <c r="N5216" s="4">
        <v>0.0328543368709471</v>
      </c>
      <c r="P5216" s="4">
        <v>0.212931586237793</v>
      </c>
      <c r="T5216" s="4">
        <f t="shared" si="3"/>
        <v>1507</v>
      </c>
      <c r="U5216" s="4">
        <f t="shared" si="4"/>
        <v>1987</v>
      </c>
    </row>
    <row r="5217" ht="15.75" customHeight="1">
      <c r="A5217" s="4" t="s">
        <v>1229</v>
      </c>
      <c r="B5217" s="4" t="s">
        <v>13</v>
      </c>
      <c r="C5217" s="4">
        <v>0.132</v>
      </c>
      <c r="D5217" s="4">
        <v>0.009</v>
      </c>
      <c r="E5217" s="4">
        <v>0.009</v>
      </c>
      <c r="I5217" s="4">
        <v>0.4675</v>
      </c>
      <c r="J5217" s="4">
        <v>0.008</v>
      </c>
      <c r="K5217" s="6" t="b">
        <f t="shared" ref="K5217:M5217" si="4998">FALSE()</f>
        <v>0</v>
      </c>
      <c r="L5217" s="6" t="b">
        <f t="shared" si="4998"/>
        <v>0</v>
      </c>
      <c r="M5217" s="6" t="b">
        <f t="shared" si="4998"/>
        <v>0</v>
      </c>
      <c r="N5217" s="4">
        <v>0.123985979780991</v>
      </c>
      <c r="P5217" s="4">
        <v>0.383560272720115</v>
      </c>
      <c r="T5217" s="4">
        <f t="shared" si="3"/>
        <v>1214</v>
      </c>
      <c r="U5217" s="4">
        <f t="shared" si="4"/>
        <v>1041</v>
      </c>
    </row>
    <row r="5218" ht="15.75" customHeight="1">
      <c r="A5218" s="4" t="s">
        <v>5953</v>
      </c>
      <c r="B5218" s="4" t="s">
        <v>13</v>
      </c>
      <c r="D5218" s="4">
        <v>0.022</v>
      </c>
      <c r="E5218" s="4">
        <v>0.022</v>
      </c>
      <c r="F5218" s="4">
        <v>0.2665</v>
      </c>
      <c r="G5218" s="4">
        <v>0.022</v>
      </c>
      <c r="H5218" s="4">
        <v>0.022</v>
      </c>
      <c r="K5218" s="6" t="b">
        <f t="shared" ref="K5218:M5218" si="4999">FALSE()</f>
        <v>0</v>
      </c>
      <c r="L5218" s="6" t="b">
        <f t="shared" si="4999"/>
        <v>0</v>
      </c>
      <c r="M5218" s="6" t="b">
        <f t="shared" si="4999"/>
        <v>0</v>
      </c>
      <c r="O5218" s="4">
        <v>0.236257190459593</v>
      </c>
      <c r="T5218" s="4" t="str">
        <f t="shared" si="3"/>
        <v/>
      </c>
      <c r="U5218" s="4" t="str">
        <f t="shared" si="4"/>
        <v/>
      </c>
    </row>
    <row r="5219" ht="15.75" customHeight="1">
      <c r="A5219" s="4" t="s">
        <v>5954</v>
      </c>
      <c r="B5219" s="4" t="s">
        <v>13</v>
      </c>
      <c r="I5219" s="4">
        <v>0.1981</v>
      </c>
      <c r="J5219" s="4">
        <v>0.0098</v>
      </c>
      <c r="K5219" s="6" t="b">
        <f t="shared" ref="K5219:M5219" si="5000">FALSE()</f>
        <v>0</v>
      </c>
      <c r="L5219" s="6" t="b">
        <f t="shared" si="5000"/>
        <v>0</v>
      </c>
      <c r="M5219" s="6" t="b">
        <f t="shared" si="5000"/>
        <v>0</v>
      </c>
      <c r="P5219" s="4">
        <v>0.180736968663716</v>
      </c>
      <c r="T5219" s="4" t="str">
        <f t="shared" si="3"/>
        <v/>
      </c>
      <c r="U5219" s="4">
        <f t="shared" si="4"/>
        <v>2612</v>
      </c>
    </row>
    <row r="5220" ht="15.75" customHeight="1">
      <c r="A5220" s="4" t="s">
        <v>1230</v>
      </c>
      <c r="B5220" s="4" t="s">
        <v>13</v>
      </c>
      <c r="C5220" s="4">
        <v>0.1957</v>
      </c>
      <c r="D5220" s="4">
        <v>0.016</v>
      </c>
      <c r="E5220" s="4">
        <v>0.016</v>
      </c>
      <c r="I5220" s="4">
        <v>0.8199</v>
      </c>
      <c r="J5220" s="4">
        <v>0.0277</v>
      </c>
      <c r="K5220" s="6" t="b">
        <f t="shared" ref="K5220:L5220" si="5001">FALSE()</f>
        <v>0</v>
      </c>
      <c r="L5220" s="6" t="b">
        <f t="shared" si="5001"/>
        <v>0</v>
      </c>
      <c r="M5220" s="6" t="b">
        <f>TRUE()</f>
        <v>1</v>
      </c>
      <c r="N5220" s="4">
        <v>0.178731787943397</v>
      </c>
      <c r="P5220" s="4">
        <v>0.598781554524224</v>
      </c>
      <c r="T5220" s="4">
        <f t="shared" si="3"/>
        <v>1155</v>
      </c>
      <c r="U5220" s="4">
        <f t="shared" si="4"/>
        <v>826</v>
      </c>
    </row>
    <row r="5221" ht="15.75" customHeight="1">
      <c r="A5221" s="4" t="s">
        <v>5955</v>
      </c>
      <c r="B5221" s="4" t="s">
        <v>13</v>
      </c>
      <c r="C5221" s="4">
        <v>0.4666</v>
      </c>
      <c r="D5221" s="4">
        <v>0.053</v>
      </c>
      <c r="E5221" s="4">
        <v>0.053</v>
      </c>
      <c r="K5221" s="6" t="b">
        <f t="shared" ref="K5221:M5221" si="5002">FALSE()</f>
        <v>0</v>
      </c>
      <c r="L5221" s="6" t="b">
        <f t="shared" si="5002"/>
        <v>0</v>
      </c>
      <c r="M5221" s="6" t="b">
        <f t="shared" si="5002"/>
        <v>0</v>
      </c>
      <c r="N5221" s="4">
        <v>0.382946796677562</v>
      </c>
      <c r="T5221" s="4">
        <f t="shared" si="3"/>
        <v>972</v>
      </c>
      <c r="U5221" s="4" t="str">
        <f t="shared" si="4"/>
        <v/>
      </c>
    </row>
    <row r="5222" ht="15.75" customHeight="1">
      <c r="A5222" s="4" t="s">
        <v>1232</v>
      </c>
      <c r="B5222" s="4" t="s">
        <v>13</v>
      </c>
      <c r="C5222" s="4">
        <v>1.42</v>
      </c>
      <c r="D5222" s="4">
        <v>0.08</v>
      </c>
      <c r="E5222" s="4">
        <v>0.08</v>
      </c>
      <c r="I5222" s="4">
        <v>1.4</v>
      </c>
      <c r="J5222" s="4">
        <v>0.08</v>
      </c>
      <c r="K5222" s="6" t="b">
        <f t="shared" ref="K5222:L5222" si="5003">FALSE()</f>
        <v>0</v>
      </c>
      <c r="L5222" s="6" t="b">
        <f t="shared" si="5003"/>
        <v>0</v>
      </c>
      <c r="M5222" s="6" t="b">
        <f t="shared" ref="M5222:M5224" si="5005">TRUE()</f>
        <v>1</v>
      </c>
      <c r="N5222" s="4">
        <v>0.883767540168595</v>
      </c>
      <c r="P5222" s="4">
        <v>0.8754687373539</v>
      </c>
      <c r="T5222" s="4">
        <f t="shared" si="3"/>
        <v>532</v>
      </c>
      <c r="U5222" s="4">
        <f t="shared" si="4"/>
        <v>177</v>
      </c>
    </row>
    <row r="5223" ht="15.75" customHeight="1">
      <c r="A5223" s="4" t="s">
        <v>5956</v>
      </c>
      <c r="B5223" s="4" t="s">
        <v>13</v>
      </c>
      <c r="D5223" s="4">
        <v>0.039</v>
      </c>
      <c r="E5223" s="4">
        <v>0.039</v>
      </c>
      <c r="F5223" s="4">
        <v>0.298</v>
      </c>
      <c r="G5223" s="4">
        <v>0.039</v>
      </c>
      <c r="H5223" s="4">
        <v>0.039</v>
      </c>
      <c r="I5223" s="4">
        <v>1.231</v>
      </c>
      <c r="J5223" s="4">
        <v>0.031</v>
      </c>
      <c r="K5223" s="6" t="b">
        <f t="shared" ref="K5223:L5223" si="5004">FALSE()</f>
        <v>0</v>
      </c>
      <c r="L5223" s="6" t="b">
        <f t="shared" si="5004"/>
        <v>0</v>
      </c>
      <c r="M5223" s="6" t="b">
        <f t="shared" si="5005"/>
        <v>1</v>
      </c>
      <c r="O5223" s="4">
        <v>0.260824618281898</v>
      </c>
      <c r="P5223" s="4">
        <v>0.802449915450396</v>
      </c>
      <c r="T5223" s="4" t="str">
        <f t="shared" si="3"/>
        <v/>
      </c>
      <c r="U5223" s="4">
        <f t="shared" si="4"/>
        <v>337</v>
      </c>
    </row>
    <row r="5224" ht="15.75" customHeight="1">
      <c r="A5224" s="4" t="s">
        <v>1233</v>
      </c>
      <c r="B5224" s="4" t="s">
        <v>13</v>
      </c>
      <c r="C5224" s="4">
        <v>0.356</v>
      </c>
      <c r="D5224" s="4">
        <v>0.032</v>
      </c>
      <c r="E5224" s="4">
        <v>0.032</v>
      </c>
      <c r="I5224" s="4">
        <v>0.841</v>
      </c>
      <c r="J5224" s="4">
        <v>0.021</v>
      </c>
      <c r="K5224" s="6" t="b">
        <f t="shared" ref="K5224:L5224" si="5006">FALSE()</f>
        <v>0</v>
      </c>
      <c r="L5224" s="6" t="b">
        <f t="shared" si="5006"/>
        <v>0</v>
      </c>
      <c r="M5224" s="6" t="b">
        <f t="shared" si="5005"/>
        <v>1</v>
      </c>
      <c r="N5224" s="4">
        <v>0.304539189518204</v>
      </c>
      <c r="P5224" s="4">
        <v>0.610308902250941</v>
      </c>
      <c r="T5224" s="4">
        <f t="shared" si="3"/>
        <v>1046</v>
      </c>
      <c r="U5224" s="4">
        <f t="shared" si="4"/>
        <v>810</v>
      </c>
    </row>
    <row r="5225" ht="15.75" customHeight="1">
      <c r="A5225" s="4" t="s">
        <v>1234</v>
      </c>
      <c r="B5225" s="4" t="s">
        <v>13</v>
      </c>
      <c r="C5225" s="4">
        <v>0.0705</v>
      </c>
      <c r="D5225" s="4">
        <v>0.00604</v>
      </c>
      <c r="E5225" s="4">
        <v>0.006</v>
      </c>
      <c r="I5225" s="4">
        <v>0.3051</v>
      </c>
      <c r="J5225" s="4">
        <v>0.0125</v>
      </c>
      <c r="K5225" s="6" t="b">
        <f t="shared" ref="K5225:M5225" si="5007">FALSE()</f>
        <v>0</v>
      </c>
      <c r="L5225" s="6" t="b">
        <f t="shared" si="5007"/>
        <v>0</v>
      </c>
      <c r="M5225" s="6" t="b">
        <f t="shared" si="5007"/>
        <v>0</v>
      </c>
      <c r="N5225" s="4">
        <v>0.0681258290476004</v>
      </c>
      <c r="P5225" s="4">
        <v>0.266279666191345</v>
      </c>
      <c r="T5225" s="4">
        <f t="shared" si="3"/>
        <v>1321</v>
      </c>
      <c r="U5225" s="4">
        <f t="shared" si="4"/>
        <v>1349</v>
      </c>
    </row>
    <row r="5226" ht="15.75" customHeight="1">
      <c r="A5226" s="4" t="s">
        <v>1235</v>
      </c>
      <c r="B5226" s="4" t="s">
        <v>13</v>
      </c>
      <c r="C5226" s="4">
        <v>2.37</v>
      </c>
      <c r="D5226" s="4">
        <v>0.24</v>
      </c>
      <c r="E5226" s="4">
        <v>0.24</v>
      </c>
      <c r="I5226" s="4">
        <v>1.396</v>
      </c>
      <c r="J5226" s="4">
        <v>0.056</v>
      </c>
      <c r="K5226" s="6" t="b">
        <f t="shared" ref="K5226:L5226" si="5008">FALSE()</f>
        <v>0</v>
      </c>
      <c r="L5226" s="6" t="b">
        <f t="shared" si="5008"/>
        <v>0</v>
      </c>
      <c r="M5226" s="6" t="b">
        <f>TRUE()</f>
        <v>1</v>
      </c>
      <c r="N5226" s="4">
        <v>1.21491274436427</v>
      </c>
      <c r="P5226" s="4">
        <v>0.873800680253203</v>
      </c>
      <c r="T5226" s="4">
        <f t="shared" si="3"/>
        <v>388</v>
      </c>
      <c r="U5226" s="4">
        <f t="shared" si="4"/>
        <v>183</v>
      </c>
    </row>
    <row r="5227" ht="15.75" customHeight="1">
      <c r="A5227" s="4" t="s">
        <v>1236</v>
      </c>
      <c r="B5227" s="4" t="s">
        <v>13</v>
      </c>
      <c r="C5227" s="4">
        <v>0.069</v>
      </c>
      <c r="D5227" s="4">
        <v>0.069</v>
      </c>
      <c r="E5227" s="4">
        <v>0.0</v>
      </c>
      <c r="F5227" s="4">
        <v>0.0686</v>
      </c>
      <c r="G5227" s="4">
        <v>0.066</v>
      </c>
      <c r="H5227" s="4">
        <v>0.0028</v>
      </c>
      <c r="I5227" s="4">
        <v>0.5986</v>
      </c>
      <c r="J5227" s="4">
        <v>0.0303</v>
      </c>
      <c r="K5227" s="6" t="b">
        <f t="shared" ref="K5227:M5227" si="5009">FALSE()</f>
        <v>0</v>
      </c>
      <c r="L5227" s="6" t="b">
        <f t="shared" si="5009"/>
        <v>0</v>
      </c>
      <c r="M5227" s="6" t="b">
        <f t="shared" si="5009"/>
        <v>0</v>
      </c>
      <c r="N5227" s="4">
        <v>0.0667236320429081</v>
      </c>
      <c r="O5227" s="4">
        <v>0.0663493805415339</v>
      </c>
      <c r="P5227" s="4">
        <v>0.469128246209782</v>
      </c>
      <c r="Q5227" s="4">
        <v>-0.585663672560549</v>
      </c>
      <c r="R5227" s="4">
        <v>-0.608943623600103</v>
      </c>
      <c r="S5227" s="4">
        <v>-0.424113798950256</v>
      </c>
      <c r="T5227" s="4">
        <f t="shared" si="3"/>
        <v>1327</v>
      </c>
      <c r="U5227" s="4">
        <f t="shared" si="4"/>
        <v>948</v>
      </c>
    </row>
    <row r="5228" ht="15.75" customHeight="1">
      <c r="A5228" s="4" t="s">
        <v>5957</v>
      </c>
      <c r="B5228" s="4" t="s">
        <v>13</v>
      </c>
      <c r="D5228" s="4">
        <v>0.0371</v>
      </c>
      <c r="E5228" s="4">
        <v>0.0371</v>
      </c>
      <c r="F5228" s="4">
        <v>0.2051</v>
      </c>
      <c r="G5228" s="4">
        <v>0.0371</v>
      </c>
      <c r="H5228" s="4">
        <v>0.0371</v>
      </c>
      <c r="K5228" s="6" t="b">
        <f t="shared" ref="K5228:M5228" si="5010">FALSE()</f>
        <v>0</v>
      </c>
      <c r="L5228" s="6" t="b">
        <f t="shared" si="5010"/>
        <v>0</v>
      </c>
      <c r="M5228" s="6" t="b">
        <f t="shared" si="5010"/>
        <v>0</v>
      </c>
      <c r="O5228" s="4">
        <v>0.186562551051209</v>
      </c>
      <c r="T5228" s="4" t="str">
        <f t="shared" si="3"/>
        <v/>
      </c>
      <c r="U5228" s="4" t="str">
        <f t="shared" si="4"/>
        <v/>
      </c>
    </row>
    <row r="5229" ht="15.75" customHeight="1">
      <c r="A5229" s="4" t="s">
        <v>1237</v>
      </c>
      <c r="B5229" s="4" t="s">
        <v>13</v>
      </c>
      <c r="C5229" s="4">
        <v>0.0384</v>
      </c>
      <c r="D5229" s="4">
        <v>0.005</v>
      </c>
      <c r="E5229" s="4">
        <v>0.005</v>
      </c>
      <c r="I5229" s="4">
        <v>0.161</v>
      </c>
      <c r="J5229" s="4">
        <v>0.009</v>
      </c>
      <c r="K5229" s="6" t="b">
        <f t="shared" ref="K5229:M5229" si="5011">FALSE()</f>
        <v>0</v>
      </c>
      <c r="L5229" s="6" t="b">
        <f t="shared" si="5011"/>
        <v>0</v>
      </c>
      <c r="M5229" s="6" t="b">
        <f t="shared" si="5011"/>
        <v>0</v>
      </c>
      <c r="N5229" s="4">
        <v>0.0376810669676884</v>
      </c>
      <c r="P5229" s="4">
        <v>0.149281702715754</v>
      </c>
      <c r="T5229" s="4">
        <f t="shared" si="3"/>
        <v>1462</v>
      </c>
      <c r="U5229" s="4">
        <f t="shared" si="4"/>
        <v>3171</v>
      </c>
    </row>
    <row r="5230" ht="15.75" customHeight="1">
      <c r="A5230" s="4" t="s">
        <v>1239</v>
      </c>
      <c r="B5230" s="4" t="s">
        <v>13</v>
      </c>
      <c r="C5230" s="4">
        <v>0.0088</v>
      </c>
      <c r="D5230" s="4">
        <v>0.0072</v>
      </c>
      <c r="E5230" s="4">
        <v>0.0072</v>
      </c>
      <c r="I5230" s="4">
        <v>0.143</v>
      </c>
      <c r="J5230" s="4">
        <v>0.009</v>
      </c>
      <c r="K5230" s="6" t="b">
        <f t="shared" ref="K5230:M5230" si="5012">FALSE()</f>
        <v>0</v>
      </c>
      <c r="L5230" s="6" t="b">
        <f t="shared" si="5012"/>
        <v>0</v>
      </c>
      <c r="M5230" s="6" t="b">
        <f t="shared" si="5012"/>
        <v>0</v>
      </c>
      <c r="N5230" s="4">
        <v>0.0087615056685727</v>
      </c>
      <c r="P5230" s="4">
        <v>0.133656384812674</v>
      </c>
      <c r="T5230" s="4">
        <f t="shared" si="3"/>
        <v>1966</v>
      </c>
      <c r="U5230" s="4">
        <f t="shared" si="4"/>
        <v>3466</v>
      </c>
    </row>
    <row r="5231" ht="15.75" customHeight="1">
      <c r="A5231" s="4" t="s">
        <v>1240</v>
      </c>
      <c r="B5231" s="4" t="s">
        <v>13</v>
      </c>
      <c r="C5231" s="4">
        <v>0.148</v>
      </c>
      <c r="D5231" s="4">
        <v>0.019</v>
      </c>
      <c r="E5231" s="4">
        <v>0.019</v>
      </c>
      <c r="I5231" s="4">
        <v>0.54</v>
      </c>
      <c r="J5231" s="4">
        <v>0.018</v>
      </c>
      <c r="K5231" s="6" t="b">
        <f t="shared" ref="K5231:M5231" si="5013">FALSE()</f>
        <v>0</v>
      </c>
      <c r="L5231" s="6" t="b">
        <f t="shared" si="5013"/>
        <v>0</v>
      </c>
      <c r="M5231" s="6" t="b">
        <f t="shared" si="5013"/>
        <v>0</v>
      </c>
      <c r="N5231" s="4">
        <v>0.138021297897375</v>
      </c>
      <c r="P5231" s="4">
        <v>0.431782416425538</v>
      </c>
      <c r="T5231" s="4">
        <f t="shared" si="3"/>
        <v>1199</v>
      </c>
      <c r="U5231" s="4">
        <f t="shared" si="4"/>
        <v>987</v>
      </c>
    </row>
    <row r="5232" ht="15.75" customHeight="1">
      <c r="A5232" s="4" t="s">
        <v>5958</v>
      </c>
      <c r="B5232" s="4" t="s">
        <v>13</v>
      </c>
      <c r="D5232" s="4">
        <v>0.04</v>
      </c>
      <c r="E5232" s="4">
        <v>0.04</v>
      </c>
      <c r="F5232" s="4">
        <v>0.31</v>
      </c>
      <c r="G5232" s="4">
        <v>0.04</v>
      </c>
      <c r="H5232" s="4">
        <v>0.04</v>
      </c>
      <c r="K5232" s="6" t="b">
        <f t="shared" ref="K5232:M5232" si="5014">FALSE()</f>
        <v>0</v>
      </c>
      <c r="L5232" s="6" t="b">
        <f t="shared" si="5014"/>
        <v>0</v>
      </c>
      <c r="M5232" s="6" t="b">
        <f t="shared" si="5014"/>
        <v>0</v>
      </c>
      <c r="O5232" s="4">
        <v>0.27002713721306</v>
      </c>
      <c r="T5232" s="4" t="str">
        <f t="shared" si="3"/>
        <v/>
      </c>
      <c r="U5232" s="4" t="str">
        <f t="shared" si="4"/>
        <v/>
      </c>
    </row>
    <row r="5233" ht="15.75" customHeight="1">
      <c r="A5233" s="4" t="s">
        <v>1241</v>
      </c>
      <c r="B5233" s="4" t="s">
        <v>13</v>
      </c>
      <c r="C5233" s="4">
        <v>6.6119</v>
      </c>
      <c r="I5233" s="4">
        <v>0.2192</v>
      </c>
      <c r="J5233" s="4">
        <v>0.01106</v>
      </c>
      <c r="K5233" s="6" t="b">
        <f>TRUE()</f>
        <v>1</v>
      </c>
      <c r="L5233" s="6" t="b">
        <f t="shared" ref="L5233:M5233" si="5015">FALSE()</f>
        <v>0</v>
      </c>
      <c r="M5233" s="6" t="b">
        <f t="shared" si="5015"/>
        <v>0</v>
      </c>
      <c r="N5233" s="4">
        <v>2.02971281219574</v>
      </c>
      <c r="P5233" s="4">
        <v>0.198194905950245</v>
      </c>
      <c r="T5233" s="4">
        <f t="shared" si="3"/>
        <v>144</v>
      </c>
      <c r="U5233" s="4">
        <f t="shared" si="4"/>
        <v>2272</v>
      </c>
    </row>
    <row r="5234" ht="15.75" customHeight="1">
      <c r="A5234" s="4" t="s">
        <v>1242</v>
      </c>
      <c r="B5234" s="4" t="s">
        <v>13</v>
      </c>
      <c r="C5234" s="4">
        <v>1.69</v>
      </c>
      <c r="D5234" s="4">
        <v>0.2</v>
      </c>
      <c r="E5234" s="4">
        <v>0.2</v>
      </c>
      <c r="I5234" s="4">
        <v>1.5</v>
      </c>
      <c r="K5234" s="6" t="b">
        <f t="shared" ref="K5234:L5234" si="5016">FALSE()</f>
        <v>0</v>
      </c>
      <c r="L5234" s="6" t="b">
        <f t="shared" si="5016"/>
        <v>0</v>
      </c>
      <c r="M5234" s="6" t="b">
        <f>TRUE()</f>
        <v>1</v>
      </c>
      <c r="N5234" s="4">
        <v>0.989541193613748</v>
      </c>
      <c r="P5234" s="4">
        <v>0.916290731874155</v>
      </c>
      <c r="T5234" s="4">
        <f t="shared" si="3"/>
        <v>483</v>
      </c>
      <c r="U5234" s="4">
        <f t="shared" si="4"/>
        <v>117</v>
      </c>
    </row>
    <row r="5235" ht="15.75" customHeight="1">
      <c r="A5235" s="4" t="s">
        <v>1243</v>
      </c>
      <c r="B5235" s="4" t="s">
        <v>13</v>
      </c>
      <c r="C5235" s="4">
        <v>0.0239</v>
      </c>
      <c r="D5235" s="4">
        <v>6.0E-4</v>
      </c>
      <c r="E5235" s="4">
        <v>6.0E-4</v>
      </c>
      <c r="I5235" s="4">
        <v>0.1981</v>
      </c>
      <c r="J5235" s="4">
        <v>0.0054</v>
      </c>
      <c r="K5235" s="6" t="b">
        <f t="shared" ref="K5235:M5235" si="5017">FALSE()</f>
        <v>0</v>
      </c>
      <c r="L5235" s="6" t="b">
        <f t="shared" si="5017"/>
        <v>0</v>
      </c>
      <c r="M5235" s="6" t="b">
        <f t="shared" si="5017"/>
        <v>0</v>
      </c>
      <c r="N5235" s="4">
        <v>0.023618865598634</v>
      </c>
      <c r="P5235" s="4">
        <v>0.180736968663716</v>
      </c>
      <c r="T5235" s="4">
        <f t="shared" si="3"/>
        <v>1654</v>
      </c>
      <c r="U5235" s="4">
        <f t="shared" si="4"/>
        <v>2613</v>
      </c>
    </row>
    <row r="5236" ht="15.75" customHeight="1">
      <c r="A5236" s="4" t="s">
        <v>1244</v>
      </c>
      <c r="B5236" s="4" t="s">
        <v>13</v>
      </c>
      <c r="C5236" s="4">
        <v>0.03338</v>
      </c>
      <c r="I5236" s="4">
        <v>0.289359</v>
      </c>
      <c r="J5236" s="4">
        <v>0.0107</v>
      </c>
      <c r="K5236" s="6" t="b">
        <f t="shared" ref="K5236:M5236" si="5018">FALSE()</f>
        <v>0</v>
      </c>
      <c r="L5236" s="6" t="b">
        <f t="shared" si="5018"/>
        <v>0</v>
      </c>
      <c r="M5236" s="6" t="b">
        <f t="shared" si="5018"/>
        <v>0</v>
      </c>
      <c r="N5236" s="4">
        <v>0.032834983093573</v>
      </c>
      <c r="P5236" s="4">
        <v>0.254145195653443</v>
      </c>
      <c r="T5236" s="4">
        <f t="shared" si="3"/>
        <v>1508</v>
      </c>
      <c r="U5236" s="4">
        <f t="shared" si="4"/>
        <v>1441</v>
      </c>
    </row>
    <row r="5237" ht="15.75" customHeight="1">
      <c r="A5237" s="4" t="s">
        <v>5959</v>
      </c>
      <c r="B5237" s="4" t="s">
        <v>13</v>
      </c>
      <c r="D5237" s="4">
        <v>0.0104</v>
      </c>
      <c r="E5237" s="4">
        <v>0.0104</v>
      </c>
      <c r="F5237" s="4">
        <v>0.085</v>
      </c>
      <c r="G5237" s="4">
        <v>0.0104</v>
      </c>
      <c r="H5237" s="4">
        <v>0.0104</v>
      </c>
      <c r="K5237" s="6" t="b">
        <f t="shared" ref="K5237:M5237" si="5019">FALSE()</f>
        <v>0</v>
      </c>
      <c r="L5237" s="6" t="b">
        <f t="shared" si="5019"/>
        <v>0</v>
      </c>
      <c r="M5237" s="6" t="b">
        <f t="shared" si="5019"/>
        <v>0</v>
      </c>
      <c r="O5237" s="4">
        <v>0.0815799869924228</v>
      </c>
      <c r="T5237" s="4" t="str">
        <f t="shared" si="3"/>
        <v/>
      </c>
      <c r="U5237" s="4" t="str">
        <f t="shared" si="4"/>
        <v/>
      </c>
    </row>
    <row r="5238" ht="15.75" customHeight="1">
      <c r="A5238" s="4" t="s">
        <v>1246</v>
      </c>
      <c r="B5238" s="4" t="s">
        <v>13</v>
      </c>
      <c r="C5238" s="4">
        <v>0.0063</v>
      </c>
      <c r="D5238" s="4">
        <v>0.0035</v>
      </c>
      <c r="E5238" s="4">
        <v>0.0038</v>
      </c>
      <c r="I5238" s="4">
        <v>0.1213</v>
      </c>
      <c r="J5238" s="4">
        <v>0.0143</v>
      </c>
      <c r="K5238" s="6" t="b">
        <f t="shared" ref="K5238:M5238" si="5020">FALSE()</f>
        <v>0</v>
      </c>
      <c r="L5238" s="6" t="b">
        <f t="shared" si="5020"/>
        <v>0</v>
      </c>
      <c r="M5238" s="6" t="b">
        <f t="shared" si="5020"/>
        <v>0</v>
      </c>
      <c r="N5238" s="4">
        <v>0.0062802379571504</v>
      </c>
      <c r="P5238" s="4">
        <v>0.114488726484698</v>
      </c>
      <c r="T5238" s="4">
        <f t="shared" si="3"/>
        <v>2003</v>
      </c>
      <c r="U5238" s="4">
        <f t="shared" si="4"/>
        <v>3839</v>
      </c>
    </row>
    <row r="5239" ht="15.75" customHeight="1">
      <c r="A5239" s="4" t="s">
        <v>1247</v>
      </c>
      <c r="B5239" s="4" t="s">
        <v>13</v>
      </c>
      <c r="C5239" s="4">
        <v>0.01095</v>
      </c>
      <c r="D5239" s="4">
        <v>0.00148</v>
      </c>
      <c r="E5239" s="4">
        <v>0.00148</v>
      </c>
      <c r="I5239" s="4">
        <v>0.1445</v>
      </c>
      <c r="J5239" s="4">
        <v>0.0071</v>
      </c>
      <c r="K5239" s="6" t="b">
        <f t="shared" ref="K5239:M5239" si="5021">FALSE()</f>
        <v>0</v>
      </c>
      <c r="L5239" s="6" t="b">
        <f t="shared" si="5021"/>
        <v>0</v>
      </c>
      <c r="M5239" s="6" t="b">
        <f t="shared" si="5021"/>
        <v>0</v>
      </c>
      <c r="N5239" s="4">
        <v>0.0108904828311727</v>
      </c>
      <c r="P5239" s="4">
        <v>0.134967860410484</v>
      </c>
      <c r="T5239" s="4">
        <f t="shared" si="3"/>
        <v>1924</v>
      </c>
      <c r="U5239" s="4">
        <f t="shared" si="4"/>
        <v>3431</v>
      </c>
    </row>
    <row r="5240" ht="15.75" customHeight="1">
      <c r="A5240" s="4" t="s">
        <v>5960</v>
      </c>
      <c r="B5240" s="4" t="s">
        <v>13</v>
      </c>
      <c r="C5240" s="4">
        <v>0.068</v>
      </c>
      <c r="D5240" s="4">
        <v>0.0088</v>
      </c>
      <c r="F5240" s="4">
        <v>0.068</v>
      </c>
      <c r="G5240" s="4">
        <v>0.0088</v>
      </c>
      <c r="H5240" s="4">
        <v>0.0098</v>
      </c>
      <c r="K5240" s="6" t="b">
        <f t="shared" ref="K5240:M5240" si="5022">FALSE()</f>
        <v>0</v>
      </c>
      <c r="L5240" s="6" t="b">
        <f t="shared" si="5022"/>
        <v>0</v>
      </c>
      <c r="M5240" s="6" t="b">
        <f t="shared" si="5022"/>
        <v>0</v>
      </c>
      <c r="N5240" s="4">
        <v>0.0657877405380031</v>
      </c>
      <c r="O5240" s="4">
        <v>0.0657877405380031</v>
      </c>
      <c r="T5240" s="4">
        <f t="shared" si="3"/>
        <v>1331</v>
      </c>
      <c r="U5240" s="4" t="str">
        <f t="shared" si="4"/>
        <v/>
      </c>
    </row>
    <row r="5241" ht="15.75" customHeight="1">
      <c r="A5241" s="4" t="s">
        <v>1248</v>
      </c>
      <c r="B5241" s="4" t="s">
        <v>13</v>
      </c>
      <c r="C5241" s="4">
        <v>0.079</v>
      </c>
      <c r="D5241" s="4">
        <v>0.012</v>
      </c>
      <c r="E5241" s="4">
        <v>0.012</v>
      </c>
      <c r="I5241" s="4">
        <v>1.0608</v>
      </c>
      <c r="J5241" s="4">
        <v>0.0294</v>
      </c>
      <c r="K5241" s="6" t="b">
        <f t="shared" ref="K5241:L5241" si="5023">FALSE()</f>
        <v>0</v>
      </c>
      <c r="L5241" s="6" t="b">
        <f t="shared" si="5023"/>
        <v>0</v>
      </c>
      <c r="M5241" s="6" t="b">
        <f>TRUE()</f>
        <v>1</v>
      </c>
      <c r="N5241" s="4">
        <v>0.0760346862759976</v>
      </c>
      <c r="P5241" s="4">
        <v>0.723094256927897</v>
      </c>
      <c r="T5241" s="4">
        <f t="shared" si="3"/>
        <v>1301</v>
      </c>
      <c r="U5241" s="4">
        <f t="shared" si="4"/>
        <v>585</v>
      </c>
    </row>
    <row r="5242" ht="15.75" customHeight="1">
      <c r="A5242" s="4" t="s">
        <v>1249</v>
      </c>
      <c r="B5242" s="4" t="s">
        <v>13</v>
      </c>
      <c r="C5242" s="4">
        <v>0.028</v>
      </c>
      <c r="D5242" s="4">
        <v>0.006</v>
      </c>
      <c r="E5242" s="4">
        <v>0.006</v>
      </c>
      <c r="I5242" s="4">
        <v>0.3533</v>
      </c>
      <c r="J5242" s="4">
        <v>9.0E-4</v>
      </c>
      <c r="K5242" s="6" t="b">
        <f t="shared" ref="K5242:M5242" si="5024">FALSE()</f>
        <v>0</v>
      </c>
      <c r="L5242" s="6" t="b">
        <f t="shared" si="5024"/>
        <v>0</v>
      </c>
      <c r="M5242" s="6" t="b">
        <f t="shared" si="5024"/>
        <v>0</v>
      </c>
      <c r="N5242" s="4">
        <v>0.0276151670329733</v>
      </c>
      <c r="P5242" s="4">
        <v>0.302546054100323</v>
      </c>
      <c r="T5242" s="4">
        <f t="shared" si="3"/>
        <v>1588</v>
      </c>
      <c r="U5242" s="4">
        <f t="shared" si="4"/>
        <v>1196</v>
      </c>
    </row>
    <row r="5243" ht="15.75" customHeight="1">
      <c r="A5243" s="4" t="s">
        <v>5961</v>
      </c>
      <c r="B5243" s="4" t="s">
        <v>13</v>
      </c>
      <c r="D5243" s="4">
        <v>0.0082</v>
      </c>
      <c r="E5243" s="4">
        <v>0.0082</v>
      </c>
      <c r="F5243" s="4">
        <v>0.0349</v>
      </c>
      <c r="G5243" s="4">
        <v>0.0082</v>
      </c>
      <c r="H5243" s="4">
        <v>0.0082</v>
      </c>
      <c r="K5243" s="6" t="b">
        <f t="shared" ref="K5243:M5243" si="5025">FALSE()</f>
        <v>0</v>
      </c>
      <c r="L5243" s="6" t="b">
        <f t="shared" si="5025"/>
        <v>0</v>
      </c>
      <c r="M5243" s="6" t="b">
        <f t="shared" si="5025"/>
        <v>0</v>
      </c>
      <c r="O5243" s="4">
        <v>0.0343048036919903</v>
      </c>
      <c r="T5243" s="4" t="str">
        <f t="shared" si="3"/>
        <v/>
      </c>
      <c r="U5243" s="4" t="str">
        <f t="shared" si="4"/>
        <v/>
      </c>
    </row>
    <row r="5244" ht="15.75" customHeight="1">
      <c r="A5244" s="4" t="s">
        <v>1250</v>
      </c>
      <c r="B5244" s="4" t="s">
        <v>13</v>
      </c>
      <c r="C5244" s="4">
        <v>0.01306</v>
      </c>
      <c r="D5244" s="4">
        <v>0.0025</v>
      </c>
      <c r="E5244" s="4">
        <v>0.0025</v>
      </c>
      <c r="I5244" s="4">
        <v>0.1766</v>
      </c>
      <c r="J5244" s="4">
        <v>0.0062</v>
      </c>
      <c r="K5244" s="6" t="b">
        <f t="shared" ref="K5244:M5244" si="5026">FALSE()</f>
        <v>0</v>
      </c>
      <c r="L5244" s="6" t="b">
        <f t="shared" si="5026"/>
        <v>0</v>
      </c>
      <c r="M5244" s="6" t="b">
        <f t="shared" si="5026"/>
        <v>0</v>
      </c>
      <c r="N5244" s="4">
        <v>0.0129754535223902</v>
      </c>
      <c r="P5244" s="4">
        <v>0.162628923448219</v>
      </c>
      <c r="T5244" s="4">
        <f t="shared" si="3"/>
        <v>1865</v>
      </c>
      <c r="U5244" s="4">
        <f t="shared" si="4"/>
        <v>2953</v>
      </c>
    </row>
    <row r="5245" ht="15.75" customHeight="1">
      <c r="A5245" s="4" t="s">
        <v>1251</v>
      </c>
      <c r="B5245" s="4" t="s">
        <v>13</v>
      </c>
      <c r="C5245" s="4">
        <v>3.14</v>
      </c>
      <c r="D5245" s="4">
        <v>0.19</v>
      </c>
      <c r="E5245" s="4">
        <v>0.19</v>
      </c>
      <c r="I5245" s="4">
        <v>1.508</v>
      </c>
      <c r="J5245" s="4">
        <v>0.062</v>
      </c>
      <c r="K5245" s="6" t="b">
        <f t="shared" ref="K5245:L5245" si="5027">FALSE()</f>
        <v>0</v>
      </c>
      <c r="L5245" s="6" t="b">
        <f t="shared" si="5027"/>
        <v>0</v>
      </c>
      <c r="M5245" s="6" t="b">
        <f>TRUE()</f>
        <v>1</v>
      </c>
      <c r="N5245" s="4">
        <v>1.42069578783722</v>
      </c>
      <c r="P5245" s="4">
        <v>0.919485622770674</v>
      </c>
      <c r="T5245" s="4">
        <f t="shared" si="3"/>
        <v>314</v>
      </c>
      <c r="U5245" s="4">
        <f t="shared" si="4"/>
        <v>110</v>
      </c>
    </row>
    <row r="5246" ht="15.75" customHeight="1">
      <c r="A5246" s="4" t="s">
        <v>1252</v>
      </c>
      <c r="B5246" s="4" t="s">
        <v>13</v>
      </c>
      <c r="C5246" s="4">
        <v>0.0302</v>
      </c>
      <c r="D5246" s="4">
        <v>0.0104</v>
      </c>
      <c r="E5246" s="4">
        <v>0.0123</v>
      </c>
      <c r="I5246" s="4">
        <v>0.1998</v>
      </c>
      <c r="J5246" s="4">
        <v>0.0205</v>
      </c>
      <c r="K5246" s="6" t="b">
        <f t="shared" ref="K5246:M5246" si="5028">FALSE()</f>
        <v>0</v>
      </c>
      <c r="L5246" s="6" t="b">
        <f t="shared" si="5028"/>
        <v>0</v>
      </c>
      <c r="M5246" s="6" t="b">
        <f t="shared" si="5028"/>
        <v>0</v>
      </c>
      <c r="N5246" s="4">
        <v>0.0297529581493477</v>
      </c>
      <c r="P5246" s="4">
        <v>0.182154876236856</v>
      </c>
      <c r="T5246" s="4">
        <f t="shared" si="3"/>
        <v>1551</v>
      </c>
      <c r="U5246" s="4">
        <f t="shared" si="4"/>
        <v>2593</v>
      </c>
    </row>
    <row r="5247" ht="15.75" customHeight="1">
      <c r="A5247" s="4" t="s">
        <v>1253</v>
      </c>
      <c r="B5247" s="4" t="s">
        <v>13</v>
      </c>
      <c r="C5247" s="4">
        <v>0.1211</v>
      </c>
      <c r="D5247" s="4">
        <v>0.0179</v>
      </c>
      <c r="E5247" s="4">
        <v>0.0179</v>
      </c>
      <c r="I5247" s="4">
        <v>0.3256</v>
      </c>
      <c r="J5247" s="4">
        <v>0.018</v>
      </c>
      <c r="K5247" s="6" t="b">
        <f t="shared" ref="K5247:M5247" si="5029">FALSE()</f>
        <v>0</v>
      </c>
      <c r="L5247" s="6" t="b">
        <f t="shared" si="5029"/>
        <v>0</v>
      </c>
      <c r="M5247" s="6" t="b">
        <f t="shared" si="5029"/>
        <v>0</v>
      </c>
      <c r="N5247" s="4">
        <v>0.114310346177411</v>
      </c>
      <c r="P5247" s="4">
        <v>0.281865187130216</v>
      </c>
      <c r="T5247" s="4">
        <f t="shared" si="3"/>
        <v>1225</v>
      </c>
      <c r="U5247" s="4">
        <f t="shared" si="4"/>
        <v>1276</v>
      </c>
    </row>
    <row r="5248" ht="15.75" customHeight="1">
      <c r="A5248" s="4" t="s">
        <v>1254</v>
      </c>
      <c r="B5248" s="4" t="s">
        <v>13</v>
      </c>
      <c r="C5248" s="4">
        <v>0.005</v>
      </c>
      <c r="D5248" s="4">
        <v>0.0016</v>
      </c>
      <c r="E5248" s="4">
        <v>0.0035</v>
      </c>
      <c r="I5248" s="4">
        <v>0.1044</v>
      </c>
      <c r="J5248" s="4">
        <v>0.0054</v>
      </c>
      <c r="K5248" s="6" t="b">
        <f t="shared" ref="K5248:M5248" si="5030">FALSE()</f>
        <v>0</v>
      </c>
      <c r="L5248" s="6" t="b">
        <f t="shared" si="5030"/>
        <v>0</v>
      </c>
      <c r="M5248" s="6" t="b">
        <f t="shared" si="5030"/>
        <v>0</v>
      </c>
      <c r="N5248" s="4">
        <v>0.004987541511039</v>
      </c>
      <c r="P5248" s="4">
        <v>0.0993022010738623</v>
      </c>
      <c r="T5248" s="4">
        <f t="shared" si="3"/>
        <v>2025</v>
      </c>
      <c r="U5248" s="4">
        <f t="shared" si="4"/>
        <v>4149</v>
      </c>
    </row>
    <row r="5249" ht="15.75" customHeight="1">
      <c r="A5249" s="4" t="s">
        <v>1255</v>
      </c>
      <c r="B5249" s="4" t="s">
        <v>13</v>
      </c>
      <c r="C5249" s="4">
        <v>0.094</v>
      </c>
      <c r="D5249" s="4">
        <v>0.094</v>
      </c>
      <c r="E5249" s="4">
        <v>0.0</v>
      </c>
      <c r="I5249" s="4">
        <v>0.196</v>
      </c>
      <c r="J5249" s="4">
        <v>0.0125</v>
      </c>
      <c r="K5249" s="6" t="b">
        <f t="shared" ref="K5249:M5249" si="5031">FALSE()</f>
        <v>0</v>
      </c>
      <c r="L5249" s="6" t="b">
        <f t="shared" si="5031"/>
        <v>0</v>
      </c>
      <c r="M5249" s="6" t="b">
        <f t="shared" si="5031"/>
        <v>0</v>
      </c>
      <c r="N5249" s="4">
        <v>0.0898407039997894</v>
      </c>
      <c r="P5249" s="4">
        <v>0.17898265552844</v>
      </c>
      <c r="T5249" s="4">
        <f t="shared" si="3"/>
        <v>1275</v>
      </c>
      <c r="U5249" s="4">
        <f t="shared" si="4"/>
        <v>2659</v>
      </c>
    </row>
    <row r="5250" ht="15.75" customHeight="1">
      <c r="A5250" s="4" t="s">
        <v>1256</v>
      </c>
      <c r="B5250" s="4" t="s">
        <v>13</v>
      </c>
      <c r="C5250" s="4">
        <v>0.01218</v>
      </c>
      <c r="D5250" s="4">
        <v>0.00223</v>
      </c>
      <c r="E5250" s="4">
        <v>0.00223</v>
      </c>
      <c r="I5250" s="4">
        <v>0.12463</v>
      </c>
      <c r="J5250" s="4">
        <v>0.00571</v>
      </c>
      <c r="K5250" s="6" t="b">
        <f t="shared" ref="K5250:M5250" si="5032">FALSE()</f>
        <v>0</v>
      </c>
      <c r="L5250" s="6" t="b">
        <f t="shared" si="5032"/>
        <v>0</v>
      </c>
      <c r="M5250" s="6" t="b">
        <f t="shared" si="5032"/>
        <v>0</v>
      </c>
      <c r="N5250" s="4">
        <v>0.0121064206617093</v>
      </c>
      <c r="P5250" s="4">
        <v>0.117454092671683</v>
      </c>
      <c r="T5250" s="4">
        <f t="shared" si="3"/>
        <v>1893</v>
      </c>
      <c r="U5250" s="4">
        <f t="shared" si="4"/>
        <v>3793</v>
      </c>
    </row>
    <row r="5251" ht="15.75" customHeight="1">
      <c r="A5251" s="4" t="s">
        <v>5962</v>
      </c>
      <c r="B5251" s="4" t="s">
        <v>13</v>
      </c>
      <c r="D5251" s="4">
        <v>2.9</v>
      </c>
      <c r="E5251" s="4">
        <v>2.9</v>
      </c>
      <c r="F5251" s="4">
        <v>11.8</v>
      </c>
      <c r="G5251" s="4">
        <v>2.9</v>
      </c>
      <c r="H5251" s="4">
        <v>2.9</v>
      </c>
      <c r="K5251" s="6" t="b">
        <f t="shared" ref="K5251:K5294" si="5033">FALSE()</f>
        <v>0</v>
      </c>
      <c r="L5251" s="6" t="b">
        <f>TRUE()</f>
        <v>1</v>
      </c>
      <c r="M5251" s="6" t="b">
        <f>FALSE()</f>
        <v>0</v>
      </c>
      <c r="O5251" s="4">
        <v>2.54944517092557</v>
      </c>
      <c r="T5251" s="4" t="str">
        <f t="shared" si="3"/>
        <v/>
      </c>
      <c r="U5251" s="4" t="str">
        <f t="shared" si="4"/>
        <v/>
      </c>
    </row>
    <row r="5252" ht="15.75" customHeight="1">
      <c r="A5252" s="4" t="s">
        <v>1257</v>
      </c>
      <c r="B5252" s="4" t="s">
        <v>13</v>
      </c>
      <c r="C5252" s="4">
        <v>0.0614</v>
      </c>
      <c r="D5252" s="4">
        <v>0.0614</v>
      </c>
      <c r="E5252" s="4">
        <v>0.0</v>
      </c>
      <c r="I5252" s="4">
        <v>0.2453</v>
      </c>
      <c r="J5252" s="4">
        <v>0.00562</v>
      </c>
      <c r="K5252" s="6" t="b">
        <f t="shared" si="5033"/>
        <v>0</v>
      </c>
      <c r="L5252" s="6" t="b">
        <f t="shared" ref="L5252:M5252" si="5034">FALSE()</f>
        <v>0</v>
      </c>
      <c r="M5252" s="6" t="b">
        <f t="shared" si="5034"/>
        <v>0</v>
      </c>
      <c r="N5252" s="4">
        <v>0.0595887914116575</v>
      </c>
      <c r="P5252" s="4">
        <v>0.219376464744966</v>
      </c>
      <c r="T5252" s="4">
        <f t="shared" si="3"/>
        <v>1352</v>
      </c>
      <c r="U5252" s="4">
        <f t="shared" si="4"/>
        <v>1869</v>
      </c>
    </row>
    <row r="5253" ht="15.75" customHeight="1">
      <c r="A5253" s="4" t="s">
        <v>1258</v>
      </c>
      <c r="B5253" s="4" t="s">
        <v>13</v>
      </c>
      <c r="C5253" s="4">
        <v>0.00396</v>
      </c>
      <c r="D5253" s="4">
        <v>4.1E-4</v>
      </c>
      <c r="E5253" s="4">
        <v>4.1E-4</v>
      </c>
      <c r="I5253" s="4">
        <v>0.1008</v>
      </c>
      <c r="J5253" s="4">
        <v>0.00393</v>
      </c>
      <c r="K5253" s="6" t="b">
        <f t="shared" si="5033"/>
        <v>0</v>
      </c>
      <c r="L5253" s="6" t="b">
        <f t="shared" ref="L5253:M5253" si="5035">FALSE()</f>
        <v>0</v>
      </c>
      <c r="M5253" s="6" t="b">
        <f t="shared" si="5035"/>
        <v>0</v>
      </c>
      <c r="N5253" s="4">
        <v>0.0039521798384279</v>
      </c>
      <c r="P5253" s="4">
        <v>0.0960371881969421</v>
      </c>
      <c r="T5253" s="4">
        <f t="shared" si="3"/>
        <v>2043</v>
      </c>
      <c r="U5253" s="4">
        <f t="shared" si="4"/>
        <v>4208</v>
      </c>
    </row>
    <row r="5254" ht="15.75" customHeight="1">
      <c r="A5254" s="4" t="s">
        <v>5963</v>
      </c>
      <c r="B5254" s="4" t="s">
        <v>13</v>
      </c>
      <c r="D5254" s="4">
        <v>5.7E-4</v>
      </c>
      <c r="E5254" s="4">
        <v>5.7E-4</v>
      </c>
      <c r="F5254" s="4">
        <v>0.00481</v>
      </c>
      <c r="G5254" s="4">
        <v>5.7E-4</v>
      </c>
      <c r="H5254" s="4">
        <v>5.7E-4</v>
      </c>
      <c r="K5254" s="6" t="b">
        <f t="shared" si="5033"/>
        <v>0</v>
      </c>
      <c r="L5254" s="6" t="b">
        <f t="shared" ref="L5254:M5254" si="5036">FALSE()</f>
        <v>0</v>
      </c>
      <c r="M5254" s="6" t="b">
        <f t="shared" si="5036"/>
        <v>0</v>
      </c>
      <c r="O5254" s="4">
        <v>0.0047984689115734</v>
      </c>
      <c r="T5254" s="4" t="str">
        <f t="shared" si="3"/>
        <v/>
      </c>
      <c r="U5254" s="4" t="str">
        <f t="shared" si="4"/>
        <v/>
      </c>
    </row>
    <row r="5255" ht="15.75" customHeight="1">
      <c r="A5255" s="4" t="s">
        <v>1259</v>
      </c>
      <c r="B5255" s="4" t="s">
        <v>13</v>
      </c>
      <c r="C5255" s="4">
        <v>0.0478</v>
      </c>
      <c r="D5255" s="4">
        <v>0.0088</v>
      </c>
      <c r="E5255" s="4">
        <v>0.0088</v>
      </c>
      <c r="I5255" s="4">
        <v>0.2329</v>
      </c>
      <c r="J5255" s="4">
        <v>0.009</v>
      </c>
      <c r="K5255" s="6" t="b">
        <f t="shared" si="5033"/>
        <v>0</v>
      </c>
      <c r="L5255" s="6" t="b">
        <f t="shared" ref="L5255:M5255" si="5037">FALSE()</f>
        <v>0</v>
      </c>
      <c r="M5255" s="6" t="b">
        <f t="shared" si="5037"/>
        <v>0</v>
      </c>
      <c r="N5255" s="4">
        <v>0.0466927279919822</v>
      </c>
      <c r="P5255" s="4">
        <v>0.20936911789237</v>
      </c>
      <c r="T5255" s="4">
        <f t="shared" si="3"/>
        <v>1412</v>
      </c>
      <c r="U5255" s="4">
        <f t="shared" si="4"/>
        <v>2063</v>
      </c>
    </row>
    <row r="5256" ht="15.75" customHeight="1">
      <c r="A5256" s="4" t="s">
        <v>1260</v>
      </c>
      <c r="B5256" s="4" t="s">
        <v>13</v>
      </c>
      <c r="C5256" s="4">
        <v>0.01517</v>
      </c>
      <c r="D5256" s="4">
        <v>0.0041</v>
      </c>
      <c r="E5256" s="4">
        <v>0.0041</v>
      </c>
      <c r="I5256" s="4">
        <v>0.14917</v>
      </c>
      <c r="J5256" s="4">
        <v>0.00633</v>
      </c>
      <c r="K5256" s="6" t="b">
        <f t="shared" si="5033"/>
        <v>0</v>
      </c>
      <c r="L5256" s="6" t="b">
        <f t="shared" ref="L5256:M5256" si="5038">FALSE()</f>
        <v>0</v>
      </c>
      <c r="M5256" s="6" t="b">
        <f t="shared" si="5038"/>
        <v>0</v>
      </c>
      <c r="N5256" s="4">
        <v>0.0150560861539833</v>
      </c>
      <c r="P5256" s="4">
        <v>0.13903994266565</v>
      </c>
      <c r="T5256" s="4">
        <f t="shared" si="3"/>
        <v>1821</v>
      </c>
      <c r="U5256" s="4">
        <f t="shared" si="4"/>
        <v>3340</v>
      </c>
    </row>
    <row r="5257" ht="15.75" customHeight="1">
      <c r="A5257" s="4" t="s">
        <v>1261</v>
      </c>
      <c r="B5257" s="4" t="s">
        <v>13</v>
      </c>
      <c r="C5257" s="4">
        <v>0.0039</v>
      </c>
      <c r="D5257" s="4">
        <v>0.0022</v>
      </c>
      <c r="E5257" s="4">
        <v>0.0022</v>
      </c>
      <c r="I5257" s="4">
        <v>0.1044</v>
      </c>
      <c r="J5257" s="4">
        <v>0.0054</v>
      </c>
      <c r="K5257" s="6" t="b">
        <f t="shared" si="5033"/>
        <v>0</v>
      </c>
      <c r="L5257" s="6" t="b">
        <f t="shared" ref="L5257:M5257" si="5039">FALSE()</f>
        <v>0</v>
      </c>
      <c r="M5257" s="6" t="b">
        <f t="shared" si="5039"/>
        <v>0</v>
      </c>
      <c r="N5257" s="4">
        <v>0.0038924147153438</v>
      </c>
      <c r="P5257" s="4">
        <v>0.0993022010738623</v>
      </c>
      <c r="T5257" s="4">
        <f t="shared" si="3"/>
        <v>2044</v>
      </c>
      <c r="U5257" s="4">
        <f t="shared" si="4"/>
        <v>4150</v>
      </c>
    </row>
    <row r="5258" ht="15.75" customHeight="1">
      <c r="A5258" s="4" t="s">
        <v>1262</v>
      </c>
      <c r="B5258" s="4" t="s">
        <v>13</v>
      </c>
      <c r="C5258" s="4">
        <v>0.00928</v>
      </c>
      <c r="D5258" s="4">
        <v>0.0025</v>
      </c>
      <c r="E5258" s="4">
        <v>0.0025</v>
      </c>
      <c r="I5258" s="4">
        <v>0.1981</v>
      </c>
      <c r="J5258" s="4">
        <v>9.0E-4</v>
      </c>
      <c r="K5258" s="6" t="b">
        <f t="shared" si="5033"/>
        <v>0</v>
      </c>
      <c r="L5258" s="6" t="b">
        <f t="shared" ref="L5258:M5258" si="5040">FALSE()</f>
        <v>0</v>
      </c>
      <c r="M5258" s="6" t="b">
        <f t="shared" si="5040"/>
        <v>0</v>
      </c>
      <c r="N5258" s="4">
        <v>0.0092372053524818</v>
      </c>
      <c r="P5258" s="4">
        <v>0.180736968663716</v>
      </c>
      <c r="T5258" s="4">
        <f t="shared" si="3"/>
        <v>1952</v>
      </c>
      <c r="U5258" s="4">
        <f t="shared" si="4"/>
        <v>2614</v>
      </c>
    </row>
    <row r="5259" ht="15.75" customHeight="1">
      <c r="A5259" s="4" t="s">
        <v>1263</v>
      </c>
      <c r="B5259" s="4" t="s">
        <v>13</v>
      </c>
      <c r="C5259" s="4">
        <v>0.028</v>
      </c>
      <c r="D5259" s="4">
        <v>0.028</v>
      </c>
      <c r="E5259" s="4">
        <v>0.0</v>
      </c>
      <c r="I5259" s="4">
        <v>0.1633</v>
      </c>
      <c r="J5259" s="4">
        <v>0.0143</v>
      </c>
      <c r="K5259" s="6" t="b">
        <f t="shared" si="5033"/>
        <v>0</v>
      </c>
      <c r="L5259" s="6" t="b">
        <f t="shared" ref="L5259:M5259" si="5041">FALSE()</f>
        <v>0</v>
      </c>
      <c r="M5259" s="6" t="b">
        <f t="shared" si="5041"/>
        <v>0</v>
      </c>
      <c r="N5259" s="4">
        <v>0.0276151670329733</v>
      </c>
      <c r="P5259" s="4">
        <v>0.151260793840584</v>
      </c>
      <c r="T5259" s="4">
        <f t="shared" si="3"/>
        <v>1589</v>
      </c>
      <c r="U5259" s="4">
        <f t="shared" si="4"/>
        <v>3135</v>
      </c>
    </row>
    <row r="5260" ht="15.75" customHeight="1">
      <c r="A5260" s="4" t="s">
        <v>1265</v>
      </c>
      <c r="B5260" s="4" t="s">
        <v>13</v>
      </c>
      <c r="C5260" s="4">
        <v>0.0101</v>
      </c>
      <c r="D5260" s="4">
        <v>7.6E-4</v>
      </c>
      <c r="E5260" s="4">
        <v>7.6E-4</v>
      </c>
      <c r="I5260" s="4">
        <v>0.1142</v>
      </c>
      <c r="J5260" s="4">
        <v>0.00348</v>
      </c>
      <c r="K5260" s="6" t="b">
        <f t="shared" si="5033"/>
        <v>0</v>
      </c>
      <c r="L5260" s="6" t="b">
        <f t="shared" ref="L5260:M5260" si="5042">FALSE()</f>
        <v>0</v>
      </c>
      <c r="M5260" s="6" t="b">
        <f t="shared" si="5042"/>
        <v>0</v>
      </c>
      <c r="N5260" s="4">
        <v>0.0100493358530014</v>
      </c>
      <c r="P5260" s="4">
        <v>0.108136658604578</v>
      </c>
      <c r="T5260" s="4">
        <f t="shared" si="3"/>
        <v>1937</v>
      </c>
      <c r="U5260" s="4">
        <f t="shared" si="4"/>
        <v>3976</v>
      </c>
    </row>
    <row r="5261" ht="15.75" customHeight="1">
      <c r="A5261" s="4" t="s">
        <v>1266</v>
      </c>
      <c r="B5261" s="4" t="s">
        <v>13</v>
      </c>
      <c r="C5261" s="4">
        <v>0.02089</v>
      </c>
      <c r="D5261" s="4">
        <v>0.00214</v>
      </c>
      <c r="E5261" s="4">
        <v>0.00214</v>
      </c>
      <c r="I5261" s="4">
        <v>0.18414</v>
      </c>
      <c r="J5261" s="4">
        <v>0.00393</v>
      </c>
      <c r="K5261" s="6" t="b">
        <f t="shared" si="5033"/>
        <v>0</v>
      </c>
      <c r="L5261" s="6" t="b">
        <f t="shared" ref="L5261:M5261" si="5043">FALSE()</f>
        <v>0</v>
      </c>
      <c r="M5261" s="6" t="b">
        <f t="shared" si="5043"/>
        <v>0</v>
      </c>
      <c r="N5261" s="4">
        <v>0.0206747958661829</v>
      </c>
      <c r="P5261" s="4">
        <v>0.169016772714876</v>
      </c>
      <c r="T5261" s="4">
        <f t="shared" si="3"/>
        <v>1709</v>
      </c>
      <c r="U5261" s="4">
        <f t="shared" si="4"/>
        <v>2834</v>
      </c>
    </row>
    <row r="5262" ht="15.75" customHeight="1">
      <c r="A5262" s="4" t="s">
        <v>1267</v>
      </c>
      <c r="B5262" s="4" t="s">
        <v>13</v>
      </c>
      <c r="C5262" s="4">
        <v>0.02303</v>
      </c>
      <c r="D5262" s="4">
        <v>0.0039</v>
      </c>
      <c r="E5262" s="4">
        <v>0.0039</v>
      </c>
      <c r="I5262" s="4">
        <v>0.1945</v>
      </c>
      <c r="J5262" s="4">
        <v>0.0036</v>
      </c>
      <c r="K5262" s="6" t="b">
        <f t="shared" si="5033"/>
        <v>0</v>
      </c>
      <c r="L5262" s="6" t="b">
        <f t="shared" ref="L5262:M5262" si="5044">FALSE()</f>
        <v>0</v>
      </c>
      <c r="M5262" s="6" t="b">
        <f t="shared" si="5044"/>
        <v>0</v>
      </c>
      <c r="N5262" s="4">
        <v>0.0227688120527014</v>
      </c>
      <c r="P5262" s="4">
        <v>0.177727687783727</v>
      </c>
      <c r="T5262" s="4">
        <f t="shared" si="3"/>
        <v>1665</v>
      </c>
      <c r="U5262" s="4">
        <f t="shared" si="4"/>
        <v>2673</v>
      </c>
    </row>
    <row r="5263" ht="15.75" customHeight="1">
      <c r="A5263" s="4" t="s">
        <v>1268</v>
      </c>
      <c r="B5263" s="4" t="s">
        <v>13</v>
      </c>
      <c r="C5263" s="4">
        <v>0.02278</v>
      </c>
      <c r="D5263" s="4">
        <v>0.00872</v>
      </c>
      <c r="E5263" s="4">
        <v>0.00903</v>
      </c>
      <c r="I5263" s="4">
        <v>0.2204</v>
      </c>
      <c r="J5263" s="4">
        <v>0.0018</v>
      </c>
      <c r="K5263" s="6" t="b">
        <f t="shared" si="5033"/>
        <v>0</v>
      </c>
      <c r="L5263" s="6" t="b">
        <f t="shared" ref="L5263:M5263" si="5045">FALSE()</f>
        <v>0</v>
      </c>
      <c r="M5263" s="6" t="b">
        <f t="shared" si="5045"/>
        <v>0</v>
      </c>
      <c r="N5263" s="4">
        <v>0.0225244100786721</v>
      </c>
      <c r="P5263" s="4">
        <v>0.199178673860378</v>
      </c>
      <c r="T5263" s="4">
        <f t="shared" si="3"/>
        <v>1673</v>
      </c>
      <c r="U5263" s="4">
        <f t="shared" si="4"/>
        <v>2254</v>
      </c>
    </row>
    <row r="5264" ht="15.75" customHeight="1">
      <c r="A5264" s="4" t="s">
        <v>1269</v>
      </c>
      <c r="B5264" s="4" t="s">
        <v>13</v>
      </c>
      <c r="C5264" s="4">
        <v>0.031</v>
      </c>
      <c r="D5264" s="4">
        <v>0.0098</v>
      </c>
      <c r="E5264" s="4">
        <v>0.0098</v>
      </c>
      <c r="I5264" s="4">
        <v>0.348</v>
      </c>
      <c r="J5264" s="4">
        <v>0.00393</v>
      </c>
      <c r="K5264" s="6" t="b">
        <f t="shared" si="5033"/>
        <v>0</v>
      </c>
      <c r="L5264" s="6" t="b">
        <f t="shared" ref="L5264:M5264" si="5046">FALSE()</f>
        <v>0</v>
      </c>
      <c r="M5264" s="6" t="b">
        <f t="shared" si="5046"/>
        <v>0</v>
      </c>
      <c r="N5264" s="4">
        <v>0.0305292050348228</v>
      </c>
      <c r="P5264" s="4">
        <v>0.298622012490115</v>
      </c>
      <c r="T5264" s="4">
        <f t="shared" si="3"/>
        <v>1538</v>
      </c>
      <c r="U5264" s="4">
        <f t="shared" si="4"/>
        <v>1216</v>
      </c>
    </row>
    <row r="5265" ht="15.75" customHeight="1">
      <c r="A5265" s="4" t="s">
        <v>1270</v>
      </c>
      <c r="B5265" s="4" t="s">
        <v>13</v>
      </c>
      <c r="C5265" s="4">
        <v>0.0576</v>
      </c>
      <c r="D5265" s="4">
        <v>0.0573</v>
      </c>
      <c r="E5265" s="4">
        <v>0.0053</v>
      </c>
      <c r="I5265" s="4">
        <v>0.29824</v>
      </c>
      <c r="J5265" s="4">
        <v>0.00348</v>
      </c>
      <c r="K5265" s="6" t="b">
        <f t="shared" si="5033"/>
        <v>0</v>
      </c>
      <c r="L5265" s="6" t="b">
        <f t="shared" ref="L5265:M5265" si="5047">FALSE()</f>
        <v>0</v>
      </c>
      <c r="M5265" s="6" t="b">
        <f t="shared" si="5047"/>
        <v>0</v>
      </c>
      <c r="N5265" s="4">
        <v>0.0560021901152847</v>
      </c>
      <c r="P5265" s="4">
        <v>0.261009501035945</v>
      </c>
      <c r="T5265" s="4">
        <f t="shared" si="3"/>
        <v>1372</v>
      </c>
      <c r="U5265" s="4">
        <f t="shared" si="4"/>
        <v>1392</v>
      </c>
    </row>
    <row r="5266" ht="15.75" customHeight="1">
      <c r="A5266" s="4" t="s">
        <v>1272</v>
      </c>
      <c r="B5266" s="4" t="s">
        <v>13</v>
      </c>
      <c r="C5266" s="4">
        <v>0.0519</v>
      </c>
      <c r="D5266" s="4">
        <v>0.016</v>
      </c>
      <c r="E5266" s="4">
        <v>0.016</v>
      </c>
      <c r="I5266" s="4">
        <v>0.3711</v>
      </c>
      <c r="J5266" s="4">
        <v>0.0116</v>
      </c>
      <c r="K5266" s="6" t="b">
        <f t="shared" si="5033"/>
        <v>0</v>
      </c>
      <c r="L5266" s="6" t="b">
        <f t="shared" ref="L5266:M5266" si="5048">FALSE()</f>
        <v>0</v>
      </c>
      <c r="M5266" s="6" t="b">
        <f t="shared" si="5048"/>
        <v>0</v>
      </c>
      <c r="N5266" s="4">
        <v>0.0505980527630913</v>
      </c>
      <c r="P5266" s="4">
        <v>0.315613337380472</v>
      </c>
      <c r="T5266" s="4">
        <f t="shared" si="3"/>
        <v>1394</v>
      </c>
      <c r="U5266" s="4">
        <f t="shared" si="4"/>
        <v>1159</v>
      </c>
    </row>
    <row r="5267" ht="15.75" customHeight="1">
      <c r="A5267" s="4" t="s">
        <v>1273</v>
      </c>
      <c r="B5267" s="4" t="s">
        <v>13</v>
      </c>
      <c r="C5267" s="4">
        <v>0.034</v>
      </c>
      <c r="D5267" s="4">
        <v>0.0085</v>
      </c>
      <c r="E5267" s="4">
        <v>0.0085</v>
      </c>
      <c r="I5267" s="4">
        <v>0.2186</v>
      </c>
      <c r="J5267" s="4">
        <v>0.008</v>
      </c>
      <c r="K5267" s="6" t="b">
        <f t="shared" si="5033"/>
        <v>0</v>
      </c>
      <c r="L5267" s="6" t="b">
        <f t="shared" ref="L5267:M5267" si="5049">FALSE()</f>
        <v>0</v>
      </c>
      <c r="M5267" s="6" t="b">
        <f t="shared" si="5049"/>
        <v>0</v>
      </c>
      <c r="N5267" s="4">
        <v>0.0334347760862373</v>
      </c>
      <c r="P5267" s="4">
        <v>0.197702658832257</v>
      </c>
      <c r="T5267" s="4">
        <f t="shared" si="3"/>
        <v>1500</v>
      </c>
      <c r="U5267" s="4">
        <f t="shared" si="4"/>
        <v>2289</v>
      </c>
    </row>
    <row r="5268" ht="15.75" customHeight="1">
      <c r="A5268" s="4" t="s">
        <v>1274</v>
      </c>
      <c r="B5268" s="4" t="s">
        <v>13</v>
      </c>
      <c r="C5268" s="4">
        <v>0.847</v>
      </c>
      <c r="D5268" s="4">
        <v>0.048</v>
      </c>
      <c r="E5268" s="4">
        <v>0.052</v>
      </c>
      <c r="I5268" s="4">
        <v>1.06</v>
      </c>
      <c r="J5268" s="4">
        <v>0.04</v>
      </c>
      <c r="K5268" s="6" t="b">
        <f t="shared" si="5033"/>
        <v>0</v>
      </c>
      <c r="L5268" s="6" t="b">
        <f t="shared" ref="L5268:L5295" si="5050">FALSE()</f>
        <v>0</v>
      </c>
      <c r="M5268" s="6" t="b">
        <f t="shared" ref="M5268:M5274" si="5051">TRUE()</f>
        <v>1</v>
      </c>
      <c r="N5268" s="4">
        <v>0.613562701217103</v>
      </c>
      <c r="P5268" s="4">
        <v>0.72270598280149</v>
      </c>
      <c r="T5268" s="4">
        <f t="shared" si="3"/>
        <v>741</v>
      </c>
      <c r="U5268" s="4">
        <f t="shared" si="4"/>
        <v>592</v>
      </c>
    </row>
    <row r="5269" ht="15.75" customHeight="1">
      <c r="A5269" s="4" t="s">
        <v>1275</v>
      </c>
      <c r="B5269" s="4" t="s">
        <v>13</v>
      </c>
      <c r="C5269" s="4">
        <v>2.51</v>
      </c>
      <c r="D5269" s="4">
        <v>0.12</v>
      </c>
      <c r="E5269" s="4">
        <v>0.12</v>
      </c>
      <c r="I5269" s="4">
        <v>1.255</v>
      </c>
      <c r="J5269" s="4">
        <v>0.019</v>
      </c>
      <c r="K5269" s="6" t="b">
        <f t="shared" si="5033"/>
        <v>0</v>
      </c>
      <c r="L5269" s="6" t="b">
        <f t="shared" si="5050"/>
        <v>0</v>
      </c>
      <c r="M5269" s="6" t="b">
        <f t="shared" si="5051"/>
        <v>1</v>
      </c>
      <c r="N5269" s="4">
        <v>1.25561603747778</v>
      </c>
      <c r="P5269" s="4">
        <v>0.813149972954642</v>
      </c>
      <c r="T5269" s="4">
        <f t="shared" si="3"/>
        <v>367</v>
      </c>
      <c r="U5269" s="4">
        <f t="shared" si="4"/>
        <v>310</v>
      </c>
    </row>
    <row r="5270" ht="15.75" customHeight="1">
      <c r="A5270" s="4" t="s">
        <v>1276</v>
      </c>
      <c r="B5270" s="4" t="s">
        <v>13</v>
      </c>
      <c r="C5270" s="4">
        <v>3.16</v>
      </c>
      <c r="D5270" s="4">
        <v>0.12</v>
      </c>
      <c r="E5270" s="4">
        <v>0.12</v>
      </c>
      <c r="I5270" s="4">
        <v>1.36</v>
      </c>
      <c r="J5270" s="4">
        <v>0.03</v>
      </c>
      <c r="K5270" s="6" t="b">
        <f t="shared" si="5033"/>
        <v>0</v>
      </c>
      <c r="L5270" s="6" t="b">
        <f t="shared" si="5050"/>
        <v>0</v>
      </c>
      <c r="M5270" s="6" t="b">
        <f t="shared" si="5051"/>
        <v>1</v>
      </c>
      <c r="N5270" s="4">
        <v>1.42551507427317</v>
      </c>
      <c r="P5270" s="4">
        <v>0.858661619037519</v>
      </c>
      <c r="T5270" s="4">
        <f t="shared" si="3"/>
        <v>311</v>
      </c>
      <c r="U5270" s="4">
        <f t="shared" si="4"/>
        <v>203</v>
      </c>
    </row>
    <row r="5271" ht="15.75" customHeight="1">
      <c r="A5271" s="4" t="s">
        <v>1277</v>
      </c>
      <c r="B5271" s="4" t="s">
        <v>13</v>
      </c>
      <c r="C5271" s="4">
        <v>1.83</v>
      </c>
      <c r="D5271" s="4">
        <v>0.47</v>
      </c>
      <c r="E5271" s="4">
        <v>0.47</v>
      </c>
      <c r="I5271" s="4">
        <v>1.878</v>
      </c>
      <c r="J5271" s="4">
        <v>0.042</v>
      </c>
      <c r="K5271" s="6" t="b">
        <f t="shared" si="5033"/>
        <v>0</v>
      </c>
      <c r="L5271" s="6" t="b">
        <f t="shared" si="5050"/>
        <v>0</v>
      </c>
      <c r="M5271" s="6" t="b">
        <f t="shared" si="5051"/>
        <v>1</v>
      </c>
      <c r="N5271" s="4">
        <v>1.04027671165515</v>
      </c>
      <c r="P5271" s="4">
        <v>1.05709560846518</v>
      </c>
      <c r="T5271" s="4">
        <f t="shared" si="3"/>
        <v>466</v>
      </c>
      <c r="U5271" s="4">
        <f t="shared" si="4"/>
        <v>21</v>
      </c>
    </row>
    <row r="5272" ht="15.75" customHeight="1">
      <c r="A5272" s="4" t="s">
        <v>1279</v>
      </c>
      <c r="B5272" s="4" t="s">
        <v>13</v>
      </c>
      <c r="C5272" s="4">
        <v>1.18</v>
      </c>
      <c r="D5272" s="4">
        <v>0.13</v>
      </c>
      <c r="E5272" s="4">
        <v>0.13</v>
      </c>
      <c r="I5272" s="4">
        <v>1.286</v>
      </c>
      <c r="J5272" s="4">
        <v>0.002</v>
      </c>
      <c r="K5272" s="6" t="b">
        <f t="shared" si="5033"/>
        <v>0</v>
      </c>
      <c r="L5272" s="6" t="b">
        <f t="shared" si="5050"/>
        <v>0</v>
      </c>
      <c r="M5272" s="6" t="b">
        <f t="shared" si="5051"/>
        <v>1</v>
      </c>
      <c r="N5272" s="4">
        <v>0.779324876800998</v>
      </c>
      <c r="P5272" s="4">
        <v>0.826803565372619</v>
      </c>
      <c r="T5272" s="4">
        <f t="shared" si="3"/>
        <v>598</v>
      </c>
      <c r="U5272" s="4">
        <f t="shared" si="4"/>
        <v>275</v>
      </c>
    </row>
    <row r="5273" ht="15.75" customHeight="1">
      <c r="A5273" s="4" t="s">
        <v>1280</v>
      </c>
      <c r="B5273" s="4" t="s">
        <v>13</v>
      </c>
      <c r="C5273" s="4">
        <v>0.99</v>
      </c>
      <c r="D5273" s="4">
        <v>0.11</v>
      </c>
      <c r="E5273" s="4">
        <v>0.11</v>
      </c>
      <c r="I5273" s="4">
        <v>1.239</v>
      </c>
      <c r="J5273" s="4">
        <v>0.039</v>
      </c>
      <c r="K5273" s="6" t="b">
        <f t="shared" si="5033"/>
        <v>0</v>
      </c>
      <c r="L5273" s="6" t="b">
        <f t="shared" si="5050"/>
        <v>0</v>
      </c>
      <c r="M5273" s="6" t="b">
        <f t="shared" si="5051"/>
        <v>1</v>
      </c>
      <c r="N5273" s="4">
        <v>0.688134638736401</v>
      </c>
      <c r="P5273" s="4">
        <v>0.806029337616618</v>
      </c>
      <c r="T5273" s="4">
        <f t="shared" si="3"/>
        <v>666</v>
      </c>
      <c r="U5273" s="4">
        <f t="shared" si="4"/>
        <v>330</v>
      </c>
    </row>
    <row r="5274" ht="15.75" customHeight="1">
      <c r="A5274" s="4" t="s">
        <v>1281</v>
      </c>
      <c r="B5274" s="4" t="s">
        <v>13</v>
      </c>
      <c r="C5274" s="4">
        <v>0.6963</v>
      </c>
      <c r="D5274" s="4">
        <v>0.0242</v>
      </c>
      <c r="E5274" s="4">
        <v>0.0242</v>
      </c>
      <c r="I5274" s="4">
        <v>0.9225</v>
      </c>
      <c r="J5274" s="4">
        <v>0.0571</v>
      </c>
      <c r="K5274" s="6" t="b">
        <f t="shared" si="5033"/>
        <v>0</v>
      </c>
      <c r="L5274" s="6" t="b">
        <f t="shared" si="5050"/>
        <v>0</v>
      </c>
      <c r="M5274" s="6" t="b">
        <f t="shared" si="5051"/>
        <v>1</v>
      </c>
      <c r="N5274" s="4">
        <v>0.52844940851954</v>
      </c>
      <c r="P5274" s="4">
        <v>0.653626422397662</v>
      </c>
      <c r="T5274" s="4">
        <f t="shared" si="3"/>
        <v>822</v>
      </c>
      <c r="U5274" s="4">
        <f t="shared" si="4"/>
        <v>750</v>
      </c>
    </row>
    <row r="5275" ht="15.75" customHeight="1">
      <c r="A5275" s="4" t="s">
        <v>1282</v>
      </c>
      <c r="B5275" s="4" t="s">
        <v>13</v>
      </c>
      <c r="C5275" s="4">
        <v>0.01545</v>
      </c>
      <c r="D5275" s="4">
        <v>0.0022</v>
      </c>
      <c r="E5275" s="4">
        <v>0.0022</v>
      </c>
      <c r="I5275" s="4">
        <v>0.1597</v>
      </c>
      <c r="J5275" s="4">
        <v>0.00723</v>
      </c>
      <c r="K5275" s="6" t="b">
        <f t="shared" si="5033"/>
        <v>0</v>
      </c>
      <c r="L5275" s="6" t="b">
        <f t="shared" si="5050"/>
        <v>0</v>
      </c>
      <c r="M5275" s="6" t="b">
        <f>FALSE()</f>
        <v>0</v>
      </c>
      <c r="N5275" s="4">
        <v>0.0153318639969816</v>
      </c>
      <c r="P5275" s="4">
        <v>0.148161350980521</v>
      </c>
      <c r="T5275" s="4">
        <f t="shared" si="3"/>
        <v>1817</v>
      </c>
      <c r="U5275" s="4">
        <f t="shared" si="4"/>
        <v>3186</v>
      </c>
    </row>
    <row r="5276" ht="15.75" customHeight="1">
      <c r="A5276" s="4" t="s">
        <v>1283</v>
      </c>
      <c r="B5276" s="4" t="s">
        <v>13</v>
      </c>
      <c r="C5276" s="4">
        <v>1.22</v>
      </c>
      <c r="D5276" s="4">
        <v>0.12</v>
      </c>
      <c r="E5276" s="4">
        <v>0.12</v>
      </c>
      <c r="I5276" s="4">
        <v>1.489</v>
      </c>
      <c r="J5276" s="4">
        <v>0.034</v>
      </c>
      <c r="K5276" s="6" t="b">
        <f t="shared" si="5033"/>
        <v>0</v>
      </c>
      <c r="L5276" s="6" t="b">
        <f t="shared" si="5050"/>
        <v>0</v>
      </c>
      <c r="M5276" s="6" t="b">
        <f>TRUE()</f>
        <v>1</v>
      </c>
      <c r="N5276" s="4">
        <v>0.797507195884188</v>
      </c>
      <c r="P5276" s="4">
        <v>0.911881023385455</v>
      </c>
      <c r="T5276" s="4">
        <f t="shared" si="3"/>
        <v>584</v>
      </c>
      <c r="U5276" s="4">
        <f t="shared" si="4"/>
        <v>125</v>
      </c>
    </row>
    <row r="5277" ht="15.75" customHeight="1">
      <c r="A5277" s="4" t="s">
        <v>1284</v>
      </c>
      <c r="B5277" s="4" t="s">
        <v>13</v>
      </c>
      <c r="C5277" s="4">
        <v>0.0132</v>
      </c>
      <c r="D5277" s="4">
        <v>0.0085</v>
      </c>
      <c r="E5277" s="4">
        <v>0.0085</v>
      </c>
      <c r="I5277" s="4">
        <v>0.214</v>
      </c>
      <c r="J5277" s="4">
        <v>0.0161</v>
      </c>
      <c r="K5277" s="6" t="b">
        <f t="shared" si="5033"/>
        <v>0</v>
      </c>
      <c r="L5277" s="6" t="b">
        <f t="shared" si="5050"/>
        <v>0</v>
      </c>
      <c r="M5277" s="6" t="b">
        <f t="shared" ref="M5277:M5279" si="5052">FALSE()</f>
        <v>0</v>
      </c>
      <c r="N5277" s="4">
        <v>0.0131136391453831</v>
      </c>
      <c r="P5277" s="4">
        <v>0.193920692637307</v>
      </c>
      <c r="T5277" s="4">
        <f t="shared" si="3"/>
        <v>1861</v>
      </c>
      <c r="U5277" s="4">
        <f t="shared" si="4"/>
        <v>2351</v>
      </c>
    </row>
    <row r="5278" ht="15.75" customHeight="1">
      <c r="A5278" s="4" t="s">
        <v>5964</v>
      </c>
      <c r="B5278" s="4" t="s">
        <v>13</v>
      </c>
      <c r="D5278" s="4">
        <v>0.078</v>
      </c>
      <c r="E5278" s="4">
        <v>0.078</v>
      </c>
      <c r="F5278" s="4">
        <v>0.602</v>
      </c>
      <c r="G5278" s="4">
        <v>0.078</v>
      </c>
      <c r="H5278" s="4">
        <v>0.078</v>
      </c>
      <c r="K5278" s="6" t="b">
        <f t="shared" si="5033"/>
        <v>0</v>
      </c>
      <c r="L5278" s="6" t="b">
        <f t="shared" si="5050"/>
        <v>0</v>
      </c>
      <c r="M5278" s="6" t="b">
        <f t="shared" si="5052"/>
        <v>0</v>
      </c>
      <c r="O5278" s="4">
        <v>0.471252848646167</v>
      </c>
      <c r="T5278" s="4" t="str">
        <f t="shared" si="3"/>
        <v/>
      </c>
      <c r="U5278" s="4" t="str">
        <f t="shared" si="4"/>
        <v/>
      </c>
    </row>
    <row r="5279" ht="15.75" customHeight="1">
      <c r="A5279" s="4" t="s">
        <v>1286</v>
      </c>
      <c r="B5279" s="4" t="s">
        <v>13</v>
      </c>
      <c r="C5279" s="4">
        <v>0.0434</v>
      </c>
      <c r="D5279" s="4">
        <v>0.0274</v>
      </c>
      <c r="E5279" s="4">
        <v>0.0299</v>
      </c>
      <c r="I5279" s="4">
        <v>0.1838</v>
      </c>
      <c r="J5279" s="4">
        <v>0.0134</v>
      </c>
      <c r="K5279" s="6" t="b">
        <f t="shared" si="5033"/>
        <v>0</v>
      </c>
      <c r="L5279" s="6" t="b">
        <f t="shared" si="5050"/>
        <v>0</v>
      </c>
      <c r="M5279" s="6" t="b">
        <f t="shared" si="5052"/>
        <v>0</v>
      </c>
      <c r="N5279" s="4">
        <v>0.0424846116061553</v>
      </c>
      <c r="P5279" s="4">
        <v>0.168729603274488</v>
      </c>
      <c r="T5279" s="4">
        <f t="shared" si="3"/>
        <v>1438</v>
      </c>
      <c r="U5279" s="4">
        <f t="shared" si="4"/>
        <v>2845</v>
      </c>
    </row>
    <row r="5280" ht="15.75" customHeight="1">
      <c r="A5280" s="4" t="s">
        <v>1287</v>
      </c>
      <c r="B5280" s="4" t="s">
        <v>13</v>
      </c>
      <c r="C5280" s="4">
        <v>0.58</v>
      </c>
      <c r="D5280" s="4">
        <v>0.055</v>
      </c>
      <c r="E5280" s="4">
        <v>0.06</v>
      </c>
      <c r="I5280" s="4">
        <v>0.97</v>
      </c>
      <c r="J5280" s="4">
        <v>0.023</v>
      </c>
      <c r="K5280" s="6" t="b">
        <f t="shared" si="5033"/>
        <v>0</v>
      </c>
      <c r="L5280" s="6" t="b">
        <f t="shared" si="5050"/>
        <v>0</v>
      </c>
      <c r="M5280" s="6" t="b">
        <f>TRUE()</f>
        <v>1</v>
      </c>
      <c r="N5280" s="4">
        <v>0.457424847038875</v>
      </c>
      <c r="P5280" s="4">
        <v>0.678033542749897</v>
      </c>
      <c r="T5280" s="4">
        <f t="shared" si="3"/>
        <v>901</v>
      </c>
      <c r="U5280" s="4">
        <f t="shared" si="4"/>
        <v>702</v>
      </c>
    </row>
    <row r="5281" ht="15.75" customHeight="1">
      <c r="A5281" s="4" t="s">
        <v>1288</v>
      </c>
      <c r="B5281" s="4" t="s">
        <v>13</v>
      </c>
      <c r="C5281" s="4">
        <v>0.01001</v>
      </c>
      <c r="D5281" s="4">
        <v>0.0022</v>
      </c>
      <c r="E5281" s="4">
        <v>0.0035</v>
      </c>
      <c r="I5281" s="4">
        <v>0.13079</v>
      </c>
      <c r="J5281" s="4">
        <v>0.00437</v>
      </c>
      <c r="K5281" s="6" t="b">
        <f t="shared" si="5033"/>
        <v>0</v>
      </c>
      <c r="L5281" s="6" t="b">
        <f t="shared" si="5050"/>
        <v>0</v>
      </c>
      <c r="M5281" s="6" t="b">
        <f t="shared" ref="M5281:M5289" si="5053">FALSE()</f>
        <v>0</v>
      </c>
      <c r="N5281" s="4">
        <v>0.0099602317942526</v>
      </c>
      <c r="P5281" s="4">
        <v>0.122916503501415</v>
      </c>
      <c r="T5281" s="4">
        <f t="shared" si="3"/>
        <v>1938</v>
      </c>
      <c r="U5281" s="4">
        <f t="shared" si="4"/>
        <v>3684</v>
      </c>
    </row>
    <row r="5282" ht="15.75" customHeight="1">
      <c r="A5282" s="4" t="s">
        <v>1289</v>
      </c>
      <c r="B5282" s="4" t="s">
        <v>13</v>
      </c>
      <c r="C5282" s="4">
        <v>0.025</v>
      </c>
      <c r="D5282" s="4">
        <v>0.006</v>
      </c>
      <c r="E5282" s="4">
        <v>0.006</v>
      </c>
      <c r="I5282" s="4">
        <v>0.232</v>
      </c>
      <c r="J5282" s="4">
        <v>0.027</v>
      </c>
      <c r="K5282" s="6" t="b">
        <f t="shared" si="5033"/>
        <v>0</v>
      </c>
      <c r="L5282" s="6" t="b">
        <f t="shared" si="5050"/>
        <v>0</v>
      </c>
      <c r="M5282" s="6" t="b">
        <f t="shared" si="5053"/>
        <v>0</v>
      </c>
      <c r="N5282" s="4">
        <v>0.0246926125903715</v>
      </c>
      <c r="P5282" s="4">
        <v>0.208638865111328</v>
      </c>
      <c r="T5282" s="4">
        <f t="shared" si="3"/>
        <v>1637</v>
      </c>
      <c r="U5282" s="4">
        <f t="shared" si="4"/>
        <v>2088</v>
      </c>
    </row>
    <row r="5283" ht="15.75" customHeight="1">
      <c r="A5283" s="4" t="s">
        <v>1290</v>
      </c>
      <c r="B5283" s="4" t="s">
        <v>13</v>
      </c>
      <c r="C5283" s="4">
        <v>0.00966</v>
      </c>
      <c r="D5283" s="4">
        <v>9.0E-4</v>
      </c>
      <c r="E5283" s="4">
        <v>9.0E-4</v>
      </c>
      <c r="I5283" s="4">
        <v>0.1267</v>
      </c>
      <c r="J5283" s="4">
        <v>0.0054</v>
      </c>
      <c r="K5283" s="6" t="b">
        <f t="shared" si="5033"/>
        <v>0</v>
      </c>
      <c r="L5283" s="6" t="b">
        <f t="shared" si="5050"/>
        <v>0</v>
      </c>
      <c r="M5283" s="6" t="b">
        <f t="shared" si="5053"/>
        <v>0</v>
      </c>
      <c r="N5283" s="4">
        <v>0.0096136405159708</v>
      </c>
      <c r="P5283" s="4">
        <v>0.119293006187983</v>
      </c>
      <c r="T5283" s="4">
        <f t="shared" si="3"/>
        <v>1946</v>
      </c>
      <c r="U5283" s="4">
        <f t="shared" si="4"/>
        <v>3754</v>
      </c>
    </row>
    <row r="5284" ht="15.75" customHeight="1">
      <c r="A5284" s="4" t="s">
        <v>1291</v>
      </c>
      <c r="B5284" s="4" t="s">
        <v>13</v>
      </c>
      <c r="C5284" s="4">
        <v>0.0459</v>
      </c>
      <c r="D5284" s="4">
        <v>0.017</v>
      </c>
      <c r="E5284" s="4">
        <v>0.017</v>
      </c>
      <c r="I5284" s="4">
        <v>0.2614</v>
      </c>
      <c r="J5284" s="4">
        <v>0.0143</v>
      </c>
      <c r="K5284" s="6" t="b">
        <f t="shared" si="5033"/>
        <v>0</v>
      </c>
      <c r="L5284" s="6" t="b">
        <f t="shared" si="5050"/>
        <v>0</v>
      </c>
      <c r="M5284" s="6" t="b">
        <f t="shared" si="5053"/>
        <v>0</v>
      </c>
      <c r="N5284" s="4">
        <v>0.0448777587780854</v>
      </c>
      <c r="P5284" s="4">
        <v>0.232222215247414</v>
      </c>
      <c r="T5284" s="4">
        <f t="shared" si="3"/>
        <v>1427</v>
      </c>
      <c r="U5284" s="4">
        <f t="shared" si="4"/>
        <v>1667</v>
      </c>
    </row>
    <row r="5285" ht="15.75" customHeight="1">
      <c r="A5285" s="4" t="s">
        <v>1293</v>
      </c>
      <c r="B5285" s="4" t="s">
        <v>13</v>
      </c>
      <c r="C5285" s="4">
        <v>0.0088</v>
      </c>
      <c r="D5285" s="4">
        <v>0.003</v>
      </c>
      <c r="E5285" s="4">
        <v>0.0069</v>
      </c>
      <c r="I5285" s="4">
        <v>0.1258</v>
      </c>
      <c r="J5285" s="4">
        <v>0.009</v>
      </c>
      <c r="K5285" s="6" t="b">
        <f t="shared" si="5033"/>
        <v>0</v>
      </c>
      <c r="L5285" s="6" t="b">
        <f t="shared" si="5050"/>
        <v>0</v>
      </c>
      <c r="M5285" s="6" t="b">
        <f t="shared" si="5053"/>
        <v>0</v>
      </c>
      <c r="N5285" s="4">
        <v>0.0087615056685727</v>
      </c>
      <c r="P5285" s="4">
        <v>0.118493894047789</v>
      </c>
      <c r="T5285" s="4">
        <f t="shared" si="3"/>
        <v>1967</v>
      </c>
      <c r="U5285" s="4">
        <f t="shared" si="4"/>
        <v>3778</v>
      </c>
    </row>
    <row r="5286" ht="15.75" customHeight="1">
      <c r="A5286" s="4" t="s">
        <v>1294</v>
      </c>
      <c r="B5286" s="4" t="s">
        <v>13</v>
      </c>
      <c r="C5286" s="4">
        <v>0.0809</v>
      </c>
      <c r="I5286" s="4">
        <v>0.48702</v>
      </c>
      <c r="J5286" s="4">
        <v>0.071</v>
      </c>
      <c r="K5286" s="6" t="b">
        <f t="shared" si="5033"/>
        <v>0</v>
      </c>
      <c r="L5286" s="6" t="b">
        <f t="shared" si="5050"/>
        <v>0</v>
      </c>
      <c r="M5286" s="6" t="b">
        <f t="shared" si="5053"/>
        <v>0</v>
      </c>
      <c r="N5286" s="4">
        <v>0.0777940274400201</v>
      </c>
      <c r="P5286" s="4">
        <v>0.396774117286695</v>
      </c>
      <c r="T5286" s="4">
        <f t="shared" si="3"/>
        <v>1294</v>
      </c>
      <c r="U5286" s="4">
        <f t="shared" si="4"/>
        <v>1024</v>
      </c>
    </row>
    <row r="5287" ht="15.75" customHeight="1">
      <c r="A5287" s="4" t="s">
        <v>5965</v>
      </c>
      <c r="B5287" s="4" t="s">
        <v>13</v>
      </c>
      <c r="D5287" s="4">
        <v>0.037</v>
      </c>
      <c r="E5287" s="4">
        <v>0.037</v>
      </c>
      <c r="F5287" s="4">
        <v>0.929</v>
      </c>
      <c r="G5287" s="4">
        <v>0.037</v>
      </c>
      <c r="H5287" s="4">
        <v>0.037</v>
      </c>
      <c r="K5287" s="6" t="b">
        <f t="shared" si="5033"/>
        <v>0</v>
      </c>
      <c r="L5287" s="6" t="b">
        <f t="shared" si="5050"/>
        <v>0</v>
      </c>
      <c r="M5287" s="6" t="b">
        <f t="shared" si="5053"/>
        <v>0</v>
      </c>
      <c r="O5287" s="4">
        <v>0.657001733923592</v>
      </c>
      <c r="T5287" s="4" t="str">
        <f t="shared" si="3"/>
        <v/>
      </c>
      <c r="U5287" s="4" t="str">
        <f t="shared" si="4"/>
        <v/>
      </c>
    </row>
    <row r="5288" ht="15.75" customHeight="1">
      <c r="A5288" s="4" t="s">
        <v>1295</v>
      </c>
      <c r="B5288" s="4" t="s">
        <v>13</v>
      </c>
      <c r="C5288" s="4">
        <v>0.0182</v>
      </c>
      <c r="D5288" s="4">
        <v>0.0016</v>
      </c>
      <c r="E5288" s="4">
        <v>0.0016</v>
      </c>
      <c r="I5288" s="4">
        <v>0.17</v>
      </c>
      <c r="J5288" s="4">
        <v>0.0143</v>
      </c>
      <c r="K5288" s="6" t="b">
        <f t="shared" si="5033"/>
        <v>0</v>
      </c>
      <c r="L5288" s="6" t="b">
        <f t="shared" si="5050"/>
        <v>0</v>
      </c>
      <c r="M5288" s="6" t="b">
        <f t="shared" si="5053"/>
        <v>0</v>
      </c>
      <c r="N5288" s="4">
        <v>0.0180363624860985</v>
      </c>
      <c r="P5288" s="4">
        <v>0.157003748809665</v>
      </c>
      <c r="T5288" s="4">
        <f t="shared" si="3"/>
        <v>1769</v>
      </c>
      <c r="U5288" s="4">
        <f t="shared" si="4"/>
        <v>3059</v>
      </c>
    </row>
    <row r="5289" ht="15.75" customHeight="1">
      <c r="A5289" s="4" t="s">
        <v>1296</v>
      </c>
      <c r="B5289" s="4" t="s">
        <v>13</v>
      </c>
      <c r="C5289" s="4">
        <v>0.1787</v>
      </c>
      <c r="D5289" s="4">
        <v>0.1787</v>
      </c>
      <c r="E5289" s="4">
        <v>0.0</v>
      </c>
      <c r="I5289" s="4">
        <v>0.2891</v>
      </c>
      <c r="J5289" s="4">
        <v>0.0107</v>
      </c>
      <c r="K5289" s="6" t="b">
        <f t="shared" si="5033"/>
        <v>0</v>
      </c>
      <c r="L5289" s="6" t="b">
        <f t="shared" si="5050"/>
        <v>0</v>
      </c>
      <c r="M5289" s="6" t="b">
        <f t="shared" si="5053"/>
        <v>0</v>
      </c>
      <c r="N5289" s="4">
        <v>0.164412136250387</v>
      </c>
      <c r="P5289" s="4">
        <v>0.253944300466922</v>
      </c>
      <c r="T5289" s="4">
        <f t="shared" si="3"/>
        <v>1173</v>
      </c>
      <c r="U5289" s="4">
        <f t="shared" si="4"/>
        <v>1442</v>
      </c>
    </row>
    <row r="5290" ht="15.75" customHeight="1">
      <c r="A5290" s="4" t="s">
        <v>1297</v>
      </c>
      <c r="B5290" s="4" t="s">
        <v>13</v>
      </c>
      <c r="C5290" s="4">
        <v>0.791</v>
      </c>
      <c r="D5290" s="4">
        <v>0.06</v>
      </c>
      <c r="E5290" s="4">
        <v>0.064</v>
      </c>
      <c r="I5290" s="4">
        <v>1.086</v>
      </c>
      <c r="J5290" s="4">
        <v>0.048</v>
      </c>
      <c r="K5290" s="6" t="b">
        <f t="shared" si="5033"/>
        <v>0</v>
      </c>
      <c r="L5290" s="6" t="b">
        <f t="shared" si="5050"/>
        <v>0</v>
      </c>
      <c r="M5290" s="6" t="b">
        <f>TRUE()</f>
        <v>1</v>
      </c>
      <c r="N5290" s="4">
        <v>0.582774123078575</v>
      </c>
      <c r="P5290" s="4">
        <v>0.735248356578581</v>
      </c>
      <c r="T5290" s="4">
        <f t="shared" si="3"/>
        <v>778</v>
      </c>
      <c r="U5290" s="4">
        <f t="shared" si="4"/>
        <v>541</v>
      </c>
    </row>
    <row r="5291" ht="15.75" customHeight="1">
      <c r="A5291" s="4" t="s">
        <v>1299</v>
      </c>
      <c r="B5291" s="4" t="s">
        <v>13</v>
      </c>
      <c r="C5291" s="4">
        <v>0.0579</v>
      </c>
      <c r="D5291" s="4">
        <v>0.0148</v>
      </c>
      <c r="E5291" s="4">
        <v>0.0148</v>
      </c>
      <c r="I5291" s="4">
        <v>0.4595</v>
      </c>
      <c r="J5291" s="4">
        <v>0.0107</v>
      </c>
      <c r="K5291" s="6" t="b">
        <f t="shared" si="5033"/>
        <v>0</v>
      </c>
      <c r="L5291" s="6" t="b">
        <f t="shared" si="5050"/>
        <v>0</v>
      </c>
      <c r="M5291" s="6" t="b">
        <f t="shared" ref="M5291:M5294" si="5054">FALSE()</f>
        <v>0</v>
      </c>
      <c r="N5291" s="4">
        <v>0.0562858110105918</v>
      </c>
      <c r="P5291" s="4">
        <v>0.378093911312032</v>
      </c>
      <c r="T5291" s="4">
        <f t="shared" si="3"/>
        <v>1371</v>
      </c>
      <c r="U5291" s="4">
        <f t="shared" si="4"/>
        <v>1049</v>
      </c>
    </row>
    <row r="5292" ht="15.75" customHeight="1">
      <c r="A5292" s="4" t="s">
        <v>1300</v>
      </c>
      <c r="B5292" s="4" t="s">
        <v>13</v>
      </c>
      <c r="C5292" s="4">
        <v>0.0151</v>
      </c>
      <c r="D5292" s="4">
        <v>0.0066</v>
      </c>
      <c r="E5292" s="4">
        <v>0.0066</v>
      </c>
      <c r="I5292" s="4">
        <v>0.2471</v>
      </c>
      <c r="J5292" s="4">
        <v>0.0161</v>
      </c>
      <c r="K5292" s="6" t="b">
        <f t="shared" si="5033"/>
        <v>0</v>
      </c>
      <c r="L5292" s="6" t="b">
        <f t="shared" si="5050"/>
        <v>0</v>
      </c>
      <c r="M5292" s="6" t="b">
        <f t="shared" si="5054"/>
        <v>0</v>
      </c>
      <c r="N5292" s="4">
        <v>0.0149871298082483</v>
      </c>
      <c r="P5292" s="4">
        <v>0.220820855944564</v>
      </c>
      <c r="T5292" s="4">
        <f t="shared" si="3"/>
        <v>1823</v>
      </c>
      <c r="U5292" s="4">
        <f t="shared" si="4"/>
        <v>1845</v>
      </c>
    </row>
    <row r="5293" ht="15.75" customHeight="1">
      <c r="A5293" s="4" t="s">
        <v>1301</v>
      </c>
      <c r="B5293" s="4" t="s">
        <v>13</v>
      </c>
      <c r="C5293" s="4">
        <v>0.0327</v>
      </c>
      <c r="D5293" s="4">
        <v>0.0151</v>
      </c>
      <c r="E5293" s="4">
        <v>0.0164</v>
      </c>
      <c r="I5293" s="4">
        <v>0.27</v>
      </c>
      <c r="J5293" s="4">
        <v>0.0152</v>
      </c>
      <c r="K5293" s="6" t="b">
        <f t="shared" si="5033"/>
        <v>0</v>
      </c>
      <c r="L5293" s="6" t="b">
        <f t="shared" si="5050"/>
        <v>0</v>
      </c>
      <c r="M5293" s="6" t="b">
        <f t="shared" si="5054"/>
        <v>0</v>
      </c>
      <c r="N5293" s="4">
        <v>0.0321767316952212</v>
      </c>
      <c r="P5293" s="4">
        <v>0.2390169004705</v>
      </c>
      <c r="T5293" s="4">
        <f t="shared" si="3"/>
        <v>1519</v>
      </c>
      <c r="U5293" s="4">
        <f t="shared" si="4"/>
        <v>1591</v>
      </c>
    </row>
    <row r="5294" ht="15.75" customHeight="1">
      <c r="A5294" s="4" t="s">
        <v>1302</v>
      </c>
      <c r="B5294" s="4" t="s">
        <v>13</v>
      </c>
      <c r="C5294" s="4">
        <v>0.08426</v>
      </c>
      <c r="D5294" s="4">
        <v>0.01614</v>
      </c>
      <c r="E5294" s="4">
        <v>0.01708</v>
      </c>
      <c r="I5294" s="4">
        <v>0.4505</v>
      </c>
      <c r="J5294" s="4">
        <v>0.0152</v>
      </c>
      <c r="K5294" s="6" t="b">
        <f t="shared" si="5033"/>
        <v>0</v>
      </c>
      <c r="L5294" s="6" t="b">
        <f t="shared" si="5050"/>
        <v>0</v>
      </c>
      <c r="M5294" s="6" t="b">
        <f t="shared" si="5054"/>
        <v>0</v>
      </c>
      <c r="N5294" s="4">
        <v>0.0808977266559905</v>
      </c>
      <c r="P5294" s="4">
        <v>0.371908324579322</v>
      </c>
      <c r="T5294" s="4">
        <f t="shared" si="3"/>
        <v>1287</v>
      </c>
      <c r="U5294" s="4">
        <f t="shared" si="4"/>
        <v>1058</v>
      </c>
    </row>
    <row r="5295" ht="15.75" customHeight="1">
      <c r="A5295" s="4" t="s">
        <v>1303</v>
      </c>
      <c r="B5295" s="4" t="s">
        <v>13</v>
      </c>
      <c r="C5295" s="4">
        <v>5.41</v>
      </c>
      <c r="D5295" s="4">
        <v>0.2</v>
      </c>
      <c r="E5295" s="4">
        <v>0.2</v>
      </c>
      <c r="I5295" s="4">
        <v>0.965</v>
      </c>
      <c r="J5295" s="4">
        <v>0.033</v>
      </c>
      <c r="K5295" s="6" t="b">
        <f>TRUE()</f>
        <v>1</v>
      </c>
      <c r="L5295" s="6" t="b">
        <f t="shared" si="5050"/>
        <v>0</v>
      </c>
      <c r="M5295" s="6" t="b">
        <f>TRUE()</f>
        <v>1</v>
      </c>
      <c r="N5295" s="4">
        <v>1.85785927093258</v>
      </c>
      <c r="P5295" s="4">
        <v>0.675492245321225</v>
      </c>
      <c r="T5295" s="4">
        <f t="shared" si="3"/>
        <v>194</v>
      </c>
      <c r="U5295" s="4">
        <f t="shared" si="4"/>
        <v>706</v>
      </c>
    </row>
    <row r="5296" ht="15.75" customHeight="1">
      <c r="A5296" s="4" t="s">
        <v>1305</v>
      </c>
      <c r="B5296" s="4" t="s">
        <v>13</v>
      </c>
      <c r="C5296" s="4">
        <v>0.0374</v>
      </c>
      <c r="D5296" s="4">
        <v>0.005</v>
      </c>
      <c r="E5296" s="4">
        <v>0.005</v>
      </c>
      <c r="I5296" s="4">
        <v>0.2721</v>
      </c>
      <c r="J5296" s="4">
        <v>0.017</v>
      </c>
      <c r="K5296" s="6" t="b">
        <f t="shared" ref="K5296:M5296" si="5055">FALSE()</f>
        <v>0</v>
      </c>
      <c r="L5296" s="6" t="b">
        <f t="shared" si="5055"/>
        <v>0</v>
      </c>
      <c r="M5296" s="6" t="b">
        <f t="shared" si="5055"/>
        <v>0</v>
      </c>
      <c r="N5296" s="4">
        <v>0.0367175829351627</v>
      </c>
      <c r="P5296" s="4">
        <v>0.240669078180028</v>
      </c>
      <c r="T5296" s="4">
        <f t="shared" si="3"/>
        <v>1472</v>
      </c>
      <c r="U5296" s="4">
        <f t="shared" si="4"/>
        <v>1568</v>
      </c>
    </row>
    <row r="5297" ht="15.75" customHeight="1">
      <c r="A5297" s="4" t="s">
        <v>5966</v>
      </c>
      <c r="B5297" s="4" t="s">
        <v>13</v>
      </c>
      <c r="D5297" s="4">
        <v>0.39</v>
      </c>
      <c r="E5297" s="4">
        <v>0.39</v>
      </c>
      <c r="F5297" s="4">
        <v>8.26</v>
      </c>
      <c r="G5297" s="4">
        <v>0.39</v>
      </c>
      <c r="H5297" s="4">
        <v>0.39</v>
      </c>
      <c r="K5297" s="6" t="b">
        <f t="shared" ref="K5297:K5348" si="5056">FALSE()</f>
        <v>0</v>
      </c>
      <c r="L5297" s="6" t="b">
        <f>TRUE()</f>
        <v>1</v>
      </c>
      <c r="M5297" s="6" t="b">
        <f>FALSE()</f>
        <v>0</v>
      </c>
      <c r="O5297" s="4">
        <v>2.22570404865809</v>
      </c>
      <c r="T5297" s="4" t="str">
        <f t="shared" si="3"/>
        <v/>
      </c>
      <c r="U5297" s="4" t="str">
        <f t="shared" si="4"/>
        <v/>
      </c>
    </row>
    <row r="5298" ht="15.75" customHeight="1">
      <c r="A5298" s="4" t="s">
        <v>1306</v>
      </c>
      <c r="B5298" s="4" t="s">
        <v>13</v>
      </c>
      <c r="C5298" s="4">
        <v>0.013</v>
      </c>
      <c r="D5298" s="4">
        <v>0.0047</v>
      </c>
      <c r="E5298" s="4">
        <v>0.0085</v>
      </c>
      <c r="I5298" s="4">
        <v>0.15122</v>
      </c>
      <c r="J5298" s="4">
        <v>0.00758</v>
      </c>
      <c r="K5298" s="6" t="b">
        <f t="shared" si="5056"/>
        <v>0</v>
      </c>
      <c r="L5298" s="6" t="b">
        <f t="shared" ref="L5298:M5298" si="5057">FALSE()</f>
        <v>0</v>
      </c>
      <c r="M5298" s="6" t="b">
        <f t="shared" si="5057"/>
        <v>0</v>
      </c>
      <c r="N5298" s="4">
        <v>0.0129162252665463</v>
      </c>
      <c r="P5298" s="4">
        <v>0.140822249615926</v>
      </c>
      <c r="T5298" s="4">
        <f t="shared" si="3"/>
        <v>1872</v>
      </c>
      <c r="U5298" s="4">
        <f t="shared" si="4"/>
        <v>3303</v>
      </c>
    </row>
    <row r="5299" ht="15.75" customHeight="1">
      <c r="A5299" s="4" t="s">
        <v>1307</v>
      </c>
      <c r="B5299" s="4" t="s">
        <v>13</v>
      </c>
      <c r="C5299" s="4">
        <v>0.0305</v>
      </c>
      <c r="D5299" s="4">
        <v>0.006</v>
      </c>
      <c r="E5299" s="4">
        <v>0.006</v>
      </c>
      <c r="I5299" s="4">
        <v>0.2114</v>
      </c>
      <c r="J5299" s="4">
        <v>0.0045</v>
      </c>
      <c r="K5299" s="6" t="b">
        <f t="shared" si="5056"/>
        <v>0</v>
      </c>
      <c r="L5299" s="6" t="b">
        <f t="shared" ref="L5299:M5299" si="5058">FALSE()</f>
        <v>0</v>
      </c>
      <c r="M5299" s="6" t="b">
        <f t="shared" si="5058"/>
        <v>0</v>
      </c>
      <c r="N5299" s="4">
        <v>0.0300441213483766</v>
      </c>
      <c r="P5299" s="4">
        <v>0.19177671556471</v>
      </c>
      <c r="T5299" s="4">
        <f t="shared" si="3"/>
        <v>1544</v>
      </c>
      <c r="U5299" s="4">
        <f t="shared" si="4"/>
        <v>2383</v>
      </c>
    </row>
    <row r="5300" ht="15.75" customHeight="1">
      <c r="A5300" s="4" t="s">
        <v>1308</v>
      </c>
      <c r="B5300" s="4" t="s">
        <v>13</v>
      </c>
      <c r="C5300" s="4">
        <v>0.06</v>
      </c>
      <c r="D5300" s="4">
        <v>0.041</v>
      </c>
      <c r="E5300" s="4">
        <v>0.069</v>
      </c>
      <c r="I5300" s="4">
        <v>0.124</v>
      </c>
      <c r="J5300" s="4">
        <v>0.018</v>
      </c>
      <c r="K5300" s="6" t="b">
        <f t="shared" si="5056"/>
        <v>0</v>
      </c>
      <c r="L5300" s="6" t="b">
        <f t="shared" ref="L5300:M5300" si="5059">FALSE()</f>
        <v>0</v>
      </c>
      <c r="M5300" s="6" t="b">
        <f t="shared" si="5059"/>
        <v>0</v>
      </c>
      <c r="N5300" s="4">
        <v>0.0582689081239757</v>
      </c>
      <c r="P5300" s="4">
        <v>0.116893751471499</v>
      </c>
      <c r="T5300" s="4">
        <f t="shared" si="3"/>
        <v>1360</v>
      </c>
      <c r="U5300" s="4">
        <f t="shared" si="4"/>
        <v>3805</v>
      </c>
    </row>
    <row r="5301" ht="15.75" customHeight="1">
      <c r="A5301" s="4" t="s">
        <v>1309</v>
      </c>
      <c r="B5301" s="4" t="s">
        <v>13</v>
      </c>
      <c r="C5301" s="4">
        <v>0.0066</v>
      </c>
      <c r="D5301" s="4">
        <v>0.005</v>
      </c>
      <c r="E5301" s="4">
        <v>0.0179</v>
      </c>
      <c r="I5301" s="4">
        <v>0.1891</v>
      </c>
      <c r="J5301" s="4">
        <v>0.0107</v>
      </c>
      <c r="K5301" s="6" t="b">
        <f t="shared" si="5056"/>
        <v>0</v>
      </c>
      <c r="L5301" s="6" t="b">
        <f t="shared" ref="L5301:M5301" si="5060">FALSE()</f>
        <v>0</v>
      </c>
      <c r="M5301" s="6" t="b">
        <f t="shared" si="5060"/>
        <v>0</v>
      </c>
      <c r="N5301" s="4">
        <v>0.0065783153601225</v>
      </c>
      <c r="P5301" s="4">
        <v>0.173196718461396</v>
      </c>
      <c r="T5301" s="4">
        <f t="shared" si="3"/>
        <v>1997</v>
      </c>
      <c r="U5301" s="4">
        <f t="shared" si="4"/>
        <v>2748</v>
      </c>
    </row>
    <row r="5302" ht="15.75" customHeight="1">
      <c r="A5302" s="4" t="s">
        <v>1310</v>
      </c>
      <c r="B5302" s="4" t="s">
        <v>13</v>
      </c>
      <c r="C5302" s="4">
        <v>0.0135</v>
      </c>
      <c r="D5302" s="4">
        <v>0.011</v>
      </c>
      <c r="E5302" s="4">
        <v>0.0195</v>
      </c>
      <c r="I5302" s="4">
        <v>0.2248</v>
      </c>
      <c r="J5302" s="4">
        <v>0.0134</v>
      </c>
      <c r="K5302" s="6" t="b">
        <f t="shared" si="5056"/>
        <v>0</v>
      </c>
      <c r="L5302" s="6" t="b">
        <f t="shared" ref="L5302:M5302" si="5061">FALSE()</f>
        <v>0</v>
      </c>
      <c r="M5302" s="6" t="b">
        <f t="shared" si="5061"/>
        <v>0</v>
      </c>
      <c r="N5302" s="4">
        <v>0.0134096869099176</v>
      </c>
      <c r="P5302" s="4">
        <v>0.202777565361337</v>
      </c>
      <c r="T5302" s="4">
        <f t="shared" si="3"/>
        <v>1856</v>
      </c>
      <c r="U5302" s="4">
        <f t="shared" si="4"/>
        <v>2192</v>
      </c>
    </row>
    <row r="5303" ht="15.75" customHeight="1">
      <c r="A5303" s="4" t="s">
        <v>1312</v>
      </c>
      <c r="B5303" s="4" t="s">
        <v>13</v>
      </c>
      <c r="C5303" s="4">
        <v>0.0538</v>
      </c>
      <c r="D5303" s="4">
        <v>0.0101</v>
      </c>
      <c r="E5303" s="4">
        <v>0.0101</v>
      </c>
      <c r="I5303" s="4">
        <v>0.2489</v>
      </c>
      <c r="J5303" s="4">
        <v>0.0259</v>
      </c>
      <c r="K5303" s="6" t="b">
        <f t="shared" si="5056"/>
        <v>0</v>
      </c>
      <c r="L5303" s="6" t="b">
        <f t="shared" ref="L5303:M5303" si="5062">FALSE()</f>
        <v>0</v>
      </c>
      <c r="M5303" s="6" t="b">
        <f t="shared" si="5062"/>
        <v>0</v>
      </c>
      <c r="N5303" s="4">
        <v>0.0524026787930483</v>
      </c>
      <c r="P5303" s="4">
        <v>0.222263163886902</v>
      </c>
      <c r="T5303" s="4">
        <f t="shared" si="3"/>
        <v>1383</v>
      </c>
      <c r="U5303" s="4">
        <f t="shared" si="4"/>
        <v>1828</v>
      </c>
    </row>
    <row r="5304" ht="15.75" customHeight="1">
      <c r="A5304" s="4" t="s">
        <v>1313</v>
      </c>
      <c r="B5304" s="4" t="s">
        <v>13</v>
      </c>
      <c r="C5304" s="4">
        <v>0.0522</v>
      </c>
      <c r="D5304" s="4">
        <v>0.0164</v>
      </c>
      <c r="E5304" s="4">
        <v>0.0164</v>
      </c>
      <c r="I5304" s="4">
        <v>0.2088</v>
      </c>
      <c r="J5304" s="4">
        <v>0.0054</v>
      </c>
      <c r="K5304" s="6" t="b">
        <f t="shared" si="5056"/>
        <v>0</v>
      </c>
      <c r="L5304" s="6" t="b">
        <f t="shared" ref="L5304:M5304" si="5063">FALSE()</f>
        <v>0</v>
      </c>
      <c r="M5304" s="6" t="b">
        <f t="shared" si="5063"/>
        <v>0</v>
      </c>
      <c r="N5304" s="4">
        <v>0.0508832103145698</v>
      </c>
      <c r="P5304" s="4">
        <v>0.189628131976393</v>
      </c>
      <c r="T5304" s="4">
        <f t="shared" si="3"/>
        <v>1391</v>
      </c>
      <c r="U5304" s="4">
        <f t="shared" si="4"/>
        <v>2443</v>
      </c>
    </row>
    <row r="5305" ht="15.75" customHeight="1">
      <c r="A5305" s="4" t="s">
        <v>1314</v>
      </c>
      <c r="B5305" s="4" t="s">
        <v>13</v>
      </c>
      <c r="C5305" s="4">
        <v>0.0217</v>
      </c>
      <c r="D5305" s="4">
        <v>0.0198</v>
      </c>
      <c r="E5305" s="4">
        <v>0.0198</v>
      </c>
      <c r="I5305" s="4">
        <v>0.303</v>
      </c>
      <c r="J5305" s="4">
        <v>0.018</v>
      </c>
      <c r="K5305" s="6" t="b">
        <f t="shared" si="5056"/>
        <v>0</v>
      </c>
      <c r="L5305" s="6" t="b">
        <f t="shared" ref="L5305:M5305" si="5064">FALSE()</f>
        <v>0</v>
      </c>
      <c r="M5305" s="6" t="b">
        <f t="shared" si="5064"/>
        <v>0</v>
      </c>
      <c r="N5305" s="4">
        <v>0.0214679066152409</v>
      </c>
      <c r="P5305" s="4">
        <v>0.264669298142708</v>
      </c>
      <c r="T5305" s="4">
        <f t="shared" si="3"/>
        <v>1690</v>
      </c>
      <c r="U5305" s="4">
        <f t="shared" si="4"/>
        <v>1361</v>
      </c>
    </row>
    <row r="5306" ht="15.75" customHeight="1">
      <c r="A5306" s="4" t="s">
        <v>1315</v>
      </c>
      <c r="B5306" s="4" t="s">
        <v>13</v>
      </c>
      <c r="C5306" s="4">
        <v>0.0214</v>
      </c>
      <c r="D5306" s="4">
        <v>0.006</v>
      </c>
      <c r="E5306" s="4">
        <v>0.006</v>
      </c>
      <c r="I5306" s="4">
        <v>0.273</v>
      </c>
      <c r="J5306" s="4">
        <v>0.0196</v>
      </c>
      <c r="K5306" s="6" t="b">
        <f t="shared" si="5056"/>
        <v>0</v>
      </c>
      <c r="L5306" s="6" t="b">
        <f t="shared" ref="L5306:M5306" si="5065">FALSE()</f>
        <v>0</v>
      </c>
      <c r="M5306" s="6" t="b">
        <f t="shared" si="5065"/>
        <v>0</v>
      </c>
      <c r="N5306" s="4">
        <v>0.0211742352314064</v>
      </c>
      <c r="P5306" s="4">
        <v>0.241376319575269</v>
      </c>
      <c r="T5306" s="4">
        <f t="shared" si="3"/>
        <v>1697</v>
      </c>
      <c r="U5306" s="4">
        <f t="shared" si="4"/>
        <v>1565</v>
      </c>
    </row>
    <row r="5307" ht="15.75" customHeight="1">
      <c r="A5307" s="4" t="s">
        <v>1316</v>
      </c>
      <c r="B5307" s="4" t="s">
        <v>13</v>
      </c>
      <c r="C5307" s="4">
        <v>0.302</v>
      </c>
      <c r="D5307" s="4">
        <v>0.047</v>
      </c>
      <c r="E5307" s="4">
        <v>0.047</v>
      </c>
      <c r="I5307" s="4">
        <v>0.776</v>
      </c>
      <c r="J5307" s="4">
        <v>0.045</v>
      </c>
      <c r="K5307" s="6" t="b">
        <f t="shared" si="5056"/>
        <v>0</v>
      </c>
      <c r="L5307" s="6" t="b">
        <f t="shared" ref="L5307:L5349" si="5066">FALSE()</f>
        <v>0</v>
      </c>
      <c r="M5307" s="6" t="b">
        <f>TRUE()</f>
        <v>1</v>
      </c>
      <c r="N5307" s="4">
        <v>0.263901543786378</v>
      </c>
      <c r="P5307" s="4">
        <v>0.574363644569978</v>
      </c>
      <c r="T5307" s="4">
        <f t="shared" si="3"/>
        <v>1067</v>
      </c>
      <c r="U5307" s="4">
        <f t="shared" si="4"/>
        <v>854</v>
      </c>
    </row>
    <row r="5308" ht="15.75" customHeight="1">
      <c r="A5308" s="4" t="s">
        <v>1318</v>
      </c>
      <c r="B5308" s="4" t="s">
        <v>13</v>
      </c>
      <c r="C5308" s="4">
        <v>0.0044</v>
      </c>
      <c r="D5308" s="4">
        <v>0.003</v>
      </c>
      <c r="E5308" s="4">
        <v>0.0035</v>
      </c>
      <c r="I5308" s="4">
        <v>0.125</v>
      </c>
      <c r="J5308" s="4">
        <v>0.125</v>
      </c>
      <c r="K5308" s="6" t="b">
        <f t="shared" si="5056"/>
        <v>0</v>
      </c>
      <c r="L5308" s="6" t="b">
        <f t="shared" si="5066"/>
        <v>0</v>
      </c>
      <c r="M5308" s="6" t="b">
        <f t="shared" ref="M5308:M5309" si="5067">FALSE()</f>
        <v>0</v>
      </c>
      <c r="N5308" s="4">
        <v>0.0043903483012928</v>
      </c>
      <c r="P5308" s="4">
        <v>0.117783035656383</v>
      </c>
      <c r="T5308" s="4">
        <f t="shared" si="3"/>
        <v>2035</v>
      </c>
      <c r="U5308" s="4">
        <f t="shared" si="4"/>
        <v>3791</v>
      </c>
    </row>
    <row r="5309" ht="15.75" customHeight="1">
      <c r="A5309" s="4" t="s">
        <v>1319</v>
      </c>
      <c r="B5309" s="4" t="s">
        <v>13</v>
      </c>
      <c r="C5309" s="4">
        <v>0.02637</v>
      </c>
      <c r="D5309" s="4">
        <v>0.00415</v>
      </c>
      <c r="E5309" s="4">
        <v>0.00415</v>
      </c>
      <c r="I5309" s="4">
        <v>0.24133</v>
      </c>
      <c r="J5309" s="4">
        <v>0.0071</v>
      </c>
      <c r="K5309" s="6" t="b">
        <f t="shared" si="5056"/>
        <v>0</v>
      </c>
      <c r="L5309" s="6" t="b">
        <f t="shared" si="5066"/>
        <v>0</v>
      </c>
      <c r="M5309" s="6" t="b">
        <f t="shared" si="5067"/>
        <v>0</v>
      </c>
      <c r="N5309" s="4">
        <v>0.026028305521127</v>
      </c>
      <c r="P5309" s="4">
        <v>0.216183385458465</v>
      </c>
      <c r="T5309" s="4">
        <f t="shared" si="3"/>
        <v>1614</v>
      </c>
      <c r="U5309" s="4">
        <f t="shared" si="4"/>
        <v>1924</v>
      </c>
    </row>
    <row r="5310" ht="15.75" customHeight="1">
      <c r="A5310" s="4" t="s">
        <v>1320</v>
      </c>
      <c r="B5310" s="4" t="s">
        <v>13</v>
      </c>
      <c r="C5310" s="4">
        <v>0.7</v>
      </c>
      <c r="D5310" s="4">
        <v>0.16</v>
      </c>
      <c r="E5310" s="4">
        <v>0.16</v>
      </c>
      <c r="I5310" s="4">
        <v>1.4</v>
      </c>
      <c r="J5310" s="4">
        <v>0.13</v>
      </c>
      <c r="K5310" s="6" t="b">
        <f t="shared" si="5056"/>
        <v>0</v>
      </c>
      <c r="L5310" s="6" t="b">
        <f t="shared" si="5066"/>
        <v>0</v>
      </c>
      <c r="M5310" s="6" t="b">
        <f>TRUE()</f>
        <v>1</v>
      </c>
      <c r="N5310" s="4">
        <v>0.53062825106217</v>
      </c>
      <c r="P5310" s="4">
        <v>0.8754687373539</v>
      </c>
      <c r="T5310" s="4">
        <f t="shared" si="3"/>
        <v>821</v>
      </c>
      <c r="U5310" s="4">
        <f t="shared" si="4"/>
        <v>178</v>
      </c>
    </row>
    <row r="5311" ht="15.75" customHeight="1">
      <c r="A5311" s="4" t="s">
        <v>1321</v>
      </c>
      <c r="B5311" s="4" t="s">
        <v>13</v>
      </c>
      <c r="C5311" s="4">
        <v>0.00472</v>
      </c>
      <c r="D5311" s="4">
        <v>0.00138</v>
      </c>
      <c r="E5311" s="4">
        <v>0.00123</v>
      </c>
      <c r="I5311" s="4">
        <v>0.10278</v>
      </c>
      <c r="J5311" s="4">
        <v>0.006629</v>
      </c>
      <c r="K5311" s="6" t="b">
        <f t="shared" si="5056"/>
        <v>0</v>
      </c>
      <c r="L5311" s="6" t="b">
        <f t="shared" si="5066"/>
        <v>0</v>
      </c>
      <c r="M5311" s="6" t="b">
        <f t="shared" ref="M5311:M5326" si="5068">FALSE()</f>
        <v>0</v>
      </c>
      <c r="N5311" s="4">
        <v>0.0047088957277342</v>
      </c>
      <c r="P5311" s="4">
        <v>0.0978342643483545</v>
      </c>
      <c r="T5311" s="4">
        <f t="shared" si="3"/>
        <v>2030</v>
      </c>
      <c r="U5311" s="4">
        <f t="shared" si="4"/>
        <v>4182</v>
      </c>
    </row>
    <row r="5312" ht="15.75" customHeight="1">
      <c r="A5312" s="4" t="s">
        <v>1322</v>
      </c>
      <c r="B5312" s="4" t="s">
        <v>13</v>
      </c>
      <c r="C5312" s="4">
        <v>0.01501</v>
      </c>
      <c r="D5312" s="4">
        <v>0.00214</v>
      </c>
      <c r="E5312" s="4">
        <v>0.00173</v>
      </c>
      <c r="I5312" s="4">
        <v>0.1489</v>
      </c>
      <c r="J5312" s="4">
        <v>0.00883</v>
      </c>
      <c r="K5312" s="6" t="b">
        <f t="shared" si="5056"/>
        <v>0</v>
      </c>
      <c r="L5312" s="6" t="b">
        <f t="shared" si="5066"/>
        <v>0</v>
      </c>
      <c r="M5312" s="6" t="b">
        <f t="shared" si="5068"/>
        <v>0</v>
      </c>
      <c r="N5312" s="4">
        <v>0.0148984646619666</v>
      </c>
      <c r="P5312" s="4">
        <v>0.138804962877182</v>
      </c>
      <c r="T5312" s="4">
        <f t="shared" si="3"/>
        <v>1824</v>
      </c>
      <c r="U5312" s="4">
        <f t="shared" si="4"/>
        <v>3352</v>
      </c>
    </row>
    <row r="5313" ht="15.75" customHeight="1">
      <c r="A5313" s="4" t="s">
        <v>1323</v>
      </c>
      <c r="B5313" s="4" t="s">
        <v>13</v>
      </c>
      <c r="C5313" s="4">
        <v>0.00947</v>
      </c>
      <c r="D5313" s="4">
        <v>0.00289</v>
      </c>
      <c r="E5313" s="4">
        <v>0.00227</v>
      </c>
      <c r="I5313" s="4">
        <v>0.22946</v>
      </c>
      <c r="J5313" s="4">
        <v>0.00696</v>
      </c>
      <c r="K5313" s="6" t="b">
        <f t="shared" si="5056"/>
        <v>0</v>
      </c>
      <c r="L5313" s="6" t="b">
        <f t="shared" si="5066"/>
        <v>0</v>
      </c>
      <c r="M5313" s="6" t="b">
        <f t="shared" si="5068"/>
        <v>0</v>
      </c>
      <c r="N5313" s="4">
        <v>0.0094254406471552</v>
      </c>
      <c r="P5313" s="4">
        <v>0.206575048594659</v>
      </c>
      <c r="T5313" s="4">
        <f t="shared" si="3"/>
        <v>1948</v>
      </c>
      <c r="U5313" s="4">
        <f t="shared" si="4"/>
        <v>2119</v>
      </c>
    </row>
    <row r="5314" ht="15.75" customHeight="1">
      <c r="A5314" s="4" t="s">
        <v>1325</v>
      </c>
      <c r="B5314" s="4" t="s">
        <v>13</v>
      </c>
      <c r="C5314" s="4">
        <v>0.01214</v>
      </c>
      <c r="D5314" s="4">
        <v>0.00299</v>
      </c>
      <c r="E5314" s="4">
        <v>0.00337</v>
      </c>
      <c r="I5314" s="4">
        <v>0.1969</v>
      </c>
      <c r="J5314" s="4">
        <v>0.008</v>
      </c>
      <c r="K5314" s="6" t="b">
        <f t="shared" si="5056"/>
        <v>0</v>
      </c>
      <c r="L5314" s="6" t="b">
        <f t="shared" si="5066"/>
        <v>0</v>
      </c>
      <c r="M5314" s="6" t="b">
        <f t="shared" si="5068"/>
        <v>0</v>
      </c>
      <c r="N5314" s="4">
        <v>0.0120669012181379</v>
      </c>
      <c r="P5314" s="4">
        <v>0.179734880897188</v>
      </c>
      <c r="T5314" s="4">
        <f t="shared" si="3"/>
        <v>1894</v>
      </c>
      <c r="U5314" s="4">
        <f t="shared" si="4"/>
        <v>2638</v>
      </c>
    </row>
    <row r="5315" ht="15.75" customHeight="1">
      <c r="A5315" s="4" t="s">
        <v>1326</v>
      </c>
      <c r="B5315" s="4" t="s">
        <v>13</v>
      </c>
      <c r="C5315" s="4">
        <v>0.02429</v>
      </c>
      <c r="D5315" s="4">
        <v>0.00478</v>
      </c>
      <c r="E5315" s="4">
        <v>0.00525</v>
      </c>
      <c r="I5315" s="4">
        <v>0.20403</v>
      </c>
      <c r="J5315" s="4">
        <v>0.0098</v>
      </c>
      <c r="K5315" s="6" t="b">
        <f t="shared" si="5056"/>
        <v>0</v>
      </c>
      <c r="L5315" s="6" t="b">
        <f t="shared" si="5066"/>
        <v>0</v>
      </c>
      <c r="M5315" s="6" t="b">
        <f t="shared" si="5068"/>
        <v>0</v>
      </c>
      <c r="N5315" s="4">
        <v>0.0239996896478807</v>
      </c>
      <c r="P5315" s="4">
        <v>0.185674263519729</v>
      </c>
      <c r="T5315" s="4">
        <f t="shared" si="3"/>
        <v>1648</v>
      </c>
      <c r="U5315" s="4">
        <f t="shared" si="4"/>
        <v>2505</v>
      </c>
    </row>
    <row r="5316" ht="15.75" customHeight="1">
      <c r="A5316" s="4" t="s">
        <v>1327</v>
      </c>
      <c r="B5316" s="4" t="s">
        <v>13</v>
      </c>
      <c r="C5316" s="4">
        <v>0.0124</v>
      </c>
      <c r="D5316" s="4">
        <v>0.0051</v>
      </c>
      <c r="E5316" s="4">
        <v>0.00412</v>
      </c>
      <c r="I5316" s="4">
        <v>0.256</v>
      </c>
      <c r="J5316" s="4">
        <v>0.0116</v>
      </c>
      <c r="K5316" s="6" t="b">
        <f t="shared" si="5056"/>
        <v>0</v>
      </c>
      <c r="L5316" s="6" t="b">
        <f t="shared" si="5066"/>
        <v>0</v>
      </c>
      <c r="M5316" s="6" t="b">
        <f t="shared" si="5068"/>
        <v>0</v>
      </c>
      <c r="N5316" s="4">
        <v>0.0123237496888319</v>
      </c>
      <c r="P5316" s="4">
        <v>0.227932068046007</v>
      </c>
      <c r="T5316" s="4">
        <f t="shared" si="3"/>
        <v>1886</v>
      </c>
      <c r="U5316" s="4">
        <f t="shared" si="4"/>
        <v>1738</v>
      </c>
    </row>
    <row r="5317" ht="15.75" customHeight="1">
      <c r="A5317" s="4" t="s">
        <v>1328</v>
      </c>
      <c r="B5317" s="4" t="s">
        <v>13</v>
      </c>
      <c r="C5317" s="4">
        <v>0.0274</v>
      </c>
      <c r="D5317" s="4">
        <v>0.0129</v>
      </c>
      <c r="E5317" s="4">
        <v>0.0129</v>
      </c>
      <c r="I5317" s="4">
        <v>0.27</v>
      </c>
      <c r="J5317" s="4">
        <v>0.018</v>
      </c>
      <c r="K5317" s="6" t="b">
        <f t="shared" si="5056"/>
        <v>0</v>
      </c>
      <c r="L5317" s="6" t="b">
        <f t="shared" si="5066"/>
        <v>0</v>
      </c>
      <c r="M5317" s="6" t="b">
        <f t="shared" si="5068"/>
        <v>0</v>
      </c>
      <c r="N5317" s="4">
        <v>0.0270313390510304</v>
      </c>
      <c r="P5317" s="4">
        <v>0.2390169004705</v>
      </c>
      <c r="T5317" s="4">
        <f t="shared" si="3"/>
        <v>1596</v>
      </c>
      <c r="U5317" s="4">
        <f t="shared" si="4"/>
        <v>1592</v>
      </c>
    </row>
    <row r="5318" ht="15.75" customHeight="1">
      <c r="A5318" s="4" t="s">
        <v>1330</v>
      </c>
      <c r="B5318" s="4" t="s">
        <v>13</v>
      </c>
      <c r="C5318" s="4">
        <v>0.0205</v>
      </c>
      <c r="D5318" s="4">
        <v>0.006</v>
      </c>
      <c r="E5318" s="4">
        <v>0.006</v>
      </c>
      <c r="I5318" s="4">
        <v>0.2462</v>
      </c>
      <c r="J5318" s="4">
        <v>0.009</v>
      </c>
      <c r="K5318" s="6" t="b">
        <f t="shared" si="5056"/>
        <v>0</v>
      </c>
      <c r="L5318" s="6" t="b">
        <f t="shared" si="5066"/>
        <v>0</v>
      </c>
      <c r="M5318" s="6" t="b">
        <f t="shared" si="5068"/>
        <v>0</v>
      </c>
      <c r="N5318" s="4">
        <v>0.0202927032677624</v>
      </c>
      <c r="P5318" s="4">
        <v>0.220098921127985</v>
      </c>
      <c r="T5318" s="4">
        <f t="shared" si="3"/>
        <v>1720</v>
      </c>
      <c r="U5318" s="4">
        <f t="shared" si="4"/>
        <v>1859</v>
      </c>
    </row>
    <row r="5319" ht="15.75" customHeight="1">
      <c r="A5319" s="4" t="s">
        <v>1331</v>
      </c>
      <c r="B5319" s="4" t="s">
        <v>13</v>
      </c>
      <c r="C5319" s="4">
        <v>0.0176</v>
      </c>
      <c r="D5319" s="4">
        <v>0.0025</v>
      </c>
      <c r="E5319" s="4">
        <v>0.0025</v>
      </c>
      <c r="I5319" s="4">
        <v>0.125</v>
      </c>
      <c r="J5319" s="4">
        <v>0.0062</v>
      </c>
      <c r="K5319" s="6" t="b">
        <f t="shared" si="5056"/>
        <v>0</v>
      </c>
      <c r="L5319" s="6" t="b">
        <f t="shared" si="5066"/>
        <v>0</v>
      </c>
      <c r="M5319" s="6" t="b">
        <f t="shared" si="5068"/>
        <v>0</v>
      </c>
      <c r="N5319" s="4">
        <v>0.0174469136037206</v>
      </c>
      <c r="P5319" s="4">
        <v>0.117783035656383</v>
      </c>
      <c r="T5319" s="4">
        <f t="shared" si="3"/>
        <v>1783</v>
      </c>
      <c r="U5319" s="4">
        <f t="shared" si="4"/>
        <v>3792</v>
      </c>
    </row>
    <row r="5320" ht="15.75" customHeight="1">
      <c r="A5320" s="4" t="s">
        <v>1332</v>
      </c>
      <c r="B5320" s="4" t="s">
        <v>13</v>
      </c>
      <c r="C5320" s="4">
        <v>0.013</v>
      </c>
      <c r="D5320" s="4">
        <v>0.0057</v>
      </c>
      <c r="E5320" s="4">
        <v>0.0057</v>
      </c>
      <c r="I5320" s="4">
        <v>0.1445</v>
      </c>
      <c r="J5320" s="4">
        <v>0.303</v>
      </c>
      <c r="K5320" s="6" t="b">
        <f t="shared" si="5056"/>
        <v>0</v>
      </c>
      <c r="L5320" s="6" t="b">
        <f t="shared" si="5066"/>
        <v>0</v>
      </c>
      <c r="M5320" s="6" t="b">
        <f t="shared" si="5068"/>
        <v>0</v>
      </c>
      <c r="N5320" s="4">
        <v>0.0129162252665463</v>
      </c>
      <c r="P5320" s="4">
        <v>0.134967860410484</v>
      </c>
      <c r="T5320" s="4">
        <f t="shared" si="3"/>
        <v>1873</v>
      </c>
      <c r="U5320" s="4">
        <f t="shared" si="4"/>
        <v>3432</v>
      </c>
    </row>
    <row r="5321" ht="15.75" customHeight="1">
      <c r="A5321" s="4" t="s">
        <v>1333</v>
      </c>
      <c r="B5321" s="4" t="s">
        <v>13</v>
      </c>
      <c r="C5321" s="4">
        <v>0.0758</v>
      </c>
      <c r="D5321" s="4">
        <v>0.0242</v>
      </c>
      <c r="E5321" s="4">
        <v>0.0223</v>
      </c>
      <c r="I5321" s="4">
        <v>0.2436</v>
      </c>
      <c r="J5321" s="4">
        <v>0.0045</v>
      </c>
      <c r="K5321" s="6" t="b">
        <f t="shared" si="5056"/>
        <v>0</v>
      </c>
      <c r="L5321" s="6" t="b">
        <f t="shared" si="5066"/>
        <v>0</v>
      </c>
      <c r="M5321" s="6" t="b">
        <f t="shared" si="5068"/>
        <v>0</v>
      </c>
      <c r="N5321" s="4">
        <v>0.0730645708570051</v>
      </c>
      <c r="P5321" s="4">
        <v>0.218010399202462</v>
      </c>
      <c r="T5321" s="4">
        <f t="shared" si="3"/>
        <v>1310</v>
      </c>
      <c r="U5321" s="4">
        <f t="shared" si="4"/>
        <v>1899</v>
      </c>
    </row>
    <row r="5322" ht="15.75" customHeight="1">
      <c r="A5322" s="4" t="s">
        <v>1334</v>
      </c>
      <c r="B5322" s="4" t="s">
        <v>13</v>
      </c>
      <c r="C5322" s="4">
        <v>0.018214</v>
      </c>
      <c r="D5322" s="4">
        <v>0.00362</v>
      </c>
      <c r="E5322" s="4">
        <v>0.00362</v>
      </c>
      <c r="I5322" s="4">
        <v>0.1865</v>
      </c>
      <c r="J5322" s="4">
        <v>0.0054</v>
      </c>
      <c r="K5322" s="6" t="b">
        <f t="shared" si="5056"/>
        <v>0</v>
      </c>
      <c r="L5322" s="6" t="b">
        <f t="shared" si="5066"/>
        <v>0</v>
      </c>
      <c r="M5322" s="6" t="b">
        <f t="shared" si="5068"/>
        <v>0</v>
      </c>
      <c r="N5322" s="4">
        <v>0.0180501121460402</v>
      </c>
      <c r="P5322" s="4">
        <v>0.171007796893681</v>
      </c>
      <c r="T5322" s="4">
        <f t="shared" si="3"/>
        <v>1767</v>
      </c>
      <c r="U5322" s="4">
        <f t="shared" si="4"/>
        <v>2796</v>
      </c>
    </row>
    <row r="5323" ht="15.75" customHeight="1">
      <c r="A5323" s="4" t="s">
        <v>1336</v>
      </c>
      <c r="B5323" s="4" t="s">
        <v>13</v>
      </c>
      <c r="C5323" s="4">
        <v>0.0324</v>
      </c>
      <c r="D5323" s="4">
        <v>0.0079</v>
      </c>
      <c r="E5323" s="4">
        <v>0.0079</v>
      </c>
      <c r="I5323" s="4">
        <v>0.2668</v>
      </c>
      <c r="J5323" s="4">
        <v>0.0071</v>
      </c>
      <c r="K5323" s="6" t="b">
        <f t="shared" si="5056"/>
        <v>0</v>
      </c>
      <c r="L5323" s="6" t="b">
        <f t="shared" si="5066"/>
        <v>0</v>
      </c>
      <c r="M5323" s="6" t="b">
        <f t="shared" si="5068"/>
        <v>0</v>
      </c>
      <c r="N5323" s="4">
        <v>0.0318861888623217</v>
      </c>
      <c r="P5323" s="4">
        <v>0.236494035682348</v>
      </c>
      <c r="T5323" s="4">
        <f t="shared" si="3"/>
        <v>1520</v>
      </c>
      <c r="U5323" s="4">
        <f t="shared" si="4"/>
        <v>1621</v>
      </c>
    </row>
    <row r="5324" ht="15.75" customHeight="1">
      <c r="A5324" s="4" t="s">
        <v>1337</v>
      </c>
      <c r="B5324" s="4" t="s">
        <v>13</v>
      </c>
      <c r="C5324" s="4">
        <v>0.019</v>
      </c>
      <c r="D5324" s="4">
        <v>0.009</v>
      </c>
      <c r="E5324" s="4">
        <v>0.009</v>
      </c>
      <c r="I5324" s="4">
        <v>0.3827</v>
      </c>
      <c r="J5324" s="4">
        <v>0.0071</v>
      </c>
      <c r="K5324" s="6" t="b">
        <f t="shared" si="5056"/>
        <v>0</v>
      </c>
      <c r="L5324" s="6" t="b">
        <f t="shared" si="5066"/>
        <v>0</v>
      </c>
      <c r="M5324" s="6" t="b">
        <f t="shared" si="5068"/>
        <v>0</v>
      </c>
      <c r="N5324" s="4">
        <v>0.0188217542405877</v>
      </c>
      <c r="P5324" s="4">
        <v>0.324038109412435</v>
      </c>
      <c r="T5324" s="4">
        <f t="shared" si="3"/>
        <v>1758</v>
      </c>
      <c r="U5324" s="4">
        <f t="shared" si="4"/>
        <v>1145</v>
      </c>
    </row>
    <row r="5325" ht="15.75" customHeight="1">
      <c r="A5325" s="4" t="s">
        <v>5967</v>
      </c>
      <c r="B5325" s="4" t="s">
        <v>13</v>
      </c>
      <c r="I5325" s="4">
        <v>0.303</v>
      </c>
      <c r="J5325" s="4">
        <v>0.0312</v>
      </c>
      <c r="K5325" s="6" t="b">
        <f t="shared" si="5056"/>
        <v>0</v>
      </c>
      <c r="L5325" s="6" t="b">
        <f t="shared" si="5066"/>
        <v>0</v>
      </c>
      <c r="M5325" s="6" t="b">
        <f t="shared" si="5068"/>
        <v>0</v>
      </c>
      <c r="P5325" s="4">
        <v>0.264669298142708</v>
      </c>
      <c r="T5325" s="4" t="str">
        <f t="shared" si="3"/>
        <v/>
      </c>
      <c r="U5325" s="4">
        <f t="shared" si="4"/>
        <v>1362</v>
      </c>
    </row>
    <row r="5326" ht="15.75" customHeight="1">
      <c r="A5326" s="4" t="s">
        <v>1338</v>
      </c>
      <c r="B5326" s="4" t="s">
        <v>13</v>
      </c>
      <c r="C5326" s="4">
        <v>0.00809</v>
      </c>
      <c r="D5326" s="4">
        <v>0.0016</v>
      </c>
      <c r="E5326" s="4">
        <v>0.0016</v>
      </c>
      <c r="I5326" s="4">
        <v>0.1222</v>
      </c>
      <c r="J5326" s="4">
        <v>0.009</v>
      </c>
      <c r="K5326" s="6" t="b">
        <f t="shared" si="5056"/>
        <v>0</v>
      </c>
      <c r="L5326" s="6" t="b">
        <f t="shared" si="5066"/>
        <v>0</v>
      </c>
      <c r="M5326" s="6" t="b">
        <f t="shared" si="5068"/>
        <v>0</v>
      </c>
      <c r="N5326" s="4">
        <v>0.0080574513777304</v>
      </c>
      <c r="P5326" s="4">
        <v>0.115291044334735</v>
      </c>
      <c r="T5326" s="4">
        <f t="shared" si="3"/>
        <v>1972</v>
      </c>
      <c r="U5326" s="4">
        <f t="shared" si="4"/>
        <v>3822</v>
      </c>
    </row>
    <row r="5327" ht="15.75" customHeight="1">
      <c r="A5327" s="4" t="s">
        <v>1339</v>
      </c>
      <c r="B5327" s="4" t="s">
        <v>13</v>
      </c>
      <c r="C5327" s="4">
        <v>0.974</v>
      </c>
      <c r="D5327" s="4">
        <v>0.076</v>
      </c>
      <c r="E5327" s="4">
        <v>0.076</v>
      </c>
      <c r="I5327" s="4">
        <v>1.0</v>
      </c>
      <c r="J5327" s="4">
        <v>0.026</v>
      </c>
      <c r="K5327" s="6" t="b">
        <f t="shared" si="5056"/>
        <v>0</v>
      </c>
      <c r="L5327" s="6" t="b">
        <f t="shared" si="5066"/>
        <v>0</v>
      </c>
      <c r="M5327" s="6" t="b">
        <f>TRUE()</f>
        <v>1</v>
      </c>
      <c r="N5327" s="4">
        <v>0.68006194101129</v>
      </c>
      <c r="P5327" s="4">
        <v>0.693147180559945</v>
      </c>
      <c r="T5327" s="4">
        <f t="shared" si="3"/>
        <v>676</v>
      </c>
      <c r="U5327" s="4">
        <f t="shared" si="4"/>
        <v>667</v>
      </c>
    </row>
    <row r="5328" ht="15.75" customHeight="1">
      <c r="A5328" s="4" t="s">
        <v>1340</v>
      </c>
      <c r="B5328" s="4" t="s">
        <v>13</v>
      </c>
      <c r="C5328" s="4">
        <v>0.13</v>
      </c>
      <c r="D5328" s="4">
        <v>0.02</v>
      </c>
      <c r="E5328" s="4">
        <v>0.01</v>
      </c>
      <c r="I5328" s="4">
        <v>0.6183</v>
      </c>
      <c r="J5328" s="4">
        <v>0.009</v>
      </c>
      <c r="K5328" s="6" t="b">
        <f t="shared" si="5056"/>
        <v>0</v>
      </c>
      <c r="L5328" s="6" t="b">
        <f t="shared" si="5066"/>
        <v>0</v>
      </c>
      <c r="M5328" s="6" t="b">
        <f>FALSE()</f>
        <v>0</v>
      </c>
      <c r="N5328" s="4">
        <v>0.122217632724249</v>
      </c>
      <c r="P5328" s="4">
        <v>0.481376215540703</v>
      </c>
      <c r="T5328" s="4">
        <f t="shared" si="3"/>
        <v>1218</v>
      </c>
      <c r="U5328" s="4">
        <f t="shared" si="4"/>
        <v>936</v>
      </c>
    </row>
    <row r="5329" ht="15.75" customHeight="1">
      <c r="A5329" s="4" t="s">
        <v>1341</v>
      </c>
      <c r="B5329" s="4" t="s">
        <v>13</v>
      </c>
      <c r="C5329" s="4">
        <v>2.3</v>
      </c>
      <c r="I5329" s="4">
        <v>1.12</v>
      </c>
      <c r="J5329" s="4">
        <v>0.02</v>
      </c>
      <c r="K5329" s="6" t="b">
        <f t="shared" si="5056"/>
        <v>0</v>
      </c>
      <c r="L5329" s="6" t="b">
        <f t="shared" si="5066"/>
        <v>0</v>
      </c>
      <c r="M5329" s="6" t="b">
        <f>TRUE()</f>
        <v>1</v>
      </c>
      <c r="N5329" s="4">
        <v>1.19392246847244</v>
      </c>
      <c r="P5329" s="4">
        <v>0.751416088683921</v>
      </c>
      <c r="T5329" s="4">
        <f t="shared" si="3"/>
        <v>400</v>
      </c>
      <c r="U5329" s="4">
        <f t="shared" si="4"/>
        <v>490</v>
      </c>
    </row>
    <row r="5330" ht="15.75" customHeight="1">
      <c r="A5330" s="4" t="s">
        <v>1343</v>
      </c>
      <c r="B5330" s="4" t="s">
        <v>13</v>
      </c>
      <c r="C5330" s="4">
        <v>0.2121</v>
      </c>
      <c r="D5330" s="4">
        <v>0.0258</v>
      </c>
      <c r="E5330" s="4">
        <v>0.0258</v>
      </c>
      <c r="I5330" s="4">
        <v>0.6727</v>
      </c>
      <c r="J5330" s="4">
        <v>0.0223</v>
      </c>
      <c r="K5330" s="6" t="b">
        <f t="shared" si="5056"/>
        <v>0</v>
      </c>
      <c r="L5330" s="6" t="b">
        <f t="shared" si="5066"/>
        <v>0</v>
      </c>
      <c r="M5330" s="6" t="b">
        <f t="shared" ref="M5330:M5331" si="5069">FALSE()</f>
        <v>0</v>
      </c>
      <c r="N5330" s="4">
        <v>0.192354392494329</v>
      </c>
      <c r="P5330" s="4">
        <v>0.514439087335826</v>
      </c>
      <c r="T5330" s="4">
        <f t="shared" si="3"/>
        <v>1142</v>
      </c>
      <c r="U5330" s="4">
        <f t="shared" si="4"/>
        <v>909</v>
      </c>
    </row>
    <row r="5331" ht="15.75" customHeight="1">
      <c r="A5331" s="4" t="s">
        <v>1344</v>
      </c>
      <c r="B5331" s="4" t="s">
        <v>13</v>
      </c>
      <c r="C5331" s="4">
        <v>0.0582</v>
      </c>
      <c r="D5331" s="4">
        <v>0.0101</v>
      </c>
      <c r="E5331" s="4">
        <v>0.0101</v>
      </c>
      <c r="I5331" s="4">
        <v>0.2346</v>
      </c>
      <c r="J5331" s="4">
        <v>0.0134</v>
      </c>
      <c r="K5331" s="6" t="b">
        <f t="shared" si="5056"/>
        <v>0</v>
      </c>
      <c r="L5331" s="6" t="b">
        <f t="shared" si="5066"/>
        <v>0</v>
      </c>
      <c r="M5331" s="6" t="b">
        <f t="shared" si="5069"/>
        <v>0</v>
      </c>
      <c r="N5331" s="4">
        <v>0.0565693514878943</v>
      </c>
      <c r="P5331" s="4">
        <v>0.210747030977658</v>
      </c>
      <c r="T5331" s="4">
        <f t="shared" si="3"/>
        <v>1368</v>
      </c>
      <c r="U5331" s="4">
        <f t="shared" si="4"/>
        <v>2040</v>
      </c>
    </row>
    <row r="5332" ht="15.75" customHeight="1">
      <c r="A5332" s="4" t="s">
        <v>1345</v>
      </c>
      <c r="B5332" s="4" t="s">
        <v>13</v>
      </c>
      <c r="C5332" s="4">
        <v>0.1841</v>
      </c>
      <c r="D5332" s="4">
        <v>0.012</v>
      </c>
      <c r="E5332" s="4">
        <v>0.012</v>
      </c>
      <c r="I5332" s="4">
        <v>0.769</v>
      </c>
      <c r="J5332" s="4">
        <v>0.017</v>
      </c>
      <c r="K5332" s="6" t="b">
        <f t="shared" si="5056"/>
        <v>0</v>
      </c>
      <c r="L5332" s="6" t="b">
        <f t="shared" si="5066"/>
        <v>0</v>
      </c>
      <c r="M5332" s="6" t="b">
        <f t="shared" ref="M5332:M5333" si="5070">TRUE()</f>
        <v>1</v>
      </c>
      <c r="N5332" s="4">
        <v>0.168982992354774</v>
      </c>
      <c r="P5332" s="4">
        <v>0.570414415177648</v>
      </c>
      <c r="T5332" s="4">
        <f t="shared" si="3"/>
        <v>1167</v>
      </c>
      <c r="U5332" s="4">
        <f t="shared" si="4"/>
        <v>861</v>
      </c>
    </row>
    <row r="5333" ht="15.75" customHeight="1">
      <c r="A5333" s="4" t="s">
        <v>1346</v>
      </c>
      <c r="B5333" s="4" t="s">
        <v>13</v>
      </c>
      <c r="C5333" s="4">
        <v>0.092</v>
      </c>
      <c r="D5333" s="4">
        <v>0.015</v>
      </c>
      <c r="E5333" s="4">
        <v>0.015</v>
      </c>
      <c r="I5333" s="4">
        <v>0.78188</v>
      </c>
      <c r="J5333" s="4">
        <v>0.00161</v>
      </c>
      <c r="K5333" s="6" t="b">
        <f t="shared" si="5056"/>
        <v>0</v>
      </c>
      <c r="L5333" s="6" t="b">
        <f t="shared" si="5066"/>
        <v>0</v>
      </c>
      <c r="M5333" s="6" t="b">
        <f t="shared" si="5070"/>
        <v>1</v>
      </c>
      <c r="N5333" s="4">
        <v>0.0880108773227133</v>
      </c>
      <c r="P5333" s="4">
        <v>0.577668986713833</v>
      </c>
      <c r="T5333" s="4">
        <f t="shared" si="3"/>
        <v>1278</v>
      </c>
      <c r="U5333" s="4">
        <f t="shared" si="4"/>
        <v>850</v>
      </c>
    </row>
    <row r="5334" ht="15.75" customHeight="1">
      <c r="A5334" s="4" t="s">
        <v>1347</v>
      </c>
      <c r="B5334" s="4" t="s">
        <v>13</v>
      </c>
      <c r="C5334" s="4">
        <v>0.025</v>
      </c>
      <c r="I5334" s="4">
        <v>0.232</v>
      </c>
      <c r="J5334" s="4">
        <v>0.01285</v>
      </c>
      <c r="K5334" s="6" t="b">
        <f t="shared" si="5056"/>
        <v>0</v>
      </c>
      <c r="L5334" s="6" t="b">
        <f t="shared" si="5066"/>
        <v>0</v>
      </c>
      <c r="M5334" s="6" t="b">
        <f>FALSE()</f>
        <v>0</v>
      </c>
      <c r="N5334" s="4">
        <v>0.0246926125903715</v>
      </c>
      <c r="P5334" s="4">
        <v>0.208638865111328</v>
      </c>
      <c r="T5334" s="4">
        <f t="shared" si="3"/>
        <v>1638</v>
      </c>
      <c r="U5334" s="4">
        <f t="shared" si="4"/>
        <v>2089</v>
      </c>
    </row>
    <row r="5335" ht="15.75" customHeight="1">
      <c r="A5335" s="4" t="s">
        <v>1349</v>
      </c>
      <c r="B5335" s="4" t="s">
        <v>13</v>
      </c>
      <c r="C5335" s="4">
        <v>0.214</v>
      </c>
      <c r="D5335" s="4">
        <v>0.04</v>
      </c>
      <c r="E5335" s="4">
        <v>0.04</v>
      </c>
      <c r="I5335" s="4">
        <v>1.04</v>
      </c>
      <c r="J5335" s="4">
        <v>0.06</v>
      </c>
      <c r="K5335" s="6" t="b">
        <f t="shared" si="5056"/>
        <v>0</v>
      </c>
      <c r="L5335" s="6" t="b">
        <f t="shared" si="5066"/>
        <v>0</v>
      </c>
      <c r="M5335" s="6" t="b">
        <f>TRUE()</f>
        <v>1</v>
      </c>
      <c r="N5335" s="4">
        <v>0.193920692637307</v>
      </c>
      <c r="P5335" s="4">
        <v>0.712949807856125</v>
      </c>
      <c r="T5335" s="4">
        <f t="shared" si="3"/>
        <v>1141</v>
      </c>
      <c r="U5335" s="4">
        <f t="shared" si="4"/>
        <v>614</v>
      </c>
    </row>
    <row r="5336" ht="15.75" customHeight="1">
      <c r="A5336" s="4" t="s">
        <v>1350</v>
      </c>
      <c r="B5336" s="4" t="s">
        <v>13</v>
      </c>
      <c r="C5336" s="4">
        <v>0.040571</v>
      </c>
      <c r="I5336" s="4">
        <v>0.324465</v>
      </c>
      <c r="J5336" s="4">
        <v>0.01646</v>
      </c>
      <c r="K5336" s="6" t="b">
        <f t="shared" si="5056"/>
        <v>0</v>
      </c>
      <c r="L5336" s="6" t="b">
        <f t="shared" si="5066"/>
        <v>0</v>
      </c>
      <c r="M5336" s="6" t="b">
        <f>FALSE()</f>
        <v>0</v>
      </c>
      <c r="N5336" s="4">
        <v>0.0397696009483489</v>
      </c>
      <c r="P5336" s="4">
        <v>0.281008604314777</v>
      </c>
      <c r="T5336" s="4">
        <f t="shared" si="3"/>
        <v>1455</v>
      </c>
      <c r="U5336" s="4">
        <f t="shared" si="4"/>
        <v>1284</v>
      </c>
    </row>
    <row r="5337" ht="15.75" customHeight="1">
      <c r="A5337" s="4" t="s">
        <v>1351</v>
      </c>
      <c r="B5337" s="4" t="s">
        <v>13</v>
      </c>
      <c r="C5337" s="4">
        <v>1.133</v>
      </c>
      <c r="D5337" s="4">
        <v>0.096</v>
      </c>
      <c r="E5337" s="4">
        <v>0.096</v>
      </c>
      <c r="I5337" s="4">
        <v>1.65</v>
      </c>
      <c r="J5337" s="4">
        <v>0.37</v>
      </c>
      <c r="K5337" s="6" t="b">
        <f t="shared" si="5056"/>
        <v>0</v>
      </c>
      <c r="L5337" s="6" t="b">
        <f t="shared" si="5066"/>
        <v>0</v>
      </c>
      <c r="M5337" s="6" t="b">
        <f t="shared" ref="M5337:M5338" si="5071">TRUE()</f>
        <v>1</v>
      </c>
      <c r="N5337" s="4">
        <v>0.757529439489214</v>
      </c>
      <c r="P5337" s="4">
        <v>0.974559639998131</v>
      </c>
      <c r="T5337" s="4">
        <f t="shared" si="3"/>
        <v>614</v>
      </c>
      <c r="U5337" s="4">
        <f t="shared" si="4"/>
        <v>61</v>
      </c>
    </row>
    <row r="5338" ht="15.75" customHeight="1">
      <c r="A5338" s="4" t="s">
        <v>5968</v>
      </c>
      <c r="B5338" s="4" t="s">
        <v>13</v>
      </c>
      <c r="I5338" s="4">
        <v>0.87</v>
      </c>
      <c r="J5338" s="4">
        <v>0.07</v>
      </c>
      <c r="K5338" s="6" t="b">
        <f t="shared" si="5056"/>
        <v>0</v>
      </c>
      <c r="L5338" s="6" t="b">
        <f t="shared" si="5066"/>
        <v>0</v>
      </c>
      <c r="M5338" s="6" t="b">
        <f t="shared" si="5071"/>
        <v>1</v>
      </c>
      <c r="P5338" s="4">
        <v>0.625938430866495</v>
      </c>
      <c r="T5338" s="4" t="str">
        <f t="shared" si="3"/>
        <v/>
      </c>
      <c r="U5338" s="4">
        <f t="shared" si="4"/>
        <v>786</v>
      </c>
    </row>
    <row r="5339" ht="15.75" customHeight="1">
      <c r="A5339" s="4" t="s">
        <v>1352</v>
      </c>
      <c r="B5339" s="4" t="s">
        <v>13</v>
      </c>
      <c r="C5339" s="4">
        <v>0.0069</v>
      </c>
      <c r="D5339" s="4">
        <v>0.0022</v>
      </c>
      <c r="E5339" s="4">
        <v>0.0041</v>
      </c>
      <c r="I5339" s="4">
        <v>0.1169</v>
      </c>
      <c r="J5339" s="4">
        <v>0.0036</v>
      </c>
      <c r="K5339" s="6" t="b">
        <f t="shared" si="5056"/>
        <v>0</v>
      </c>
      <c r="L5339" s="6" t="b">
        <f t="shared" si="5066"/>
        <v>0</v>
      </c>
      <c r="M5339" s="6" t="b">
        <f t="shared" ref="M5339:M5340" si="5072">FALSE()</f>
        <v>0</v>
      </c>
      <c r="N5339" s="4">
        <v>0.0068763039394321</v>
      </c>
      <c r="P5339" s="4">
        <v>0.110556990564644</v>
      </c>
      <c r="T5339" s="4">
        <f t="shared" si="3"/>
        <v>1990</v>
      </c>
      <c r="U5339" s="4">
        <f t="shared" si="4"/>
        <v>3942</v>
      </c>
    </row>
    <row r="5340" ht="15.75" customHeight="1">
      <c r="A5340" s="4" t="s">
        <v>5969</v>
      </c>
      <c r="B5340" s="4" t="s">
        <v>13</v>
      </c>
      <c r="I5340" s="4">
        <v>0.5041</v>
      </c>
      <c r="J5340" s="4">
        <v>0.0214</v>
      </c>
      <c r="K5340" s="6" t="b">
        <f t="shared" si="5056"/>
        <v>0</v>
      </c>
      <c r="L5340" s="6" t="b">
        <f t="shared" si="5066"/>
        <v>0</v>
      </c>
      <c r="M5340" s="6" t="b">
        <f t="shared" si="5072"/>
        <v>0</v>
      </c>
      <c r="P5340" s="4">
        <v>0.408194712679031</v>
      </c>
      <c r="T5340" s="4" t="str">
        <f t="shared" si="3"/>
        <v/>
      </c>
      <c r="U5340" s="4">
        <f t="shared" si="4"/>
        <v>1010</v>
      </c>
    </row>
    <row r="5341" ht="15.75" customHeight="1">
      <c r="A5341" s="4" t="s">
        <v>1353</v>
      </c>
      <c r="B5341" s="4" t="s">
        <v>13</v>
      </c>
      <c r="C5341" s="4">
        <v>1.6248</v>
      </c>
      <c r="D5341" s="4">
        <v>0.1029</v>
      </c>
      <c r="E5341" s="4">
        <v>0.1029</v>
      </c>
      <c r="I5341" s="4">
        <v>1.2187</v>
      </c>
      <c r="J5341" s="4">
        <v>0.0366</v>
      </c>
      <c r="K5341" s="6" t="b">
        <f t="shared" si="5056"/>
        <v>0</v>
      </c>
      <c r="L5341" s="6" t="b">
        <f t="shared" si="5066"/>
        <v>0</v>
      </c>
      <c r="M5341" s="6" t="b">
        <f t="shared" ref="M5341:M5343" si="5073">TRUE()</f>
        <v>1</v>
      </c>
      <c r="N5341" s="4">
        <v>0.965004702664755</v>
      </c>
      <c r="P5341" s="4">
        <v>0.7969214387764</v>
      </c>
      <c r="T5341" s="4">
        <f t="shared" si="3"/>
        <v>494</v>
      </c>
      <c r="U5341" s="4">
        <f t="shared" si="4"/>
        <v>353</v>
      </c>
    </row>
    <row r="5342" ht="15.75" customHeight="1">
      <c r="A5342" s="4" t="s">
        <v>1354</v>
      </c>
      <c r="B5342" s="4" t="s">
        <v>13</v>
      </c>
      <c r="C5342" s="4">
        <v>0.67</v>
      </c>
      <c r="D5342" s="4">
        <v>0.04</v>
      </c>
      <c r="E5342" s="4">
        <v>0.04</v>
      </c>
      <c r="I5342" s="4">
        <v>0.99</v>
      </c>
      <c r="J5342" s="4">
        <v>0.03</v>
      </c>
      <c r="K5342" s="6" t="b">
        <f t="shared" si="5056"/>
        <v>0</v>
      </c>
      <c r="L5342" s="6" t="b">
        <f t="shared" si="5066"/>
        <v>0</v>
      </c>
      <c r="M5342" s="6" t="b">
        <f t="shared" si="5073"/>
        <v>1</v>
      </c>
      <c r="N5342" s="4">
        <v>0.512823626428664</v>
      </c>
      <c r="P5342" s="4">
        <v>0.688134638736401</v>
      </c>
      <c r="T5342" s="4">
        <f t="shared" si="3"/>
        <v>838</v>
      </c>
      <c r="U5342" s="4">
        <f t="shared" si="4"/>
        <v>688</v>
      </c>
    </row>
    <row r="5343" ht="15.75" customHeight="1">
      <c r="A5343" s="4" t="s">
        <v>1355</v>
      </c>
      <c r="B5343" s="4" t="s">
        <v>13</v>
      </c>
      <c r="C5343" s="4">
        <v>2.01</v>
      </c>
      <c r="D5343" s="4">
        <v>0.17</v>
      </c>
      <c r="E5343" s="4">
        <v>0.17</v>
      </c>
      <c r="I5343" s="4">
        <v>1.247</v>
      </c>
      <c r="J5343" s="4">
        <v>0.062</v>
      </c>
      <c r="K5343" s="6" t="b">
        <f t="shared" si="5056"/>
        <v>0</v>
      </c>
      <c r="L5343" s="6" t="b">
        <f t="shared" si="5066"/>
        <v>0</v>
      </c>
      <c r="M5343" s="6" t="b">
        <f t="shared" si="5073"/>
        <v>1</v>
      </c>
      <c r="N5343" s="4">
        <v>1.10194007876078</v>
      </c>
      <c r="P5343" s="4">
        <v>0.809595993203192</v>
      </c>
      <c r="T5343" s="4">
        <f t="shared" si="3"/>
        <v>438</v>
      </c>
      <c r="U5343" s="4">
        <f t="shared" si="4"/>
        <v>321</v>
      </c>
    </row>
    <row r="5344" ht="15.75" customHeight="1">
      <c r="A5344" s="4" t="s">
        <v>5970</v>
      </c>
      <c r="B5344" s="4" t="s">
        <v>13</v>
      </c>
      <c r="I5344" s="4">
        <v>0.1285</v>
      </c>
      <c r="J5344" s="4">
        <v>0.0071</v>
      </c>
      <c r="K5344" s="6" t="b">
        <f t="shared" si="5056"/>
        <v>0</v>
      </c>
      <c r="L5344" s="6" t="b">
        <f t="shared" si="5066"/>
        <v>0</v>
      </c>
      <c r="M5344" s="6" t="b">
        <f>FALSE()</f>
        <v>0</v>
      </c>
      <c r="P5344" s="4">
        <v>0.120889317275453</v>
      </c>
      <c r="T5344" s="4" t="str">
        <f t="shared" si="3"/>
        <v/>
      </c>
      <c r="U5344" s="4">
        <f t="shared" si="4"/>
        <v>3712</v>
      </c>
    </row>
    <row r="5345" ht="15.75" customHeight="1">
      <c r="A5345" s="4" t="s">
        <v>1356</v>
      </c>
      <c r="B5345" s="4" t="s">
        <v>13</v>
      </c>
      <c r="C5345" s="4">
        <v>0.17</v>
      </c>
      <c r="D5345" s="4">
        <v>0.02</v>
      </c>
      <c r="E5345" s="4">
        <v>0.02</v>
      </c>
      <c r="I5345" s="4">
        <v>0.81</v>
      </c>
      <c r="J5345" s="4">
        <v>0.005</v>
      </c>
      <c r="K5345" s="6" t="b">
        <f t="shared" si="5056"/>
        <v>0</v>
      </c>
      <c r="L5345" s="6" t="b">
        <f t="shared" si="5066"/>
        <v>0</v>
      </c>
      <c r="M5345" s="6" t="b">
        <f>TRUE()</f>
        <v>1</v>
      </c>
      <c r="N5345" s="4">
        <v>0.157003748809665</v>
      </c>
      <c r="P5345" s="4">
        <v>0.593326845277734</v>
      </c>
      <c r="T5345" s="4">
        <f t="shared" si="3"/>
        <v>1183</v>
      </c>
      <c r="U5345" s="4">
        <f t="shared" si="4"/>
        <v>834</v>
      </c>
    </row>
    <row r="5346" ht="15.75" customHeight="1">
      <c r="A5346" s="4" t="s">
        <v>5971</v>
      </c>
      <c r="B5346" s="4" t="s">
        <v>13</v>
      </c>
      <c r="D5346" s="4">
        <v>0.02</v>
      </c>
      <c r="E5346" s="4">
        <v>0.02</v>
      </c>
      <c r="F5346" s="4">
        <v>0.28</v>
      </c>
      <c r="G5346" s="4">
        <v>0.02</v>
      </c>
      <c r="H5346" s="4">
        <v>0.02</v>
      </c>
      <c r="K5346" s="6" t="b">
        <f t="shared" si="5056"/>
        <v>0</v>
      </c>
      <c r="L5346" s="6" t="b">
        <f t="shared" si="5066"/>
        <v>0</v>
      </c>
      <c r="M5346" s="6" t="b">
        <f t="shared" ref="M5346:M5348" si="5074">FALSE()</f>
        <v>0</v>
      </c>
      <c r="O5346" s="4">
        <v>0.246860077931526</v>
      </c>
      <c r="T5346" s="4" t="str">
        <f t="shared" si="3"/>
        <v/>
      </c>
      <c r="U5346" s="4" t="str">
        <f t="shared" si="4"/>
        <v/>
      </c>
    </row>
    <row r="5347" ht="15.75" customHeight="1">
      <c r="A5347" s="4" t="s">
        <v>1357</v>
      </c>
      <c r="B5347" s="4" t="s">
        <v>13</v>
      </c>
      <c r="C5347" s="4">
        <v>0.0324</v>
      </c>
      <c r="D5347" s="4">
        <v>0.0069</v>
      </c>
      <c r="E5347" s="4">
        <v>0.0069</v>
      </c>
      <c r="I5347" s="4">
        <v>0.2355</v>
      </c>
      <c r="J5347" s="4">
        <v>0.0107</v>
      </c>
      <c r="K5347" s="6" t="b">
        <f t="shared" si="5056"/>
        <v>0</v>
      </c>
      <c r="L5347" s="6" t="b">
        <f t="shared" si="5066"/>
        <v>0</v>
      </c>
      <c r="M5347" s="6" t="b">
        <f t="shared" si="5074"/>
        <v>0</v>
      </c>
      <c r="N5347" s="4">
        <v>0.0318861888623217</v>
      </c>
      <c r="P5347" s="4">
        <v>0.211475746446528</v>
      </c>
      <c r="T5347" s="4">
        <f t="shared" si="3"/>
        <v>1521</v>
      </c>
      <c r="U5347" s="4">
        <f t="shared" si="4"/>
        <v>2023</v>
      </c>
    </row>
    <row r="5348" ht="15.75" customHeight="1">
      <c r="A5348" s="4" t="s">
        <v>1359</v>
      </c>
      <c r="B5348" s="4" t="s">
        <v>13</v>
      </c>
      <c r="C5348" s="4">
        <v>0.2382</v>
      </c>
      <c r="D5348" s="4">
        <v>0.012</v>
      </c>
      <c r="E5348" s="4">
        <v>0.012</v>
      </c>
      <c r="I5348" s="4">
        <v>0.711</v>
      </c>
      <c r="J5348" s="4">
        <v>0.0107</v>
      </c>
      <c r="K5348" s="6" t="b">
        <f t="shared" si="5056"/>
        <v>0</v>
      </c>
      <c r="L5348" s="6" t="b">
        <f t="shared" si="5066"/>
        <v>0</v>
      </c>
      <c r="M5348" s="6" t="b">
        <f t="shared" si="5074"/>
        <v>0</v>
      </c>
      <c r="N5348" s="4">
        <v>0.213658712102995</v>
      </c>
      <c r="P5348" s="4">
        <v>0.537077994910056</v>
      </c>
      <c r="T5348" s="4">
        <f t="shared" si="3"/>
        <v>1122</v>
      </c>
      <c r="U5348" s="4">
        <f t="shared" si="4"/>
        <v>893</v>
      </c>
    </row>
    <row r="5349" ht="15.75" customHeight="1">
      <c r="A5349" s="4" t="s">
        <v>1360</v>
      </c>
      <c r="B5349" s="4" t="s">
        <v>13</v>
      </c>
      <c r="C5349" s="4">
        <v>6.4</v>
      </c>
      <c r="D5349" s="4">
        <v>6.4</v>
      </c>
      <c r="E5349" s="4">
        <v>0.0</v>
      </c>
      <c r="I5349" s="4">
        <v>1.07</v>
      </c>
      <c r="J5349" s="4">
        <v>0.1</v>
      </c>
      <c r="K5349" s="6" t="b">
        <f>TRUE()</f>
        <v>1</v>
      </c>
      <c r="L5349" s="6" t="b">
        <f t="shared" si="5066"/>
        <v>0</v>
      </c>
      <c r="M5349" s="6" t="b">
        <f t="shared" ref="M5349:M5350" si="5076">TRUE()</f>
        <v>1</v>
      </c>
      <c r="N5349" s="4">
        <v>2.00148000021012</v>
      </c>
      <c r="P5349" s="4">
        <v>0.727548607277278</v>
      </c>
      <c r="T5349" s="4">
        <f t="shared" si="3"/>
        <v>150</v>
      </c>
      <c r="U5349" s="4">
        <f t="shared" si="4"/>
        <v>575</v>
      </c>
    </row>
    <row r="5350" ht="15.75" customHeight="1">
      <c r="A5350" s="4" t="s">
        <v>1361</v>
      </c>
      <c r="B5350" s="4" t="s">
        <v>13</v>
      </c>
      <c r="C5350" s="4">
        <v>1.286</v>
      </c>
      <c r="D5350" s="4">
        <v>0.057</v>
      </c>
      <c r="E5350" s="4">
        <v>0.057</v>
      </c>
      <c r="I5350" s="4">
        <v>1.054</v>
      </c>
      <c r="J5350" s="4">
        <v>0.027</v>
      </c>
      <c r="K5350" s="6" t="b">
        <f t="shared" ref="K5350:L5350" si="5075">FALSE()</f>
        <v>0</v>
      </c>
      <c r="L5350" s="6" t="b">
        <f t="shared" si="5075"/>
        <v>0</v>
      </c>
      <c r="M5350" s="6" t="b">
        <f t="shared" si="5076"/>
        <v>1</v>
      </c>
      <c r="N5350" s="4">
        <v>0.826803565372619</v>
      </c>
      <c r="P5350" s="4">
        <v>0.719789111506367</v>
      </c>
      <c r="T5350" s="4">
        <f t="shared" si="3"/>
        <v>565</v>
      </c>
      <c r="U5350" s="4">
        <f t="shared" si="4"/>
        <v>601</v>
      </c>
    </row>
    <row r="5351" ht="15.75" customHeight="1">
      <c r="A5351" s="4" t="s">
        <v>1362</v>
      </c>
      <c r="B5351" s="4" t="s">
        <v>13</v>
      </c>
      <c r="C5351" s="4">
        <v>0.0289</v>
      </c>
      <c r="D5351" s="4">
        <v>0.0011</v>
      </c>
      <c r="E5351" s="4">
        <v>0.0011</v>
      </c>
      <c r="I5351" s="4">
        <v>0.2953</v>
      </c>
      <c r="J5351" s="4">
        <v>9.0E-4</v>
      </c>
      <c r="K5351" s="6" t="b">
        <f t="shared" ref="K5351:M5351" si="5077">FALSE()</f>
        <v>0</v>
      </c>
      <c r="L5351" s="6" t="b">
        <f t="shared" si="5077"/>
        <v>0</v>
      </c>
      <c r="M5351" s="6" t="b">
        <f t="shared" si="5077"/>
        <v>0</v>
      </c>
      <c r="N5351" s="4">
        <v>0.0284902703996274</v>
      </c>
      <c r="P5351" s="4">
        <v>0.258742328554073</v>
      </c>
      <c r="T5351" s="4">
        <f t="shared" si="3"/>
        <v>1570</v>
      </c>
      <c r="U5351" s="4">
        <f t="shared" si="4"/>
        <v>1405</v>
      </c>
    </row>
    <row r="5352" ht="15.75" customHeight="1">
      <c r="A5352" s="4" t="s">
        <v>5972</v>
      </c>
      <c r="B5352" s="4" t="s">
        <v>13</v>
      </c>
      <c r="D5352" s="4">
        <v>0.0013</v>
      </c>
      <c r="E5352" s="4">
        <v>0.0013</v>
      </c>
      <c r="F5352" s="4">
        <v>0.028</v>
      </c>
      <c r="G5352" s="4">
        <v>0.0013</v>
      </c>
      <c r="H5352" s="4">
        <v>0.0013</v>
      </c>
      <c r="K5352" s="6" t="b">
        <f t="shared" ref="K5352:M5352" si="5078">FALSE()</f>
        <v>0</v>
      </c>
      <c r="L5352" s="6" t="b">
        <f t="shared" si="5078"/>
        <v>0</v>
      </c>
      <c r="M5352" s="6" t="b">
        <f t="shared" si="5078"/>
        <v>0</v>
      </c>
      <c r="O5352" s="4">
        <v>0.0276151670329733</v>
      </c>
      <c r="T5352" s="4" t="str">
        <f t="shared" si="3"/>
        <v/>
      </c>
      <c r="U5352" s="4" t="str">
        <f t="shared" si="4"/>
        <v/>
      </c>
    </row>
    <row r="5353" ht="15.75" customHeight="1">
      <c r="A5353" s="4" t="s">
        <v>1363</v>
      </c>
      <c r="B5353" s="4" t="s">
        <v>13</v>
      </c>
      <c r="C5353" s="4">
        <v>0.0289</v>
      </c>
      <c r="D5353" s="4">
        <v>0.0066</v>
      </c>
      <c r="E5353" s="4">
        <v>0.0066</v>
      </c>
      <c r="I5353" s="4">
        <v>0.2025</v>
      </c>
      <c r="J5353" s="4">
        <v>0.0062</v>
      </c>
      <c r="K5353" s="6" t="b">
        <f t="shared" ref="K5353:M5353" si="5079">FALSE()</f>
        <v>0</v>
      </c>
      <c r="L5353" s="6" t="b">
        <f t="shared" si="5079"/>
        <v>0</v>
      </c>
      <c r="M5353" s="6" t="b">
        <f t="shared" si="5079"/>
        <v>0</v>
      </c>
      <c r="N5353" s="4">
        <v>0.0284902703996274</v>
      </c>
      <c r="P5353" s="4">
        <v>0.184402722997779</v>
      </c>
      <c r="T5353" s="4">
        <f t="shared" si="3"/>
        <v>1571</v>
      </c>
      <c r="U5353" s="4">
        <f t="shared" si="4"/>
        <v>2544</v>
      </c>
    </row>
    <row r="5354" ht="15.75" customHeight="1">
      <c r="A5354" s="4" t="s">
        <v>1365</v>
      </c>
      <c r="B5354" s="4" t="s">
        <v>13</v>
      </c>
      <c r="C5354" s="4">
        <v>0.0113</v>
      </c>
      <c r="D5354" s="4">
        <v>0.011</v>
      </c>
      <c r="E5354" s="4">
        <v>0.0</v>
      </c>
      <c r="I5354" s="4">
        <v>0.1374</v>
      </c>
      <c r="J5354" s="4">
        <v>0.0125</v>
      </c>
      <c r="K5354" s="6" t="b">
        <f t="shared" ref="K5354:M5354" si="5080">FALSE()</f>
        <v>0</v>
      </c>
      <c r="L5354" s="6" t="b">
        <f t="shared" si="5080"/>
        <v>0</v>
      </c>
      <c r="M5354" s="6" t="b">
        <f t="shared" si="5080"/>
        <v>0</v>
      </c>
      <c r="N5354" s="4">
        <v>0.0112366319259876</v>
      </c>
      <c r="P5354" s="4">
        <v>0.128744955890562</v>
      </c>
      <c r="T5354" s="4">
        <f t="shared" si="3"/>
        <v>1912</v>
      </c>
      <c r="U5354" s="4">
        <f t="shared" si="4"/>
        <v>3552</v>
      </c>
    </row>
    <row r="5355" ht="15.75" customHeight="1">
      <c r="A5355" s="4" t="s">
        <v>1366</v>
      </c>
      <c r="B5355" s="4" t="s">
        <v>13</v>
      </c>
      <c r="C5355" s="4">
        <v>0.1089</v>
      </c>
      <c r="D5355" s="4">
        <v>0.0132</v>
      </c>
      <c r="E5355" s="4">
        <v>0.0132</v>
      </c>
      <c r="I5355" s="4">
        <v>0.505</v>
      </c>
      <c r="J5355" s="4">
        <v>0.025</v>
      </c>
      <c r="K5355" s="6" t="b">
        <f t="shared" ref="K5355:M5355" si="5081">FALSE()</f>
        <v>0</v>
      </c>
      <c r="L5355" s="6" t="b">
        <f t="shared" si="5081"/>
        <v>0</v>
      </c>
      <c r="M5355" s="6" t="b">
        <f t="shared" si="5081"/>
        <v>0</v>
      </c>
      <c r="N5355" s="4">
        <v>0.103368532977033</v>
      </c>
      <c r="P5355" s="4">
        <v>0.408792898200839</v>
      </c>
      <c r="T5355" s="4">
        <f t="shared" si="3"/>
        <v>1251</v>
      </c>
      <c r="U5355" s="4">
        <f t="shared" si="4"/>
        <v>1008</v>
      </c>
    </row>
    <row r="5356" ht="15.75" customHeight="1">
      <c r="A5356" s="4" t="s">
        <v>1367</v>
      </c>
      <c r="B5356" s="4" t="s">
        <v>13</v>
      </c>
      <c r="C5356" s="4">
        <v>0.42</v>
      </c>
      <c r="D5356" s="4">
        <v>0.03</v>
      </c>
      <c r="E5356" s="4">
        <v>0.05</v>
      </c>
      <c r="I5356" s="4">
        <v>1.0</v>
      </c>
      <c r="J5356" s="4">
        <v>0.015</v>
      </c>
      <c r="K5356" s="6" t="b">
        <f t="shared" ref="K5356:L5356" si="5082">FALSE()</f>
        <v>0</v>
      </c>
      <c r="L5356" s="6" t="b">
        <f t="shared" si="5082"/>
        <v>0</v>
      </c>
      <c r="M5356" s="6" t="b">
        <f t="shared" ref="M5356:M5357" si="5083">TRUE()</f>
        <v>1</v>
      </c>
      <c r="N5356" s="4">
        <v>0.350656871613169</v>
      </c>
      <c r="P5356" s="4">
        <v>0.693147180559945</v>
      </c>
      <c r="T5356" s="4">
        <f t="shared" si="3"/>
        <v>1001</v>
      </c>
      <c r="U5356" s="4">
        <f t="shared" si="4"/>
        <v>668</v>
      </c>
    </row>
    <row r="5357" ht="15.75" customHeight="1">
      <c r="A5357" s="4" t="s">
        <v>1368</v>
      </c>
      <c r="B5357" s="4" t="s">
        <v>13</v>
      </c>
      <c r="C5357" s="4">
        <v>4.4</v>
      </c>
      <c r="D5357" s="4">
        <v>0.4</v>
      </c>
      <c r="E5357" s="4">
        <v>0.4</v>
      </c>
      <c r="I5357" s="4">
        <v>1.12</v>
      </c>
      <c r="J5357" s="4">
        <v>0.01</v>
      </c>
      <c r="K5357" s="6" t="b">
        <f>TRUE()</f>
        <v>1</v>
      </c>
      <c r="L5357" s="6" t="b">
        <f>FALSE()</f>
        <v>0</v>
      </c>
      <c r="M5357" s="6" t="b">
        <f t="shared" si="5083"/>
        <v>1</v>
      </c>
      <c r="N5357" s="4">
        <v>1.68639895357023</v>
      </c>
      <c r="P5357" s="4">
        <v>0.751416088683921</v>
      </c>
      <c r="T5357" s="4">
        <f t="shared" si="3"/>
        <v>236</v>
      </c>
      <c r="U5357" s="4">
        <f t="shared" si="4"/>
        <v>491</v>
      </c>
    </row>
    <row r="5358" ht="15.75" customHeight="1">
      <c r="A5358" s="4" t="s">
        <v>5973</v>
      </c>
      <c r="B5358" s="4" t="s">
        <v>13</v>
      </c>
      <c r="I5358" s="4">
        <v>0.107</v>
      </c>
      <c r="K5358" s="6" t="b">
        <f t="shared" ref="K5358:M5358" si="5084">FALSE()</f>
        <v>0</v>
      </c>
      <c r="L5358" s="6" t="b">
        <f t="shared" si="5084"/>
        <v>0</v>
      </c>
      <c r="M5358" s="6" t="b">
        <f t="shared" si="5084"/>
        <v>0</v>
      </c>
      <c r="P5358" s="4">
        <v>0.1016536537265</v>
      </c>
      <c r="T5358" s="4" t="str">
        <f t="shared" si="3"/>
        <v/>
      </c>
      <c r="U5358" s="4">
        <f t="shared" si="4"/>
        <v>4110</v>
      </c>
    </row>
    <row r="5359" ht="15.75" customHeight="1">
      <c r="A5359" s="4" t="s">
        <v>1369</v>
      </c>
      <c r="B5359" s="4" t="s">
        <v>13</v>
      </c>
      <c r="C5359" s="4">
        <v>0.6639</v>
      </c>
      <c r="D5359" s="4">
        <v>0.063</v>
      </c>
      <c r="E5359" s="4">
        <v>0.066</v>
      </c>
      <c r="I5359" s="4">
        <v>1.1316</v>
      </c>
      <c r="J5359" s="4">
        <v>0.0631</v>
      </c>
      <c r="K5359" s="6" t="b">
        <f t="shared" ref="K5359:L5359" si="5085">FALSE()</f>
        <v>0</v>
      </c>
      <c r="L5359" s="6" t="b">
        <f t="shared" si="5085"/>
        <v>0</v>
      </c>
      <c r="M5359" s="6" t="b">
        <f t="shared" ref="M5359:M5360" si="5087">TRUE()</f>
        <v>1</v>
      </c>
      <c r="N5359" s="4">
        <v>0.509164244439325</v>
      </c>
      <c r="P5359" s="4">
        <v>0.75687287144049</v>
      </c>
      <c r="T5359" s="4">
        <f t="shared" si="3"/>
        <v>846</v>
      </c>
      <c r="U5359" s="4">
        <f t="shared" si="4"/>
        <v>470</v>
      </c>
    </row>
    <row r="5360" ht="15.75" customHeight="1">
      <c r="A5360" s="4" t="s">
        <v>1371</v>
      </c>
      <c r="B5360" s="4" t="s">
        <v>13</v>
      </c>
      <c r="C5360" s="4">
        <v>2.3</v>
      </c>
      <c r="D5360" s="4">
        <v>0.28</v>
      </c>
      <c r="E5360" s="4">
        <v>0.28</v>
      </c>
      <c r="I5360" s="4">
        <v>1.44</v>
      </c>
      <c r="J5360" s="4">
        <v>0.11</v>
      </c>
      <c r="K5360" s="6" t="b">
        <f t="shared" ref="K5360:L5360" si="5086">FALSE()</f>
        <v>0</v>
      </c>
      <c r="L5360" s="6" t="b">
        <f t="shared" si="5086"/>
        <v>0</v>
      </c>
      <c r="M5360" s="6" t="b">
        <f t="shared" si="5087"/>
        <v>1</v>
      </c>
      <c r="N5360" s="4">
        <v>1.19392246847244</v>
      </c>
      <c r="P5360" s="4">
        <v>0.891998039305111</v>
      </c>
      <c r="T5360" s="4">
        <f t="shared" si="3"/>
        <v>401</v>
      </c>
      <c r="U5360" s="4">
        <f t="shared" si="4"/>
        <v>151</v>
      </c>
    </row>
    <row r="5361" ht="15.75" customHeight="1">
      <c r="A5361" s="4" t="s">
        <v>5974</v>
      </c>
      <c r="B5361" s="4" t="s">
        <v>13</v>
      </c>
      <c r="I5361" s="4">
        <v>0.1838</v>
      </c>
      <c r="J5361" s="4">
        <v>0.018</v>
      </c>
      <c r="K5361" s="6" t="b">
        <f t="shared" ref="K5361:M5361" si="5088">FALSE()</f>
        <v>0</v>
      </c>
      <c r="L5361" s="6" t="b">
        <f t="shared" si="5088"/>
        <v>0</v>
      </c>
      <c r="M5361" s="6" t="b">
        <f t="shared" si="5088"/>
        <v>0</v>
      </c>
      <c r="P5361" s="4">
        <v>0.168729603274488</v>
      </c>
      <c r="T5361" s="4" t="str">
        <f t="shared" si="3"/>
        <v/>
      </c>
      <c r="U5361" s="4">
        <f t="shared" si="4"/>
        <v>2846</v>
      </c>
    </row>
    <row r="5362" ht="15.75" customHeight="1">
      <c r="A5362" s="4" t="s">
        <v>1372</v>
      </c>
      <c r="B5362" s="4" t="s">
        <v>13</v>
      </c>
      <c r="C5362" s="4">
        <v>0.0138</v>
      </c>
      <c r="D5362" s="4">
        <v>0.005</v>
      </c>
      <c r="E5362" s="4">
        <v>0.0101</v>
      </c>
      <c r="I5362" s="4">
        <v>0.1624</v>
      </c>
      <c r="J5362" s="4">
        <v>0.0134</v>
      </c>
      <c r="K5362" s="6" t="b">
        <f t="shared" ref="K5362:M5362" si="5089">FALSE()</f>
        <v>0</v>
      </c>
      <c r="L5362" s="6" t="b">
        <f t="shared" si="5089"/>
        <v>0</v>
      </c>
      <c r="M5362" s="6" t="b">
        <f t="shared" si="5089"/>
        <v>0</v>
      </c>
      <c r="N5362" s="4">
        <v>0.0137056470561119</v>
      </c>
      <c r="P5362" s="4">
        <v>0.150486833273936</v>
      </c>
      <c r="T5362" s="4">
        <f t="shared" si="3"/>
        <v>1853</v>
      </c>
      <c r="U5362" s="4">
        <f t="shared" si="4"/>
        <v>3145</v>
      </c>
    </row>
    <row r="5363" ht="15.75" customHeight="1">
      <c r="A5363" s="4" t="s">
        <v>1373</v>
      </c>
      <c r="B5363" s="4" t="s">
        <v>13</v>
      </c>
      <c r="C5363" s="4">
        <v>0.0069</v>
      </c>
      <c r="D5363" s="4">
        <v>0.0022</v>
      </c>
      <c r="E5363" s="4">
        <v>0.0041</v>
      </c>
      <c r="I5363" s="4">
        <v>0.116</v>
      </c>
      <c r="J5363" s="4">
        <v>0.0045</v>
      </c>
      <c r="K5363" s="6" t="b">
        <f t="shared" ref="K5363:M5363" si="5090">FALSE()</f>
        <v>0</v>
      </c>
      <c r="L5363" s="6" t="b">
        <f t="shared" si="5090"/>
        <v>0</v>
      </c>
      <c r="M5363" s="6" t="b">
        <f t="shared" si="5090"/>
        <v>0</v>
      </c>
      <c r="N5363" s="4">
        <v>0.0068763039394321</v>
      </c>
      <c r="P5363" s="4">
        <v>0.109750863959119</v>
      </c>
      <c r="T5363" s="4">
        <f t="shared" si="3"/>
        <v>1991</v>
      </c>
      <c r="U5363" s="4">
        <f t="shared" si="4"/>
        <v>3960</v>
      </c>
    </row>
    <row r="5364" ht="15.75" customHeight="1">
      <c r="A5364" s="4" t="s">
        <v>1374</v>
      </c>
      <c r="B5364" s="4" t="s">
        <v>13</v>
      </c>
      <c r="C5364" s="4">
        <v>0.0107</v>
      </c>
      <c r="D5364" s="4">
        <v>0.0057</v>
      </c>
      <c r="E5364" s="4">
        <v>0.0057</v>
      </c>
      <c r="I5364" s="4">
        <v>0.2266</v>
      </c>
      <c r="J5364" s="4">
        <v>0.0036</v>
      </c>
      <c r="K5364" s="6" t="b">
        <f t="shared" ref="K5364:M5364" si="5091">FALSE()</f>
        <v>0</v>
      </c>
      <c r="L5364" s="6" t="b">
        <f t="shared" si="5091"/>
        <v>0</v>
      </c>
      <c r="M5364" s="6" t="b">
        <f t="shared" si="5091"/>
        <v>0</v>
      </c>
      <c r="N5364" s="4">
        <v>0.0106431600984798</v>
      </c>
      <c r="P5364" s="4">
        <v>0.204246114209746</v>
      </c>
      <c r="T5364" s="4">
        <f t="shared" si="3"/>
        <v>1928</v>
      </c>
      <c r="U5364" s="4">
        <f t="shared" si="4"/>
        <v>2170</v>
      </c>
    </row>
    <row r="5365" ht="15.75" customHeight="1">
      <c r="A5365" s="4" t="s">
        <v>1375</v>
      </c>
      <c r="B5365" s="4" t="s">
        <v>13</v>
      </c>
      <c r="C5365" s="4">
        <v>0.0145</v>
      </c>
      <c r="D5365" s="4">
        <v>0.0072</v>
      </c>
      <c r="E5365" s="4">
        <v>0.0072</v>
      </c>
      <c r="I5365" s="4">
        <v>0.2989</v>
      </c>
      <c r="J5365" s="4">
        <v>0.0045</v>
      </c>
      <c r="K5365" s="6" t="b">
        <f t="shared" ref="K5365:M5365" si="5092">FALSE()</f>
        <v>0</v>
      </c>
      <c r="L5365" s="6" t="b">
        <f t="shared" si="5092"/>
        <v>0</v>
      </c>
      <c r="M5365" s="6" t="b">
        <f t="shared" si="5092"/>
        <v>0</v>
      </c>
      <c r="N5365" s="4">
        <v>0.0143958802837323</v>
      </c>
      <c r="P5365" s="4">
        <v>0.261517752431101</v>
      </c>
      <c r="T5365" s="4">
        <f t="shared" si="3"/>
        <v>1834</v>
      </c>
      <c r="U5365" s="4">
        <f t="shared" si="4"/>
        <v>1391</v>
      </c>
    </row>
    <row r="5366" ht="15.75" customHeight="1">
      <c r="A5366" s="4" t="s">
        <v>1376</v>
      </c>
      <c r="B5366" s="4" t="s">
        <v>13</v>
      </c>
      <c r="C5366" s="4">
        <v>0.023</v>
      </c>
      <c r="D5366" s="4">
        <v>0.0088</v>
      </c>
      <c r="E5366" s="4">
        <v>0.0088</v>
      </c>
      <c r="I5366" s="4">
        <v>0.2935</v>
      </c>
      <c r="J5366" s="4">
        <v>0.0054</v>
      </c>
      <c r="K5366" s="6" t="b">
        <f t="shared" ref="K5366:M5366" si="5093">FALSE()</f>
        <v>0</v>
      </c>
      <c r="L5366" s="6" t="b">
        <f t="shared" si="5093"/>
        <v>0</v>
      </c>
      <c r="M5366" s="6" t="b">
        <f t="shared" si="5093"/>
        <v>0</v>
      </c>
      <c r="N5366" s="4">
        <v>0.0227394869694894</v>
      </c>
      <c r="P5366" s="4">
        <v>0.257351722643947</v>
      </c>
      <c r="T5366" s="4">
        <f t="shared" si="3"/>
        <v>1670</v>
      </c>
      <c r="U5366" s="4">
        <f t="shared" si="4"/>
        <v>1418</v>
      </c>
    </row>
    <row r="5367" ht="15.75" customHeight="1">
      <c r="A5367" s="4" t="s">
        <v>5975</v>
      </c>
      <c r="B5367" s="4" t="s">
        <v>13</v>
      </c>
      <c r="I5367" s="4">
        <v>0.12089</v>
      </c>
      <c r="J5367" s="4">
        <v>0.00874</v>
      </c>
      <c r="K5367" s="6" t="b">
        <f t="shared" ref="K5367:M5367" si="5094">FALSE()</f>
        <v>0</v>
      </c>
      <c r="L5367" s="6" t="b">
        <f t="shared" si="5094"/>
        <v>0</v>
      </c>
      <c r="M5367" s="6" t="b">
        <f t="shared" si="5094"/>
        <v>0</v>
      </c>
      <c r="P5367" s="4">
        <v>0.114123012602672</v>
      </c>
      <c r="T5367" s="4" t="str">
        <f t="shared" si="3"/>
        <v/>
      </c>
      <c r="U5367" s="4">
        <f t="shared" si="4"/>
        <v>3852</v>
      </c>
    </row>
    <row r="5368" ht="15.75" customHeight="1">
      <c r="A5368" s="4" t="s">
        <v>1378</v>
      </c>
      <c r="B5368" s="4" t="s">
        <v>13</v>
      </c>
      <c r="C5368" s="4">
        <v>0.016</v>
      </c>
      <c r="D5368" s="4">
        <v>0.0076</v>
      </c>
      <c r="E5368" s="4">
        <v>0.0151</v>
      </c>
      <c r="I5368" s="4">
        <v>0.182</v>
      </c>
      <c r="J5368" s="4">
        <v>0.0482</v>
      </c>
      <c r="K5368" s="6" t="b">
        <f t="shared" ref="K5368:M5368" si="5095">FALSE()</f>
        <v>0</v>
      </c>
      <c r="L5368" s="6" t="b">
        <f t="shared" si="5095"/>
        <v>0</v>
      </c>
      <c r="M5368" s="6" t="b">
        <f t="shared" si="5095"/>
        <v>0</v>
      </c>
      <c r="N5368" s="4">
        <v>0.0158733491562901</v>
      </c>
      <c r="P5368" s="4">
        <v>0.167207918983906</v>
      </c>
      <c r="T5368" s="4">
        <f t="shared" si="3"/>
        <v>1807</v>
      </c>
      <c r="U5368" s="4">
        <f t="shared" si="4"/>
        <v>2870</v>
      </c>
    </row>
    <row r="5369" ht="15.75" customHeight="1">
      <c r="A5369" s="4" t="s">
        <v>1379</v>
      </c>
      <c r="B5369" s="4" t="s">
        <v>13</v>
      </c>
      <c r="C5369" s="4">
        <v>0.02121</v>
      </c>
      <c r="D5369" s="4">
        <v>0.0088</v>
      </c>
      <c r="E5369" s="4">
        <v>0.0167</v>
      </c>
      <c r="I5369" s="4">
        <v>0.2204</v>
      </c>
      <c r="J5369" s="4">
        <v>0.0116</v>
      </c>
      <c r="K5369" s="6" t="b">
        <f t="shared" ref="K5369:M5369" si="5096">FALSE()</f>
        <v>0</v>
      </c>
      <c r="L5369" s="6" t="b">
        <f t="shared" si="5096"/>
        <v>0</v>
      </c>
      <c r="M5369" s="6" t="b">
        <f t="shared" si="5096"/>
        <v>0</v>
      </c>
      <c r="N5369" s="4">
        <v>0.0209881987383432</v>
      </c>
      <c r="P5369" s="4">
        <v>0.199178673860378</v>
      </c>
      <c r="T5369" s="4">
        <f t="shared" si="3"/>
        <v>1704</v>
      </c>
      <c r="U5369" s="4">
        <f t="shared" si="4"/>
        <v>2255</v>
      </c>
    </row>
    <row r="5370" ht="15.75" customHeight="1">
      <c r="A5370" s="4" t="s">
        <v>1380</v>
      </c>
      <c r="B5370" s="4" t="s">
        <v>13</v>
      </c>
      <c r="C5370" s="4">
        <v>0.116</v>
      </c>
      <c r="D5370" s="4">
        <v>0.116</v>
      </c>
      <c r="E5370" s="4">
        <v>0.0</v>
      </c>
      <c r="I5370" s="4">
        <v>0.3283</v>
      </c>
      <c r="J5370" s="4">
        <v>0.0125</v>
      </c>
      <c r="K5370" s="6" t="b">
        <f t="shared" ref="K5370:M5370" si="5097">FALSE()</f>
        <v>0</v>
      </c>
      <c r="L5370" s="6" t="b">
        <f t="shared" si="5097"/>
        <v>0</v>
      </c>
      <c r="M5370" s="6" t="b">
        <f t="shared" si="5097"/>
        <v>0</v>
      </c>
      <c r="N5370" s="4">
        <v>0.109750863959119</v>
      </c>
      <c r="P5370" s="4">
        <v>0.283899929156321</v>
      </c>
      <c r="T5370" s="4">
        <f t="shared" si="3"/>
        <v>1239</v>
      </c>
      <c r="U5370" s="4">
        <f t="shared" si="4"/>
        <v>1263</v>
      </c>
    </row>
    <row r="5371" ht="15.75" customHeight="1">
      <c r="A5371" s="4" t="s">
        <v>1381</v>
      </c>
      <c r="B5371" s="4" t="s">
        <v>13</v>
      </c>
      <c r="C5371" s="4">
        <v>0.0129</v>
      </c>
      <c r="D5371" s="4">
        <v>0.0129</v>
      </c>
      <c r="E5371" s="4">
        <v>0.0</v>
      </c>
      <c r="I5371" s="4">
        <v>0.1115</v>
      </c>
      <c r="J5371" s="4">
        <v>0.0062</v>
      </c>
      <c r="K5371" s="6" t="b">
        <f t="shared" ref="K5371:M5371" si="5098">FALSE()</f>
        <v>0</v>
      </c>
      <c r="L5371" s="6" t="b">
        <f t="shared" si="5098"/>
        <v>0</v>
      </c>
      <c r="M5371" s="6" t="b">
        <f t="shared" si="5098"/>
        <v>0</v>
      </c>
      <c r="N5371" s="4">
        <v>0.0128175037106144</v>
      </c>
      <c r="P5371" s="4">
        <v>0.105710454422114</v>
      </c>
      <c r="T5371" s="4">
        <f t="shared" si="3"/>
        <v>1876</v>
      </c>
      <c r="U5371" s="4">
        <f t="shared" si="4"/>
        <v>4021</v>
      </c>
    </row>
    <row r="5372" ht="15.75" customHeight="1">
      <c r="A5372" s="4" t="s">
        <v>1382</v>
      </c>
      <c r="B5372" s="4" t="s">
        <v>13</v>
      </c>
      <c r="C5372" s="4">
        <v>0.0233</v>
      </c>
      <c r="D5372" s="4">
        <v>0.0233</v>
      </c>
      <c r="E5372" s="4">
        <v>0.0</v>
      </c>
      <c r="I5372" s="4">
        <v>0.1187</v>
      </c>
      <c r="J5372" s="4">
        <v>0.0071</v>
      </c>
      <c r="K5372" s="6" t="b">
        <f t="shared" ref="K5372:M5372" si="5099">FALSE()</f>
        <v>0</v>
      </c>
      <c r="L5372" s="6" t="b">
        <f t="shared" si="5099"/>
        <v>0</v>
      </c>
      <c r="M5372" s="6" t="b">
        <f t="shared" si="5099"/>
        <v>0</v>
      </c>
      <c r="N5372" s="4">
        <v>0.0230326991105726</v>
      </c>
      <c r="P5372" s="4">
        <v>0.112167296870748</v>
      </c>
      <c r="T5372" s="4">
        <f t="shared" si="3"/>
        <v>1661</v>
      </c>
      <c r="U5372" s="4">
        <f t="shared" si="4"/>
        <v>3899</v>
      </c>
    </row>
    <row r="5373" ht="15.75" customHeight="1">
      <c r="A5373" s="4" t="s">
        <v>1384</v>
      </c>
      <c r="B5373" s="4" t="s">
        <v>13</v>
      </c>
      <c r="C5373" s="4">
        <v>0.006</v>
      </c>
      <c r="D5373" s="4">
        <v>0.0019</v>
      </c>
      <c r="E5373" s="4">
        <v>0.0044</v>
      </c>
      <c r="I5373" s="4">
        <v>0.11089</v>
      </c>
      <c r="J5373" s="4">
        <v>0.00687</v>
      </c>
      <c r="K5373" s="6" t="b">
        <f t="shared" ref="K5373:M5373" si="5100">FALSE()</f>
        <v>0</v>
      </c>
      <c r="L5373" s="6" t="b">
        <f t="shared" si="5100"/>
        <v>0</v>
      </c>
      <c r="M5373" s="6" t="b">
        <f t="shared" si="5100"/>
        <v>0</v>
      </c>
      <c r="N5373" s="4">
        <v>0.0059820716775474</v>
      </c>
      <c r="P5373" s="4">
        <v>0.105161495854699</v>
      </c>
      <c r="T5373" s="4">
        <f t="shared" si="3"/>
        <v>2012</v>
      </c>
      <c r="U5373" s="4">
        <f t="shared" si="4"/>
        <v>4033</v>
      </c>
    </row>
    <row r="5374" ht="15.75" customHeight="1">
      <c r="A5374" s="4" t="s">
        <v>1385</v>
      </c>
      <c r="B5374" s="4" t="s">
        <v>13</v>
      </c>
      <c r="C5374" s="4">
        <v>0.0145</v>
      </c>
      <c r="D5374" s="4">
        <v>0.0057</v>
      </c>
      <c r="E5374" s="4">
        <v>0.011</v>
      </c>
      <c r="I5374" s="4">
        <v>0.17076</v>
      </c>
      <c r="J5374" s="4">
        <v>0.00848</v>
      </c>
      <c r="K5374" s="6" t="b">
        <f t="shared" ref="K5374:M5374" si="5101">FALSE()</f>
        <v>0</v>
      </c>
      <c r="L5374" s="6" t="b">
        <f t="shared" si="5101"/>
        <v>0</v>
      </c>
      <c r="M5374" s="6" t="b">
        <f t="shared" si="5101"/>
        <v>0</v>
      </c>
      <c r="N5374" s="4">
        <v>0.0143958802837323</v>
      </c>
      <c r="P5374" s="4">
        <v>0.157653110578241</v>
      </c>
      <c r="T5374" s="4">
        <f t="shared" si="3"/>
        <v>1835</v>
      </c>
      <c r="U5374" s="4">
        <f t="shared" si="4"/>
        <v>3031</v>
      </c>
    </row>
    <row r="5375" ht="15.75" customHeight="1">
      <c r="A5375" s="4" t="s">
        <v>1386</v>
      </c>
      <c r="B5375" s="4" t="s">
        <v>13</v>
      </c>
      <c r="C5375" s="4">
        <v>0.83</v>
      </c>
      <c r="D5375" s="4">
        <v>0.11</v>
      </c>
      <c r="E5375" s="4">
        <v>0.11</v>
      </c>
      <c r="I5375" s="4">
        <v>1.211</v>
      </c>
      <c r="J5375" s="4">
        <v>0.035</v>
      </c>
      <c r="K5375" s="6" t="b">
        <f t="shared" ref="K5375:L5375" si="5102">FALSE()</f>
        <v>0</v>
      </c>
      <c r="L5375" s="6" t="b">
        <f t="shared" si="5102"/>
        <v>0</v>
      </c>
      <c r="M5375" s="6" t="b">
        <f t="shared" ref="M5375:M5376" si="5103">TRUE()</f>
        <v>1</v>
      </c>
      <c r="N5375" s="4">
        <v>0.60431596685333</v>
      </c>
      <c r="P5375" s="4">
        <v>0.793444901875309</v>
      </c>
      <c r="T5375" s="4">
        <f t="shared" si="3"/>
        <v>752</v>
      </c>
      <c r="U5375" s="4">
        <f t="shared" si="4"/>
        <v>363</v>
      </c>
    </row>
    <row r="5376" ht="15.75" customHeight="1">
      <c r="A5376" s="4" t="s">
        <v>1387</v>
      </c>
      <c r="B5376" s="4" t="s">
        <v>13</v>
      </c>
      <c r="C5376" s="4">
        <v>5.02</v>
      </c>
      <c r="D5376" s="4">
        <v>0.75</v>
      </c>
      <c r="E5376" s="4">
        <v>0.75</v>
      </c>
      <c r="I5376" s="4">
        <v>1.347</v>
      </c>
      <c r="J5376" s="4">
        <v>0.047</v>
      </c>
      <c r="K5376" s="6" t="b">
        <f>TRUE()</f>
        <v>1</v>
      </c>
      <c r="L5376" s="6" t="b">
        <f>FALSE()</f>
        <v>0</v>
      </c>
      <c r="M5376" s="6" t="b">
        <f t="shared" si="5103"/>
        <v>1</v>
      </c>
      <c r="N5376" s="4">
        <v>1.79508725932073</v>
      </c>
      <c r="P5376" s="4">
        <v>0.853137916868886</v>
      </c>
      <c r="T5376" s="4">
        <f t="shared" si="3"/>
        <v>209</v>
      </c>
      <c r="U5376" s="4">
        <f t="shared" si="4"/>
        <v>211</v>
      </c>
    </row>
    <row r="5377" ht="15.75" customHeight="1">
      <c r="A5377" s="4" t="s">
        <v>1388</v>
      </c>
      <c r="B5377" s="4" t="s">
        <v>13</v>
      </c>
      <c r="C5377" s="4">
        <v>0.0214</v>
      </c>
      <c r="D5377" s="4">
        <v>0.0214</v>
      </c>
      <c r="E5377" s="4">
        <v>0.0</v>
      </c>
      <c r="I5377" s="4">
        <v>0.18931</v>
      </c>
      <c r="J5377" s="4">
        <v>0.0058</v>
      </c>
      <c r="K5377" s="6" t="b">
        <f t="shared" ref="K5377:M5377" si="5104">FALSE()</f>
        <v>0</v>
      </c>
      <c r="L5377" s="6" t="b">
        <f t="shared" si="5104"/>
        <v>0</v>
      </c>
      <c r="M5377" s="6" t="b">
        <f t="shared" si="5104"/>
        <v>0</v>
      </c>
      <c r="N5377" s="4">
        <v>0.0211742352314064</v>
      </c>
      <c r="P5377" s="4">
        <v>0.173373307023121</v>
      </c>
      <c r="T5377" s="4">
        <f t="shared" si="3"/>
        <v>1698</v>
      </c>
      <c r="U5377" s="4">
        <f t="shared" si="4"/>
        <v>2747</v>
      </c>
    </row>
    <row r="5378" ht="15.75" customHeight="1">
      <c r="A5378" s="4" t="s">
        <v>1389</v>
      </c>
      <c r="B5378" s="4" t="s">
        <v>13</v>
      </c>
      <c r="C5378" s="4">
        <v>0.0142</v>
      </c>
      <c r="D5378" s="4">
        <v>0.006</v>
      </c>
      <c r="E5378" s="4">
        <v>0.006</v>
      </c>
      <c r="I5378" s="4">
        <v>0.2346</v>
      </c>
      <c r="J5378" s="4">
        <v>0.0134</v>
      </c>
      <c r="K5378" s="6" t="b">
        <f t="shared" ref="K5378:M5378" si="5105">FALSE()</f>
        <v>0</v>
      </c>
      <c r="L5378" s="6" t="b">
        <f t="shared" si="5105"/>
        <v>0</v>
      </c>
      <c r="M5378" s="6" t="b">
        <f t="shared" si="5105"/>
        <v>0</v>
      </c>
      <c r="N5378" s="4">
        <v>0.0141001243787816</v>
      </c>
      <c r="P5378" s="4">
        <v>0.210747030977658</v>
      </c>
      <c r="T5378" s="4">
        <f t="shared" si="3"/>
        <v>1843</v>
      </c>
      <c r="U5378" s="4">
        <f t="shared" si="4"/>
        <v>2041</v>
      </c>
    </row>
    <row r="5379" ht="15.75" customHeight="1">
      <c r="A5379" s="4" t="s">
        <v>1391</v>
      </c>
      <c r="B5379" s="4" t="s">
        <v>13</v>
      </c>
      <c r="C5379" s="4">
        <v>0.02873</v>
      </c>
      <c r="D5379" s="4">
        <v>0.00245</v>
      </c>
      <c r="E5379" s="4">
        <v>0.00245</v>
      </c>
      <c r="I5379" s="4">
        <v>0.24</v>
      </c>
      <c r="J5379" s="4">
        <v>0.0143</v>
      </c>
      <c r="K5379" s="6" t="b">
        <f t="shared" ref="K5379:M5379" si="5106">FALSE()</f>
        <v>0</v>
      </c>
      <c r="L5379" s="6" t="b">
        <f t="shared" si="5106"/>
        <v>0</v>
      </c>
      <c r="M5379" s="6" t="b">
        <f t="shared" si="5106"/>
        <v>0</v>
      </c>
      <c r="N5379" s="4">
        <v>0.0283250317509036</v>
      </c>
      <c r="P5379" s="4">
        <v>0.215111379616946</v>
      </c>
      <c r="T5379" s="4">
        <f t="shared" si="3"/>
        <v>1573</v>
      </c>
      <c r="U5379" s="4">
        <f t="shared" si="4"/>
        <v>1954</v>
      </c>
    </row>
    <row r="5380" ht="15.75" customHeight="1">
      <c r="A5380" s="4" t="s">
        <v>1392</v>
      </c>
      <c r="B5380" s="4" t="s">
        <v>13</v>
      </c>
      <c r="C5380" s="4">
        <v>0.1318</v>
      </c>
      <c r="D5380" s="4">
        <v>0.0245</v>
      </c>
      <c r="E5380" s="4">
        <v>0.0245</v>
      </c>
      <c r="I5380" s="4">
        <v>0.6486</v>
      </c>
      <c r="J5380" s="4">
        <v>0.0375</v>
      </c>
      <c r="K5380" s="6" t="b">
        <f t="shared" ref="K5380:M5380" si="5107">FALSE()</f>
        <v>0</v>
      </c>
      <c r="L5380" s="6" t="b">
        <f t="shared" si="5107"/>
        <v>0</v>
      </c>
      <c r="M5380" s="6" t="b">
        <f t="shared" si="5107"/>
        <v>0</v>
      </c>
      <c r="N5380" s="4">
        <v>0.123809285726286</v>
      </c>
      <c r="P5380" s="4">
        <v>0.49992644289699</v>
      </c>
      <c r="T5380" s="4">
        <f t="shared" si="3"/>
        <v>1215</v>
      </c>
      <c r="U5380" s="4">
        <f t="shared" si="4"/>
        <v>918</v>
      </c>
    </row>
    <row r="5381" ht="15.75" customHeight="1">
      <c r="A5381" s="4" t="s">
        <v>1393</v>
      </c>
      <c r="B5381" s="4" t="s">
        <v>13</v>
      </c>
      <c r="C5381" s="4">
        <v>0.0148</v>
      </c>
      <c r="D5381" s="4">
        <v>0.0082</v>
      </c>
      <c r="E5381" s="4">
        <v>0.0098</v>
      </c>
      <c r="I5381" s="4">
        <v>0.1865</v>
      </c>
      <c r="J5381" s="4">
        <v>0.0071</v>
      </c>
      <c r="K5381" s="6" t="b">
        <f t="shared" ref="K5381:M5381" si="5108">FALSE()</f>
        <v>0</v>
      </c>
      <c r="L5381" s="6" t="b">
        <f t="shared" si="5108"/>
        <v>0</v>
      </c>
      <c r="M5381" s="6" t="b">
        <f t="shared" si="5108"/>
        <v>0</v>
      </c>
      <c r="N5381" s="4">
        <v>0.0146915487429897</v>
      </c>
      <c r="P5381" s="4">
        <v>0.171007796893681</v>
      </c>
      <c r="T5381" s="4">
        <f t="shared" si="3"/>
        <v>1826</v>
      </c>
      <c r="U5381" s="4">
        <f t="shared" si="4"/>
        <v>2797</v>
      </c>
    </row>
    <row r="5382" ht="15.75" customHeight="1">
      <c r="A5382" s="4" t="s">
        <v>1394</v>
      </c>
      <c r="B5382" s="4" t="s">
        <v>13</v>
      </c>
      <c r="C5382" s="4">
        <v>0.076</v>
      </c>
      <c r="D5382" s="4">
        <v>0.013</v>
      </c>
      <c r="E5382" s="4">
        <v>0.013</v>
      </c>
      <c r="I5382" s="4">
        <v>0.2721</v>
      </c>
      <c r="J5382" s="4">
        <v>0.0205</v>
      </c>
      <c r="K5382" s="6" t="b">
        <f t="shared" ref="K5382:M5382" si="5109">FALSE()</f>
        <v>0</v>
      </c>
      <c r="L5382" s="6" t="b">
        <f t="shared" si="5109"/>
        <v>0</v>
      </c>
      <c r="M5382" s="6" t="b">
        <f t="shared" si="5109"/>
        <v>0</v>
      </c>
      <c r="N5382" s="4">
        <v>0.0732504617395926</v>
      </c>
      <c r="P5382" s="4">
        <v>0.240669078180028</v>
      </c>
      <c r="T5382" s="4">
        <f t="shared" si="3"/>
        <v>1307</v>
      </c>
      <c r="U5382" s="4">
        <f t="shared" si="4"/>
        <v>1569</v>
      </c>
    </row>
    <row r="5383" ht="15.75" customHeight="1">
      <c r="A5383" s="4" t="s">
        <v>1395</v>
      </c>
      <c r="B5383" s="4" t="s">
        <v>13</v>
      </c>
      <c r="C5383" s="4">
        <v>5.52</v>
      </c>
      <c r="D5383" s="4">
        <v>0.35</v>
      </c>
      <c r="E5383" s="4">
        <v>0.35</v>
      </c>
      <c r="I5383" s="4">
        <v>1.098</v>
      </c>
      <c r="J5383" s="4">
        <v>0.003</v>
      </c>
      <c r="K5383" s="6" t="b">
        <f>TRUE()</f>
        <v>1</v>
      </c>
      <c r="L5383" s="6" t="b">
        <f>FALSE()</f>
        <v>0</v>
      </c>
      <c r="M5383" s="6" t="b">
        <f t="shared" ref="M5383:M5386" si="5111">TRUE()</f>
        <v>1</v>
      </c>
      <c r="N5383" s="4">
        <v>1.87487437593856</v>
      </c>
      <c r="P5383" s="4">
        <v>0.740984509974106</v>
      </c>
      <c r="T5383" s="4">
        <f t="shared" si="3"/>
        <v>189</v>
      </c>
      <c r="U5383" s="4">
        <f t="shared" si="4"/>
        <v>519</v>
      </c>
    </row>
    <row r="5384" ht="15.75" customHeight="1">
      <c r="A5384" s="4" t="s">
        <v>1397</v>
      </c>
      <c r="B5384" s="4" t="s">
        <v>13</v>
      </c>
      <c r="C5384" s="4">
        <v>2.83</v>
      </c>
      <c r="D5384" s="4">
        <v>0.38</v>
      </c>
      <c r="E5384" s="4">
        <v>0.38</v>
      </c>
      <c r="I5384" s="4">
        <v>1.281</v>
      </c>
      <c r="J5384" s="4">
        <v>0.05</v>
      </c>
      <c r="K5384" s="6" t="b">
        <f t="shared" ref="K5384:L5384" si="5110">FALSE()</f>
        <v>0</v>
      </c>
      <c r="L5384" s="6" t="b">
        <f t="shared" si="5110"/>
        <v>0</v>
      </c>
      <c r="M5384" s="6" t="b">
        <f t="shared" si="5111"/>
        <v>1</v>
      </c>
      <c r="N5384" s="4">
        <v>1.34286480319256</v>
      </c>
      <c r="P5384" s="4">
        <v>0.824613943302251</v>
      </c>
      <c r="T5384" s="4">
        <f t="shared" si="3"/>
        <v>335</v>
      </c>
      <c r="U5384" s="4">
        <f t="shared" si="4"/>
        <v>281</v>
      </c>
    </row>
    <row r="5385" ht="15.75" customHeight="1">
      <c r="A5385" s="4" t="s">
        <v>1398</v>
      </c>
      <c r="B5385" s="4" t="s">
        <v>13</v>
      </c>
      <c r="C5385" s="4">
        <v>0.92</v>
      </c>
      <c r="D5385" s="4">
        <v>0.19</v>
      </c>
      <c r="E5385" s="4">
        <v>0.19</v>
      </c>
      <c r="I5385" s="4">
        <v>1.453</v>
      </c>
      <c r="J5385" s="4">
        <v>0.048</v>
      </c>
      <c r="K5385" s="6" t="b">
        <f t="shared" ref="K5385:L5385" si="5112">FALSE()</f>
        <v>0</v>
      </c>
      <c r="L5385" s="6" t="b">
        <f t="shared" si="5112"/>
        <v>0</v>
      </c>
      <c r="M5385" s="6" t="b">
        <f t="shared" si="5111"/>
        <v>1</v>
      </c>
      <c r="N5385" s="4">
        <v>0.65232518603969</v>
      </c>
      <c r="P5385" s="4">
        <v>0.897311765276352</v>
      </c>
      <c r="T5385" s="4">
        <f t="shared" si="3"/>
        <v>705</v>
      </c>
      <c r="U5385" s="4">
        <f t="shared" si="4"/>
        <v>141</v>
      </c>
    </row>
    <row r="5386" ht="15.75" customHeight="1">
      <c r="A5386" s="4" t="s">
        <v>1399</v>
      </c>
      <c r="B5386" s="4" t="s">
        <v>13</v>
      </c>
      <c r="C5386" s="4">
        <v>0.82</v>
      </c>
      <c r="D5386" s="4">
        <v>0.08</v>
      </c>
      <c r="E5386" s="4">
        <v>0.08</v>
      </c>
      <c r="I5386" s="4">
        <v>0.96</v>
      </c>
      <c r="J5386" s="4">
        <v>0.012</v>
      </c>
      <c r="K5386" s="6" t="b">
        <f t="shared" ref="K5386:L5386" si="5113">FALSE()</f>
        <v>0</v>
      </c>
      <c r="L5386" s="6" t="b">
        <f t="shared" si="5113"/>
        <v>0</v>
      </c>
      <c r="M5386" s="6" t="b">
        <f t="shared" si="5111"/>
        <v>1</v>
      </c>
      <c r="N5386" s="4">
        <v>0.598836501088704</v>
      </c>
      <c r="P5386" s="4">
        <v>0.672944473242426</v>
      </c>
      <c r="T5386" s="4">
        <f t="shared" si="3"/>
        <v>757</v>
      </c>
      <c r="U5386" s="4">
        <f t="shared" si="4"/>
        <v>715</v>
      </c>
    </row>
    <row r="5387" ht="15.75" customHeight="1">
      <c r="A5387" s="4" t="s">
        <v>1400</v>
      </c>
      <c r="B5387" s="4" t="s">
        <v>13</v>
      </c>
      <c r="C5387" s="4">
        <v>0.0558</v>
      </c>
      <c r="D5387" s="4">
        <v>0.002</v>
      </c>
      <c r="E5387" s="4">
        <v>0.002</v>
      </c>
      <c r="I5387" s="4">
        <v>0.6861</v>
      </c>
      <c r="J5387" s="4">
        <v>0.074</v>
      </c>
      <c r="K5387" s="6" t="b">
        <f t="shared" ref="K5387:M5387" si="5114">FALSE()</f>
        <v>0</v>
      </c>
      <c r="L5387" s="6" t="b">
        <f t="shared" si="5114"/>
        <v>0</v>
      </c>
      <c r="M5387" s="6" t="b">
        <f t="shared" si="5114"/>
        <v>0</v>
      </c>
      <c r="N5387" s="4">
        <v>0.0542987734073788</v>
      </c>
      <c r="P5387" s="4">
        <v>0.522418169801798</v>
      </c>
      <c r="T5387" s="4">
        <f t="shared" si="3"/>
        <v>1376</v>
      </c>
      <c r="U5387" s="4">
        <f t="shared" si="4"/>
        <v>902</v>
      </c>
    </row>
    <row r="5388" ht="15.75" customHeight="1">
      <c r="A5388" s="4" t="s">
        <v>1401</v>
      </c>
      <c r="B5388" s="4" t="s">
        <v>13</v>
      </c>
      <c r="C5388" s="4">
        <v>0.528</v>
      </c>
      <c r="D5388" s="4">
        <v>0.02</v>
      </c>
      <c r="E5388" s="4">
        <v>0.02</v>
      </c>
      <c r="I5388" s="4">
        <v>0.901</v>
      </c>
      <c r="J5388" s="4">
        <v>0.018</v>
      </c>
      <c r="K5388" s="6" t="b">
        <f t="shared" ref="K5388:L5388" si="5115">FALSE()</f>
        <v>0</v>
      </c>
      <c r="L5388" s="6" t="b">
        <f t="shared" si="5115"/>
        <v>0</v>
      </c>
      <c r="M5388" s="6" t="b">
        <f t="shared" ref="M5388:M5391" si="5117">TRUE()</f>
        <v>1</v>
      </c>
      <c r="N5388" s="4">
        <v>0.423959690744329</v>
      </c>
      <c r="P5388" s="4">
        <v>0.642380063506292</v>
      </c>
      <c r="T5388" s="4">
        <f t="shared" si="3"/>
        <v>935</v>
      </c>
      <c r="U5388" s="4">
        <f t="shared" si="4"/>
        <v>762</v>
      </c>
    </row>
    <row r="5389" ht="15.75" customHeight="1">
      <c r="A5389" s="4" t="s">
        <v>1402</v>
      </c>
      <c r="B5389" s="4" t="s">
        <v>13</v>
      </c>
      <c r="C5389" s="4">
        <v>2.755</v>
      </c>
      <c r="D5389" s="4">
        <v>0.08</v>
      </c>
      <c r="E5389" s="4">
        <v>0.08</v>
      </c>
      <c r="I5389" s="4">
        <v>1.01</v>
      </c>
      <c r="J5389" s="4">
        <v>0.019</v>
      </c>
      <c r="K5389" s="6" t="b">
        <f t="shared" ref="K5389:L5389" si="5116">FALSE()</f>
        <v>0</v>
      </c>
      <c r="L5389" s="6" t="b">
        <f t="shared" si="5116"/>
        <v>0</v>
      </c>
      <c r="M5389" s="6" t="b">
        <f t="shared" si="5117"/>
        <v>1</v>
      </c>
      <c r="N5389" s="4">
        <v>1.3230882852161</v>
      </c>
      <c r="P5389" s="4">
        <v>0.698134722070984</v>
      </c>
      <c r="T5389" s="4">
        <f t="shared" si="3"/>
        <v>346</v>
      </c>
      <c r="U5389" s="4">
        <f t="shared" si="4"/>
        <v>651</v>
      </c>
    </row>
    <row r="5390" ht="15.75" customHeight="1">
      <c r="A5390" s="4" t="s">
        <v>1404</v>
      </c>
      <c r="B5390" s="4" t="s">
        <v>13</v>
      </c>
      <c r="C5390" s="4">
        <v>0.65</v>
      </c>
      <c r="D5390" s="4">
        <v>0.16</v>
      </c>
      <c r="E5390" s="4">
        <v>0.16</v>
      </c>
      <c r="I5390" s="4">
        <v>1.017</v>
      </c>
      <c r="J5390" s="4">
        <v>0.051</v>
      </c>
      <c r="K5390" s="6" t="b">
        <f t="shared" ref="K5390:L5390" si="5118">FALSE()</f>
        <v>0</v>
      </c>
      <c r="L5390" s="6" t="b">
        <f t="shared" si="5118"/>
        <v>0</v>
      </c>
      <c r="M5390" s="6" t="b">
        <f t="shared" si="5117"/>
        <v>1</v>
      </c>
      <c r="N5390" s="4">
        <v>0.500775287912489</v>
      </c>
      <c r="P5390" s="4">
        <v>0.701611258972075</v>
      </c>
      <c r="T5390" s="4">
        <f t="shared" si="3"/>
        <v>856</v>
      </c>
      <c r="U5390" s="4">
        <f t="shared" si="4"/>
        <v>647</v>
      </c>
    </row>
    <row r="5391" ht="15.75" customHeight="1">
      <c r="A5391" s="4" t="s">
        <v>1405</v>
      </c>
      <c r="B5391" s="4" t="s">
        <v>13</v>
      </c>
      <c r="C5391" s="4">
        <v>0.94</v>
      </c>
      <c r="D5391" s="4">
        <v>0.18</v>
      </c>
      <c r="E5391" s="4">
        <v>0.18</v>
      </c>
      <c r="I5391" s="4">
        <v>1.77</v>
      </c>
      <c r="J5391" s="4">
        <v>0.22</v>
      </c>
      <c r="K5391" s="6" t="b">
        <f t="shared" ref="K5391:L5391" si="5119">FALSE()</f>
        <v>0</v>
      </c>
      <c r="L5391" s="6" t="b">
        <f t="shared" si="5119"/>
        <v>0</v>
      </c>
      <c r="M5391" s="6" t="b">
        <f t="shared" si="5117"/>
        <v>1</v>
      </c>
      <c r="N5391" s="4">
        <v>0.662687973075237</v>
      </c>
      <c r="P5391" s="4">
        <v>1.01884732019925</v>
      </c>
      <c r="T5391" s="4">
        <f t="shared" si="3"/>
        <v>692</v>
      </c>
      <c r="U5391" s="4">
        <f t="shared" si="4"/>
        <v>34</v>
      </c>
    </row>
    <row r="5392" ht="15.75" customHeight="1">
      <c r="A5392" s="4" t="s">
        <v>1406</v>
      </c>
      <c r="B5392" s="4" t="s">
        <v>13</v>
      </c>
      <c r="C5392" s="4">
        <v>0.0145456</v>
      </c>
      <c r="I5392" s="4">
        <v>0.177466</v>
      </c>
      <c r="J5392" s="4">
        <v>0.00596</v>
      </c>
      <c r="K5392" s="6" t="b">
        <f t="shared" ref="K5392:M5392" si="5120">FALSE()</f>
        <v>0</v>
      </c>
      <c r="L5392" s="6" t="b">
        <f t="shared" si="5120"/>
        <v>0</v>
      </c>
      <c r="M5392" s="6" t="b">
        <f t="shared" si="5120"/>
        <v>0</v>
      </c>
      <c r="N5392" s="4">
        <v>0.0144408275239596</v>
      </c>
      <c r="P5392" s="4">
        <v>0.163364671756945</v>
      </c>
      <c r="T5392" s="4">
        <f t="shared" si="3"/>
        <v>1831</v>
      </c>
      <c r="U5392" s="4">
        <f t="shared" si="4"/>
        <v>2944</v>
      </c>
    </row>
    <row r="5393" ht="15.75" customHeight="1">
      <c r="A5393" s="4" t="s">
        <v>1407</v>
      </c>
      <c r="B5393" s="4" t="s">
        <v>13</v>
      </c>
      <c r="C5393" s="4">
        <v>0.082</v>
      </c>
      <c r="D5393" s="4">
        <v>0.0041</v>
      </c>
      <c r="E5393" s="4">
        <v>0.0041</v>
      </c>
      <c r="I5393" s="4">
        <v>0.3131</v>
      </c>
      <c r="J5393" s="4">
        <v>0.0134</v>
      </c>
      <c r="K5393" s="6" t="b">
        <f t="shared" ref="K5393:M5393" si="5121">FALSE()</f>
        <v>0</v>
      </c>
      <c r="L5393" s="6" t="b">
        <f t="shared" si="5121"/>
        <v>0</v>
      </c>
      <c r="M5393" s="6" t="b">
        <f t="shared" si="5121"/>
        <v>0</v>
      </c>
      <c r="N5393" s="4">
        <v>0.0788111804242897</v>
      </c>
      <c r="P5393" s="4">
        <v>0.272390753882822</v>
      </c>
      <c r="T5393" s="4">
        <f t="shared" si="3"/>
        <v>1293</v>
      </c>
      <c r="U5393" s="4">
        <f t="shared" si="4"/>
        <v>1329</v>
      </c>
    </row>
    <row r="5394" ht="15.75" customHeight="1">
      <c r="A5394" s="4" t="s">
        <v>1409</v>
      </c>
      <c r="B5394" s="4" t="s">
        <v>13</v>
      </c>
      <c r="C5394" s="4">
        <v>0.978</v>
      </c>
      <c r="D5394" s="4">
        <v>0.059</v>
      </c>
      <c r="E5394" s="4">
        <v>0.063</v>
      </c>
      <c r="I5394" s="4">
        <v>1.0</v>
      </c>
      <c r="J5394" s="4">
        <v>0.08</v>
      </c>
      <c r="K5394" s="6" t="b">
        <f t="shared" ref="K5394:L5394" si="5122">FALSE()</f>
        <v>0</v>
      </c>
      <c r="L5394" s="6" t="b">
        <f t="shared" si="5122"/>
        <v>0</v>
      </c>
      <c r="M5394" s="6" t="b">
        <f>TRUE()</f>
        <v>1</v>
      </c>
      <c r="N5394" s="4">
        <v>0.68208623320052</v>
      </c>
      <c r="P5394" s="4">
        <v>0.693147180559945</v>
      </c>
      <c r="T5394" s="4">
        <f t="shared" si="3"/>
        <v>673</v>
      </c>
      <c r="U5394" s="4">
        <f t="shared" si="4"/>
        <v>669</v>
      </c>
    </row>
    <row r="5395" ht="15.75" customHeight="1">
      <c r="A5395" s="4" t="s">
        <v>5976</v>
      </c>
      <c r="B5395" s="4" t="s">
        <v>13</v>
      </c>
      <c r="C5395" s="4">
        <v>0.369</v>
      </c>
      <c r="D5395" s="4">
        <v>0.084</v>
      </c>
      <c r="E5395" s="4">
        <v>0.1</v>
      </c>
      <c r="K5395" s="6" t="b">
        <f t="shared" ref="K5395:M5395" si="5123">FALSE()</f>
        <v>0</v>
      </c>
      <c r="L5395" s="6" t="b">
        <f t="shared" si="5123"/>
        <v>0</v>
      </c>
      <c r="M5395" s="6" t="b">
        <f t="shared" si="5123"/>
        <v>0</v>
      </c>
      <c r="N5395" s="4">
        <v>0.314080546306312</v>
      </c>
      <c r="T5395" s="4">
        <f t="shared" si="3"/>
        <v>1042</v>
      </c>
      <c r="U5395" s="4" t="str">
        <f t="shared" si="4"/>
        <v/>
      </c>
    </row>
    <row r="5396" ht="15.75" customHeight="1">
      <c r="A5396" s="4" t="s">
        <v>1410</v>
      </c>
      <c r="B5396" s="4" t="s">
        <v>13</v>
      </c>
      <c r="C5396" s="4">
        <v>0.64</v>
      </c>
      <c r="D5396" s="4">
        <v>0.12</v>
      </c>
      <c r="E5396" s="4">
        <v>0.12</v>
      </c>
      <c r="I5396" s="4">
        <v>0.995</v>
      </c>
      <c r="J5396" s="4">
        <v>0.028</v>
      </c>
      <c r="K5396" s="6" t="b">
        <f t="shared" ref="K5396:L5396" si="5124">FALSE()</f>
        <v>0</v>
      </c>
      <c r="L5396" s="6" t="b">
        <f t="shared" si="5124"/>
        <v>0</v>
      </c>
      <c r="M5396" s="6" t="b">
        <f>TRUE()</f>
        <v>1</v>
      </c>
      <c r="N5396" s="4">
        <v>0.494696241836107</v>
      </c>
      <c r="P5396" s="4">
        <v>0.690644050341827</v>
      </c>
      <c r="T5396" s="4">
        <f t="shared" si="3"/>
        <v>860</v>
      </c>
      <c r="U5396" s="4">
        <f t="shared" si="4"/>
        <v>681</v>
      </c>
    </row>
    <row r="5397" ht="15.75" customHeight="1">
      <c r="A5397" s="4" t="s">
        <v>1411</v>
      </c>
      <c r="B5397" s="4" t="s">
        <v>13</v>
      </c>
      <c r="C5397" s="4">
        <v>0.0428</v>
      </c>
      <c r="D5397" s="4">
        <v>0.0038</v>
      </c>
      <c r="E5397" s="4">
        <v>0.0038</v>
      </c>
      <c r="I5397" s="4">
        <v>0.2694</v>
      </c>
      <c r="J5397" s="4">
        <v>0.0152</v>
      </c>
      <c r="K5397" s="6" t="b">
        <f t="shared" ref="K5397:M5397" si="5125">FALSE()</f>
        <v>0</v>
      </c>
      <c r="L5397" s="6" t="b">
        <f t="shared" si="5125"/>
        <v>0</v>
      </c>
      <c r="M5397" s="6" t="b">
        <f t="shared" si="5125"/>
        <v>0</v>
      </c>
      <c r="N5397" s="4">
        <v>0.0419094030772096</v>
      </c>
      <c r="P5397" s="4">
        <v>0.238544347890233</v>
      </c>
      <c r="T5397" s="4">
        <f t="shared" si="3"/>
        <v>1441</v>
      </c>
      <c r="U5397" s="4">
        <f t="shared" si="4"/>
        <v>1595</v>
      </c>
    </row>
    <row r="5398" ht="15.75" customHeight="1">
      <c r="A5398" s="4" t="s">
        <v>1412</v>
      </c>
      <c r="B5398" s="4" t="s">
        <v>13</v>
      </c>
      <c r="C5398" s="4">
        <v>1.58</v>
      </c>
      <c r="D5398" s="4">
        <v>0.4</v>
      </c>
      <c r="E5398" s="4">
        <v>0.4</v>
      </c>
      <c r="I5398" s="4">
        <v>1.282</v>
      </c>
      <c r="J5398" s="4">
        <v>0.032</v>
      </c>
      <c r="K5398" s="6" t="b">
        <f t="shared" ref="K5398:L5398" si="5126">FALSE()</f>
        <v>0</v>
      </c>
      <c r="L5398" s="6" t="b">
        <f t="shared" si="5126"/>
        <v>0</v>
      </c>
      <c r="M5398" s="6" t="b">
        <f>TRUE()</f>
        <v>1</v>
      </c>
      <c r="N5398" s="4">
        <v>0.947789398933526</v>
      </c>
      <c r="P5398" s="4">
        <v>0.825052251439884</v>
      </c>
      <c r="T5398" s="4">
        <f t="shared" si="3"/>
        <v>503</v>
      </c>
      <c r="U5398" s="4">
        <f t="shared" si="4"/>
        <v>280</v>
      </c>
    </row>
    <row r="5399" ht="15.75" customHeight="1">
      <c r="A5399" s="4" t="s">
        <v>1413</v>
      </c>
      <c r="B5399" s="4" t="s">
        <v>13</v>
      </c>
      <c r="C5399" s="4">
        <v>0.0179</v>
      </c>
      <c r="D5399" s="4">
        <v>0.0072</v>
      </c>
      <c r="E5399" s="4">
        <v>0.0135</v>
      </c>
      <c r="I5399" s="4">
        <v>0.19574</v>
      </c>
      <c r="J5399" s="4">
        <v>0.0098</v>
      </c>
      <c r="K5399" s="6" t="b">
        <f t="shared" ref="K5399:M5399" si="5127">FALSE()</f>
        <v>0</v>
      </c>
      <c r="L5399" s="6" t="b">
        <f t="shared" si="5127"/>
        <v>0</v>
      </c>
      <c r="M5399" s="6" t="b">
        <f t="shared" si="5127"/>
        <v>0</v>
      </c>
      <c r="N5399" s="4">
        <v>0.0177416814761571</v>
      </c>
      <c r="P5399" s="4">
        <v>0.178765240591177</v>
      </c>
      <c r="T5399" s="4">
        <f t="shared" si="3"/>
        <v>1779</v>
      </c>
      <c r="U5399" s="4">
        <f t="shared" si="4"/>
        <v>2661</v>
      </c>
    </row>
    <row r="5400" ht="15.75" customHeight="1">
      <c r="A5400" s="4" t="s">
        <v>1414</v>
      </c>
      <c r="B5400" s="4" t="s">
        <v>13</v>
      </c>
      <c r="C5400" s="4">
        <v>0.011</v>
      </c>
      <c r="D5400" s="4">
        <v>0.0041</v>
      </c>
      <c r="E5400" s="4">
        <v>0.0079</v>
      </c>
      <c r="I5400" s="4">
        <v>0.1445</v>
      </c>
      <c r="J5400" s="4">
        <v>0.0116</v>
      </c>
      <c r="K5400" s="6" t="b">
        <f t="shared" ref="K5400:M5400" si="5128">FALSE()</f>
        <v>0</v>
      </c>
      <c r="L5400" s="6" t="b">
        <f t="shared" si="5128"/>
        <v>0</v>
      </c>
      <c r="M5400" s="6" t="b">
        <f t="shared" si="5128"/>
        <v>0</v>
      </c>
      <c r="N5400" s="4">
        <v>0.0109399400383343</v>
      </c>
      <c r="P5400" s="4">
        <v>0.134967860410484</v>
      </c>
      <c r="T5400" s="4">
        <f t="shared" si="3"/>
        <v>1922</v>
      </c>
      <c r="U5400" s="4">
        <f t="shared" si="4"/>
        <v>3433</v>
      </c>
    </row>
    <row r="5401" ht="15.75" customHeight="1">
      <c r="A5401" s="4" t="s">
        <v>5977</v>
      </c>
      <c r="B5401" s="4" t="s">
        <v>13</v>
      </c>
      <c r="I5401" s="4">
        <v>0.1374</v>
      </c>
      <c r="J5401" s="4">
        <v>0.008</v>
      </c>
      <c r="K5401" s="6" t="b">
        <f t="shared" ref="K5401:M5401" si="5129">FALSE()</f>
        <v>0</v>
      </c>
      <c r="L5401" s="6" t="b">
        <f t="shared" si="5129"/>
        <v>0</v>
      </c>
      <c r="M5401" s="6" t="b">
        <f t="shared" si="5129"/>
        <v>0</v>
      </c>
      <c r="P5401" s="4">
        <v>0.128744955890562</v>
      </c>
      <c r="T5401" s="4" t="str">
        <f t="shared" si="3"/>
        <v/>
      </c>
      <c r="U5401" s="4">
        <f t="shared" si="4"/>
        <v>3553</v>
      </c>
    </row>
    <row r="5402" ht="15.75" customHeight="1">
      <c r="A5402" s="4" t="s">
        <v>5978</v>
      </c>
      <c r="B5402" s="4" t="s">
        <v>13</v>
      </c>
      <c r="I5402" s="4">
        <v>0.2186</v>
      </c>
      <c r="J5402" s="4">
        <v>0.0116</v>
      </c>
      <c r="K5402" s="6" t="b">
        <f t="shared" ref="K5402:M5402" si="5130">FALSE()</f>
        <v>0</v>
      </c>
      <c r="L5402" s="6" t="b">
        <f t="shared" si="5130"/>
        <v>0</v>
      </c>
      <c r="M5402" s="6" t="b">
        <f t="shared" si="5130"/>
        <v>0</v>
      </c>
      <c r="P5402" s="4">
        <v>0.197702658832257</v>
      </c>
      <c r="T5402" s="4" t="str">
        <f t="shared" si="3"/>
        <v/>
      </c>
      <c r="U5402" s="4">
        <f t="shared" si="4"/>
        <v>2290</v>
      </c>
    </row>
    <row r="5403" ht="15.75" customHeight="1">
      <c r="A5403" s="4" t="s">
        <v>1416</v>
      </c>
      <c r="B5403" s="4" t="s">
        <v>13</v>
      </c>
      <c r="C5403" s="4">
        <v>0.0614</v>
      </c>
      <c r="D5403" s="4">
        <v>0.0614</v>
      </c>
      <c r="E5403" s="4">
        <v>0.0</v>
      </c>
      <c r="I5403" s="4">
        <v>0.1552</v>
      </c>
      <c r="J5403" s="4">
        <v>0.0071</v>
      </c>
      <c r="K5403" s="6" t="b">
        <f t="shared" ref="K5403:M5403" si="5131">FALSE()</f>
        <v>0</v>
      </c>
      <c r="L5403" s="6" t="b">
        <f t="shared" si="5131"/>
        <v>0</v>
      </c>
      <c r="M5403" s="6" t="b">
        <f t="shared" si="5131"/>
        <v>0</v>
      </c>
      <c r="N5403" s="4">
        <v>0.0595887914116575</v>
      </c>
      <c r="P5403" s="4">
        <v>0.144273489156425</v>
      </c>
      <c r="T5403" s="4">
        <f t="shared" si="3"/>
        <v>1353</v>
      </c>
      <c r="U5403" s="4">
        <f t="shared" si="4"/>
        <v>3239</v>
      </c>
    </row>
    <row r="5404" ht="15.75" customHeight="1">
      <c r="A5404" s="4" t="s">
        <v>1417</v>
      </c>
      <c r="B5404" s="4" t="s">
        <v>13</v>
      </c>
      <c r="C5404" s="4">
        <v>0.005</v>
      </c>
      <c r="D5404" s="4">
        <v>0.0019</v>
      </c>
      <c r="E5404" s="4">
        <v>0.0044</v>
      </c>
      <c r="I5404" s="4">
        <v>0.1044</v>
      </c>
      <c r="J5404" s="4">
        <v>0.0062</v>
      </c>
      <c r="K5404" s="6" t="b">
        <f t="shared" ref="K5404:M5404" si="5132">FALSE()</f>
        <v>0</v>
      </c>
      <c r="L5404" s="6" t="b">
        <f t="shared" si="5132"/>
        <v>0</v>
      </c>
      <c r="M5404" s="6" t="b">
        <f t="shared" si="5132"/>
        <v>0</v>
      </c>
      <c r="N5404" s="4">
        <v>0.004987541511039</v>
      </c>
      <c r="P5404" s="4">
        <v>0.0993022010738623</v>
      </c>
      <c r="T5404" s="4">
        <f t="shared" si="3"/>
        <v>2026</v>
      </c>
      <c r="U5404" s="4">
        <f t="shared" si="4"/>
        <v>4151</v>
      </c>
    </row>
    <row r="5405" ht="15.75" customHeight="1">
      <c r="A5405" s="4" t="s">
        <v>1418</v>
      </c>
      <c r="B5405" s="4" t="s">
        <v>13</v>
      </c>
      <c r="C5405" s="4">
        <v>0.875</v>
      </c>
      <c r="D5405" s="4">
        <v>0.04</v>
      </c>
      <c r="E5405" s="4">
        <v>0.04</v>
      </c>
      <c r="I5405" s="4">
        <v>1.47</v>
      </c>
      <c r="J5405" s="4">
        <v>0.5</v>
      </c>
      <c r="K5405" s="6" t="b">
        <f t="shared" ref="K5405:L5405" si="5133">FALSE()</f>
        <v>0</v>
      </c>
      <c r="L5405" s="6" t="b">
        <f t="shared" si="5133"/>
        <v>0</v>
      </c>
      <c r="M5405" s="6" t="b">
        <f>TRUE()</f>
        <v>1</v>
      </c>
      <c r="N5405" s="4">
        <v>0.628608659422374</v>
      </c>
      <c r="P5405" s="4">
        <v>0.904218150639886</v>
      </c>
      <c r="T5405" s="4">
        <f t="shared" si="3"/>
        <v>729</v>
      </c>
      <c r="U5405" s="4">
        <f t="shared" si="4"/>
        <v>131</v>
      </c>
    </row>
    <row r="5406" ht="15.75" customHeight="1">
      <c r="A5406" s="4" t="s">
        <v>5979</v>
      </c>
      <c r="B5406" s="4" t="s">
        <v>13</v>
      </c>
      <c r="D5406" s="4">
        <v>0.2</v>
      </c>
      <c r="E5406" s="4">
        <v>0.2</v>
      </c>
      <c r="F5406" s="4">
        <v>5.6</v>
      </c>
      <c r="G5406" s="4">
        <v>0.2</v>
      </c>
      <c r="H5406" s="4">
        <v>0.2</v>
      </c>
      <c r="K5406" s="6" t="b">
        <f t="shared" ref="K5406:M5406" si="5134">FALSE()</f>
        <v>0</v>
      </c>
      <c r="L5406" s="6" t="b">
        <f t="shared" si="5134"/>
        <v>0</v>
      </c>
      <c r="M5406" s="6" t="b">
        <f t="shared" si="5134"/>
        <v>0</v>
      </c>
      <c r="O5406" s="4">
        <v>1.88706964903238</v>
      </c>
      <c r="T5406" s="4" t="str">
        <f t="shared" si="3"/>
        <v/>
      </c>
      <c r="U5406" s="4" t="str">
        <f t="shared" si="4"/>
        <v/>
      </c>
    </row>
    <row r="5407" ht="15.75" customHeight="1">
      <c r="A5407" s="4" t="s">
        <v>1419</v>
      </c>
      <c r="B5407" s="4" t="s">
        <v>13</v>
      </c>
      <c r="C5407" s="4">
        <v>0.16</v>
      </c>
      <c r="D5407" s="4">
        <v>0.02</v>
      </c>
      <c r="E5407" s="4">
        <v>0.02</v>
      </c>
      <c r="I5407" s="4">
        <v>0.89</v>
      </c>
      <c r="J5407" s="4">
        <v>0.04</v>
      </c>
      <c r="K5407" s="6" t="b">
        <f t="shared" ref="K5407:L5407" si="5135">FALSE()</f>
        <v>0</v>
      </c>
      <c r="L5407" s="6" t="b">
        <f t="shared" si="5135"/>
        <v>0</v>
      </c>
      <c r="M5407" s="6" t="b">
        <f t="shared" ref="M5407:M5412" si="5137">TRUE()</f>
        <v>1</v>
      </c>
      <c r="N5407" s="4">
        <v>0.148420005118273</v>
      </c>
      <c r="P5407" s="4">
        <v>0.636576829071551</v>
      </c>
      <c r="T5407" s="4">
        <f t="shared" si="3"/>
        <v>1190</v>
      </c>
      <c r="U5407" s="4">
        <f t="shared" si="4"/>
        <v>772</v>
      </c>
    </row>
    <row r="5408" ht="15.75" customHeight="1">
      <c r="A5408" s="4" t="s">
        <v>1420</v>
      </c>
      <c r="B5408" s="4" t="s">
        <v>13</v>
      </c>
      <c r="C5408" s="4">
        <v>1.0</v>
      </c>
      <c r="D5408" s="4">
        <v>0.15</v>
      </c>
      <c r="E5408" s="4">
        <v>0.15</v>
      </c>
      <c r="I5408" s="4">
        <v>0.9</v>
      </c>
      <c r="J5408" s="4">
        <v>0.1</v>
      </c>
      <c r="K5408" s="6" t="b">
        <f t="shared" ref="K5408:L5408" si="5136">FALSE()</f>
        <v>0</v>
      </c>
      <c r="L5408" s="6" t="b">
        <f t="shared" si="5136"/>
        <v>0</v>
      </c>
      <c r="M5408" s="6" t="b">
        <f t="shared" si="5137"/>
        <v>1</v>
      </c>
      <c r="N5408" s="4">
        <v>0.693147180559945</v>
      </c>
      <c r="P5408" s="4">
        <v>0.641853886172395</v>
      </c>
      <c r="T5408" s="4">
        <f t="shared" si="3"/>
        <v>661</v>
      </c>
      <c r="U5408" s="4">
        <f t="shared" si="4"/>
        <v>765</v>
      </c>
    </row>
    <row r="5409" ht="15.75" customHeight="1">
      <c r="A5409" s="4" t="s">
        <v>1421</v>
      </c>
      <c r="B5409" s="4" t="s">
        <v>13</v>
      </c>
      <c r="C5409" s="4">
        <v>5.98</v>
      </c>
      <c r="D5409" s="4">
        <v>0.21</v>
      </c>
      <c r="E5409" s="4">
        <v>0.21</v>
      </c>
      <c r="I5409" s="4">
        <v>1.0</v>
      </c>
      <c r="J5409" s="4">
        <v>0.2</v>
      </c>
      <c r="K5409" s="6" t="b">
        <f>TRUE()</f>
        <v>1</v>
      </c>
      <c r="L5409" s="6" t="b">
        <f>FALSE()</f>
        <v>0</v>
      </c>
      <c r="M5409" s="6" t="b">
        <f t="shared" si="5137"/>
        <v>1</v>
      </c>
      <c r="N5409" s="4">
        <v>1.94304891677428</v>
      </c>
      <c r="P5409" s="4">
        <v>0.693147180559945</v>
      </c>
      <c r="T5409" s="4">
        <f t="shared" si="3"/>
        <v>170</v>
      </c>
      <c r="U5409" s="4">
        <f t="shared" si="4"/>
        <v>670</v>
      </c>
    </row>
    <row r="5410" ht="15.75" customHeight="1">
      <c r="A5410" s="4" t="s">
        <v>1423</v>
      </c>
      <c r="B5410" s="4" t="s">
        <v>13</v>
      </c>
      <c r="C5410" s="4">
        <v>0.225</v>
      </c>
      <c r="D5410" s="4">
        <v>0.049</v>
      </c>
      <c r="E5410" s="4">
        <v>0.049</v>
      </c>
      <c r="I5410" s="4">
        <v>0.768</v>
      </c>
      <c r="J5410" s="4">
        <v>0.02</v>
      </c>
      <c r="K5410" s="6" t="b">
        <f t="shared" ref="K5410:L5410" si="5138">FALSE()</f>
        <v>0</v>
      </c>
      <c r="L5410" s="6" t="b">
        <f t="shared" si="5138"/>
        <v>0</v>
      </c>
      <c r="M5410" s="6" t="b">
        <f t="shared" si="5137"/>
        <v>1</v>
      </c>
      <c r="N5410" s="4">
        <v>0.20294084399669</v>
      </c>
      <c r="P5410" s="4">
        <v>0.569848964215452</v>
      </c>
      <c r="T5410" s="4">
        <f t="shared" si="3"/>
        <v>1130</v>
      </c>
      <c r="U5410" s="4">
        <f t="shared" si="4"/>
        <v>862</v>
      </c>
    </row>
    <row r="5411" ht="15.75" customHeight="1">
      <c r="A5411" s="4" t="s">
        <v>1424</v>
      </c>
      <c r="B5411" s="4" t="s">
        <v>13</v>
      </c>
      <c r="C5411" s="4">
        <v>0.65</v>
      </c>
      <c r="D5411" s="4">
        <v>0.18</v>
      </c>
      <c r="E5411" s="4">
        <v>0.18</v>
      </c>
      <c r="I5411" s="4">
        <v>0.967</v>
      </c>
      <c r="J5411" s="4">
        <v>0.03</v>
      </c>
      <c r="K5411" s="6" t="b">
        <f t="shared" ref="K5411:L5411" si="5139">FALSE()</f>
        <v>0</v>
      </c>
      <c r="L5411" s="6" t="b">
        <f t="shared" si="5139"/>
        <v>0</v>
      </c>
      <c r="M5411" s="6" t="b">
        <f t="shared" si="5137"/>
        <v>1</v>
      </c>
      <c r="N5411" s="4">
        <v>0.500775287912489</v>
      </c>
      <c r="P5411" s="4">
        <v>0.676509539406922</v>
      </c>
      <c r="T5411" s="4">
        <f t="shared" si="3"/>
        <v>857</v>
      </c>
      <c r="U5411" s="4">
        <f t="shared" si="4"/>
        <v>705</v>
      </c>
    </row>
    <row r="5412" ht="15.75" customHeight="1">
      <c r="A5412" s="4" t="s">
        <v>1425</v>
      </c>
      <c r="B5412" s="4" t="s">
        <v>13</v>
      </c>
      <c r="C5412" s="4">
        <v>9.3</v>
      </c>
      <c r="D5412" s="4">
        <v>0.2</v>
      </c>
      <c r="E5412" s="4">
        <v>0.2</v>
      </c>
      <c r="I5412" s="4">
        <v>0.93</v>
      </c>
      <c r="J5412" s="4">
        <v>0.02</v>
      </c>
      <c r="K5412" s="6" t="b">
        <f>TRUE()</f>
        <v>1</v>
      </c>
      <c r="L5412" s="6" t="b">
        <f>FALSE()</f>
        <v>0</v>
      </c>
      <c r="M5412" s="6" t="b">
        <f t="shared" si="5137"/>
        <v>1</v>
      </c>
      <c r="N5412" s="4">
        <v>2.33214389523559</v>
      </c>
      <c r="P5412" s="4">
        <v>0.657520002916794</v>
      </c>
      <c r="T5412" s="4">
        <f t="shared" si="3"/>
        <v>70</v>
      </c>
      <c r="U5412" s="4">
        <f t="shared" si="4"/>
        <v>744</v>
      </c>
    </row>
    <row r="5413" ht="15.75" customHeight="1">
      <c r="A5413" s="4" t="s">
        <v>1426</v>
      </c>
      <c r="B5413" s="4" t="s">
        <v>13</v>
      </c>
      <c r="C5413" s="4">
        <v>0.17821</v>
      </c>
      <c r="D5413" s="4">
        <v>0.0135</v>
      </c>
      <c r="E5413" s="4">
        <v>0.011</v>
      </c>
      <c r="I5413" s="4">
        <v>0.607</v>
      </c>
      <c r="J5413" s="4">
        <v>0.027</v>
      </c>
      <c r="K5413" s="6" t="b">
        <f t="shared" ref="K5413:M5413" si="5140">FALSE()</f>
        <v>0</v>
      </c>
      <c r="L5413" s="6" t="b">
        <f t="shared" si="5140"/>
        <v>0</v>
      </c>
      <c r="M5413" s="6" t="b">
        <f t="shared" si="5140"/>
        <v>0</v>
      </c>
      <c r="N5413" s="4">
        <v>0.163996337592772</v>
      </c>
      <c r="P5413" s="4">
        <v>0.474369086755376</v>
      </c>
      <c r="T5413" s="4">
        <f t="shared" si="3"/>
        <v>1174</v>
      </c>
      <c r="U5413" s="4">
        <f t="shared" si="4"/>
        <v>944</v>
      </c>
    </row>
    <row r="5414" ht="15.75" customHeight="1">
      <c r="A5414" s="4" t="s">
        <v>1427</v>
      </c>
      <c r="B5414" s="4" t="s">
        <v>13</v>
      </c>
      <c r="C5414" s="4">
        <v>5.76</v>
      </c>
      <c r="D5414" s="4">
        <v>0.2</v>
      </c>
      <c r="E5414" s="4">
        <v>0.2</v>
      </c>
      <c r="I5414" s="4">
        <v>1.046</v>
      </c>
      <c r="J5414" s="4">
        <v>0.023</v>
      </c>
      <c r="K5414" s="6" t="b">
        <f>TRUE()</f>
        <v>1</v>
      </c>
      <c r="L5414" s="6" t="b">
        <f>FALSE()</f>
        <v>0</v>
      </c>
      <c r="M5414" s="6" t="b">
        <f>TRUE()</f>
        <v>1</v>
      </c>
      <c r="N5414" s="4">
        <v>1.91102289005487</v>
      </c>
      <c r="P5414" s="4">
        <v>0.715886667529435</v>
      </c>
      <c r="T5414" s="4">
        <f t="shared" si="3"/>
        <v>183</v>
      </c>
      <c r="U5414" s="4">
        <f t="shared" si="4"/>
        <v>609</v>
      </c>
    </row>
    <row r="5415" ht="15.75" customHeight="1">
      <c r="A5415" s="4" t="s">
        <v>1429</v>
      </c>
      <c r="B5415" s="4" t="s">
        <v>13</v>
      </c>
      <c r="C5415" s="4">
        <v>0.009</v>
      </c>
      <c r="D5415" s="4">
        <v>0.003</v>
      </c>
      <c r="E5415" s="4">
        <v>0.006</v>
      </c>
      <c r="I5415" s="4">
        <v>0.1285</v>
      </c>
      <c r="J5415" s="4">
        <v>0.0107</v>
      </c>
      <c r="K5415" s="6" t="b">
        <f t="shared" ref="K5415:M5415" si="5141">FALSE()</f>
        <v>0</v>
      </c>
      <c r="L5415" s="6" t="b">
        <f t="shared" si="5141"/>
        <v>0</v>
      </c>
      <c r="M5415" s="6" t="b">
        <f t="shared" si="5141"/>
        <v>0</v>
      </c>
      <c r="N5415" s="4">
        <v>0.0089597413714719</v>
      </c>
      <c r="P5415" s="4">
        <v>0.120889317275453</v>
      </c>
      <c r="T5415" s="4">
        <f t="shared" si="3"/>
        <v>1962</v>
      </c>
      <c r="U5415" s="4">
        <f t="shared" si="4"/>
        <v>3713</v>
      </c>
    </row>
    <row r="5416" ht="15.75" customHeight="1">
      <c r="A5416" s="4" t="s">
        <v>1430</v>
      </c>
      <c r="B5416" s="4" t="s">
        <v>13</v>
      </c>
      <c r="C5416" s="4">
        <v>1.966</v>
      </c>
      <c r="D5416" s="4">
        <v>0.06</v>
      </c>
      <c r="E5416" s="4">
        <v>0.06</v>
      </c>
      <c r="I5416" s="4">
        <v>1.025</v>
      </c>
      <c r="J5416" s="4">
        <v>0.02</v>
      </c>
      <c r="K5416" s="6" t="b">
        <f t="shared" ref="K5416:L5416" si="5142">FALSE()</f>
        <v>0</v>
      </c>
      <c r="L5416" s="6" t="b">
        <f t="shared" si="5142"/>
        <v>0</v>
      </c>
      <c r="M5416" s="6" t="b">
        <f>TRUE()</f>
        <v>1</v>
      </c>
      <c r="N5416" s="4">
        <v>1.08721424371574</v>
      </c>
      <c r="P5416" s="4">
        <v>0.705569700558502</v>
      </c>
      <c r="T5416" s="4">
        <f t="shared" si="3"/>
        <v>445</v>
      </c>
      <c r="U5416" s="4">
        <f t="shared" si="4"/>
        <v>636</v>
      </c>
    </row>
    <row r="5417" ht="15.75" customHeight="1">
      <c r="A5417" s="4" t="s">
        <v>1431</v>
      </c>
      <c r="B5417" s="4" t="s">
        <v>13</v>
      </c>
      <c r="C5417" s="4">
        <v>0.0106</v>
      </c>
      <c r="D5417" s="4">
        <v>0.00154</v>
      </c>
      <c r="E5417" s="4">
        <v>0.00154</v>
      </c>
      <c r="I5417" s="4">
        <v>0.13909</v>
      </c>
      <c r="J5417" s="4">
        <v>0.00419</v>
      </c>
      <c r="K5417" s="6" t="b">
        <f t="shared" ref="K5417:M5417" si="5143">FALSE()</f>
        <v>0</v>
      </c>
      <c r="L5417" s="6" t="b">
        <f t="shared" si="5143"/>
        <v>0</v>
      </c>
      <c r="M5417" s="6" t="b">
        <f t="shared" si="5143"/>
        <v>0</v>
      </c>
      <c r="N5417" s="4">
        <v>0.0105442138756711</v>
      </c>
      <c r="P5417" s="4">
        <v>0.130229698024691</v>
      </c>
      <c r="T5417" s="4">
        <f t="shared" si="3"/>
        <v>1929</v>
      </c>
      <c r="U5417" s="4">
        <f t="shared" si="4"/>
        <v>3519</v>
      </c>
    </row>
    <row r="5418" ht="15.75" customHeight="1">
      <c r="A5418" s="4" t="s">
        <v>1432</v>
      </c>
      <c r="B5418" s="4" t="s">
        <v>13</v>
      </c>
      <c r="C5418" s="4">
        <v>0.0211</v>
      </c>
      <c r="D5418" s="4">
        <v>0.0035</v>
      </c>
      <c r="E5418" s="4">
        <v>0.0035</v>
      </c>
      <c r="I5418" s="4">
        <v>0.1945</v>
      </c>
      <c r="J5418" s="4">
        <v>0.0161</v>
      </c>
      <c r="K5418" s="6" t="b">
        <f t="shared" ref="K5418:M5418" si="5144">FALSE()</f>
        <v>0</v>
      </c>
      <c r="L5418" s="6" t="b">
        <f t="shared" si="5144"/>
        <v>0</v>
      </c>
      <c r="M5418" s="6" t="b">
        <f t="shared" si="5144"/>
        <v>0</v>
      </c>
      <c r="N5418" s="4">
        <v>0.0208804775793552</v>
      </c>
      <c r="P5418" s="4">
        <v>0.177727687783727</v>
      </c>
      <c r="T5418" s="4">
        <f t="shared" si="3"/>
        <v>1706</v>
      </c>
      <c r="U5418" s="4">
        <f t="shared" si="4"/>
        <v>2674</v>
      </c>
    </row>
    <row r="5419" ht="15.75" customHeight="1">
      <c r="A5419" s="4" t="s">
        <v>1433</v>
      </c>
      <c r="B5419" s="4" t="s">
        <v>13</v>
      </c>
      <c r="C5419" s="4">
        <v>0.0286</v>
      </c>
      <c r="D5419" s="4">
        <v>0.013</v>
      </c>
      <c r="E5419" s="4">
        <v>0.0223</v>
      </c>
      <c r="I5419" s="4">
        <v>0.2623</v>
      </c>
      <c r="J5419" s="4">
        <v>0.0152</v>
      </c>
      <c r="K5419" s="6" t="b">
        <f t="shared" ref="K5419:M5419" si="5145">FALSE()</f>
        <v>0</v>
      </c>
      <c r="L5419" s="6" t="b">
        <f t="shared" si="5145"/>
        <v>0</v>
      </c>
      <c r="M5419" s="6" t="b">
        <f t="shared" si="5145"/>
        <v>0</v>
      </c>
      <c r="N5419" s="4">
        <v>0.0281986543586787</v>
      </c>
      <c r="P5419" s="4">
        <v>0.232935453776679</v>
      </c>
      <c r="T5419" s="4">
        <f t="shared" si="3"/>
        <v>1575</v>
      </c>
      <c r="U5419" s="4">
        <f t="shared" si="4"/>
        <v>1653</v>
      </c>
    </row>
    <row r="5420" ht="15.75" customHeight="1">
      <c r="A5420" s="4" t="s">
        <v>1434</v>
      </c>
      <c r="B5420" s="4" t="s">
        <v>13</v>
      </c>
      <c r="C5420" s="4">
        <v>0.053</v>
      </c>
      <c r="D5420" s="4">
        <v>0.006</v>
      </c>
      <c r="E5420" s="4">
        <v>0.006</v>
      </c>
      <c r="I5420" s="4">
        <v>0.3801</v>
      </c>
      <c r="J5420" s="4">
        <v>0.0232</v>
      </c>
      <c r="K5420" s="6" t="b">
        <f t="shared" ref="K5420:M5420" si="5146">FALSE()</f>
        <v>0</v>
      </c>
      <c r="L5420" s="6" t="b">
        <f t="shared" si="5146"/>
        <v>0</v>
      </c>
      <c r="M5420" s="6" t="b">
        <f t="shared" si="5146"/>
        <v>0</v>
      </c>
      <c r="N5420" s="4">
        <v>0.0516432331518384</v>
      </c>
      <c r="P5420" s="4">
        <v>0.322155960311857</v>
      </c>
      <c r="T5420" s="4">
        <f t="shared" si="3"/>
        <v>1387</v>
      </c>
      <c r="U5420" s="4">
        <f t="shared" si="4"/>
        <v>1148</v>
      </c>
    </row>
    <row r="5421" ht="15.75" customHeight="1">
      <c r="A5421" s="4" t="s">
        <v>1435</v>
      </c>
      <c r="B5421" s="4" t="s">
        <v>13</v>
      </c>
      <c r="C5421" s="4">
        <v>0.0123</v>
      </c>
      <c r="D5421" s="4">
        <v>0.0047</v>
      </c>
      <c r="E5421" s="4">
        <v>0.0072</v>
      </c>
      <c r="I5421" s="4">
        <v>0.1499</v>
      </c>
      <c r="J5421" s="4">
        <v>0.0098</v>
      </c>
      <c r="K5421" s="6" t="b">
        <f t="shared" ref="K5421:M5421" si="5147">FALSE()</f>
        <v>0</v>
      </c>
      <c r="L5421" s="6" t="b">
        <f t="shared" si="5147"/>
        <v>0</v>
      </c>
      <c r="M5421" s="6" t="b">
        <f t="shared" si="5147"/>
        <v>0</v>
      </c>
      <c r="N5421" s="4">
        <v>0.0122249696225689</v>
      </c>
      <c r="P5421" s="4">
        <v>0.139674982072482</v>
      </c>
      <c r="T5421" s="4">
        <f t="shared" si="3"/>
        <v>1890</v>
      </c>
      <c r="U5421" s="4">
        <f t="shared" si="4"/>
        <v>3336</v>
      </c>
    </row>
    <row r="5422" ht="15.75" customHeight="1">
      <c r="A5422" s="4" t="s">
        <v>5980</v>
      </c>
      <c r="B5422" s="4" t="s">
        <v>13</v>
      </c>
      <c r="I5422" s="4">
        <v>0.2569</v>
      </c>
      <c r="J5422" s="4">
        <v>0.0134</v>
      </c>
      <c r="K5422" s="6" t="b">
        <f t="shared" ref="K5422:M5422" si="5148">FALSE()</f>
        <v>0</v>
      </c>
      <c r="L5422" s="6" t="b">
        <f t="shared" si="5148"/>
        <v>0</v>
      </c>
      <c r="M5422" s="6" t="b">
        <f t="shared" si="5148"/>
        <v>0</v>
      </c>
      <c r="P5422" s="4">
        <v>0.228648371948655</v>
      </c>
      <c r="T5422" s="4" t="str">
        <f t="shared" si="3"/>
        <v/>
      </c>
      <c r="U5422" s="4">
        <f t="shared" si="4"/>
        <v>1723</v>
      </c>
    </row>
    <row r="5423" ht="15.75" customHeight="1">
      <c r="A5423" s="4" t="s">
        <v>1437</v>
      </c>
      <c r="B5423" s="4" t="s">
        <v>13</v>
      </c>
      <c r="C5423" s="4">
        <v>3.0</v>
      </c>
      <c r="D5423" s="4">
        <v>0.1</v>
      </c>
      <c r="E5423" s="4">
        <v>0.1</v>
      </c>
      <c r="I5423" s="4">
        <v>0.88</v>
      </c>
      <c r="J5423" s="4">
        <v>0.02</v>
      </c>
      <c r="K5423" s="6" t="b">
        <f t="shared" ref="K5423:L5423" si="5149">FALSE()</f>
        <v>0</v>
      </c>
      <c r="L5423" s="6" t="b">
        <f t="shared" si="5149"/>
        <v>0</v>
      </c>
      <c r="M5423" s="6" t="b">
        <f t="shared" ref="M5423:M5425" si="5151">TRUE()</f>
        <v>1</v>
      </c>
      <c r="N5423" s="4">
        <v>1.38629436111989</v>
      </c>
      <c r="P5423" s="4">
        <v>0.631271776841858</v>
      </c>
      <c r="T5423" s="4">
        <f t="shared" si="3"/>
        <v>321</v>
      </c>
      <c r="U5423" s="4">
        <f t="shared" si="4"/>
        <v>778</v>
      </c>
    </row>
    <row r="5424" ht="15.75" customHeight="1">
      <c r="A5424" s="4" t="s">
        <v>1438</v>
      </c>
      <c r="B5424" s="4" t="s">
        <v>13</v>
      </c>
      <c r="C5424" s="4">
        <v>0.93</v>
      </c>
      <c r="D5424" s="4">
        <v>0.08</v>
      </c>
      <c r="E5424" s="4">
        <v>0.08</v>
      </c>
      <c r="I5424" s="4">
        <v>1.34</v>
      </c>
      <c r="J5424" s="4">
        <v>0.07</v>
      </c>
      <c r="K5424" s="6" t="b">
        <f t="shared" ref="K5424:L5424" si="5150">FALSE()</f>
        <v>0</v>
      </c>
      <c r="L5424" s="6" t="b">
        <f t="shared" si="5150"/>
        <v>0</v>
      </c>
      <c r="M5424" s="6" t="b">
        <f t="shared" si="5151"/>
        <v>1</v>
      </c>
      <c r="N5424" s="4">
        <v>0.657520002916794</v>
      </c>
      <c r="P5424" s="4">
        <v>0.85015092936961</v>
      </c>
      <c r="T5424" s="4">
        <f t="shared" si="3"/>
        <v>699</v>
      </c>
      <c r="U5424" s="4">
        <f t="shared" si="4"/>
        <v>215</v>
      </c>
    </row>
    <row r="5425" ht="15.75" customHeight="1">
      <c r="A5425" s="4" t="s">
        <v>1439</v>
      </c>
      <c r="B5425" s="4" t="s">
        <v>13</v>
      </c>
      <c r="C5425" s="4">
        <v>0.333</v>
      </c>
      <c r="D5425" s="4">
        <v>0.079</v>
      </c>
      <c r="E5425" s="4">
        <v>0.079</v>
      </c>
      <c r="I5425" s="4">
        <v>0.925</v>
      </c>
      <c r="J5425" s="4">
        <v>0.034</v>
      </c>
      <c r="K5425" s="6" t="b">
        <f t="shared" ref="K5425:L5425" si="5152">FALSE()</f>
        <v>0</v>
      </c>
      <c r="L5425" s="6" t="b">
        <f t="shared" si="5152"/>
        <v>0</v>
      </c>
      <c r="M5425" s="6" t="b">
        <f t="shared" si="5151"/>
        <v>1</v>
      </c>
      <c r="N5425" s="4">
        <v>0.287432041196572</v>
      </c>
      <c r="P5425" s="4">
        <v>0.654925967739748</v>
      </c>
      <c r="T5425" s="4">
        <f t="shared" si="3"/>
        <v>1054</v>
      </c>
      <c r="U5425" s="4">
        <f t="shared" si="4"/>
        <v>748</v>
      </c>
    </row>
    <row r="5426" ht="15.75" customHeight="1">
      <c r="A5426" s="4" t="s">
        <v>1440</v>
      </c>
      <c r="B5426" s="4" t="s">
        <v>13</v>
      </c>
      <c r="C5426" s="4">
        <v>0.0179</v>
      </c>
      <c r="D5426" s="4">
        <v>0.0016</v>
      </c>
      <c r="E5426" s="4">
        <v>0.0016</v>
      </c>
      <c r="I5426" s="4">
        <v>0.1463</v>
      </c>
      <c r="J5426" s="4">
        <v>0.0107</v>
      </c>
      <c r="K5426" s="6" t="b">
        <f t="shared" ref="K5426:M5426" si="5153">FALSE()</f>
        <v>0</v>
      </c>
      <c r="L5426" s="6" t="b">
        <f t="shared" si="5153"/>
        <v>0</v>
      </c>
      <c r="M5426" s="6" t="b">
        <f t="shared" si="5153"/>
        <v>0</v>
      </c>
      <c r="N5426" s="4">
        <v>0.0177416814761571</v>
      </c>
      <c r="P5426" s="4">
        <v>0.136539364138827</v>
      </c>
      <c r="T5426" s="4">
        <f t="shared" si="3"/>
        <v>1780</v>
      </c>
      <c r="U5426" s="4">
        <f t="shared" si="4"/>
        <v>3384</v>
      </c>
    </row>
    <row r="5427" ht="15.75" customHeight="1">
      <c r="A5427" s="4" t="s">
        <v>5981</v>
      </c>
      <c r="B5427" s="4" t="s">
        <v>13</v>
      </c>
      <c r="D5427" s="4">
        <v>0.0025</v>
      </c>
      <c r="E5427" s="4">
        <v>0.0025</v>
      </c>
      <c r="F5427" s="4">
        <v>0.02033</v>
      </c>
      <c r="G5427" s="4">
        <v>0.0025</v>
      </c>
      <c r="H5427" s="4">
        <v>0.0025</v>
      </c>
      <c r="K5427" s="6" t="b">
        <f t="shared" ref="K5427:M5427" si="5154">FALSE()</f>
        <v>0</v>
      </c>
      <c r="L5427" s="6" t="b">
        <f t="shared" si="5154"/>
        <v>0</v>
      </c>
      <c r="M5427" s="6" t="b">
        <f t="shared" si="5154"/>
        <v>0</v>
      </c>
      <c r="O5427" s="4">
        <v>0.0201261043835896</v>
      </c>
      <c r="T5427" s="4" t="str">
        <f t="shared" si="3"/>
        <v/>
      </c>
      <c r="U5427" s="4" t="str">
        <f t="shared" si="4"/>
        <v/>
      </c>
    </row>
    <row r="5428" ht="15.75" customHeight="1">
      <c r="A5428" s="4" t="s">
        <v>5982</v>
      </c>
      <c r="B5428" s="4" t="s">
        <v>13</v>
      </c>
      <c r="I5428" s="4">
        <v>0.1445</v>
      </c>
      <c r="J5428" s="4">
        <v>0.0187</v>
      </c>
      <c r="K5428" s="6" t="b">
        <f t="shared" ref="K5428:M5428" si="5155">FALSE()</f>
        <v>0</v>
      </c>
      <c r="L5428" s="6" t="b">
        <f t="shared" si="5155"/>
        <v>0</v>
      </c>
      <c r="M5428" s="6" t="b">
        <f t="shared" si="5155"/>
        <v>0</v>
      </c>
      <c r="P5428" s="4">
        <v>0.134967860410484</v>
      </c>
      <c r="T5428" s="4" t="str">
        <f t="shared" si="3"/>
        <v/>
      </c>
      <c r="U5428" s="4">
        <f t="shared" si="4"/>
        <v>3434</v>
      </c>
    </row>
    <row r="5429" ht="15.75" customHeight="1">
      <c r="A5429" s="4" t="s">
        <v>1441</v>
      </c>
      <c r="B5429" s="4" t="s">
        <v>13</v>
      </c>
      <c r="C5429" s="4">
        <v>0.01284</v>
      </c>
      <c r="D5429" s="4">
        <v>0.0035</v>
      </c>
      <c r="E5429" s="4">
        <v>0.0035</v>
      </c>
      <c r="I5429" s="4">
        <v>0.2105</v>
      </c>
      <c r="J5429" s="4">
        <v>0.00589</v>
      </c>
      <c r="K5429" s="6" t="b">
        <f t="shared" ref="K5429:M5429" si="5156">FALSE()</f>
        <v>0</v>
      </c>
      <c r="L5429" s="6" t="b">
        <f t="shared" si="5156"/>
        <v>0</v>
      </c>
      <c r="M5429" s="6" t="b">
        <f t="shared" si="5156"/>
        <v>0</v>
      </c>
      <c r="N5429" s="4">
        <v>0.0127582660986627</v>
      </c>
      <c r="P5429" s="4">
        <v>0.191033497395976</v>
      </c>
      <c r="T5429" s="4">
        <f t="shared" si="3"/>
        <v>1878</v>
      </c>
      <c r="U5429" s="4">
        <f t="shared" si="4"/>
        <v>2412</v>
      </c>
    </row>
    <row r="5430" ht="15.75" customHeight="1">
      <c r="A5430" s="4" t="s">
        <v>5983</v>
      </c>
      <c r="B5430" s="4" t="s">
        <v>13</v>
      </c>
      <c r="D5430" s="4">
        <v>0.006</v>
      </c>
      <c r="E5430" s="4">
        <v>0.006</v>
      </c>
      <c r="F5430" s="4">
        <v>0.0293</v>
      </c>
      <c r="G5430" s="4">
        <v>0.006</v>
      </c>
      <c r="H5430" s="4">
        <v>0.006</v>
      </c>
      <c r="K5430" s="6" t="b">
        <f t="shared" ref="K5430:M5430" si="5157">FALSE()</f>
        <v>0</v>
      </c>
      <c r="L5430" s="6" t="b">
        <f t="shared" si="5157"/>
        <v>0</v>
      </c>
      <c r="M5430" s="6" t="b">
        <f t="shared" si="5157"/>
        <v>0</v>
      </c>
      <c r="O5430" s="4">
        <v>0.0288789595503766</v>
      </c>
      <c r="T5430" s="4" t="str">
        <f t="shared" si="3"/>
        <v/>
      </c>
      <c r="U5430" s="4" t="str">
        <f t="shared" si="4"/>
        <v/>
      </c>
    </row>
    <row r="5431" ht="15.75" customHeight="1">
      <c r="A5431" s="4" t="s">
        <v>1442</v>
      </c>
      <c r="B5431" s="4" t="s">
        <v>13</v>
      </c>
      <c r="C5431" s="4">
        <v>0.006</v>
      </c>
      <c r="D5431" s="4">
        <v>0.0013</v>
      </c>
      <c r="E5431" s="4">
        <v>0.0013</v>
      </c>
      <c r="I5431" s="4">
        <v>0.12267</v>
      </c>
      <c r="J5431" s="4">
        <v>4.5E-4</v>
      </c>
      <c r="K5431" s="6" t="b">
        <f t="shared" ref="K5431:M5431" si="5158">FALSE()</f>
        <v>0</v>
      </c>
      <c r="L5431" s="6" t="b">
        <f t="shared" si="5158"/>
        <v>0</v>
      </c>
      <c r="M5431" s="6" t="b">
        <f t="shared" si="5158"/>
        <v>0</v>
      </c>
      <c r="N5431" s="4">
        <v>0.0059820716775474</v>
      </c>
      <c r="P5431" s="4">
        <v>0.115709776828703</v>
      </c>
      <c r="T5431" s="4">
        <f t="shared" si="3"/>
        <v>2013</v>
      </c>
      <c r="U5431" s="4">
        <f t="shared" si="4"/>
        <v>3820</v>
      </c>
    </row>
    <row r="5432" ht="15.75" customHeight="1">
      <c r="A5432" s="4" t="s">
        <v>1444</v>
      </c>
      <c r="B5432" s="4" t="s">
        <v>13</v>
      </c>
      <c r="C5432" s="4">
        <v>0.04188</v>
      </c>
      <c r="I5432" s="4">
        <v>0.2525</v>
      </c>
      <c r="J5432" s="4">
        <v>0.018</v>
      </c>
      <c r="K5432" s="6" t="b">
        <f t="shared" ref="K5432:M5432" si="5159">FALSE()</f>
        <v>0</v>
      </c>
      <c r="L5432" s="6" t="b">
        <f t="shared" si="5159"/>
        <v>0</v>
      </c>
      <c r="M5432" s="6" t="b">
        <f t="shared" si="5159"/>
        <v>0</v>
      </c>
      <c r="N5432" s="4">
        <v>0.041026773551598</v>
      </c>
      <c r="P5432" s="4">
        <v>0.225141553976883</v>
      </c>
      <c r="T5432" s="4">
        <f t="shared" si="3"/>
        <v>1445</v>
      </c>
      <c r="U5432" s="4">
        <f t="shared" si="4"/>
        <v>1775</v>
      </c>
    </row>
    <row r="5433" ht="15.75" customHeight="1">
      <c r="A5433" s="4" t="s">
        <v>5984</v>
      </c>
      <c r="B5433" s="4" t="s">
        <v>13</v>
      </c>
      <c r="D5433" s="4">
        <v>0.006</v>
      </c>
      <c r="E5433" s="4">
        <v>0.00538</v>
      </c>
      <c r="F5433" s="4">
        <v>0.03216</v>
      </c>
      <c r="G5433" s="4">
        <v>0.006</v>
      </c>
      <c r="H5433" s="4">
        <v>0.00538</v>
      </c>
      <c r="K5433" s="6" t="b">
        <f t="shared" ref="K5433:M5433" si="5160">FALSE()</f>
        <v>0</v>
      </c>
      <c r="L5433" s="6" t="b">
        <f t="shared" si="5160"/>
        <v>0</v>
      </c>
      <c r="M5433" s="6" t="b">
        <f t="shared" si="5160"/>
        <v>0</v>
      </c>
      <c r="O5433" s="4">
        <v>0.0316536938017944</v>
      </c>
      <c r="T5433" s="4" t="str">
        <f t="shared" si="3"/>
        <v/>
      </c>
      <c r="U5433" s="4" t="str">
        <f t="shared" si="4"/>
        <v/>
      </c>
    </row>
    <row r="5434" ht="15.75" customHeight="1">
      <c r="A5434" s="4" t="s">
        <v>1445</v>
      </c>
      <c r="B5434" s="4" t="s">
        <v>13</v>
      </c>
      <c r="C5434" s="4">
        <v>0.02847</v>
      </c>
      <c r="I5434" s="4">
        <v>0.2632</v>
      </c>
      <c r="J5434" s="4">
        <v>0.00589</v>
      </c>
      <c r="K5434" s="6" t="b">
        <f t="shared" ref="K5434:M5434" si="5161">FALSE()</f>
        <v>0</v>
      </c>
      <c r="L5434" s="6" t="b">
        <f t="shared" si="5161"/>
        <v>0</v>
      </c>
      <c r="M5434" s="6" t="b">
        <f t="shared" si="5161"/>
        <v>0</v>
      </c>
      <c r="N5434" s="4">
        <v>0.0280722609931899</v>
      </c>
      <c r="P5434" s="4">
        <v>0.233648183959295</v>
      </c>
      <c r="T5434" s="4">
        <f t="shared" si="3"/>
        <v>1577</v>
      </c>
      <c r="U5434" s="4">
        <f t="shared" si="4"/>
        <v>1641</v>
      </c>
    </row>
    <row r="5435" ht="15.75" customHeight="1">
      <c r="A5435" s="4" t="s">
        <v>1446</v>
      </c>
      <c r="B5435" s="4" t="s">
        <v>13</v>
      </c>
      <c r="C5435" s="4">
        <v>2.41</v>
      </c>
      <c r="D5435" s="4">
        <v>0.09</v>
      </c>
      <c r="E5435" s="4">
        <v>0.09</v>
      </c>
      <c r="I5435" s="4">
        <v>1.08</v>
      </c>
      <c r="J5435" s="4">
        <v>0.04</v>
      </c>
      <c r="K5435" s="6" t="b">
        <f t="shared" ref="K5435:L5435" si="5162">FALSE()</f>
        <v>0</v>
      </c>
      <c r="L5435" s="6" t="b">
        <f t="shared" si="5162"/>
        <v>0</v>
      </c>
      <c r="M5435" s="6" t="b">
        <f t="shared" ref="M5435:M5436" si="5163">TRUE()</f>
        <v>1</v>
      </c>
      <c r="N5435" s="4">
        <v>1.22671229129543</v>
      </c>
      <c r="P5435" s="4">
        <v>0.732367893713227</v>
      </c>
      <c r="T5435" s="4">
        <f t="shared" si="3"/>
        <v>382</v>
      </c>
      <c r="U5435" s="4">
        <f t="shared" si="4"/>
        <v>554</v>
      </c>
    </row>
    <row r="5436" ht="15.75" customHeight="1">
      <c r="A5436" s="4" t="s">
        <v>1447</v>
      </c>
      <c r="B5436" s="4" t="s">
        <v>13</v>
      </c>
      <c r="C5436" s="4">
        <v>5.21</v>
      </c>
      <c r="D5436" s="4">
        <v>0.52</v>
      </c>
      <c r="E5436" s="4">
        <v>0.52</v>
      </c>
      <c r="I5436" s="4">
        <v>1.0</v>
      </c>
      <c r="J5436" s="4">
        <v>0.04</v>
      </c>
      <c r="K5436" s="6" t="b">
        <f>TRUE()</f>
        <v>1</v>
      </c>
      <c r="L5436" s="6" t="b">
        <f>FALSE()</f>
        <v>0</v>
      </c>
      <c r="M5436" s="6" t="b">
        <f t="shared" si="5163"/>
        <v>1</v>
      </c>
      <c r="N5436" s="4">
        <v>1.82616089594539</v>
      </c>
      <c r="P5436" s="4">
        <v>0.693147180559945</v>
      </c>
      <c r="T5436" s="4">
        <f t="shared" si="3"/>
        <v>201</v>
      </c>
      <c r="U5436" s="4">
        <f t="shared" si="4"/>
        <v>671</v>
      </c>
    </row>
    <row r="5437" ht="15.75" customHeight="1">
      <c r="A5437" s="4" t="s">
        <v>1448</v>
      </c>
      <c r="B5437" s="4" t="s">
        <v>13</v>
      </c>
      <c r="C5437" s="4">
        <v>0.10893</v>
      </c>
      <c r="D5437" s="4">
        <v>0.0129</v>
      </c>
      <c r="E5437" s="4">
        <v>0.0129</v>
      </c>
      <c r="I5437" s="4">
        <v>0.5406</v>
      </c>
      <c r="J5437" s="4">
        <v>0.0259</v>
      </c>
      <c r="K5437" s="6" t="b">
        <f t="shared" ref="K5437:M5437" si="5164">FALSE()</f>
        <v>0</v>
      </c>
      <c r="L5437" s="6" t="b">
        <f t="shared" si="5164"/>
        <v>0</v>
      </c>
      <c r="M5437" s="6" t="b">
        <f t="shared" si="5164"/>
        <v>0</v>
      </c>
      <c r="N5437" s="4">
        <v>0.103395586448221</v>
      </c>
      <c r="P5437" s="4">
        <v>0.432171950936728</v>
      </c>
      <c r="T5437" s="4">
        <f t="shared" si="3"/>
        <v>1250</v>
      </c>
      <c r="U5437" s="4">
        <f t="shared" si="4"/>
        <v>986</v>
      </c>
    </row>
    <row r="5438" ht="15.75" customHeight="1">
      <c r="A5438" s="4" t="s">
        <v>1450</v>
      </c>
      <c r="B5438" s="4" t="s">
        <v>13</v>
      </c>
      <c r="C5438" s="4">
        <v>1.0</v>
      </c>
      <c r="D5438" s="4">
        <v>1.0</v>
      </c>
      <c r="E5438" s="4">
        <v>0.0</v>
      </c>
      <c r="I5438" s="4">
        <v>0.2444</v>
      </c>
      <c r="J5438" s="4">
        <v>0.0161</v>
      </c>
      <c r="K5438" s="6" t="b">
        <f t="shared" ref="K5438:M5438" si="5165">FALSE()</f>
        <v>0</v>
      </c>
      <c r="L5438" s="6" t="b">
        <f t="shared" si="5165"/>
        <v>0</v>
      </c>
      <c r="M5438" s="6" t="b">
        <f t="shared" si="5165"/>
        <v>0</v>
      </c>
      <c r="N5438" s="4">
        <v>0.693147180559945</v>
      </c>
      <c r="P5438" s="4">
        <v>0.218653486041345</v>
      </c>
      <c r="T5438" s="4">
        <f t="shared" si="3"/>
        <v>662</v>
      </c>
      <c r="U5438" s="4">
        <f t="shared" si="4"/>
        <v>1880</v>
      </c>
    </row>
    <row r="5439" ht="15.75" customHeight="1">
      <c r="A5439" s="4" t="s">
        <v>1451</v>
      </c>
      <c r="B5439" s="4" t="s">
        <v>13</v>
      </c>
      <c r="C5439" s="4">
        <v>0.64</v>
      </c>
      <c r="D5439" s="4">
        <v>0.04</v>
      </c>
      <c r="E5439" s="4">
        <v>0.04</v>
      </c>
      <c r="I5439" s="4">
        <v>1.0</v>
      </c>
      <c r="J5439" s="4">
        <v>0.03</v>
      </c>
      <c r="K5439" s="6" t="b">
        <f t="shared" ref="K5439:L5439" si="5166">FALSE()</f>
        <v>0</v>
      </c>
      <c r="L5439" s="6" t="b">
        <f t="shared" si="5166"/>
        <v>0</v>
      </c>
      <c r="M5439" s="6" t="b">
        <f t="shared" ref="M5439:M5443" si="5168">TRUE()</f>
        <v>1</v>
      </c>
      <c r="N5439" s="4">
        <v>0.494696241836107</v>
      </c>
      <c r="P5439" s="4">
        <v>0.693147180559945</v>
      </c>
      <c r="T5439" s="4">
        <f t="shared" si="3"/>
        <v>861</v>
      </c>
      <c r="U5439" s="4">
        <f t="shared" si="4"/>
        <v>672</v>
      </c>
    </row>
    <row r="5440" ht="15.75" customHeight="1">
      <c r="A5440" s="4" t="s">
        <v>1452</v>
      </c>
      <c r="B5440" s="4" t="s">
        <v>13</v>
      </c>
      <c r="C5440" s="4">
        <v>0.084</v>
      </c>
      <c r="D5440" s="4">
        <v>0.005</v>
      </c>
      <c r="E5440" s="4">
        <v>0.005</v>
      </c>
      <c r="I5440" s="4">
        <v>0.774</v>
      </c>
      <c r="J5440" s="4">
        <v>0.01</v>
      </c>
      <c r="K5440" s="6" t="b">
        <f t="shared" ref="K5440:L5440" si="5167">FALSE()</f>
        <v>0</v>
      </c>
      <c r="L5440" s="6" t="b">
        <f t="shared" si="5167"/>
        <v>0</v>
      </c>
      <c r="M5440" s="6" t="b">
        <f t="shared" si="5168"/>
        <v>1</v>
      </c>
      <c r="N5440" s="4">
        <v>0.0806579030174544</v>
      </c>
      <c r="P5440" s="4">
        <v>0.573236883887388</v>
      </c>
      <c r="T5440" s="4">
        <f t="shared" si="3"/>
        <v>1288</v>
      </c>
      <c r="U5440" s="4">
        <f t="shared" si="4"/>
        <v>859</v>
      </c>
    </row>
    <row r="5441" ht="15.75" customHeight="1">
      <c r="A5441" s="4" t="s">
        <v>1453</v>
      </c>
      <c r="B5441" s="4" t="s">
        <v>13</v>
      </c>
      <c r="C5441" s="4">
        <v>0.657</v>
      </c>
      <c r="D5441" s="4">
        <v>0.32</v>
      </c>
      <c r="E5441" s="4">
        <v>0.32</v>
      </c>
      <c r="I5441" s="4">
        <v>0.904</v>
      </c>
      <c r="J5441" s="4">
        <v>0.01</v>
      </c>
      <c r="K5441" s="6" t="b">
        <f t="shared" ref="K5441:L5441" si="5169">FALSE()</f>
        <v>0</v>
      </c>
      <c r="L5441" s="6" t="b">
        <f t="shared" si="5169"/>
        <v>0</v>
      </c>
      <c r="M5441" s="6" t="b">
        <f t="shared" si="5168"/>
        <v>1</v>
      </c>
      <c r="N5441" s="4">
        <v>0.505008738444426</v>
      </c>
      <c r="P5441" s="4">
        <v>0.643956936369174</v>
      </c>
      <c r="T5441" s="4">
        <f t="shared" si="3"/>
        <v>853</v>
      </c>
      <c r="U5441" s="4">
        <f t="shared" si="4"/>
        <v>760</v>
      </c>
    </row>
    <row r="5442" ht="15.75" customHeight="1">
      <c r="A5442" s="4" t="s">
        <v>1454</v>
      </c>
      <c r="B5442" s="4" t="s">
        <v>13</v>
      </c>
      <c r="C5442" s="4">
        <v>2.34</v>
      </c>
      <c r="D5442" s="4">
        <v>0.2</v>
      </c>
      <c r="E5442" s="4">
        <v>0.2</v>
      </c>
      <c r="I5442" s="4">
        <v>1.03</v>
      </c>
      <c r="J5442" s="4">
        <v>0.05</v>
      </c>
      <c r="K5442" s="6" t="b">
        <f t="shared" ref="K5442:L5442" si="5170">FALSE()</f>
        <v>0</v>
      </c>
      <c r="L5442" s="6" t="b">
        <f t="shared" si="5170"/>
        <v>0</v>
      </c>
      <c r="M5442" s="6" t="b">
        <f t="shared" si="5168"/>
        <v>1</v>
      </c>
      <c r="N5442" s="4">
        <v>1.20597080698861</v>
      </c>
      <c r="P5442" s="4">
        <v>0.708035793053696</v>
      </c>
      <c r="T5442" s="4">
        <f t="shared" si="3"/>
        <v>391</v>
      </c>
      <c r="U5442" s="4">
        <f t="shared" si="4"/>
        <v>628</v>
      </c>
    </row>
    <row r="5443" ht="15.75" customHeight="1">
      <c r="A5443" s="4" t="s">
        <v>1455</v>
      </c>
      <c r="B5443" s="4" t="s">
        <v>13</v>
      </c>
      <c r="C5443" s="4">
        <v>1.3</v>
      </c>
      <c r="D5443" s="4">
        <v>0.09</v>
      </c>
      <c r="E5443" s="4">
        <v>0.09</v>
      </c>
      <c r="I5443" s="4">
        <v>1.0</v>
      </c>
      <c r="J5443" s="4">
        <v>0.06</v>
      </c>
      <c r="K5443" s="6" t="b">
        <f t="shared" ref="K5443:L5443" si="5171">FALSE()</f>
        <v>0</v>
      </c>
      <c r="L5443" s="6" t="b">
        <f t="shared" si="5171"/>
        <v>0</v>
      </c>
      <c r="M5443" s="6" t="b">
        <f t="shared" si="5168"/>
        <v>1</v>
      </c>
      <c r="N5443" s="4">
        <v>0.832909122935104</v>
      </c>
      <c r="P5443" s="4">
        <v>0.693147180559945</v>
      </c>
      <c r="T5443" s="4">
        <f t="shared" si="3"/>
        <v>562</v>
      </c>
      <c r="U5443" s="4">
        <f t="shared" si="4"/>
        <v>673</v>
      </c>
    </row>
    <row r="5444" ht="15.75" customHeight="1">
      <c r="A5444" s="4" t="s">
        <v>5985</v>
      </c>
      <c r="B5444" s="4" t="s">
        <v>13</v>
      </c>
      <c r="D5444" s="4">
        <v>0.09</v>
      </c>
      <c r="E5444" s="4">
        <v>0.09</v>
      </c>
      <c r="F5444" s="4">
        <v>1.3</v>
      </c>
      <c r="G5444" s="4">
        <v>0.09</v>
      </c>
      <c r="H5444" s="4">
        <v>0.09</v>
      </c>
      <c r="K5444" s="6" t="b">
        <f t="shared" ref="K5444:M5444" si="5172">FALSE()</f>
        <v>0</v>
      </c>
      <c r="L5444" s="6" t="b">
        <f t="shared" si="5172"/>
        <v>0</v>
      </c>
      <c r="M5444" s="6" t="b">
        <f t="shared" si="5172"/>
        <v>0</v>
      </c>
      <c r="O5444" s="4">
        <v>0.832909122935104</v>
      </c>
      <c r="T5444" s="4" t="str">
        <f t="shared" si="3"/>
        <v/>
      </c>
      <c r="U5444" s="4" t="str">
        <f t="shared" si="4"/>
        <v/>
      </c>
    </row>
    <row r="5445" ht="15.75" customHeight="1">
      <c r="A5445" s="4" t="s">
        <v>5986</v>
      </c>
      <c r="B5445" s="4" t="s">
        <v>13</v>
      </c>
      <c r="I5445" s="4">
        <v>0.2453</v>
      </c>
      <c r="K5445" s="6" t="b">
        <f t="shared" ref="K5445:M5445" si="5173">FALSE()</f>
        <v>0</v>
      </c>
      <c r="L5445" s="6" t="b">
        <f t="shared" si="5173"/>
        <v>0</v>
      </c>
      <c r="M5445" s="6" t="b">
        <f t="shared" si="5173"/>
        <v>0</v>
      </c>
      <c r="P5445" s="4">
        <v>0.219376464744966</v>
      </c>
      <c r="T5445" s="4" t="str">
        <f t="shared" si="3"/>
        <v/>
      </c>
      <c r="U5445" s="4">
        <f t="shared" si="4"/>
        <v>1870</v>
      </c>
    </row>
    <row r="5446" ht="15.75" customHeight="1">
      <c r="A5446" s="4" t="s">
        <v>1457</v>
      </c>
      <c r="B5446" s="4" t="s">
        <v>13</v>
      </c>
      <c r="C5446" s="4">
        <v>0.201</v>
      </c>
      <c r="D5446" s="4">
        <v>0.031</v>
      </c>
      <c r="E5446" s="4">
        <v>0.034</v>
      </c>
      <c r="I5446" s="4">
        <v>0.975</v>
      </c>
      <c r="J5446" s="4">
        <v>0.02</v>
      </c>
      <c r="K5446" s="6" t="b">
        <f t="shared" ref="K5446:L5446" si="5174">FALSE()</f>
        <v>0</v>
      </c>
      <c r="L5446" s="6" t="b">
        <f t="shared" si="5174"/>
        <v>0</v>
      </c>
      <c r="M5446" s="6" t="b">
        <f t="shared" ref="M5446:M5447" si="5176">TRUE()</f>
        <v>1</v>
      </c>
      <c r="N5446" s="4">
        <v>0.183154543097847</v>
      </c>
      <c r="P5446" s="4">
        <v>0.680568398353085</v>
      </c>
      <c r="T5446" s="4">
        <f t="shared" si="3"/>
        <v>1152</v>
      </c>
      <c r="U5446" s="4">
        <f t="shared" si="4"/>
        <v>699</v>
      </c>
    </row>
    <row r="5447" ht="15.75" customHeight="1">
      <c r="A5447" s="4" t="s">
        <v>1458</v>
      </c>
      <c r="B5447" s="4" t="s">
        <v>13</v>
      </c>
      <c r="C5447" s="4">
        <v>0.82</v>
      </c>
      <c r="D5447" s="4">
        <v>0.065</v>
      </c>
      <c r="E5447" s="4">
        <v>0.063</v>
      </c>
      <c r="I5447" s="4">
        <v>1.217</v>
      </c>
      <c r="J5447" s="4">
        <v>0.034</v>
      </c>
      <c r="K5447" s="6" t="b">
        <f t="shared" ref="K5447:L5447" si="5175">FALSE()</f>
        <v>0</v>
      </c>
      <c r="L5447" s="6" t="b">
        <f t="shared" si="5175"/>
        <v>0</v>
      </c>
      <c r="M5447" s="6" t="b">
        <f t="shared" si="5176"/>
        <v>1</v>
      </c>
      <c r="N5447" s="4">
        <v>0.598836501088704</v>
      </c>
      <c r="P5447" s="4">
        <v>0.796154930634174</v>
      </c>
      <c r="T5447" s="4">
        <f t="shared" si="3"/>
        <v>758</v>
      </c>
      <c r="U5447" s="4">
        <f t="shared" si="4"/>
        <v>355</v>
      </c>
    </row>
    <row r="5448" ht="15.75" customHeight="1">
      <c r="A5448" s="4" t="s">
        <v>1459</v>
      </c>
      <c r="B5448" s="4" t="s">
        <v>13</v>
      </c>
      <c r="C5448" s="4">
        <v>0.134</v>
      </c>
      <c r="D5448" s="4">
        <v>0.023</v>
      </c>
      <c r="E5448" s="4">
        <v>0.023</v>
      </c>
      <c r="I5448" s="4">
        <v>0.626</v>
      </c>
      <c r="J5448" s="4">
        <v>0.013</v>
      </c>
      <c r="K5448" s="6" t="b">
        <f t="shared" ref="K5448:M5448" si="5177">FALSE()</f>
        <v>0</v>
      </c>
      <c r="L5448" s="6" t="b">
        <f t="shared" si="5177"/>
        <v>0</v>
      </c>
      <c r="M5448" s="6" t="b">
        <f t="shared" si="5177"/>
        <v>0</v>
      </c>
      <c r="N5448" s="4">
        <v>0.12575120530556</v>
      </c>
      <c r="P5448" s="4">
        <v>0.486123011125619</v>
      </c>
      <c r="T5448" s="4">
        <f t="shared" si="3"/>
        <v>1212</v>
      </c>
      <c r="U5448" s="4">
        <f t="shared" si="4"/>
        <v>929</v>
      </c>
    </row>
    <row r="5449" ht="15.75" customHeight="1">
      <c r="A5449" s="4" t="s">
        <v>1460</v>
      </c>
      <c r="B5449" s="4" t="s">
        <v>13</v>
      </c>
      <c r="C5449" s="4">
        <v>0.63</v>
      </c>
      <c r="D5449" s="4">
        <v>0.08</v>
      </c>
      <c r="E5449" s="4">
        <v>0.08</v>
      </c>
      <c r="I5449" s="4">
        <v>1.55</v>
      </c>
      <c r="J5449" s="4">
        <v>0.05</v>
      </c>
      <c r="K5449" s="6" t="b">
        <f t="shared" ref="K5449:L5449" si="5178">FALSE()</f>
        <v>0</v>
      </c>
      <c r="L5449" s="6" t="b">
        <f t="shared" si="5178"/>
        <v>0</v>
      </c>
      <c r="M5449" s="6" t="b">
        <f t="shared" ref="M5449:M5452" si="5180">TRUE()</f>
        <v>1</v>
      </c>
      <c r="N5449" s="4">
        <v>0.488580014818671</v>
      </c>
      <c r="P5449" s="4">
        <v>0.936093359170335</v>
      </c>
      <c r="T5449" s="4">
        <f t="shared" si="3"/>
        <v>867</v>
      </c>
      <c r="U5449" s="4">
        <f t="shared" si="4"/>
        <v>96</v>
      </c>
    </row>
    <row r="5450" ht="15.75" customHeight="1">
      <c r="A5450" s="4" t="s">
        <v>1461</v>
      </c>
      <c r="B5450" s="4" t="s">
        <v>13</v>
      </c>
      <c r="C5450" s="4">
        <v>0.25</v>
      </c>
      <c r="D5450" s="4">
        <v>0.058</v>
      </c>
      <c r="E5450" s="4">
        <v>0.058</v>
      </c>
      <c r="I5450" s="4">
        <v>1.29</v>
      </c>
      <c r="J5450" s="4">
        <v>0.33</v>
      </c>
      <c r="K5450" s="6" t="b">
        <f t="shared" ref="K5450:L5450" si="5179">FALSE()</f>
        <v>0</v>
      </c>
      <c r="L5450" s="6" t="b">
        <f t="shared" si="5179"/>
        <v>0</v>
      </c>
      <c r="M5450" s="6" t="b">
        <f t="shared" si="5180"/>
        <v>1</v>
      </c>
      <c r="N5450" s="4">
        <v>0.22314355131421</v>
      </c>
      <c r="P5450" s="4">
        <v>0.828551817566148</v>
      </c>
      <c r="T5450" s="4">
        <f t="shared" si="3"/>
        <v>1114</v>
      </c>
      <c r="U5450" s="4">
        <f t="shared" si="4"/>
        <v>268</v>
      </c>
    </row>
    <row r="5451" ht="15.75" customHeight="1">
      <c r="A5451" s="4" t="s">
        <v>1462</v>
      </c>
      <c r="B5451" s="4" t="s">
        <v>13</v>
      </c>
      <c r="C5451" s="4">
        <v>0.218</v>
      </c>
      <c r="D5451" s="4">
        <v>0.046</v>
      </c>
      <c r="E5451" s="4">
        <v>0.054</v>
      </c>
      <c r="I5451" s="4">
        <v>1.077</v>
      </c>
      <c r="J5451" s="4">
        <v>0.042</v>
      </c>
      <c r="K5451" s="6" t="b">
        <f t="shared" ref="K5451:L5451" si="5181">FALSE()</f>
        <v>0</v>
      </c>
      <c r="L5451" s="6" t="b">
        <f t="shared" si="5181"/>
        <v>0</v>
      </c>
      <c r="M5451" s="6" t="b">
        <f t="shared" si="5180"/>
        <v>1</v>
      </c>
      <c r="N5451" s="4">
        <v>0.197210169287705</v>
      </c>
      <c r="P5451" s="4">
        <v>0.730924544893975</v>
      </c>
      <c r="T5451" s="4">
        <f t="shared" si="3"/>
        <v>1137</v>
      </c>
      <c r="U5451" s="4">
        <f t="shared" si="4"/>
        <v>562</v>
      </c>
    </row>
    <row r="5452" ht="15.75" customHeight="1">
      <c r="A5452" s="4" t="s">
        <v>1463</v>
      </c>
      <c r="B5452" s="4" t="s">
        <v>13</v>
      </c>
      <c r="C5452" s="4">
        <v>3.5</v>
      </c>
      <c r="D5452" s="4">
        <v>0.1</v>
      </c>
      <c r="E5452" s="4">
        <v>0.1</v>
      </c>
      <c r="I5452" s="4">
        <v>1.08</v>
      </c>
      <c r="J5452" s="4">
        <v>0.03</v>
      </c>
      <c r="K5452" s="6" t="b">
        <f t="shared" ref="K5452:L5452" si="5182">FALSE()</f>
        <v>0</v>
      </c>
      <c r="L5452" s="6" t="b">
        <f t="shared" si="5182"/>
        <v>0</v>
      </c>
      <c r="M5452" s="6" t="b">
        <f t="shared" si="5180"/>
        <v>1</v>
      </c>
      <c r="N5452" s="4">
        <v>1.50407739677627</v>
      </c>
      <c r="P5452" s="4">
        <v>0.732367893713227</v>
      </c>
      <c r="T5452" s="4">
        <f t="shared" si="3"/>
        <v>294</v>
      </c>
      <c r="U5452" s="4">
        <f t="shared" si="4"/>
        <v>555</v>
      </c>
    </row>
    <row r="5453" ht="15.75" customHeight="1">
      <c r="A5453" s="4" t="s">
        <v>1465</v>
      </c>
      <c r="B5453" s="4" t="s">
        <v>13</v>
      </c>
      <c r="C5453" s="4">
        <v>0.02961</v>
      </c>
      <c r="D5453" s="4">
        <v>0.009</v>
      </c>
      <c r="E5453" s="4">
        <v>0.009</v>
      </c>
      <c r="I5453" s="4">
        <v>0.1454</v>
      </c>
      <c r="J5453" s="4">
        <v>0.0062</v>
      </c>
      <c r="K5453" s="6" t="b">
        <f t="shared" ref="K5453:M5453" si="5183">FALSE()</f>
        <v>0</v>
      </c>
      <c r="L5453" s="6" t="b">
        <f t="shared" si="5183"/>
        <v>0</v>
      </c>
      <c r="M5453" s="6" t="b">
        <f t="shared" si="5183"/>
        <v>0</v>
      </c>
      <c r="N5453" s="4">
        <v>0.0291800897623262</v>
      </c>
      <c r="P5453" s="4">
        <v>0.13575392097762</v>
      </c>
      <c r="T5453" s="4">
        <f t="shared" si="3"/>
        <v>1560</v>
      </c>
      <c r="U5453" s="4">
        <f t="shared" si="4"/>
        <v>3405</v>
      </c>
    </row>
    <row r="5454" ht="15.75" customHeight="1">
      <c r="A5454" s="4" t="s">
        <v>5987</v>
      </c>
      <c r="B5454" s="4" t="s">
        <v>13</v>
      </c>
      <c r="I5454" s="4">
        <v>0.2712</v>
      </c>
      <c r="J5454" s="4">
        <v>0.0187</v>
      </c>
      <c r="K5454" s="6" t="b">
        <f t="shared" ref="K5454:M5454" si="5184">FALSE()</f>
        <v>0</v>
      </c>
      <c r="L5454" s="6" t="b">
        <f t="shared" si="5184"/>
        <v>0</v>
      </c>
      <c r="M5454" s="6" t="b">
        <f t="shared" si="5184"/>
        <v>0</v>
      </c>
      <c r="P5454" s="4">
        <v>0.239961336240369</v>
      </c>
      <c r="T5454" s="4" t="str">
        <f t="shared" si="3"/>
        <v/>
      </c>
      <c r="U5454" s="4">
        <f t="shared" si="4"/>
        <v>1576</v>
      </c>
    </row>
    <row r="5455" ht="15.75" customHeight="1">
      <c r="A5455" s="4" t="s">
        <v>5988</v>
      </c>
      <c r="B5455" s="4" t="s">
        <v>13</v>
      </c>
      <c r="I5455" s="4">
        <v>0.1838</v>
      </c>
      <c r="J5455" s="4">
        <v>0.1829</v>
      </c>
      <c r="K5455" s="6" t="b">
        <f t="shared" ref="K5455:M5455" si="5185">FALSE()</f>
        <v>0</v>
      </c>
      <c r="L5455" s="6" t="b">
        <f t="shared" si="5185"/>
        <v>0</v>
      </c>
      <c r="M5455" s="6" t="b">
        <f t="shared" si="5185"/>
        <v>0</v>
      </c>
      <c r="P5455" s="4">
        <v>0.168729603274488</v>
      </c>
      <c r="T5455" s="4" t="str">
        <f t="shared" si="3"/>
        <v/>
      </c>
      <c r="U5455" s="4">
        <f t="shared" si="4"/>
        <v>2847</v>
      </c>
    </row>
    <row r="5456" ht="15.75" customHeight="1">
      <c r="A5456" s="4" t="s">
        <v>1466</v>
      </c>
      <c r="B5456" s="4" t="s">
        <v>13</v>
      </c>
      <c r="C5456" s="4">
        <v>0.366</v>
      </c>
      <c r="D5456" s="4">
        <v>0.036</v>
      </c>
      <c r="E5456" s="4">
        <v>0.022</v>
      </c>
      <c r="I5456" s="4">
        <v>1.615</v>
      </c>
      <c r="J5456" s="4">
        <v>0.64</v>
      </c>
      <c r="K5456" s="6" t="b">
        <f t="shared" ref="K5456:L5456" si="5186">FALSE()</f>
        <v>0</v>
      </c>
      <c r="L5456" s="6" t="b">
        <f t="shared" si="5186"/>
        <v>0</v>
      </c>
      <c r="M5456" s="6" t="b">
        <f t="shared" ref="M5456:M5457" si="5188">TRUE()</f>
        <v>1</v>
      </c>
      <c r="N5456" s="4">
        <v>0.311886761148598</v>
      </c>
      <c r="P5456" s="4">
        <v>0.961264097516886</v>
      </c>
      <c r="T5456" s="4">
        <f t="shared" si="3"/>
        <v>1043</v>
      </c>
      <c r="U5456" s="4">
        <f t="shared" si="4"/>
        <v>73</v>
      </c>
    </row>
    <row r="5457" ht="15.75" customHeight="1">
      <c r="A5457" s="4" t="s">
        <v>1467</v>
      </c>
      <c r="B5457" s="4" t="s">
        <v>13</v>
      </c>
      <c r="C5457" s="4">
        <v>0.61</v>
      </c>
      <c r="D5457" s="4">
        <v>0.19</v>
      </c>
      <c r="E5457" s="4">
        <v>0.19</v>
      </c>
      <c r="I5457" s="4">
        <v>1.76</v>
      </c>
      <c r="J5457" s="4">
        <v>0.16</v>
      </c>
      <c r="K5457" s="6" t="b">
        <f t="shared" ref="K5457:L5457" si="5187">FALSE()</f>
        <v>0</v>
      </c>
      <c r="L5457" s="6" t="b">
        <f t="shared" si="5187"/>
        <v>0</v>
      </c>
      <c r="M5457" s="6" t="b">
        <f t="shared" si="5188"/>
        <v>1</v>
      </c>
      <c r="N5457" s="4">
        <v>0.476234178996372</v>
      </c>
      <c r="P5457" s="4">
        <v>1.01523067972906</v>
      </c>
      <c r="T5457" s="4">
        <f t="shared" si="3"/>
        <v>883</v>
      </c>
      <c r="U5457" s="4">
        <f t="shared" si="4"/>
        <v>36</v>
      </c>
    </row>
    <row r="5458" ht="15.75" customHeight="1">
      <c r="A5458" s="4" t="s">
        <v>1468</v>
      </c>
      <c r="B5458" s="4" t="s">
        <v>13</v>
      </c>
      <c r="C5458" s="4">
        <v>0.028</v>
      </c>
      <c r="D5458" s="4">
        <v>0.0053</v>
      </c>
      <c r="E5458" s="4">
        <v>0.0053</v>
      </c>
      <c r="I5458" s="4">
        <v>0.2284</v>
      </c>
      <c r="J5458" s="4">
        <v>0.017</v>
      </c>
      <c r="K5458" s="6" t="b">
        <f t="shared" ref="K5458:M5458" si="5189">FALSE()</f>
        <v>0</v>
      </c>
      <c r="L5458" s="6" t="b">
        <f t="shared" si="5189"/>
        <v>0</v>
      </c>
      <c r="M5458" s="6" t="b">
        <f t="shared" si="5189"/>
        <v>0</v>
      </c>
      <c r="N5458" s="4">
        <v>0.0276151670329733</v>
      </c>
      <c r="P5458" s="4">
        <v>0.20571250958453</v>
      </c>
      <c r="T5458" s="4">
        <f t="shared" si="3"/>
        <v>1590</v>
      </c>
      <c r="U5458" s="4">
        <f t="shared" si="4"/>
        <v>2135</v>
      </c>
    </row>
    <row r="5459" ht="15.75" customHeight="1">
      <c r="A5459" s="4" t="s">
        <v>1469</v>
      </c>
      <c r="B5459" s="4" t="s">
        <v>13</v>
      </c>
      <c r="C5459" s="4">
        <v>0.0337</v>
      </c>
      <c r="D5459" s="4">
        <v>0.0069</v>
      </c>
      <c r="E5459" s="4">
        <v>0.0069</v>
      </c>
      <c r="I5459" s="4">
        <v>0.2213</v>
      </c>
      <c r="J5459" s="4">
        <v>0.017</v>
      </c>
      <c r="K5459" s="6" t="b">
        <f t="shared" ref="K5459:M5459" si="5190">FALSE()</f>
        <v>0</v>
      </c>
      <c r="L5459" s="6" t="b">
        <f t="shared" si="5190"/>
        <v>0</v>
      </c>
      <c r="M5459" s="6" t="b">
        <f t="shared" si="5190"/>
        <v>0</v>
      </c>
      <c r="N5459" s="4">
        <v>0.033144598592302</v>
      </c>
      <c r="P5459" s="4">
        <v>0.199915865194906</v>
      </c>
      <c r="T5459" s="4">
        <f t="shared" si="3"/>
        <v>1504</v>
      </c>
      <c r="U5459" s="4">
        <f t="shared" si="4"/>
        <v>2241</v>
      </c>
    </row>
    <row r="5460" ht="15.75" customHeight="1">
      <c r="A5460" s="4" t="s">
        <v>1470</v>
      </c>
      <c r="B5460" s="4" t="s">
        <v>13</v>
      </c>
      <c r="C5460" s="4">
        <v>0.0277</v>
      </c>
      <c r="D5460" s="4">
        <v>0.0044</v>
      </c>
      <c r="E5460" s="4">
        <v>0.0044</v>
      </c>
      <c r="I5460" s="4">
        <v>0.2471</v>
      </c>
      <c r="J5460" s="4">
        <v>0.0107</v>
      </c>
      <c r="K5460" s="6" t="b">
        <f t="shared" ref="K5460:M5460" si="5191">FALSE()</f>
        <v>0</v>
      </c>
      <c r="L5460" s="6" t="b">
        <f t="shared" si="5191"/>
        <v>0</v>
      </c>
      <c r="M5460" s="6" t="b">
        <f t="shared" si="5191"/>
        <v>0</v>
      </c>
      <c r="N5460" s="4">
        <v>0.0273232956488903</v>
      </c>
      <c r="P5460" s="4">
        <v>0.220820855944564</v>
      </c>
      <c r="T5460" s="4">
        <f t="shared" si="3"/>
        <v>1594</v>
      </c>
      <c r="U5460" s="4">
        <f t="shared" si="4"/>
        <v>1846</v>
      </c>
    </row>
    <row r="5461" ht="15.75" customHeight="1">
      <c r="A5461" s="4" t="s">
        <v>1472</v>
      </c>
      <c r="B5461" s="4" t="s">
        <v>13</v>
      </c>
      <c r="C5461" s="4">
        <v>0.00466</v>
      </c>
      <c r="D5461" s="4">
        <v>5.7E-4</v>
      </c>
      <c r="E5461" s="4">
        <v>5.7E-4</v>
      </c>
      <c r="I5461" s="4">
        <v>0.11125</v>
      </c>
      <c r="J5461" s="4">
        <v>0.0074</v>
      </c>
      <c r="K5461" s="6" t="b">
        <f t="shared" ref="K5461:M5461" si="5192">FALSE()</f>
        <v>0</v>
      </c>
      <c r="L5461" s="6" t="b">
        <f t="shared" si="5192"/>
        <v>0</v>
      </c>
      <c r="M5461" s="6" t="b">
        <f t="shared" si="5192"/>
        <v>0</v>
      </c>
      <c r="N5461" s="4">
        <v>0.0046491758141113</v>
      </c>
      <c r="P5461" s="4">
        <v>0.105485507845977</v>
      </c>
      <c r="T5461" s="4">
        <f t="shared" si="3"/>
        <v>2031</v>
      </c>
      <c r="U5461" s="4">
        <f t="shared" si="4"/>
        <v>4022</v>
      </c>
    </row>
    <row r="5462" ht="15.75" customHeight="1">
      <c r="A5462" s="4" t="s">
        <v>1473</v>
      </c>
      <c r="B5462" s="4" t="s">
        <v>13</v>
      </c>
      <c r="C5462" s="4">
        <v>0.0195</v>
      </c>
      <c r="D5462" s="4">
        <v>9.8E-4</v>
      </c>
      <c r="E5462" s="4">
        <v>9.8E-4</v>
      </c>
      <c r="I5462" s="4">
        <v>0.2079</v>
      </c>
      <c r="J5462" s="4">
        <v>9.0E-4</v>
      </c>
      <c r="K5462" s="6" t="b">
        <f t="shared" ref="K5462:M5462" si="5193">FALSE()</f>
        <v>0</v>
      </c>
      <c r="L5462" s="6" t="b">
        <f t="shared" si="5193"/>
        <v>0</v>
      </c>
      <c r="M5462" s="6" t="b">
        <f t="shared" si="5193"/>
        <v>0</v>
      </c>
      <c r="N5462" s="4">
        <v>0.0193123110323728</v>
      </c>
      <c r="P5462" s="4">
        <v>0.188883314629096</v>
      </c>
      <c r="T5462" s="4">
        <f t="shared" si="3"/>
        <v>1746</v>
      </c>
      <c r="U5462" s="4">
        <f t="shared" si="4"/>
        <v>2454</v>
      </c>
    </row>
    <row r="5463" ht="15.75" customHeight="1">
      <c r="A5463" s="4" t="s">
        <v>1474</v>
      </c>
      <c r="B5463" s="4" t="s">
        <v>13</v>
      </c>
      <c r="C5463" s="4">
        <v>0.0132</v>
      </c>
      <c r="D5463" s="4">
        <v>5.0E-4</v>
      </c>
      <c r="E5463" s="4">
        <v>5.0E-4</v>
      </c>
      <c r="I5463" s="4">
        <v>0.19</v>
      </c>
      <c r="J5463" s="4">
        <v>0.0107</v>
      </c>
      <c r="K5463" s="6" t="b">
        <f t="shared" ref="K5463:M5463" si="5194">FALSE()</f>
        <v>0</v>
      </c>
      <c r="L5463" s="6" t="b">
        <f t="shared" si="5194"/>
        <v>0</v>
      </c>
      <c r="M5463" s="6" t="b">
        <f t="shared" si="5194"/>
        <v>0</v>
      </c>
      <c r="N5463" s="4">
        <v>0.0131136391453831</v>
      </c>
      <c r="P5463" s="4">
        <v>0.173953307123438</v>
      </c>
      <c r="T5463" s="4">
        <f t="shared" si="3"/>
        <v>1862</v>
      </c>
      <c r="U5463" s="4">
        <f t="shared" si="4"/>
        <v>2746</v>
      </c>
    </row>
    <row r="5464" ht="15.75" customHeight="1">
      <c r="A5464" s="4" t="s">
        <v>1475</v>
      </c>
      <c r="B5464" s="4" t="s">
        <v>13</v>
      </c>
      <c r="C5464" s="4">
        <v>0.717</v>
      </c>
      <c r="D5464" s="4">
        <v>0.104</v>
      </c>
      <c r="E5464" s="4">
        <v>0.104</v>
      </c>
      <c r="I5464" s="4">
        <v>1.224</v>
      </c>
      <c r="J5464" s="4">
        <v>0.062</v>
      </c>
      <c r="K5464" s="6" t="b">
        <f t="shared" ref="K5464:L5464" si="5195">FALSE()</f>
        <v>0</v>
      </c>
      <c r="L5464" s="6" t="b">
        <f t="shared" si="5195"/>
        <v>0</v>
      </c>
      <c r="M5464" s="6" t="b">
        <f>TRUE()</f>
        <v>1</v>
      </c>
      <c r="N5464" s="4">
        <v>0.540578581915339</v>
      </c>
      <c r="P5464" s="4">
        <v>0.799307376388336</v>
      </c>
      <c r="T5464" s="4">
        <f t="shared" si="3"/>
        <v>812</v>
      </c>
      <c r="U5464" s="4">
        <f t="shared" si="4"/>
        <v>346</v>
      </c>
    </row>
    <row r="5465" ht="15.75" customHeight="1">
      <c r="A5465" s="4" t="s">
        <v>1476</v>
      </c>
      <c r="B5465" s="4" t="s">
        <v>13</v>
      </c>
      <c r="C5465" s="4">
        <v>0.0308</v>
      </c>
      <c r="I5465" s="4">
        <v>0.27612</v>
      </c>
      <c r="J5465" s="4">
        <v>0.013159</v>
      </c>
      <c r="K5465" s="6" t="b">
        <f t="shared" ref="K5465:M5465" si="5196">FALSE()</f>
        <v>0</v>
      </c>
      <c r="L5465" s="6" t="b">
        <f t="shared" si="5196"/>
        <v>0</v>
      </c>
      <c r="M5465" s="6" t="b">
        <f t="shared" si="5196"/>
        <v>0</v>
      </c>
      <c r="N5465" s="4">
        <v>0.0303351997960729</v>
      </c>
      <c r="P5465" s="4">
        <v>0.243824224387896</v>
      </c>
      <c r="T5465" s="4">
        <f t="shared" si="3"/>
        <v>1542</v>
      </c>
      <c r="U5465" s="4">
        <f t="shared" si="4"/>
        <v>1537</v>
      </c>
    </row>
    <row r="5466" ht="15.75" customHeight="1">
      <c r="A5466" s="4" t="s">
        <v>1478</v>
      </c>
      <c r="B5466" s="4" t="s">
        <v>13</v>
      </c>
      <c r="C5466" s="4">
        <v>0.44</v>
      </c>
      <c r="D5466" s="4">
        <v>0.1</v>
      </c>
      <c r="E5466" s="4">
        <v>0.1</v>
      </c>
      <c r="I5466" s="4">
        <v>1.59</v>
      </c>
      <c r="J5466" s="4">
        <v>0.05</v>
      </c>
      <c r="K5466" s="6" t="b">
        <f t="shared" ref="K5466:L5466" si="5197">FALSE()</f>
        <v>0</v>
      </c>
      <c r="L5466" s="6" t="b">
        <f t="shared" si="5197"/>
        <v>0</v>
      </c>
      <c r="M5466" s="6" t="b">
        <f t="shared" ref="M5466:M5469" si="5199">TRUE()</f>
        <v>1</v>
      </c>
      <c r="N5466" s="4">
        <v>0.364643113587909</v>
      </c>
      <c r="P5466" s="4">
        <v>0.951657875711446</v>
      </c>
      <c r="T5466" s="4">
        <f t="shared" si="3"/>
        <v>988</v>
      </c>
      <c r="U5466" s="4">
        <f t="shared" si="4"/>
        <v>82</v>
      </c>
    </row>
    <row r="5467" ht="15.75" customHeight="1">
      <c r="A5467" s="4" t="s">
        <v>1479</v>
      </c>
      <c r="B5467" s="4" t="s">
        <v>13</v>
      </c>
      <c r="C5467" s="4">
        <v>0.975</v>
      </c>
      <c r="D5467" s="4">
        <v>0.07</v>
      </c>
      <c r="E5467" s="4">
        <v>0.083</v>
      </c>
      <c r="I5467" s="4">
        <v>1.616</v>
      </c>
      <c r="J5467" s="4">
        <v>0.034</v>
      </c>
      <c r="K5467" s="6" t="b">
        <f t="shared" ref="K5467:L5467" si="5198">FALSE()</f>
        <v>0</v>
      </c>
      <c r="L5467" s="6" t="b">
        <f t="shared" si="5198"/>
        <v>0</v>
      </c>
      <c r="M5467" s="6" t="b">
        <f t="shared" si="5199"/>
        <v>1</v>
      </c>
      <c r="N5467" s="4">
        <v>0.680568398353085</v>
      </c>
      <c r="P5467" s="4">
        <v>0.961646433594952</v>
      </c>
      <c r="T5467" s="4">
        <f t="shared" si="3"/>
        <v>675</v>
      </c>
      <c r="U5467" s="4">
        <f t="shared" si="4"/>
        <v>72</v>
      </c>
    </row>
    <row r="5468" ht="15.75" customHeight="1">
      <c r="A5468" s="4" t="s">
        <v>1480</v>
      </c>
      <c r="B5468" s="4" t="s">
        <v>13</v>
      </c>
      <c r="C5468" s="4">
        <v>0.71</v>
      </c>
      <c r="D5468" s="4">
        <v>0.26</v>
      </c>
      <c r="E5468" s="4">
        <v>0.26</v>
      </c>
      <c r="I5468" s="4">
        <v>1.363</v>
      </c>
      <c r="J5468" s="4">
        <v>0.046</v>
      </c>
      <c r="K5468" s="6" t="b">
        <f t="shared" ref="K5468:L5468" si="5200">FALSE()</f>
        <v>0</v>
      </c>
      <c r="L5468" s="6" t="b">
        <f t="shared" si="5200"/>
        <v>0</v>
      </c>
      <c r="M5468" s="6" t="b">
        <f t="shared" si="5199"/>
        <v>1</v>
      </c>
      <c r="N5468" s="4">
        <v>0.536493370514569</v>
      </c>
      <c r="P5468" s="4">
        <v>0.859931998204771</v>
      </c>
      <c r="T5468" s="4">
        <f t="shared" si="3"/>
        <v>815</v>
      </c>
      <c r="U5468" s="4">
        <f t="shared" si="4"/>
        <v>201</v>
      </c>
    </row>
    <row r="5469" ht="15.75" customHeight="1">
      <c r="A5469" s="4" t="s">
        <v>1481</v>
      </c>
      <c r="B5469" s="4" t="s">
        <v>13</v>
      </c>
      <c r="C5469" s="4">
        <v>0.37</v>
      </c>
      <c r="D5469" s="4">
        <v>0.0</v>
      </c>
      <c r="E5469" s="4">
        <v>0.0</v>
      </c>
      <c r="I5469" s="4">
        <v>1.146</v>
      </c>
      <c r="J5469" s="4">
        <v>0.051</v>
      </c>
      <c r="K5469" s="6" t="b">
        <f t="shared" ref="K5469:L5469" si="5201">FALSE()</f>
        <v>0</v>
      </c>
      <c r="L5469" s="6" t="b">
        <f t="shared" si="5201"/>
        <v>0</v>
      </c>
      <c r="M5469" s="6" t="b">
        <f t="shared" si="5199"/>
        <v>1</v>
      </c>
      <c r="N5469" s="4">
        <v>0.314810739840034</v>
      </c>
      <c r="P5469" s="4">
        <v>0.763605644208507</v>
      </c>
      <c r="T5469" s="4">
        <f t="shared" si="3"/>
        <v>1039</v>
      </c>
      <c r="U5469" s="4">
        <f t="shared" si="4"/>
        <v>451</v>
      </c>
    </row>
    <row r="5470" ht="15.75" customHeight="1">
      <c r="A5470" s="4" t="s">
        <v>1482</v>
      </c>
      <c r="B5470" s="4" t="s">
        <v>13</v>
      </c>
      <c r="C5470" s="4">
        <v>0.01425</v>
      </c>
      <c r="D5470" s="4">
        <v>0.0025</v>
      </c>
      <c r="E5470" s="4">
        <v>0.0025</v>
      </c>
      <c r="I5470" s="4">
        <v>0.1267</v>
      </c>
      <c r="J5470" s="4">
        <v>0.009</v>
      </c>
      <c r="K5470" s="6" t="b">
        <f t="shared" ref="K5470:M5470" si="5202">FALSE()</f>
        <v>0</v>
      </c>
      <c r="L5470" s="6" t="b">
        <f t="shared" si="5202"/>
        <v>0</v>
      </c>
      <c r="M5470" s="6" t="b">
        <f t="shared" si="5202"/>
        <v>0</v>
      </c>
      <c r="N5470" s="4">
        <v>0.0141494231044195</v>
      </c>
      <c r="P5470" s="4">
        <v>0.119293006187983</v>
      </c>
      <c r="T5470" s="4">
        <f t="shared" si="3"/>
        <v>1841</v>
      </c>
      <c r="U5470" s="4">
        <f t="shared" si="4"/>
        <v>3755</v>
      </c>
    </row>
    <row r="5471" ht="15.75" customHeight="1">
      <c r="A5471" s="4" t="s">
        <v>1484</v>
      </c>
      <c r="B5471" s="4" t="s">
        <v>13</v>
      </c>
      <c r="C5471" s="4">
        <v>0.0117</v>
      </c>
      <c r="D5471" s="4">
        <v>0.00698</v>
      </c>
      <c r="E5471" s="4">
        <v>0.00698</v>
      </c>
      <c r="I5471" s="4">
        <v>0.1677</v>
      </c>
      <c r="J5471" s="4">
        <v>0.0107</v>
      </c>
      <c r="K5471" s="6" t="b">
        <f t="shared" ref="K5471:M5471" si="5203">FALSE()</f>
        <v>0</v>
      </c>
      <c r="L5471" s="6" t="b">
        <f t="shared" si="5203"/>
        <v>0</v>
      </c>
      <c r="M5471" s="6" t="b">
        <f t="shared" si="5203"/>
        <v>0</v>
      </c>
      <c r="N5471" s="4">
        <v>0.0116320842297076</v>
      </c>
      <c r="P5471" s="4">
        <v>0.155036002099532</v>
      </c>
      <c r="T5471" s="4">
        <f t="shared" si="3"/>
        <v>1905</v>
      </c>
      <c r="U5471" s="4">
        <f t="shared" si="4"/>
        <v>3082</v>
      </c>
    </row>
    <row r="5472" ht="15.75" customHeight="1">
      <c r="A5472" s="4" t="s">
        <v>1485</v>
      </c>
      <c r="B5472" s="4" t="s">
        <v>13</v>
      </c>
      <c r="C5472" s="4">
        <v>1.16</v>
      </c>
      <c r="D5472" s="4">
        <v>0.04</v>
      </c>
      <c r="E5472" s="4">
        <v>0.04</v>
      </c>
      <c r="I5472" s="4">
        <v>1.1</v>
      </c>
      <c r="J5472" s="4">
        <v>0.08</v>
      </c>
      <c r="K5472" s="6" t="b">
        <f t="shared" ref="K5472:L5472" si="5204">FALSE()</f>
        <v>0</v>
      </c>
      <c r="L5472" s="6" t="b">
        <f t="shared" si="5204"/>
        <v>0</v>
      </c>
      <c r="M5472" s="6" t="b">
        <f t="shared" ref="M5472:M5476" si="5206">TRUE()</f>
        <v>1</v>
      </c>
      <c r="N5472" s="4">
        <v>0.770108221696074</v>
      </c>
      <c r="P5472" s="4">
        <v>0.741937344729377</v>
      </c>
      <c r="T5472" s="4">
        <f t="shared" si="3"/>
        <v>607</v>
      </c>
      <c r="U5472" s="4">
        <f t="shared" si="4"/>
        <v>513</v>
      </c>
    </row>
    <row r="5473" ht="15.75" customHeight="1">
      <c r="A5473" s="4" t="s">
        <v>1486</v>
      </c>
      <c r="B5473" s="4" t="s">
        <v>13</v>
      </c>
      <c r="C5473" s="4">
        <v>1.68</v>
      </c>
      <c r="D5473" s="4">
        <v>0.26</v>
      </c>
      <c r="E5473" s="4">
        <v>0.26</v>
      </c>
      <c r="I5473" s="4">
        <v>1.174</v>
      </c>
      <c r="J5473" s="4">
        <v>0.027</v>
      </c>
      <c r="K5473" s="6" t="b">
        <f t="shared" ref="K5473:L5473" si="5205">FALSE()</f>
        <v>0</v>
      </c>
      <c r="L5473" s="6" t="b">
        <f t="shared" si="5205"/>
        <v>0</v>
      </c>
      <c r="M5473" s="6" t="b">
        <f t="shared" si="5206"/>
        <v>1</v>
      </c>
      <c r="N5473" s="4">
        <v>0.985816794522765</v>
      </c>
      <c r="P5473" s="4">
        <v>0.776568788699018</v>
      </c>
      <c r="T5473" s="4">
        <f t="shared" si="3"/>
        <v>486</v>
      </c>
      <c r="U5473" s="4">
        <f t="shared" si="4"/>
        <v>420</v>
      </c>
    </row>
    <row r="5474" ht="15.75" customHeight="1">
      <c r="A5474" s="4" t="s">
        <v>1487</v>
      </c>
      <c r="B5474" s="4" t="s">
        <v>13</v>
      </c>
      <c r="C5474" s="4">
        <v>2.007</v>
      </c>
      <c r="D5474" s="4">
        <v>0.104</v>
      </c>
      <c r="E5474" s="4">
        <v>0.104</v>
      </c>
      <c r="I5474" s="4">
        <v>1.195</v>
      </c>
      <c r="J5474" s="4">
        <v>0.0375</v>
      </c>
      <c r="K5474" s="6" t="b">
        <f t="shared" ref="K5474:L5474" si="5207">FALSE()</f>
        <v>0</v>
      </c>
      <c r="L5474" s="6" t="b">
        <f t="shared" si="5207"/>
        <v>0</v>
      </c>
      <c r="M5474" s="6" t="b">
        <f t="shared" si="5206"/>
        <v>1</v>
      </c>
      <c r="N5474" s="4">
        <v>1.10094290400639</v>
      </c>
      <c r="P5474" s="4">
        <v>0.786182046527135</v>
      </c>
      <c r="T5474" s="4">
        <f t="shared" si="3"/>
        <v>439</v>
      </c>
      <c r="U5474" s="4">
        <f t="shared" si="4"/>
        <v>393</v>
      </c>
    </row>
    <row r="5475" ht="15.75" customHeight="1">
      <c r="A5475" s="4" t="s">
        <v>1488</v>
      </c>
      <c r="B5475" s="4" t="s">
        <v>13</v>
      </c>
      <c r="C5475" s="4">
        <v>3.0</v>
      </c>
      <c r="D5475" s="4">
        <v>0.2</v>
      </c>
      <c r="E5475" s="4">
        <v>0.2</v>
      </c>
      <c r="I5475" s="4">
        <v>1.12</v>
      </c>
      <c r="J5475" s="4">
        <v>0.05</v>
      </c>
      <c r="K5475" s="6" t="b">
        <f t="shared" ref="K5475:L5475" si="5208">FALSE()</f>
        <v>0</v>
      </c>
      <c r="L5475" s="6" t="b">
        <f t="shared" si="5208"/>
        <v>0</v>
      </c>
      <c r="M5475" s="6" t="b">
        <f t="shared" si="5206"/>
        <v>1</v>
      </c>
      <c r="N5475" s="4">
        <v>1.38629436111989</v>
      </c>
      <c r="P5475" s="4">
        <v>0.751416088683921</v>
      </c>
      <c r="T5475" s="4">
        <f t="shared" si="3"/>
        <v>322</v>
      </c>
      <c r="U5475" s="4">
        <f t="shared" si="4"/>
        <v>492</v>
      </c>
    </row>
    <row r="5476" ht="15.75" customHeight="1">
      <c r="A5476" s="4" t="s">
        <v>1489</v>
      </c>
      <c r="B5476" s="4" t="s">
        <v>13</v>
      </c>
      <c r="C5476" s="4">
        <v>0.62</v>
      </c>
      <c r="D5476" s="4">
        <v>0.1</v>
      </c>
      <c r="E5476" s="4">
        <v>0.1</v>
      </c>
      <c r="I5476" s="4">
        <v>1.466</v>
      </c>
      <c r="J5476" s="4">
        <v>0.032</v>
      </c>
      <c r="K5476" s="6" t="b">
        <f t="shared" ref="K5476:L5476" si="5209">FALSE()</f>
        <v>0</v>
      </c>
      <c r="L5476" s="6" t="b">
        <f t="shared" si="5209"/>
        <v>0</v>
      </c>
      <c r="M5476" s="6" t="b">
        <f t="shared" si="5206"/>
        <v>1</v>
      </c>
      <c r="N5476" s="4">
        <v>0.482426149244293</v>
      </c>
      <c r="P5476" s="4">
        <v>0.902597404742153</v>
      </c>
      <c r="T5476" s="4">
        <f t="shared" si="3"/>
        <v>874</v>
      </c>
      <c r="U5476" s="4">
        <f t="shared" si="4"/>
        <v>133</v>
      </c>
    </row>
    <row r="5477" ht="15.75" customHeight="1">
      <c r="A5477" s="4" t="s">
        <v>1491</v>
      </c>
      <c r="B5477" s="4" t="s">
        <v>13</v>
      </c>
      <c r="C5477" s="4">
        <v>0.2146</v>
      </c>
      <c r="D5477" s="4">
        <v>0.011</v>
      </c>
      <c r="E5477" s="4">
        <v>0.011</v>
      </c>
      <c r="I5477" s="4">
        <v>0.6388</v>
      </c>
      <c r="J5477" s="4">
        <v>0.045</v>
      </c>
      <c r="K5477" s="6" t="b">
        <f t="shared" ref="K5477:M5477" si="5210">FALSE()</f>
        <v>0</v>
      </c>
      <c r="L5477" s="6" t="b">
        <f t="shared" si="5210"/>
        <v>0</v>
      </c>
      <c r="M5477" s="6" t="b">
        <f t="shared" si="5210"/>
        <v>0</v>
      </c>
      <c r="N5477" s="4">
        <v>0.194414804481338</v>
      </c>
      <c r="P5477" s="4">
        <v>0.493964266690579</v>
      </c>
      <c r="T5477" s="4">
        <f t="shared" si="3"/>
        <v>1140</v>
      </c>
      <c r="U5477" s="4">
        <f t="shared" si="4"/>
        <v>923</v>
      </c>
    </row>
    <row r="5478" ht="15.75" customHeight="1">
      <c r="A5478" s="4" t="s">
        <v>1492</v>
      </c>
      <c r="B5478" s="4" t="s">
        <v>13</v>
      </c>
      <c r="C5478" s="4">
        <v>0.0410483</v>
      </c>
      <c r="I5478" s="4">
        <v>0.326713</v>
      </c>
      <c r="J5478" s="4">
        <v>0.012918</v>
      </c>
      <c r="K5478" s="6" t="b">
        <f t="shared" ref="K5478:M5478" si="5211">FALSE()</f>
        <v>0</v>
      </c>
      <c r="L5478" s="6" t="b">
        <f t="shared" si="5211"/>
        <v>0</v>
      </c>
      <c r="M5478" s="6" t="b">
        <f t="shared" si="5211"/>
        <v>0</v>
      </c>
      <c r="N5478" s="4">
        <v>0.0402281862510165</v>
      </c>
      <c r="P5478" s="4">
        <v>0.282704454641502</v>
      </c>
      <c r="T5478" s="4">
        <f t="shared" si="3"/>
        <v>1451</v>
      </c>
      <c r="U5478" s="4">
        <f t="shared" si="4"/>
        <v>1270</v>
      </c>
    </row>
    <row r="5479" ht="15.75" customHeight="1">
      <c r="A5479" s="4" t="s">
        <v>5989</v>
      </c>
      <c r="B5479" s="4" t="s">
        <v>13</v>
      </c>
      <c r="I5479" s="4">
        <v>1.03</v>
      </c>
      <c r="J5479" s="4">
        <v>0.11</v>
      </c>
      <c r="K5479" s="6" t="b">
        <f t="shared" ref="K5479:L5479" si="5212">FALSE()</f>
        <v>0</v>
      </c>
      <c r="L5479" s="6" t="b">
        <f t="shared" si="5212"/>
        <v>0</v>
      </c>
      <c r="M5479" s="6" t="b">
        <f t="shared" ref="M5479:M5480" si="5214">TRUE()</f>
        <v>1</v>
      </c>
      <c r="P5479" s="4">
        <v>0.708035793053696</v>
      </c>
      <c r="T5479" s="4" t="str">
        <f t="shared" si="3"/>
        <v/>
      </c>
      <c r="U5479" s="4">
        <f t="shared" si="4"/>
        <v>629</v>
      </c>
    </row>
    <row r="5480" ht="15.75" customHeight="1">
      <c r="A5480" s="4" t="s">
        <v>1493</v>
      </c>
      <c r="B5480" s="4" t="s">
        <v>13</v>
      </c>
      <c r="C5480" s="4">
        <v>0.665</v>
      </c>
      <c r="D5480" s="4">
        <v>0.025</v>
      </c>
      <c r="E5480" s="4">
        <v>0.025</v>
      </c>
      <c r="I5480" s="4">
        <v>1.017</v>
      </c>
      <c r="J5480" s="4">
        <v>0.044</v>
      </c>
      <c r="K5480" s="6" t="b">
        <f t="shared" ref="K5480:L5480" si="5213">FALSE()</f>
        <v>0</v>
      </c>
      <c r="L5480" s="6" t="b">
        <f t="shared" si="5213"/>
        <v>0</v>
      </c>
      <c r="M5480" s="6" t="b">
        <f t="shared" si="5214"/>
        <v>1</v>
      </c>
      <c r="N5480" s="4">
        <v>0.509825123432407</v>
      </c>
      <c r="P5480" s="4">
        <v>0.701611258972075</v>
      </c>
      <c r="T5480" s="4">
        <f t="shared" si="3"/>
        <v>845</v>
      </c>
      <c r="U5480" s="4">
        <f t="shared" si="4"/>
        <v>648</v>
      </c>
    </row>
    <row r="5481" ht="15.75" customHeight="1">
      <c r="A5481" s="4" t="s">
        <v>1494</v>
      </c>
      <c r="B5481" s="4" t="s">
        <v>13</v>
      </c>
      <c r="C5481" s="4">
        <v>0.0953</v>
      </c>
      <c r="D5481" s="4">
        <v>0.0076</v>
      </c>
      <c r="E5481" s="4">
        <v>0.0076</v>
      </c>
      <c r="I5481" s="4">
        <v>0.3408</v>
      </c>
      <c r="J5481" s="4">
        <v>0.0312</v>
      </c>
      <c r="K5481" s="6" t="b">
        <f t="shared" ref="K5481:M5481" si="5215">FALSE()</f>
        <v>0</v>
      </c>
      <c r="L5481" s="6" t="b">
        <f t="shared" si="5215"/>
        <v>0</v>
      </c>
      <c r="M5481" s="6" t="b">
        <f t="shared" si="5215"/>
        <v>0</v>
      </c>
      <c r="N5481" s="4">
        <v>0.0910282983475638</v>
      </c>
      <c r="P5481" s="4">
        <v>0.293266450745682</v>
      </c>
      <c r="T5481" s="4">
        <f t="shared" si="3"/>
        <v>1268</v>
      </c>
      <c r="U5481" s="4">
        <f t="shared" si="4"/>
        <v>1235</v>
      </c>
    </row>
    <row r="5482" ht="15.75" customHeight="1">
      <c r="A5482" s="4" t="s">
        <v>1495</v>
      </c>
      <c r="B5482" s="4" t="s">
        <v>13</v>
      </c>
      <c r="C5482" s="4">
        <v>0.1271</v>
      </c>
      <c r="D5482" s="4">
        <v>0.0116</v>
      </c>
      <c r="E5482" s="4">
        <v>0.012</v>
      </c>
      <c r="I5482" s="4">
        <v>0.4211</v>
      </c>
      <c r="J5482" s="4">
        <v>0.0321</v>
      </c>
      <c r="K5482" s="6" t="b">
        <f t="shared" ref="K5482:M5482" si="5216">FALSE()</f>
        <v>0</v>
      </c>
      <c r="L5482" s="6" t="b">
        <f t="shared" si="5216"/>
        <v>0</v>
      </c>
      <c r="M5482" s="6" t="b">
        <f t="shared" si="5216"/>
        <v>0</v>
      </c>
      <c r="N5482" s="4">
        <v>0.119647962265896</v>
      </c>
      <c r="P5482" s="4">
        <v>0.351431219615679</v>
      </c>
      <c r="T5482" s="4">
        <f t="shared" si="3"/>
        <v>1219</v>
      </c>
      <c r="U5482" s="4">
        <f t="shared" si="4"/>
        <v>1090</v>
      </c>
    </row>
    <row r="5483" ht="15.75" customHeight="1">
      <c r="A5483" s="4" t="s">
        <v>1497</v>
      </c>
      <c r="B5483" s="4" t="s">
        <v>13</v>
      </c>
      <c r="C5483" s="4">
        <v>0.554</v>
      </c>
      <c r="D5483" s="4">
        <v>0.076</v>
      </c>
      <c r="E5483" s="4">
        <v>0.076</v>
      </c>
      <c r="I5483" s="4">
        <v>1.39</v>
      </c>
      <c r="J5483" s="4">
        <v>0.06</v>
      </c>
      <c r="K5483" s="6" t="b">
        <f t="shared" ref="K5483:L5483" si="5217">FALSE()</f>
        <v>0</v>
      </c>
      <c r="L5483" s="6" t="b">
        <f t="shared" si="5217"/>
        <v>0</v>
      </c>
      <c r="M5483" s="6" t="b">
        <f>TRUE()</f>
        <v>1</v>
      </c>
      <c r="N5483" s="4">
        <v>0.440832251945456</v>
      </c>
      <c r="P5483" s="4">
        <v>0.871293365943419</v>
      </c>
      <c r="T5483" s="4">
        <f t="shared" si="3"/>
        <v>921</v>
      </c>
      <c r="U5483" s="4">
        <f t="shared" si="4"/>
        <v>185</v>
      </c>
    </row>
    <row r="5484" ht="15.75" customHeight="1">
      <c r="A5484" s="4" t="s">
        <v>1498</v>
      </c>
      <c r="B5484" s="4" t="s">
        <v>13</v>
      </c>
      <c r="C5484" s="4">
        <v>0.18</v>
      </c>
      <c r="D5484" s="4">
        <v>0.005</v>
      </c>
      <c r="E5484" s="4">
        <v>0.005</v>
      </c>
      <c r="I5484" s="4">
        <v>0.285</v>
      </c>
      <c r="J5484" s="4">
        <v>0.0098</v>
      </c>
      <c r="K5484" s="6" t="b">
        <f t="shared" ref="K5484:M5484" si="5218">FALSE()</f>
        <v>0</v>
      </c>
      <c r="L5484" s="6" t="b">
        <f t="shared" si="5218"/>
        <v>0</v>
      </c>
      <c r="M5484" s="6" t="b">
        <f t="shared" si="5218"/>
        <v>0</v>
      </c>
      <c r="N5484" s="4">
        <v>0.165514438477573</v>
      </c>
      <c r="P5484" s="4">
        <v>0.250758718347183</v>
      </c>
      <c r="T5484" s="4">
        <f t="shared" si="3"/>
        <v>1171</v>
      </c>
      <c r="U5484" s="4">
        <f t="shared" si="4"/>
        <v>1473</v>
      </c>
    </row>
    <row r="5485" ht="15.75" customHeight="1">
      <c r="A5485" s="4" t="s">
        <v>1499</v>
      </c>
      <c r="B5485" s="4" t="s">
        <v>13</v>
      </c>
      <c r="C5485" s="4">
        <v>2.27</v>
      </c>
      <c r="D5485" s="4">
        <v>0.16</v>
      </c>
      <c r="E5485" s="4">
        <v>0.16</v>
      </c>
      <c r="I5485" s="4">
        <v>1.158</v>
      </c>
      <c r="J5485" s="4">
        <v>0.043</v>
      </c>
      <c r="K5485" s="6" t="b">
        <f t="shared" ref="K5485:L5485" si="5219">FALSE()</f>
        <v>0</v>
      </c>
      <c r="L5485" s="6" t="b">
        <f t="shared" si="5219"/>
        <v>0</v>
      </c>
      <c r="M5485" s="6" t="b">
        <f>TRUE()</f>
        <v>1</v>
      </c>
      <c r="N5485" s="4">
        <v>1.18478998490916</v>
      </c>
      <c r="P5485" s="4">
        <v>0.769181866835943</v>
      </c>
      <c r="T5485" s="4">
        <f t="shared" si="3"/>
        <v>406</v>
      </c>
      <c r="U5485" s="4">
        <f t="shared" si="4"/>
        <v>444</v>
      </c>
    </row>
    <row r="5486" ht="15.75" customHeight="1">
      <c r="A5486" s="4" t="s">
        <v>5990</v>
      </c>
      <c r="B5486" s="4" t="s">
        <v>13</v>
      </c>
      <c r="I5486" s="4">
        <v>0.2382</v>
      </c>
      <c r="J5486" s="4">
        <v>0.0205</v>
      </c>
      <c r="K5486" s="6" t="b">
        <f t="shared" ref="K5486:M5486" si="5220">FALSE()</f>
        <v>0</v>
      </c>
      <c r="L5486" s="6" t="b">
        <f t="shared" si="5220"/>
        <v>0</v>
      </c>
      <c r="M5486" s="6" t="b">
        <f t="shared" si="5220"/>
        <v>0</v>
      </c>
      <c r="P5486" s="4">
        <v>0.213658712102995</v>
      </c>
      <c r="T5486" s="4" t="str">
        <f t="shared" si="3"/>
        <v/>
      </c>
      <c r="U5486" s="4">
        <f t="shared" si="4"/>
        <v>1969</v>
      </c>
    </row>
    <row r="5487" ht="15.75" customHeight="1">
      <c r="A5487" s="4" t="s">
        <v>1500</v>
      </c>
      <c r="B5487" s="4" t="s">
        <v>13</v>
      </c>
      <c r="C5487" s="4">
        <v>4.0</v>
      </c>
      <c r="D5487" s="4">
        <v>0.04</v>
      </c>
      <c r="E5487" s="4">
        <v>0.04</v>
      </c>
      <c r="I5487" s="4">
        <v>1.2</v>
      </c>
      <c r="J5487" s="4">
        <v>0.02</v>
      </c>
      <c r="K5487" s="6" t="b">
        <f>TRUE()</f>
        <v>1</v>
      </c>
      <c r="L5487" s="6" t="b">
        <f>FALSE()</f>
        <v>0</v>
      </c>
      <c r="M5487" s="6" t="b">
        <f t="shared" ref="M5487:M5488" si="5222">TRUE()</f>
        <v>1</v>
      </c>
      <c r="N5487" s="4">
        <v>1.6094379124341</v>
      </c>
      <c r="P5487" s="4">
        <v>0.78845736036427</v>
      </c>
      <c r="T5487" s="4">
        <f t="shared" si="3"/>
        <v>262</v>
      </c>
      <c r="U5487" s="4">
        <f t="shared" si="4"/>
        <v>386</v>
      </c>
    </row>
    <row r="5488" ht="15.75" customHeight="1">
      <c r="A5488" s="4" t="s">
        <v>1501</v>
      </c>
      <c r="B5488" s="4" t="s">
        <v>13</v>
      </c>
      <c r="C5488" s="4">
        <v>1.67</v>
      </c>
      <c r="D5488" s="4">
        <v>0.013</v>
      </c>
      <c r="E5488" s="4">
        <v>0.013</v>
      </c>
      <c r="I5488" s="4">
        <v>1.091</v>
      </c>
      <c r="J5488" s="4">
        <v>0.038</v>
      </c>
      <c r="K5488" s="6" t="b">
        <f t="shared" ref="K5488:L5488" si="5221">FALSE()</f>
        <v>0</v>
      </c>
      <c r="L5488" s="6" t="b">
        <f t="shared" si="5221"/>
        <v>0</v>
      </c>
      <c r="M5488" s="6" t="b">
        <f t="shared" si="5222"/>
        <v>1</v>
      </c>
      <c r="N5488" s="4">
        <v>0.982078472412158</v>
      </c>
      <c r="P5488" s="4">
        <v>0.737642420446497</v>
      </c>
      <c r="T5488" s="4">
        <f t="shared" si="3"/>
        <v>489</v>
      </c>
      <c r="U5488" s="4">
        <f t="shared" si="4"/>
        <v>531</v>
      </c>
    </row>
    <row r="5489" ht="15.75" customHeight="1">
      <c r="A5489" s="4" t="s">
        <v>1502</v>
      </c>
      <c r="B5489" s="4" t="s">
        <v>13</v>
      </c>
      <c r="C5489" s="4">
        <v>0.02822</v>
      </c>
      <c r="D5489" s="4">
        <v>0.0038</v>
      </c>
      <c r="E5489" s="4">
        <v>0.0038</v>
      </c>
      <c r="I5489" s="4">
        <v>0.2873</v>
      </c>
      <c r="J5489" s="4">
        <v>0.0071</v>
      </c>
      <c r="K5489" s="6" t="b">
        <f t="shared" ref="K5489:M5489" si="5223">FALSE()</f>
        <v>0</v>
      </c>
      <c r="L5489" s="6" t="b">
        <f t="shared" si="5223"/>
        <v>0</v>
      </c>
      <c r="M5489" s="6" t="b">
        <f t="shared" si="5223"/>
        <v>0</v>
      </c>
      <c r="N5489" s="4">
        <v>0.0278291519186757</v>
      </c>
      <c r="P5489" s="4">
        <v>0.252547001683452</v>
      </c>
      <c r="T5489" s="4">
        <f t="shared" si="3"/>
        <v>1581</v>
      </c>
      <c r="U5489" s="4">
        <f t="shared" si="4"/>
        <v>1450</v>
      </c>
    </row>
    <row r="5490" ht="15.75" customHeight="1">
      <c r="A5490" s="4" t="s">
        <v>5991</v>
      </c>
      <c r="B5490" s="4" t="s">
        <v>13</v>
      </c>
      <c r="I5490" s="4">
        <v>0.3631</v>
      </c>
      <c r="K5490" s="6" t="b">
        <f t="shared" ref="K5490:M5490" si="5224">FALSE()</f>
        <v>0</v>
      </c>
      <c r="L5490" s="6" t="b">
        <f t="shared" si="5224"/>
        <v>0</v>
      </c>
      <c r="M5490" s="6" t="b">
        <f t="shared" si="5224"/>
        <v>0</v>
      </c>
      <c r="P5490" s="4">
        <v>0.30976151759466</v>
      </c>
      <c r="T5490" s="4" t="str">
        <f t="shared" si="3"/>
        <v/>
      </c>
      <c r="U5490" s="4">
        <f t="shared" si="4"/>
        <v>1175</v>
      </c>
    </row>
    <row r="5491" ht="15.75" customHeight="1">
      <c r="A5491" s="4" t="s">
        <v>1504</v>
      </c>
      <c r="B5491" s="4" t="s">
        <v>13</v>
      </c>
      <c r="C5491" s="4">
        <v>1.18</v>
      </c>
      <c r="D5491" s="4">
        <v>0.14</v>
      </c>
      <c r="E5491" s="4">
        <v>0.14</v>
      </c>
      <c r="I5491" s="4">
        <v>2.1</v>
      </c>
      <c r="J5491" s="4">
        <v>0.7</v>
      </c>
      <c r="K5491" s="6" t="b">
        <f t="shared" ref="K5491:L5491" si="5225">FALSE()</f>
        <v>0</v>
      </c>
      <c r="L5491" s="6" t="b">
        <f t="shared" si="5225"/>
        <v>0</v>
      </c>
      <c r="M5491" s="6" t="b">
        <f>TRUE()</f>
        <v>1</v>
      </c>
      <c r="N5491" s="4">
        <v>0.779324876800998</v>
      </c>
      <c r="P5491" s="4">
        <v>1.1314021114911</v>
      </c>
      <c r="T5491" s="4">
        <f t="shared" si="3"/>
        <v>599</v>
      </c>
      <c r="U5491" s="4">
        <f t="shared" si="4"/>
        <v>8</v>
      </c>
    </row>
    <row r="5492" ht="15.75" customHeight="1">
      <c r="A5492" s="4" t="s">
        <v>1505</v>
      </c>
      <c r="B5492" s="4" t="s">
        <v>13</v>
      </c>
      <c r="C5492" s="4">
        <v>0.083</v>
      </c>
      <c r="D5492" s="4">
        <v>0.003</v>
      </c>
      <c r="E5492" s="4">
        <v>0.003</v>
      </c>
      <c r="I5492" s="4">
        <v>0.473</v>
      </c>
      <c r="J5492" s="4">
        <v>0.0241</v>
      </c>
      <c r="K5492" s="6" t="b">
        <f t="shared" ref="K5492:M5492" si="5226">FALSE()</f>
        <v>0</v>
      </c>
      <c r="L5492" s="6" t="b">
        <f t="shared" si="5226"/>
        <v>0</v>
      </c>
      <c r="M5492" s="6" t="b">
        <f t="shared" si="5226"/>
        <v>0</v>
      </c>
      <c r="N5492" s="4">
        <v>0.0797349680188535</v>
      </c>
      <c r="P5492" s="4">
        <v>0.387301137480493</v>
      </c>
      <c r="T5492" s="4">
        <f t="shared" si="3"/>
        <v>1291</v>
      </c>
      <c r="U5492" s="4">
        <f t="shared" si="4"/>
        <v>1038</v>
      </c>
    </row>
    <row r="5493" ht="15.75" customHeight="1">
      <c r="A5493" s="4" t="s">
        <v>1506</v>
      </c>
      <c r="B5493" s="4" t="s">
        <v>13</v>
      </c>
      <c r="C5493" s="4">
        <v>0.26</v>
      </c>
      <c r="D5493" s="4">
        <v>0.02</v>
      </c>
      <c r="E5493" s="4">
        <v>0.02</v>
      </c>
      <c r="I5493" s="4">
        <v>0.74</v>
      </c>
      <c r="J5493" s="4">
        <v>0.014</v>
      </c>
      <c r="K5493" s="6" t="b">
        <f t="shared" ref="K5493:M5493" si="5227">FALSE()</f>
        <v>0</v>
      </c>
      <c r="L5493" s="6" t="b">
        <f t="shared" si="5227"/>
        <v>0</v>
      </c>
      <c r="M5493" s="6" t="b">
        <f t="shared" si="5227"/>
        <v>0</v>
      </c>
      <c r="N5493" s="4">
        <v>0.231111720963387</v>
      </c>
      <c r="P5493" s="4">
        <v>0.553885113226438</v>
      </c>
      <c r="T5493" s="4">
        <f t="shared" si="3"/>
        <v>1103</v>
      </c>
      <c r="U5493" s="4">
        <f t="shared" si="4"/>
        <v>881</v>
      </c>
    </row>
    <row r="5494" ht="15.75" customHeight="1">
      <c r="A5494" s="4" t="s">
        <v>1507</v>
      </c>
      <c r="B5494" s="4" t="s">
        <v>13</v>
      </c>
      <c r="C5494" s="4">
        <v>0.98</v>
      </c>
      <c r="D5494" s="4">
        <v>0.11</v>
      </c>
      <c r="E5494" s="4">
        <v>0.11</v>
      </c>
      <c r="I5494" s="4">
        <v>1.167</v>
      </c>
      <c r="J5494" s="4">
        <v>48.0</v>
      </c>
      <c r="K5494" s="6" t="b">
        <f t="shared" ref="K5494:L5494" si="5228">FALSE()</f>
        <v>0</v>
      </c>
      <c r="L5494" s="6" t="b">
        <f t="shared" si="5228"/>
        <v>0</v>
      </c>
      <c r="M5494" s="6" t="b">
        <f t="shared" ref="M5494:M5497" si="5230">TRUE()</f>
        <v>1</v>
      </c>
      <c r="N5494" s="4">
        <v>0.683096844706444</v>
      </c>
      <c r="P5494" s="4">
        <v>0.773343722554222</v>
      </c>
      <c r="T5494" s="4">
        <f t="shared" si="3"/>
        <v>670</v>
      </c>
      <c r="U5494" s="4">
        <f t="shared" si="4"/>
        <v>432</v>
      </c>
    </row>
    <row r="5495" ht="15.75" customHeight="1">
      <c r="A5495" s="4" t="s">
        <v>1508</v>
      </c>
      <c r="B5495" s="4" t="s">
        <v>13</v>
      </c>
      <c r="C5495" s="4">
        <v>1.02</v>
      </c>
      <c r="D5495" s="4">
        <v>0.24</v>
      </c>
      <c r="E5495" s="4">
        <v>0.24</v>
      </c>
      <c r="I5495" s="4">
        <v>1.124</v>
      </c>
      <c r="J5495" s="4">
        <v>0.023</v>
      </c>
      <c r="K5495" s="6" t="b">
        <f t="shared" ref="K5495:L5495" si="5229">FALSE()</f>
        <v>0</v>
      </c>
      <c r="L5495" s="6" t="b">
        <f t="shared" si="5229"/>
        <v>0</v>
      </c>
      <c r="M5495" s="6" t="b">
        <f t="shared" si="5230"/>
        <v>1</v>
      </c>
      <c r="N5495" s="4">
        <v>0.703097511413113</v>
      </c>
      <c r="P5495" s="4">
        <v>0.753301103379693</v>
      </c>
      <c r="T5495" s="4">
        <f t="shared" si="3"/>
        <v>655</v>
      </c>
      <c r="U5495" s="4">
        <f t="shared" si="4"/>
        <v>486</v>
      </c>
    </row>
    <row r="5496" ht="15.75" customHeight="1">
      <c r="A5496" s="4" t="s">
        <v>1510</v>
      </c>
      <c r="B5496" s="4" t="s">
        <v>13</v>
      </c>
      <c r="C5496" s="4">
        <v>0.689</v>
      </c>
      <c r="D5496" s="4">
        <v>0.03</v>
      </c>
      <c r="E5496" s="4">
        <v>0.03</v>
      </c>
      <c r="I5496" s="4">
        <v>0.994</v>
      </c>
      <c r="J5496" s="4">
        <v>0.02</v>
      </c>
      <c r="K5496" s="6" t="b">
        <f t="shared" ref="K5496:L5496" si="5231">FALSE()</f>
        <v>0</v>
      </c>
      <c r="L5496" s="6" t="b">
        <f t="shared" si="5231"/>
        <v>0</v>
      </c>
      <c r="M5496" s="6" t="b">
        <f t="shared" si="5230"/>
        <v>1</v>
      </c>
      <c r="N5496" s="4">
        <v>0.524136637825663</v>
      </c>
      <c r="P5496" s="4">
        <v>0.690142671539647</v>
      </c>
      <c r="T5496" s="4">
        <f t="shared" si="3"/>
        <v>826</v>
      </c>
      <c r="U5496" s="4">
        <f t="shared" si="4"/>
        <v>682</v>
      </c>
    </row>
    <row r="5497" ht="15.75" customHeight="1">
      <c r="A5497" s="4" t="s">
        <v>1511</v>
      </c>
      <c r="B5497" s="4" t="s">
        <v>13</v>
      </c>
      <c r="C5497" s="4">
        <v>0.2684</v>
      </c>
      <c r="D5497" s="4">
        <v>0.0277</v>
      </c>
      <c r="E5497" s="4">
        <v>0.0277</v>
      </c>
      <c r="I5497" s="4">
        <v>1.07</v>
      </c>
      <c r="J5497" s="4">
        <v>0.045</v>
      </c>
      <c r="K5497" s="6" t="b">
        <f t="shared" ref="K5497:L5497" si="5232">FALSE()</f>
        <v>0</v>
      </c>
      <c r="L5497" s="6" t="b">
        <f t="shared" si="5232"/>
        <v>0</v>
      </c>
      <c r="M5497" s="6" t="b">
        <f t="shared" si="5230"/>
        <v>1</v>
      </c>
      <c r="N5497" s="4">
        <v>0.237756263682055</v>
      </c>
      <c r="P5497" s="4">
        <v>0.727548607277278</v>
      </c>
      <c r="T5497" s="4">
        <f t="shared" si="3"/>
        <v>1094</v>
      </c>
      <c r="U5497" s="4">
        <f t="shared" si="4"/>
        <v>576</v>
      </c>
    </row>
    <row r="5498" ht="15.75" customHeight="1">
      <c r="A5498" s="4" t="s">
        <v>1512</v>
      </c>
      <c r="B5498" s="4" t="s">
        <v>13</v>
      </c>
      <c r="C5498" s="4">
        <v>0.04704</v>
      </c>
      <c r="D5498" s="4">
        <v>0.01233</v>
      </c>
      <c r="E5498" s="4">
        <v>0.0129</v>
      </c>
      <c r="I5498" s="4">
        <v>0.4586</v>
      </c>
      <c r="J5498" s="4">
        <v>0.0143</v>
      </c>
      <c r="K5498" s="6" t="b">
        <f t="shared" ref="K5498:M5498" si="5233">FALSE()</f>
        <v>0</v>
      </c>
      <c r="L5498" s="6" t="b">
        <f t="shared" si="5233"/>
        <v>0</v>
      </c>
      <c r="M5498" s="6" t="b">
        <f t="shared" si="5233"/>
        <v>0</v>
      </c>
      <c r="N5498" s="4">
        <v>0.0459671355521358</v>
      </c>
      <c r="P5498" s="4">
        <v>0.377477071567996</v>
      </c>
      <c r="T5498" s="4">
        <f t="shared" si="3"/>
        <v>1415</v>
      </c>
      <c r="U5498" s="4">
        <f t="shared" si="4"/>
        <v>1052</v>
      </c>
    </row>
    <row r="5499" ht="15.75" customHeight="1">
      <c r="A5499" s="4" t="s">
        <v>1513</v>
      </c>
      <c r="B5499" s="4" t="s">
        <v>13</v>
      </c>
      <c r="C5499" s="4">
        <v>1.04</v>
      </c>
      <c r="D5499" s="4">
        <v>0.15</v>
      </c>
      <c r="E5499" s="4">
        <v>0.15</v>
      </c>
      <c r="I5499" s="4">
        <v>2.0</v>
      </c>
      <c r="J5499" s="4">
        <v>0.035</v>
      </c>
      <c r="K5499" s="6" t="b">
        <f t="shared" ref="K5499:L5499" si="5234">FALSE()</f>
        <v>0</v>
      </c>
      <c r="L5499" s="6" t="b">
        <f t="shared" si="5234"/>
        <v>0</v>
      </c>
      <c r="M5499" s="6" t="b">
        <f t="shared" ref="M5499:M5501" si="5236">TRUE()</f>
        <v>1</v>
      </c>
      <c r="N5499" s="4">
        <v>0.712949807856125</v>
      </c>
      <c r="P5499" s="4">
        <v>1.09861228866811</v>
      </c>
      <c r="T5499" s="4">
        <f t="shared" si="3"/>
        <v>648</v>
      </c>
      <c r="U5499" s="4">
        <f t="shared" si="4"/>
        <v>10</v>
      </c>
    </row>
    <row r="5500" ht="15.75" customHeight="1">
      <c r="A5500" s="4" t="s">
        <v>1514</v>
      </c>
      <c r="B5500" s="4" t="s">
        <v>13</v>
      </c>
      <c r="C5500" s="4">
        <v>1.11</v>
      </c>
      <c r="D5500" s="4">
        <v>0.2</v>
      </c>
      <c r="E5500" s="4">
        <v>0.2</v>
      </c>
      <c r="I5500" s="4">
        <v>1.172</v>
      </c>
      <c r="J5500" s="4">
        <v>0.036</v>
      </c>
      <c r="K5500" s="6" t="b">
        <f t="shared" ref="K5500:L5500" si="5235">FALSE()</f>
        <v>0</v>
      </c>
      <c r="L5500" s="6" t="b">
        <f t="shared" si="5235"/>
        <v>0</v>
      </c>
      <c r="M5500" s="6" t="b">
        <f t="shared" si="5236"/>
        <v>1</v>
      </c>
      <c r="N5500" s="4">
        <v>0.746687947487975</v>
      </c>
      <c r="P5500" s="4">
        <v>0.775648402071689</v>
      </c>
      <c r="T5500" s="4">
        <f t="shared" si="3"/>
        <v>622</v>
      </c>
      <c r="U5500" s="4">
        <f t="shared" si="4"/>
        <v>421</v>
      </c>
    </row>
    <row r="5501" ht="15.75" customHeight="1">
      <c r="A5501" s="4" t="s">
        <v>1515</v>
      </c>
      <c r="B5501" s="4" t="s">
        <v>13</v>
      </c>
      <c r="C5501" s="4">
        <v>0.59</v>
      </c>
      <c r="D5501" s="4">
        <v>0.06</v>
      </c>
      <c r="E5501" s="4">
        <v>0.06</v>
      </c>
      <c r="I5501" s="4">
        <v>0.96</v>
      </c>
      <c r="J5501" s="4">
        <v>0.05</v>
      </c>
      <c r="K5501" s="6" t="b">
        <f t="shared" ref="K5501:L5501" si="5237">FALSE()</f>
        <v>0</v>
      </c>
      <c r="L5501" s="6" t="b">
        <f t="shared" si="5237"/>
        <v>0</v>
      </c>
      <c r="M5501" s="6" t="b">
        <f t="shared" si="5236"/>
        <v>1</v>
      </c>
      <c r="N5501" s="4">
        <v>0.46373401623214</v>
      </c>
      <c r="P5501" s="4">
        <v>0.672944473242426</v>
      </c>
      <c r="T5501" s="4">
        <f t="shared" si="3"/>
        <v>896</v>
      </c>
      <c r="U5501" s="4">
        <f t="shared" si="4"/>
        <v>716</v>
      </c>
    </row>
    <row r="5502" ht="15.75" customHeight="1">
      <c r="A5502" s="4" t="s">
        <v>1517</v>
      </c>
      <c r="B5502" s="4" t="s">
        <v>13</v>
      </c>
      <c r="C5502" s="4">
        <v>0.0519</v>
      </c>
      <c r="D5502" s="4">
        <v>0.0057</v>
      </c>
      <c r="E5502" s="4">
        <v>0.011</v>
      </c>
      <c r="I5502" s="4">
        <v>0.5629</v>
      </c>
      <c r="J5502" s="4">
        <v>0.025</v>
      </c>
      <c r="K5502" s="6" t="b">
        <f t="shared" ref="K5502:M5502" si="5238">FALSE()</f>
        <v>0</v>
      </c>
      <c r="L5502" s="6" t="b">
        <f t="shared" si="5238"/>
        <v>0</v>
      </c>
      <c r="M5502" s="6" t="b">
        <f t="shared" si="5238"/>
        <v>0</v>
      </c>
      <c r="N5502" s="4">
        <v>0.0505980527630913</v>
      </c>
      <c r="P5502" s="4">
        <v>0.446543069866011</v>
      </c>
      <c r="T5502" s="4">
        <f t="shared" si="3"/>
        <v>1395</v>
      </c>
      <c r="U5502" s="4">
        <f t="shared" si="4"/>
        <v>966</v>
      </c>
    </row>
    <row r="5503" ht="15.75" customHeight="1">
      <c r="A5503" s="4" t="s">
        <v>1518</v>
      </c>
      <c r="B5503" s="4" t="s">
        <v>13</v>
      </c>
      <c r="C5503" s="4">
        <v>0.85</v>
      </c>
      <c r="D5503" s="4">
        <v>0.15</v>
      </c>
      <c r="E5503" s="4">
        <v>0.15</v>
      </c>
      <c r="I5503" s="4">
        <v>1.36</v>
      </c>
      <c r="J5503" s="4">
        <v>0.05</v>
      </c>
      <c r="K5503" s="6" t="b">
        <f t="shared" ref="K5503:L5503" si="5239">FALSE()</f>
        <v>0</v>
      </c>
      <c r="L5503" s="6" t="b">
        <f t="shared" si="5239"/>
        <v>0</v>
      </c>
      <c r="M5503" s="6" t="b">
        <f t="shared" ref="M5503:M5505" si="5241">TRUE()</f>
        <v>1</v>
      </c>
      <c r="N5503" s="4">
        <v>0.615185639090234</v>
      </c>
      <c r="P5503" s="4">
        <v>0.858661619037519</v>
      </c>
      <c r="T5503" s="4">
        <f t="shared" si="3"/>
        <v>740</v>
      </c>
      <c r="U5503" s="4">
        <f t="shared" si="4"/>
        <v>204</v>
      </c>
    </row>
    <row r="5504" ht="15.75" customHeight="1">
      <c r="A5504" s="4" t="s">
        <v>1519</v>
      </c>
      <c r="B5504" s="4" t="s">
        <v>13</v>
      </c>
      <c r="C5504" s="4">
        <v>0.406</v>
      </c>
      <c r="D5504" s="4">
        <v>0.07</v>
      </c>
      <c r="E5504" s="4">
        <v>0.07</v>
      </c>
      <c r="I5504" s="4">
        <v>1.274</v>
      </c>
      <c r="J5504" s="4">
        <v>0.04</v>
      </c>
      <c r="K5504" s="6" t="b">
        <f t="shared" ref="K5504:L5504" si="5240">FALSE()</f>
        <v>0</v>
      </c>
      <c r="L5504" s="6" t="b">
        <f t="shared" si="5240"/>
        <v>0</v>
      </c>
      <c r="M5504" s="6" t="b">
        <f t="shared" si="5241"/>
        <v>1</v>
      </c>
      <c r="N5504" s="4">
        <v>0.340748793388473</v>
      </c>
      <c r="P5504" s="4">
        <v>0.821540395328344</v>
      </c>
      <c r="T5504" s="4">
        <f t="shared" si="3"/>
        <v>1010</v>
      </c>
      <c r="U5504" s="4">
        <f t="shared" si="4"/>
        <v>289</v>
      </c>
    </row>
    <row r="5505" ht="15.75" customHeight="1">
      <c r="A5505" s="4" t="s">
        <v>1520</v>
      </c>
      <c r="B5505" s="4" t="s">
        <v>13</v>
      </c>
      <c r="C5505" s="4">
        <v>3.88</v>
      </c>
      <c r="D5505" s="4">
        <v>0.23</v>
      </c>
      <c r="E5505" s="4">
        <v>0.23</v>
      </c>
      <c r="I5505" s="4">
        <v>1.1</v>
      </c>
      <c r="J5505" s="4">
        <v>0.05</v>
      </c>
      <c r="K5505" s="6" t="b">
        <f>TRUE()</f>
        <v>1</v>
      </c>
      <c r="L5505" s="6" t="b">
        <f>FALSE()</f>
        <v>0</v>
      </c>
      <c r="M5505" s="6" t="b">
        <f t="shared" si="5241"/>
        <v>1</v>
      </c>
      <c r="N5505" s="4">
        <v>1.58514521986506</v>
      </c>
      <c r="P5505" s="4">
        <v>0.741937344729377</v>
      </c>
      <c r="T5505" s="4">
        <f t="shared" si="3"/>
        <v>265</v>
      </c>
      <c r="U5505" s="4">
        <f t="shared" si="4"/>
        <v>514</v>
      </c>
    </row>
    <row r="5506" ht="15.75" customHeight="1">
      <c r="A5506" s="4" t="s">
        <v>1521</v>
      </c>
      <c r="B5506" s="4" t="s">
        <v>13</v>
      </c>
      <c r="C5506" s="4">
        <v>0.01117</v>
      </c>
      <c r="D5506" s="4">
        <v>0.00302</v>
      </c>
      <c r="E5506" s="4">
        <v>0.00302</v>
      </c>
      <c r="I5506" s="4">
        <v>0.178</v>
      </c>
      <c r="J5506" s="4">
        <v>0.00419</v>
      </c>
      <c r="K5506" s="6" t="b">
        <f t="shared" ref="K5506:M5506" si="5242">FALSE()</f>
        <v>0</v>
      </c>
      <c r="L5506" s="6" t="b">
        <f t="shared" si="5242"/>
        <v>0</v>
      </c>
      <c r="M5506" s="6" t="b">
        <f t="shared" si="5242"/>
        <v>0</v>
      </c>
      <c r="N5506" s="4">
        <v>0.0111080762488413</v>
      </c>
      <c r="P5506" s="4">
        <v>0.163818085229395</v>
      </c>
      <c r="T5506" s="4">
        <f t="shared" si="3"/>
        <v>1914</v>
      </c>
      <c r="U5506" s="4">
        <f t="shared" si="4"/>
        <v>2941</v>
      </c>
    </row>
    <row r="5507" ht="15.75" customHeight="1">
      <c r="A5507" s="4" t="s">
        <v>1522</v>
      </c>
      <c r="B5507" s="4" t="s">
        <v>13</v>
      </c>
      <c r="C5507" s="4">
        <v>0.0028</v>
      </c>
      <c r="D5507" s="4">
        <v>0.0019</v>
      </c>
      <c r="E5507" s="4">
        <v>0.00296</v>
      </c>
      <c r="I5507" s="4">
        <v>0.1766</v>
      </c>
      <c r="J5507" s="4">
        <v>0.00482</v>
      </c>
      <c r="K5507" s="6" t="b">
        <f t="shared" ref="K5507:M5507" si="5243">FALSE()</f>
        <v>0</v>
      </c>
      <c r="L5507" s="6" t="b">
        <f t="shared" si="5243"/>
        <v>0</v>
      </c>
      <c r="M5507" s="6" t="b">
        <f t="shared" si="5243"/>
        <v>0</v>
      </c>
      <c r="N5507" s="4">
        <v>0.0027960873020012</v>
      </c>
      <c r="P5507" s="4">
        <v>0.162628923448219</v>
      </c>
      <c r="T5507" s="4">
        <f t="shared" si="3"/>
        <v>2057</v>
      </c>
      <c r="U5507" s="4">
        <f t="shared" si="4"/>
        <v>2954</v>
      </c>
    </row>
    <row r="5508" ht="15.75" customHeight="1">
      <c r="A5508" s="4" t="s">
        <v>1524</v>
      </c>
      <c r="B5508" s="4" t="s">
        <v>13</v>
      </c>
      <c r="C5508" s="4">
        <v>0.0223</v>
      </c>
      <c r="D5508" s="4">
        <v>0.005</v>
      </c>
      <c r="E5508" s="4">
        <v>0.005</v>
      </c>
      <c r="I5508" s="4">
        <v>0.18</v>
      </c>
      <c r="J5508" s="4">
        <v>0.00571</v>
      </c>
      <c r="K5508" s="6" t="b">
        <f t="shared" ref="K5508:M5508" si="5244">FALSE()</f>
        <v>0</v>
      </c>
      <c r="L5508" s="6" t="b">
        <f t="shared" si="5244"/>
        <v>0</v>
      </c>
      <c r="M5508" s="6" t="b">
        <f t="shared" si="5244"/>
        <v>0</v>
      </c>
      <c r="N5508" s="4">
        <v>0.0220549907808313</v>
      </c>
      <c r="P5508" s="4">
        <v>0.165514438477573</v>
      </c>
      <c r="T5508" s="4">
        <f t="shared" si="3"/>
        <v>1680</v>
      </c>
      <c r="U5508" s="4">
        <f t="shared" si="4"/>
        <v>2891</v>
      </c>
    </row>
    <row r="5509" ht="15.75" customHeight="1">
      <c r="A5509" s="4" t="s">
        <v>1525</v>
      </c>
      <c r="B5509" s="4" t="s">
        <v>13</v>
      </c>
      <c r="C5509" s="4">
        <v>0.175</v>
      </c>
      <c r="D5509" s="4">
        <v>0.037</v>
      </c>
      <c r="E5509" s="4">
        <v>0.037</v>
      </c>
      <c r="I5509" s="4">
        <v>1.095</v>
      </c>
      <c r="J5509" s="4">
        <v>0.036</v>
      </c>
      <c r="K5509" s="6" t="b">
        <f t="shared" ref="K5509:L5509" si="5245">FALSE()</f>
        <v>0</v>
      </c>
      <c r="L5509" s="6" t="b">
        <f t="shared" si="5245"/>
        <v>0</v>
      </c>
      <c r="M5509" s="6" t="b">
        <f>TRUE()</f>
        <v>1</v>
      </c>
      <c r="N5509" s="4">
        <v>0.161268147596122</v>
      </c>
      <c r="P5509" s="4">
        <v>0.739553553374101</v>
      </c>
      <c r="T5509" s="4">
        <f t="shared" si="3"/>
        <v>1178</v>
      </c>
      <c r="U5509" s="4">
        <f t="shared" si="4"/>
        <v>527</v>
      </c>
    </row>
    <row r="5510" ht="15.75" customHeight="1">
      <c r="A5510" s="4" t="s">
        <v>1526</v>
      </c>
      <c r="B5510" s="4" t="s">
        <v>13</v>
      </c>
      <c r="C5510" s="4">
        <v>0.138</v>
      </c>
      <c r="D5510" s="4">
        <v>0.025</v>
      </c>
      <c r="E5510" s="4">
        <v>0.0274</v>
      </c>
      <c r="I5510" s="4">
        <v>0.71</v>
      </c>
      <c r="J5510" s="4">
        <v>0.02</v>
      </c>
      <c r="K5510" s="6" t="b">
        <f t="shared" ref="K5510:M5510" si="5246">FALSE()</f>
        <v>0</v>
      </c>
      <c r="L5510" s="6" t="b">
        <f t="shared" si="5246"/>
        <v>0</v>
      </c>
      <c r="M5510" s="6" t="b">
        <f t="shared" si="5246"/>
        <v>0</v>
      </c>
      <c r="N5510" s="4">
        <v>0.129272335704139</v>
      </c>
      <c r="P5510" s="4">
        <v>0.536493370514569</v>
      </c>
      <c r="T5510" s="4">
        <f t="shared" si="3"/>
        <v>1209</v>
      </c>
      <c r="U5510" s="4">
        <f t="shared" si="4"/>
        <v>894</v>
      </c>
    </row>
    <row r="5511" ht="15.75" customHeight="1">
      <c r="A5511" s="4" t="s">
        <v>1527</v>
      </c>
      <c r="B5511" s="4" t="s">
        <v>13</v>
      </c>
      <c r="C5511" s="4">
        <v>0.035</v>
      </c>
      <c r="D5511" s="4">
        <v>0.00406</v>
      </c>
      <c r="E5511" s="4">
        <v>0.00406</v>
      </c>
      <c r="I5511" s="4">
        <v>0.2694</v>
      </c>
      <c r="J5511" s="4">
        <v>0.0071</v>
      </c>
      <c r="K5511" s="6" t="b">
        <f t="shared" ref="K5511:M5511" si="5247">FALSE()</f>
        <v>0</v>
      </c>
      <c r="L5511" s="6" t="b">
        <f t="shared" si="5247"/>
        <v>0</v>
      </c>
      <c r="M5511" s="6" t="b">
        <f t="shared" si="5247"/>
        <v>0</v>
      </c>
      <c r="N5511" s="4">
        <v>0.0344014267173324</v>
      </c>
      <c r="P5511" s="4">
        <v>0.238544347890233</v>
      </c>
      <c r="T5511" s="4">
        <f t="shared" si="3"/>
        <v>1489</v>
      </c>
      <c r="U5511" s="4">
        <f t="shared" si="4"/>
        <v>1596</v>
      </c>
    </row>
    <row r="5512" ht="15.75" customHeight="1">
      <c r="A5512" s="4" t="s">
        <v>1528</v>
      </c>
      <c r="B5512" s="4" t="s">
        <v>13</v>
      </c>
      <c r="C5512" s="4">
        <v>0.0639</v>
      </c>
      <c r="D5512" s="4">
        <v>0.0067</v>
      </c>
      <c r="E5512" s="4">
        <v>0.0067</v>
      </c>
      <c r="I5512" s="4">
        <v>0.529</v>
      </c>
      <c r="J5512" s="4">
        <v>0.0107</v>
      </c>
      <c r="K5512" s="6" t="b">
        <f t="shared" ref="K5512:M5512" si="5248">FALSE()</f>
        <v>0</v>
      </c>
      <c r="L5512" s="6" t="b">
        <f t="shared" si="5248"/>
        <v>0</v>
      </c>
      <c r="M5512" s="6" t="b">
        <f t="shared" si="5248"/>
        <v>0</v>
      </c>
      <c r="N5512" s="4">
        <v>0.0619414015401833</v>
      </c>
      <c r="P5512" s="4">
        <v>0.424613926946925</v>
      </c>
      <c r="T5512" s="4">
        <f t="shared" si="3"/>
        <v>1343</v>
      </c>
      <c r="U5512" s="4">
        <f t="shared" si="4"/>
        <v>996</v>
      </c>
    </row>
    <row r="5513" ht="15.75" customHeight="1">
      <c r="A5513" s="4" t="s">
        <v>1530</v>
      </c>
      <c r="B5513" s="4" t="s">
        <v>13</v>
      </c>
      <c r="C5513" s="4">
        <v>0.12003</v>
      </c>
      <c r="D5513" s="4">
        <v>0.01029</v>
      </c>
      <c r="E5513" s="4">
        <v>0.01029</v>
      </c>
      <c r="I5513" s="4">
        <v>0.5513</v>
      </c>
      <c r="J5513" s="4">
        <v>0.0134</v>
      </c>
      <c r="K5513" s="6" t="b">
        <f t="shared" ref="K5513:M5513" si="5249">FALSE()</f>
        <v>0</v>
      </c>
      <c r="L5513" s="6" t="b">
        <f t="shared" si="5249"/>
        <v>0</v>
      </c>
      <c r="M5513" s="6" t="b">
        <f t="shared" si="5249"/>
        <v>0</v>
      </c>
      <c r="N5513" s="4">
        <v>0.113355470662558</v>
      </c>
      <c r="P5513" s="4">
        <v>0.439093289088148</v>
      </c>
      <c r="T5513" s="4">
        <f t="shared" si="3"/>
        <v>1228</v>
      </c>
      <c r="U5513" s="4">
        <f t="shared" si="4"/>
        <v>974</v>
      </c>
    </row>
    <row r="5514" ht="15.75" customHeight="1">
      <c r="A5514" s="4" t="s">
        <v>5992</v>
      </c>
      <c r="B5514" s="4" t="s">
        <v>13</v>
      </c>
      <c r="D5514" s="4">
        <v>0.208</v>
      </c>
      <c r="E5514" s="4">
        <v>0.208</v>
      </c>
      <c r="F5514" s="4">
        <v>2.177</v>
      </c>
      <c r="G5514" s="4">
        <v>0.208</v>
      </c>
      <c r="H5514" s="4">
        <v>0.208</v>
      </c>
      <c r="K5514" s="6" t="b">
        <f t="shared" ref="K5514:M5514" si="5250">FALSE()</f>
        <v>0</v>
      </c>
      <c r="L5514" s="6" t="b">
        <f t="shared" si="5250"/>
        <v>0</v>
      </c>
      <c r="M5514" s="6" t="b">
        <f t="shared" si="5250"/>
        <v>0</v>
      </c>
      <c r="O5514" s="4">
        <v>1.15593735528738</v>
      </c>
      <c r="T5514" s="4" t="str">
        <f t="shared" si="3"/>
        <v/>
      </c>
      <c r="U5514" s="4" t="str">
        <f t="shared" si="4"/>
        <v/>
      </c>
    </row>
    <row r="5515" ht="15.75" customHeight="1">
      <c r="A5515" s="4" t="s">
        <v>1531</v>
      </c>
      <c r="B5515" s="4" t="s">
        <v>13</v>
      </c>
      <c r="C5515" s="4">
        <v>0.02051</v>
      </c>
      <c r="D5515" s="4">
        <v>0.0013</v>
      </c>
      <c r="E5515" s="4">
        <v>0.0013</v>
      </c>
      <c r="I5515" s="4">
        <v>0.1579</v>
      </c>
      <c r="J5515" s="4">
        <v>0.00285</v>
      </c>
      <c r="K5515" s="6" t="b">
        <f t="shared" ref="K5515:M5515" si="5251">FALSE()</f>
        <v>0</v>
      </c>
      <c r="L5515" s="6" t="b">
        <f t="shared" si="5251"/>
        <v>0</v>
      </c>
      <c r="M5515" s="6" t="b">
        <f t="shared" si="5251"/>
        <v>0</v>
      </c>
      <c r="N5515" s="4">
        <v>0.0203025023378307</v>
      </c>
      <c r="P5515" s="4">
        <v>0.14660801963609</v>
      </c>
      <c r="T5515" s="4">
        <f t="shared" si="3"/>
        <v>1718</v>
      </c>
      <c r="U5515" s="4">
        <f t="shared" si="4"/>
        <v>3211</v>
      </c>
    </row>
    <row r="5516" ht="15.75" customHeight="1">
      <c r="A5516" s="4" t="s">
        <v>1532</v>
      </c>
      <c r="B5516" s="4" t="s">
        <v>13</v>
      </c>
      <c r="C5516" s="4">
        <v>0.02136</v>
      </c>
      <c r="D5516" s="4">
        <v>0.0035</v>
      </c>
      <c r="E5516" s="4">
        <v>0.0041</v>
      </c>
      <c r="I5516" s="4">
        <v>0.22536</v>
      </c>
      <c r="J5516" s="4">
        <v>0.00669</v>
      </c>
      <c r="K5516" s="6" t="b">
        <f t="shared" ref="K5516:M5516" si="5252">FALSE()</f>
        <v>0</v>
      </c>
      <c r="L5516" s="6" t="b">
        <f t="shared" si="5252"/>
        <v>0</v>
      </c>
      <c r="M5516" s="6" t="b">
        <f t="shared" si="5252"/>
        <v>0</v>
      </c>
      <c r="N5516" s="4">
        <v>0.0211350725299583</v>
      </c>
      <c r="P5516" s="4">
        <v>0.203234678374162</v>
      </c>
      <c r="T5516" s="4">
        <f t="shared" si="3"/>
        <v>1699</v>
      </c>
      <c r="U5516" s="4">
        <f t="shared" si="4"/>
        <v>2183</v>
      </c>
    </row>
    <row r="5517" ht="15.75" customHeight="1">
      <c r="A5517" s="4" t="s">
        <v>1533</v>
      </c>
      <c r="B5517" s="4" t="s">
        <v>13</v>
      </c>
      <c r="C5517" s="4">
        <v>0.00654</v>
      </c>
      <c r="D5517" s="4">
        <v>6.9E-4</v>
      </c>
      <c r="E5517" s="4">
        <v>7.2E-4</v>
      </c>
      <c r="I5517" s="4">
        <v>0.1178</v>
      </c>
      <c r="J5517" s="4">
        <v>0.0107</v>
      </c>
      <c r="K5517" s="6" t="b">
        <f t="shared" ref="K5517:M5517" si="5253">FALSE()</f>
        <v>0</v>
      </c>
      <c r="L5517" s="6" t="b">
        <f t="shared" si="5253"/>
        <v>0</v>
      </c>
      <c r="M5517" s="6" t="b">
        <f t="shared" si="5253"/>
        <v>0</v>
      </c>
      <c r="N5517" s="4">
        <v>0.0065187069871154</v>
      </c>
      <c r="P5517" s="4">
        <v>0.111362467853461</v>
      </c>
      <c r="T5517" s="4">
        <f t="shared" si="3"/>
        <v>1999</v>
      </c>
      <c r="U5517" s="4">
        <f t="shared" si="4"/>
        <v>3923</v>
      </c>
    </row>
    <row r="5518" ht="15.75" customHeight="1">
      <c r="A5518" s="4" t="s">
        <v>1534</v>
      </c>
      <c r="B5518" s="4" t="s">
        <v>13</v>
      </c>
      <c r="C5518" s="4">
        <v>0.02067</v>
      </c>
      <c r="D5518" s="4">
        <v>0.003</v>
      </c>
      <c r="E5518" s="4">
        <v>0.003</v>
      </c>
      <c r="I5518" s="4">
        <v>0.1856</v>
      </c>
      <c r="J5518" s="4">
        <v>0.0143</v>
      </c>
      <c r="K5518" s="6" t="b">
        <f t="shared" ref="K5518:M5518" si="5254">FALSE()</f>
        <v>0</v>
      </c>
      <c r="L5518" s="6" t="b">
        <f t="shared" si="5254"/>
        <v>0</v>
      </c>
      <c r="M5518" s="6" t="b">
        <f t="shared" si="5254"/>
        <v>0</v>
      </c>
      <c r="N5518" s="4">
        <v>0.0204592744013701</v>
      </c>
      <c r="P5518" s="4">
        <v>0.170248975559685</v>
      </c>
      <c r="T5518" s="4">
        <f t="shared" si="3"/>
        <v>1716</v>
      </c>
      <c r="U5518" s="4">
        <f t="shared" si="4"/>
        <v>2819</v>
      </c>
    </row>
    <row r="5519" ht="15.75" customHeight="1">
      <c r="A5519" s="4" t="s">
        <v>1535</v>
      </c>
      <c r="B5519" s="4" t="s">
        <v>13</v>
      </c>
      <c r="C5519" s="4">
        <v>0.73</v>
      </c>
      <c r="D5519" s="4">
        <v>0.14</v>
      </c>
      <c r="E5519" s="4">
        <v>0.14</v>
      </c>
      <c r="I5519" s="4">
        <v>1.164</v>
      </c>
      <c r="J5519" s="4">
        <v>0.025</v>
      </c>
      <c r="K5519" s="6" t="b">
        <f t="shared" ref="K5519:L5519" si="5255">FALSE()</f>
        <v>0</v>
      </c>
      <c r="L5519" s="6" t="b">
        <f t="shared" si="5255"/>
        <v>0</v>
      </c>
      <c r="M5519" s="6" t="b">
        <f t="shared" ref="M5519:M5524" si="5257">TRUE()</f>
        <v>1</v>
      </c>
      <c r="N5519" s="4">
        <v>0.548121408509688</v>
      </c>
      <c r="P5519" s="4">
        <v>0.771958360984235</v>
      </c>
      <c r="T5519" s="4">
        <f t="shared" si="3"/>
        <v>800</v>
      </c>
      <c r="U5519" s="4">
        <f t="shared" si="4"/>
        <v>437</v>
      </c>
    </row>
    <row r="5520" ht="15.75" customHeight="1">
      <c r="A5520" s="4" t="s">
        <v>1537</v>
      </c>
      <c r="B5520" s="4" t="s">
        <v>13</v>
      </c>
      <c r="C5520" s="4">
        <v>2.3</v>
      </c>
      <c r="D5520" s="4">
        <v>0.11</v>
      </c>
      <c r="E5520" s="4">
        <v>0.11</v>
      </c>
      <c r="I5520" s="4">
        <v>1.096</v>
      </c>
      <c r="J5520" s="4">
        <v>0.039</v>
      </c>
      <c r="K5520" s="6" t="b">
        <f t="shared" ref="K5520:L5520" si="5256">FALSE()</f>
        <v>0</v>
      </c>
      <c r="L5520" s="6" t="b">
        <f t="shared" si="5256"/>
        <v>0</v>
      </c>
      <c r="M5520" s="6" t="b">
        <f t="shared" si="5257"/>
        <v>1</v>
      </c>
      <c r="N5520" s="4">
        <v>1.19392246847244</v>
      </c>
      <c r="P5520" s="4">
        <v>0.740030766458796</v>
      </c>
      <c r="T5520" s="4">
        <f t="shared" si="3"/>
        <v>402</v>
      </c>
      <c r="U5520" s="4">
        <f t="shared" si="4"/>
        <v>523</v>
      </c>
    </row>
    <row r="5521" ht="15.75" customHeight="1">
      <c r="A5521" s="4" t="s">
        <v>1538</v>
      </c>
      <c r="B5521" s="4" t="s">
        <v>13</v>
      </c>
      <c r="C5521" s="4">
        <v>1.01</v>
      </c>
      <c r="D5521" s="4">
        <v>0.17</v>
      </c>
      <c r="E5521" s="4">
        <v>0.17</v>
      </c>
      <c r="I5521" s="4">
        <v>1.211</v>
      </c>
      <c r="J5521" s="4">
        <v>0.04</v>
      </c>
      <c r="K5521" s="6" t="b">
        <f t="shared" ref="K5521:L5521" si="5258">FALSE()</f>
        <v>0</v>
      </c>
      <c r="L5521" s="6" t="b">
        <f t="shared" si="5258"/>
        <v>0</v>
      </c>
      <c r="M5521" s="6" t="b">
        <f t="shared" si="5257"/>
        <v>1</v>
      </c>
      <c r="N5521" s="4">
        <v>0.698134722070984</v>
      </c>
      <c r="P5521" s="4">
        <v>0.793444901875309</v>
      </c>
      <c r="T5521" s="4">
        <f t="shared" si="3"/>
        <v>656</v>
      </c>
      <c r="U5521" s="4">
        <f t="shared" si="4"/>
        <v>364</v>
      </c>
    </row>
    <row r="5522" ht="15.75" customHeight="1">
      <c r="A5522" s="4" t="s">
        <v>1539</v>
      </c>
      <c r="B5522" s="4" t="s">
        <v>13</v>
      </c>
      <c r="C5522" s="4">
        <v>0.67</v>
      </c>
      <c r="D5522" s="4">
        <v>0.03</v>
      </c>
      <c r="E5522" s="4">
        <v>0.03</v>
      </c>
      <c r="I5522" s="4">
        <v>1.49</v>
      </c>
      <c r="J5522" s="4">
        <v>0.04</v>
      </c>
      <c r="K5522" s="6" t="b">
        <f t="shared" ref="K5522:L5522" si="5259">FALSE()</f>
        <v>0</v>
      </c>
      <c r="L5522" s="6" t="b">
        <f t="shared" si="5259"/>
        <v>0</v>
      </c>
      <c r="M5522" s="6" t="b">
        <f t="shared" si="5257"/>
        <v>1</v>
      </c>
      <c r="N5522" s="4">
        <v>0.512823626428664</v>
      </c>
      <c r="P5522" s="4">
        <v>0.912282710476616</v>
      </c>
      <c r="T5522" s="4">
        <f t="shared" si="3"/>
        <v>839</v>
      </c>
      <c r="U5522" s="4">
        <f t="shared" si="4"/>
        <v>123</v>
      </c>
    </row>
    <row r="5523" ht="15.75" customHeight="1">
      <c r="A5523" s="4" t="s">
        <v>1540</v>
      </c>
      <c r="B5523" s="4" t="s">
        <v>13</v>
      </c>
      <c r="C5523" s="4">
        <v>0.43</v>
      </c>
      <c r="D5523" s="4">
        <v>0.13</v>
      </c>
      <c r="E5523" s="4">
        <v>0.13</v>
      </c>
      <c r="I5523" s="4">
        <v>1.187</v>
      </c>
      <c r="J5523" s="4">
        <v>0.032</v>
      </c>
      <c r="K5523" s="6" t="b">
        <f t="shared" ref="K5523:L5523" si="5260">FALSE()</f>
        <v>0</v>
      </c>
      <c r="L5523" s="6" t="b">
        <f t="shared" si="5260"/>
        <v>0</v>
      </c>
      <c r="M5523" s="6" t="b">
        <f t="shared" si="5257"/>
        <v>1</v>
      </c>
      <c r="N5523" s="4">
        <v>0.357674444271816</v>
      </c>
      <c r="P5523" s="4">
        <v>0.782530741694631</v>
      </c>
      <c r="T5523" s="4">
        <f t="shared" si="3"/>
        <v>996</v>
      </c>
      <c r="U5523" s="4">
        <f t="shared" si="4"/>
        <v>406</v>
      </c>
    </row>
    <row r="5524" ht="15.75" customHeight="1">
      <c r="A5524" s="4" t="s">
        <v>1541</v>
      </c>
      <c r="B5524" s="4" t="s">
        <v>13</v>
      </c>
      <c r="C5524" s="4">
        <v>1.15</v>
      </c>
      <c r="D5524" s="4">
        <v>0.18</v>
      </c>
      <c r="E5524" s="4">
        <v>0.18</v>
      </c>
      <c r="I5524" s="4">
        <v>1.438</v>
      </c>
      <c r="J5524" s="4">
        <v>0.045</v>
      </c>
      <c r="K5524" s="6" t="b">
        <f t="shared" ref="K5524:L5524" si="5261">FALSE()</f>
        <v>0</v>
      </c>
      <c r="L5524" s="6" t="b">
        <f t="shared" si="5261"/>
        <v>0</v>
      </c>
      <c r="M5524" s="6" t="b">
        <f t="shared" si="5257"/>
        <v>1</v>
      </c>
      <c r="N5524" s="4">
        <v>0.765467842139571</v>
      </c>
      <c r="P5524" s="4">
        <v>0.89117803105908</v>
      </c>
      <c r="T5524" s="4">
        <f t="shared" si="3"/>
        <v>610</v>
      </c>
      <c r="U5524" s="4">
        <f t="shared" si="4"/>
        <v>154</v>
      </c>
    </row>
    <row r="5525" ht="15.75" customHeight="1">
      <c r="A5525" s="4" t="s">
        <v>1543</v>
      </c>
      <c r="B5525" s="4" t="s">
        <v>13</v>
      </c>
      <c r="C5525" s="4">
        <v>6.6</v>
      </c>
      <c r="D5525" s="4">
        <v>2.75</v>
      </c>
      <c r="E5525" s="4">
        <v>5.2</v>
      </c>
      <c r="I5525" s="4">
        <v>0.2168</v>
      </c>
      <c r="J5525" s="4">
        <v>0.0187</v>
      </c>
      <c r="K5525" s="6" t="b">
        <f>TRUE()</f>
        <v>1</v>
      </c>
      <c r="L5525" s="6" t="b">
        <f t="shared" ref="L5525:M5525" si="5262">FALSE()</f>
        <v>0</v>
      </c>
      <c r="M5525" s="6" t="b">
        <f t="shared" si="5262"/>
        <v>0</v>
      </c>
      <c r="N5525" s="4">
        <v>2.02814824729229</v>
      </c>
      <c r="P5525" s="4">
        <v>0.196224461962946</v>
      </c>
      <c r="T5525" s="4">
        <f t="shared" si="3"/>
        <v>145</v>
      </c>
      <c r="U5525" s="4">
        <f t="shared" si="4"/>
        <v>2310</v>
      </c>
    </row>
    <row r="5526" ht="15.75" customHeight="1">
      <c r="A5526" s="4" t="s">
        <v>1544</v>
      </c>
      <c r="B5526" s="4" t="s">
        <v>13</v>
      </c>
      <c r="C5526" s="4">
        <v>2.589</v>
      </c>
      <c r="D5526" s="4">
        <v>0.066</v>
      </c>
      <c r="E5526" s="4">
        <v>0.066</v>
      </c>
      <c r="I5526" s="4">
        <v>1.133</v>
      </c>
      <c r="J5526" s="4">
        <v>0.024</v>
      </c>
      <c r="K5526" s="6" t="b">
        <f t="shared" ref="K5526:L5526" si="5263">FALSE()</f>
        <v>0</v>
      </c>
      <c r="L5526" s="6" t="b">
        <f t="shared" si="5263"/>
        <v>0</v>
      </c>
      <c r="M5526" s="6" t="b">
        <f>TRUE()</f>
        <v>1</v>
      </c>
      <c r="N5526" s="4">
        <v>1.27787361216547</v>
      </c>
      <c r="P5526" s="4">
        <v>0.757529439489214</v>
      </c>
      <c r="T5526" s="4">
        <f t="shared" si="3"/>
        <v>362</v>
      </c>
      <c r="U5526" s="4">
        <f t="shared" si="4"/>
        <v>468</v>
      </c>
    </row>
    <row r="5527" ht="15.75" customHeight="1">
      <c r="A5527" s="4" t="s">
        <v>1545</v>
      </c>
      <c r="B5527" s="4" t="s">
        <v>13</v>
      </c>
      <c r="C5527" s="4">
        <v>0.0444</v>
      </c>
      <c r="D5527" s="4">
        <v>0.0044</v>
      </c>
      <c r="E5527" s="4">
        <v>0.0044</v>
      </c>
      <c r="I5527" s="4">
        <v>0.4541</v>
      </c>
      <c r="J5527" s="4">
        <v>0.0062</v>
      </c>
      <c r="K5527" s="6" t="b">
        <f t="shared" ref="K5527:M5527" si="5264">FALSE()</f>
        <v>0</v>
      </c>
      <c r="L5527" s="6" t="b">
        <f t="shared" si="5264"/>
        <v>0</v>
      </c>
      <c r="M5527" s="6" t="b">
        <f t="shared" si="5264"/>
        <v>0</v>
      </c>
      <c r="N5527" s="4">
        <v>0.0434425578428367</v>
      </c>
      <c r="P5527" s="4">
        <v>0.374387152537303</v>
      </c>
      <c r="T5527" s="4">
        <f t="shared" si="3"/>
        <v>1433</v>
      </c>
      <c r="U5527" s="4">
        <f t="shared" si="4"/>
        <v>1056</v>
      </c>
    </row>
    <row r="5528" ht="15.75" customHeight="1">
      <c r="A5528" s="4" t="s">
        <v>1546</v>
      </c>
      <c r="B5528" s="4" t="s">
        <v>13</v>
      </c>
      <c r="C5528" s="4">
        <v>0.8</v>
      </c>
      <c r="I5528" s="4">
        <v>0.8</v>
      </c>
      <c r="K5528" s="6" t="b">
        <f t="shared" ref="K5528:L5528" si="5265">FALSE()</f>
        <v>0</v>
      </c>
      <c r="L5528" s="6" t="b">
        <f t="shared" si="5265"/>
        <v>0</v>
      </c>
      <c r="M5528" s="6" t="b">
        <f>TRUE()</f>
        <v>1</v>
      </c>
      <c r="N5528" s="4">
        <v>0.587786664902119</v>
      </c>
      <c r="P5528" s="4">
        <v>0.587786664902119</v>
      </c>
      <c r="T5528" s="4">
        <f t="shared" si="3"/>
        <v>771</v>
      </c>
      <c r="U5528" s="4">
        <f t="shared" si="4"/>
        <v>841</v>
      </c>
    </row>
    <row r="5529" ht="15.75" customHeight="1">
      <c r="A5529" s="4" t="s">
        <v>1547</v>
      </c>
      <c r="B5529" s="4" t="s">
        <v>13</v>
      </c>
      <c r="C5529" s="4">
        <v>0.02029</v>
      </c>
      <c r="I5529" s="4">
        <v>0.2159</v>
      </c>
      <c r="J5529" s="4">
        <v>0.0116</v>
      </c>
      <c r="K5529" s="6" t="b">
        <f t="shared" ref="K5529:M5529" si="5266">FALSE()</f>
        <v>0</v>
      </c>
      <c r="L5529" s="6" t="b">
        <f t="shared" si="5266"/>
        <v>0</v>
      </c>
      <c r="M5529" s="6" t="b">
        <f t="shared" si="5266"/>
        <v>0</v>
      </c>
      <c r="N5529" s="4">
        <v>0.0200869006121817</v>
      </c>
      <c r="P5529" s="4">
        <v>0.195484543320236</v>
      </c>
      <c r="T5529" s="4">
        <f t="shared" si="3"/>
        <v>1725</v>
      </c>
      <c r="U5529" s="4">
        <f t="shared" si="4"/>
        <v>2322</v>
      </c>
    </row>
    <row r="5530" ht="15.75" customHeight="1">
      <c r="A5530" s="4" t="s">
        <v>1549</v>
      </c>
      <c r="B5530" s="4" t="s">
        <v>13</v>
      </c>
      <c r="C5530" s="4">
        <v>0.00966</v>
      </c>
      <c r="D5530" s="4">
        <v>0.0011</v>
      </c>
      <c r="E5530" s="4">
        <v>0.0011</v>
      </c>
      <c r="I5530" s="4">
        <v>0.1142</v>
      </c>
      <c r="J5530" s="4">
        <v>0.0036</v>
      </c>
      <c r="K5530" s="6" t="b">
        <f t="shared" ref="K5530:M5530" si="5267">FALSE()</f>
        <v>0</v>
      </c>
      <c r="L5530" s="6" t="b">
        <f t="shared" si="5267"/>
        <v>0</v>
      </c>
      <c r="M5530" s="6" t="b">
        <f t="shared" si="5267"/>
        <v>0</v>
      </c>
      <c r="N5530" s="4">
        <v>0.0096136405159708</v>
      </c>
      <c r="P5530" s="4">
        <v>0.108136658604578</v>
      </c>
      <c r="T5530" s="4">
        <f t="shared" si="3"/>
        <v>1947</v>
      </c>
      <c r="U5530" s="4">
        <f t="shared" si="4"/>
        <v>3977</v>
      </c>
    </row>
    <row r="5531" ht="15.75" customHeight="1">
      <c r="A5531" s="4" t="s">
        <v>5993</v>
      </c>
      <c r="B5531" s="4" t="s">
        <v>13</v>
      </c>
      <c r="C5531" s="4">
        <v>0.00892</v>
      </c>
      <c r="D5531" s="4">
        <v>0.00107</v>
      </c>
      <c r="F5531" s="4">
        <v>0.0089</v>
      </c>
      <c r="G5531" s="4">
        <v>0.00107</v>
      </c>
      <c r="H5531" s="4">
        <v>0.00129</v>
      </c>
      <c r="K5531" s="6" t="b">
        <f t="shared" ref="K5531:M5531" si="5268">FALSE()</f>
        <v>0</v>
      </c>
      <c r="L5531" s="6" t="b">
        <f t="shared" si="5268"/>
        <v>0</v>
      </c>
      <c r="M5531" s="6" t="b">
        <f t="shared" si="5268"/>
        <v>0</v>
      </c>
      <c r="N5531" s="4">
        <v>0.0088804518059371</v>
      </c>
      <c r="O5531" s="4">
        <v>0.0088606284321965</v>
      </c>
      <c r="T5531" s="4">
        <f t="shared" si="3"/>
        <v>1963</v>
      </c>
      <c r="U5531" s="4" t="str">
        <f t="shared" si="4"/>
        <v/>
      </c>
    </row>
    <row r="5532" ht="15.75" customHeight="1">
      <c r="A5532" s="4" t="s">
        <v>1550</v>
      </c>
      <c r="B5532" s="4" t="s">
        <v>13</v>
      </c>
      <c r="C5532" s="4">
        <v>0.0311</v>
      </c>
      <c r="D5532" s="4">
        <v>0.00469</v>
      </c>
      <c r="E5532" s="4">
        <v>0.00481</v>
      </c>
      <c r="I5532" s="4">
        <v>0.2935</v>
      </c>
      <c r="J5532" s="4">
        <v>0.008</v>
      </c>
      <c r="K5532" s="6" t="b">
        <f t="shared" ref="K5532:M5532" si="5269">FALSE()</f>
        <v>0</v>
      </c>
      <c r="L5532" s="6" t="b">
        <f t="shared" si="5269"/>
        <v>0</v>
      </c>
      <c r="M5532" s="6" t="b">
        <f t="shared" si="5269"/>
        <v>0</v>
      </c>
      <c r="N5532" s="4">
        <v>0.0306261935417608</v>
      </c>
      <c r="P5532" s="4">
        <v>0.257351722643947</v>
      </c>
      <c r="T5532" s="4">
        <f t="shared" si="3"/>
        <v>1532</v>
      </c>
      <c r="U5532" s="4">
        <f t="shared" si="4"/>
        <v>1419</v>
      </c>
    </row>
    <row r="5533" ht="15.75" customHeight="1">
      <c r="A5533" s="4" t="s">
        <v>1551</v>
      </c>
      <c r="B5533" s="4" t="s">
        <v>13</v>
      </c>
      <c r="C5533" s="4">
        <v>0.45</v>
      </c>
      <c r="D5533" s="4">
        <v>0.09</v>
      </c>
      <c r="E5533" s="4">
        <v>0.09</v>
      </c>
      <c r="I5533" s="4">
        <v>1.5</v>
      </c>
      <c r="J5533" s="4">
        <v>0.19</v>
      </c>
      <c r="K5533" s="6" t="b">
        <f t="shared" ref="K5533:L5533" si="5270">FALSE()</f>
        <v>0</v>
      </c>
      <c r="L5533" s="6" t="b">
        <f t="shared" si="5270"/>
        <v>0</v>
      </c>
      <c r="M5533" s="6" t="b">
        <f>TRUE()</f>
        <v>1</v>
      </c>
      <c r="N5533" s="4">
        <v>0.371563556432483</v>
      </c>
      <c r="P5533" s="4">
        <v>0.916290731874155</v>
      </c>
      <c r="T5533" s="4">
        <f t="shared" si="3"/>
        <v>984</v>
      </c>
      <c r="U5533" s="4">
        <f t="shared" si="4"/>
        <v>118</v>
      </c>
    </row>
    <row r="5534" ht="15.75" customHeight="1">
      <c r="A5534" s="4" t="s">
        <v>5994</v>
      </c>
      <c r="B5534" s="4" t="s">
        <v>13</v>
      </c>
      <c r="I5534" s="4">
        <v>0.1891</v>
      </c>
      <c r="J5534" s="4">
        <v>0.008</v>
      </c>
      <c r="K5534" s="6" t="b">
        <f t="shared" ref="K5534:M5534" si="5271">FALSE()</f>
        <v>0</v>
      </c>
      <c r="L5534" s="6" t="b">
        <f t="shared" si="5271"/>
        <v>0</v>
      </c>
      <c r="M5534" s="6" t="b">
        <f t="shared" si="5271"/>
        <v>0</v>
      </c>
      <c r="P5534" s="4">
        <v>0.173196718461396</v>
      </c>
      <c r="T5534" s="4" t="str">
        <f t="shared" si="3"/>
        <v/>
      </c>
      <c r="U5534" s="4">
        <f t="shared" si="4"/>
        <v>2749</v>
      </c>
    </row>
    <row r="5535" ht="15.75" customHeight="1">
      <c r="A5535" s="4" t="s">
        <v>5995</v>
      </c>
      <c r="B5535" s="4" t="s">
        <v>13</v>
      </c>
      <c r="I5535" s="4">
        <v>0.20216</v>
      </c>
      <c r="J5535" s="4">
        <v>0.00339</v>
      </c>
      <c r="K5535" s="6" t="b">
        <f t="shared" ref="K5535:M5535" si="5272">FALSE()</f>
        <v>0</v>
      </c>
      <c r="L5535" s="6" t="b">
        <f t="shared" si="5272"/>
        <v>0</v>
      </c>
      <c r="M5535" s="6" t="b">
        <f t="shared" si="5272"/>
        <v>0</v>
      </c>
      <c r="P5535" s="4">
        <v>0.184119938735334</v>
      </c>
      <c r="T5535" s="4" t="str">
        <f t="shared" si="3"/>
        <v/>
      </c>
      <c r="U5535" s="4">
        <f t="shared" si="4"/>
        <v>2547</v>
      </c>
    </row>
    <row r="5536" ht="15.75" customHeight="1">
      <c r="A5536" s="4" t="s">
        <v>5996</v>
      </c>
      <c r="B5536" s="4" t="s">
        <v>13</v>
      </c>
      <c r="I5536" s="4">
        <v>0.21545</v>
      </c>
      <c r="J5536" s="4">
        <v>0.0036</v>
      </c>
      <c r="K5536" s="6" t="b">
        <f t="shared" ref="K5536:M5536" si="5273">FALSE()</f>
        <v>0</v>
      </c>
      <c r="L5536" s="6" t="b">
        <f t="shared" si="5273"/>
        <v>0</v>
      </c>
      <c r="M5536" s="6" t="b">
        <f t="shared" si="5273"/>
        <v>0</v>
      </c>
      <c r="P5536" s="4">
        <v>0.195114378592707</v>
      </c>
      <c r="T5536" s="4" t="str">
        <f t="shared" si="3"/>
        <v/>
      </c>
      <c r="U5536" s="4">
        <f t="shared" si="4"/>
        <v>2325</v>
      </c>
    </row>
    <row r="5537" ht="15.75" customHeight="1">
      <c r="A5537" s="4" t="s">
        <v>5997</v>
      </c>
      <c r="B5537" s="4" t="s">
        <v>13</v>
      </c>
      <c r="I5537" s="4">
        <v>0.1793</v>
      </c>
      <c r="J5537" s="4">
        <v>0.0071</v>
      </c>
      <c r="K5537" s="6" t="b">
        <f t="shared" ref="K5537:M5537" si="5274">FALSE()</f>
        <v>0</v>
      </c>
      <c r="L5537" s="6" t="b">
        <f t="shared" si="5274"/>
        <v>0</v>
      </c>
      <c r="M5537" s="6" t="b">
        <f t="shared" si="5274"/>
        <v>0</v>
      </c>
      <c r="P5537" s="4">
        <v>0.164921042113787</v>
      </c>
      <c r="T5537" s="4" t="str">
        <f t="shared" si="3"/>
        <v/>
      </c>
      <c r="U5537" s="4">
        <f t="shared" si="4"/>
        <v>2893</v>
      </c>
    </row>
    <row r="5538" ht="15.75" customHeight="1">
      <c r="A5538" s="4" t="s">
        <v>1552</v>
      </c>
      <c r="B5538" s="4" t="s">
        <v>13</v>
      </c>
      <c r="C5538" s="4">
        <v>0.957</v>
      </c>
      <c r="D5538" s="4">
        <v>0.09</v>
      </c>
      <c r="E5538" s="4">
        <v>0.09</v>
      </c>
      <c r="I5538" s="4">
        <v>1.35</v>
      </c>
      <c r="J5538" s="4">
        <v>0.08</v>
      </c>
      <c r="K5538" s="6" t="b">
        <f t="shared" ref="K5538:L5538" si="5275">FALSE()</f>
        <v>0</v>
      </c>
      <c r="L5538" s="6" t="b">
        <f t="shared" si="5275"/>
        <v>0</v>
      </c>
      <c r="M5538" s="6" t="b">
        <f t="shared" ref="M5538:M5540" si="5277">TRUE()</f>
        <v>1</v>
      </c>
      <c r="N5538" s="4">
        <v>0.671412688413939</v>
      </c>
      <c r="P5538" s="4">
        <v>0.854415328156068</v>
      </c>
      <c r="T5538" s="4">
        <f t="shared" si="3"/>
        <v>684</v>
      </c>
      <c r="U5538" s="4">
        <f t="shared" si="4"/>
        <v>210</v>
      </c>
    </row>
    <row r="5539" ht="15.75" customHeight="1">
      <c r="A5539" s="4" t="s">
        <v>1553</v>
      </c>
      <c r="B5539" s="4" t="s">
        <v>13</v>
      </c>
      <c r="C5539" s="4">
        <v>1.113</v>
      </c>
      <c r="D5539" s="4">
        <v>0.071</v>
      </c>
      <c r="E5539" s="4">
        <v>0.071</v>
      </c>
      <c r="I5539" s="4">
        <v>1.489</v>
      </c>
      <c r="J5539" s="4">
        <v>0.079</v>
      </c>
      <c r="K5539" s="6" t="b">
        <f t="shared" ref="K5539:L5539" si="5276">FALSE()</f>
        <v>0</v>
      </c>
      <c r="L5539" s="6" t="b">
        <f t="shared" si="5276"/>
        <v>0</v>
      </c>
      <c r="M5539" s="6" t="b">
        <f t="shared" si="5277"/>
        <v>1</v>
      </c>
      <c r="N5539" s="4">
        <v>0.74810873863392</v>
      </c>
      <c r="P5539" s="4">
        <v>0.911881023385455</v>
      </c>
      <c r="T5539" s="4">
        <f t="shared" si="3"/>
        <v>619</v>
      </c>
      <c r="U5539" s="4">
        <f t="shared" si="4"/>
        <v>126</v>
      </c>
    </row>
    <row r="5540" ht="15.75" customHeight="1">
      <c r="A5540" s="4" t="s">
        <v>1555</v>
      </c>
      <c r="B5540" s="4" t="s">
        <v>13</v>
      </c>
      <c r="C5540" s="4">
        <v>0.3</v>
      </c>
      <c r="D5540" s="4">
        <v>0.03</v>
      </c>
      <c r="E5540" s="4">
        <v>0.03</v>
      </c>
      <c r="I5540" s="4">
        <v>1.0</v>
      </c>
      <c r="J5540" s="4">
        <v>0.02</v>
      </c>
      <c r="K5540" s="6" t="b">
        <f t="shared" ref="K5540:L5540" si="5278">FALSE()</f>
        <v>0</v>
      </c>
      <c r="L5540" s="6" t="b">
        <f t="shared" si="5278"/>
        <v>0</v>
      </c>
      <c r="M5540" s="6" t="b">
        <f t="shared" si="5277"/>
        <v>1</v>
      </c>
      <c r="N5540" s="4">
        <v>0.262364264467491</v>
      </c>
      <c r="P5540" s="4">
        <v>0.693147180559945</v>
      </c>
      <c r="T5540" s="4">
        <f t="shared" si="3"/>
        <v>1069</v>
      </c>
      <c r="U5540" s="4">
        <f t="shared" si="4"/>
        <v>674</v>
      </c>
    </row>
    <row r="5541" ht="15.75" customHeight="1">
      <c r="A5541" s="4" t="s">
        <v>5998</v>
      </c>
      <c r="B5541" s="4" t="s">
        <v>13</v>
      </c>
      <c r="I5541" s="4">
        <v>0.6495</v>
      </c>
      <c r="J5541" s="4">
        <v>0.018</v>
      </c>
      <c r="K5541" s="6" t="b">
        <f t="shared" ref="K5541:M5541" si="5279">FALSE()</f>
        <v>0</v>
      </c>
      <c r="L5541" s="6" t="b">
        <f t="shared" si="5279"/>
        <v>0</v>
      </c>
      <c r="M5541" s="6" t="b">
        <f t="shared" si="5279"/>
        <v>0</v>
      </c>
      <c r="P5541" s="4">
        <v>0.500472211686499</v>
      </c>
      <c r="T5541" s="4" t="str">
        <f t="shared" si="3"/>
        <v/>
      </c>
      <c r="U5541" s="4">
        <f t="shared" si="4"/>
        <v>915</v>
      </c>
    </row>
    <row r="5542" ht="15.75" customHeight="1">
      <c r="A5542" s="4" t="s">
        <v>1556</v>
      </c>
      <c r="B5542" s="4" t="s">
        <v>13</v>
      </c>
      <c r="C5542" s="4">
        <v>0.017</v>
      </c>
      <c r="D5542" s="4">
        <v>0.0035</v>
      </c>
      <c r="E5542" s="4">
        <v>0.0035</v>
      </c>
      <c r="I5542" s="4">
        <v>0.2248</v>
      </c>
      <c r="J5542" s="4">
        <v>0.0116</v>
      </c>
      <c r="K5542" s="6" t="b">
        <f t="shared" ref="K5542:M5542" si="5280">FALSE()</f>
        <v>0</v>
      </c>
      <c r="L5542" s="6" t="b">
        <f t="shared" si="5280"/>
        <v>0</v>
      </c>
      <c r="M5542" s="6" t="b">
        <f t="shared" si="5280"/>
        <v>0</v>
      </c>
      <c r="N5542" s="4">
        <v>0.0168571170664229</v>
      </c>
      <c r="P5542" s="4">
        <v>0.202777565361337</v>
      </c>
      <c r="T5542" s="4">
        <f t="shared" si="3"/>
        <v>1792</v>
      </c>
      <c r="U5542" s="4">
        <f t="shared" si="4"/>
        <v>2193</v>
      </c>
    </row>
    <row r="5543" ht="15.75" customHeight="1">
      <c r="A5543" s="4" t="s">
        <v>5999</v>
      </c>
      <c r="B5543" s="4" t="s">
        <v>13</v>
      </c>
      <c r="I5543" s="4">
        <v>0.152</v>
      </c>
      <c r="J5543" s="4">
        <v>0.009</v>
      </c>
      <c r="K5543" s="6" t="b">
        <f t="shared" ref="K5543:M5543" si="5281">FALSE()</f>
        <v>0</v>
      </c>
      <c r="L5543" s="6" t="b">
        <f t="shared" si="5281"/>
        <v>0</v>
      </c>
      <c r="M5543" s="6" t="b">
        <f t="shared" si="5281"/>
        <v>0</v>
      </c>
      <c r="P5543" s="4">
        <v>0.1414995622737</v>
      </c>
      <c r="T5543" s="4" t="str">
        <f t="shared" si="3"/>
        <v/>
      </c>
      <c r="U5543" s="4">
        <f t="shared" si="4"/>
        <v>3302</v>
      </c>
    </row>
    <row r="5544" ht="15.75" customHeight="1">
      <c r="A5544" s="4" t="s">
        <v>6000</v>
      </c>
      <c r="B5544" s="4" t="s">
        <v>13</v>
      </c>
      <c r="I5544" s="4">
        <v>0.2471</v>
      </c>
      <c r="J5544" s="4">
        <v>0.018</v>
      </c>
      <c r="K5544" s="6" t="b">
        <f t="shared" ref="K5544:M5544" si="5282">FALSE()</f>
        <v>0</v>
      </c>
      <c r="L5544" s="6" t="b">
        <f t="shared" si="5282"/>
        <v>0</v>
      </c>
      <c r="M5544" s="6" t="b">
        <f t="shared" si="5282"/>
        <v>0</v>
      </c>
      <c r="P5544" s="4">
        <v>0.220820855944564</v>
      </c>
      <c r="T5544" s="4" t="str">
        <f t="shared" si="3"/>
        <v/>
      </c>
      <c r="U5544" s="4">
        <f t="shared" si="4"/>
        <v>1847</v>
      </c>
    </row>
    <row r="5545" ht="15.75" customHeight="1">
      <c r="A5545" s="4" t="s">
        <v>1557</v>
      </c>
      <c r="B5545" s="4" t="s">
        <v>13</v>
      </c>
      <c r="C5545" s="4">
        <v>0.794</v>
      </c>
      <c r="D5545" s="4">
        <v>0.04</v>
      </c>
      <c r="E5545" s="4">
        <v>0.04</v>
      </c>
      <c r="I5545" s="4">
        <v>1.183</v>
      </c>
      <c r="J5545" s="4">
        <v>0.045</v>
      </c>
      <c r="K5545" s="6" t="b">
        <f t="shared" ref="K5545:L5545" si="5283">FALSE()</f>
        <v>0</v>
      </c>
      <c r="L5545" s="6" t="b">
        <f t="shared" si="5283"/>
        <v>0</v>
      </c>
      <c r="M5545" s="6" t="b">
        <f t="shared" ref="M5545:M5547" si="5284">TRUE()</f>
        <v>1</v>
      </c>
      <c r="N5545" s="4">
        <v>0.584447763636604</v>
      </c>
      <c r="P5545" s="4">
        <v>0.780700077567807</v>
      </c>
      <c r="T5545" s="4">
        <f t="shared" si="3"/>
        <v>777</v>
      </c>
      <c r="U5545" s="4">
        <f t="shared" si="4"/>
        <v>410</v>
      </c>
    </row>
    <row r="5546" ht="15.75" customHeight="1">
      <c r="A5546" s="4" t="s">
        <v>1558</v>
      </c>
      <c r="B5546" s="4" t="s">
        <v>13</v>
      </c>
      <c r="C5546" s="4">
        <v>5.9</v>
      </c>
      <c r="I5546" s="4">
        <v>1.2</v>
      </c>
      <c r="K5546" s="6" t="b">
        <f>TRUE()</f>
        <v>1</v>
      </c>
      <c r="L5546" s="6" t="b">
        <f>FALSE()</f>
        <v>0</v>
      </c>
      <c r="M5546" s="6" t="b">
        <f t="shared" si="5284"/>
        <v>1</v>
      </c>
      <c r="N5546" s="4">
        <v>1.93152141160321</v>
      </c>
      <c r="P5546" s="4">
        <v>0.78845736036427</v>
      </c>
      <c r="T5546" s="4">
        <f t="shared" si="3"/>
        <v>175</v>
      </c>
      <c r="U5546" s="4">
        <f t="shared" si="4"/>
        <v>387</v>
      </c>
    </row>
    <row r="5547" ht="15.75" customHeight="1">
      <c r="A5547" s="4" t="s">
        <v>6001</v>
      </c>
      <c r="B5547" s="4" t="s">
        <v>13</v>
      </c>
      <c r="I5547" s="4">
        <v>1.0197</v>
      </c>
      <c r="J5547" s="4">
        <v>0.0517</v>
      </c>
      <c r="K5547" s="6" t="b">
        <f t="shared" ref="K5547:L5547" si="5285">FALSE()</f>
        <v>0</v>
      </c>
      <c r="L5547" s="6" t="b">
        <f t="shared" si="5285"/>
        <v>0</v>
      </c>
      <c r="M5547" s="6" t="b">
        <f t="shared" si="5284"/>
        <v>1</v>
      </c>
      <c r="P5547" s="4">
        <v>0.702948985532206</v>
      </c>
      <c r="T5547" s="4" t="str">
        <f t="shared" si="3"/>
        <v/>
      </c>
      <c r="U5547" s="4">
        <f t="shared" si="4"/>
        <v>645</v>
      </c>
    </row>
    <row r="5548" ht="15.75" customHeight="1">
      <c r="A5548" s="4" t="s">
        <v>6002</v>
      </c>
      <c r="B5548" s="4" t="s">
        <v>13</v>
      </c>
      <c r="I5548" s="4">
        <v>0.2873</v>
      </c>
      <c r="J5548" s="4">
        <v>0.0232</v>
      </c>
      <c r="K5548" s="6" t="b">
        <f t="shared" ref="K5548:M5548" si="5286">FALSE()</f>
        <v>0</v>
      </c>
      <c r="L5548" s="6" t="b">
        <f t="shared" si="5286"/>
        <v>0</v>
      </c>
      <c r="M5548" s="6" t="b">
        <f t="shared" si="5286"/>
        <v>0</v>
      </c>
      <c r="P5548" s="4">
        <v>0.252547001683452</v>
      </c>
      <c r="T5548" s="4" t="str">
        <f t="shared" si="3"/>
        <v/>
      </c>
      <c r="U5548" s="4">
        <f t="shared" si="4"/>
        <v>1451</v>
      </c>
    </row>
    <row r="5549" ht="15.75" customHeight="1">
      <c r="A5549" s="4" t="s">
        <v>1559</v>
      </c>
      <c r="B5549" s="4" t="s">
        <v>13</v>
      </c>
      <c r="C5549" s="4">
        <v>0.0261</v>
      </c>
      <c r="D5549" s="4">
        <v>0.025</v>
      </c>
      <c r="E5549" s="4">
        <v>0.013</v>
      </c>
      <c r="I5549" s="4">
        <v>0.2516</v>
      </c>
      <c r="J5549" s="4">
        <v>0.058</v>
      </c>
      <c r="K5549" s="6" t="b">
        <f t="shared" ref="K5549:M5549" si="5287">FALSE()</f>
        <v>0</v>
      </c>
      <c r="L5549" s="6" t="b">
        <f t="shared" si="5287"/>
        <v>0</v>
      </c>
      <c r="M5549" s="6" t="b">
        <f t="shared" si="5287"/>
        <v>0</v>
      </c>
      <c r="N5549" s="4">
        <v>0.0257652078860264</v>
      </c>
      <c r="P5549" s="4">
        <v>0.22442273281259</v>
      </c>
      <c r="T5549" s="4">
        <f t="shared" si="3"/>
        <v>1619</v>
      </c>
      <c r="U5549" s="4">
        <f t="shared" si="4"/>
        <v>1792</v>
      </c>
    </row>
    <row r="5550" ht="15.75" customHeight="1">
      <c r="A5550" s="4" t="s">
        <v>1560</v>
      </c>
      <c r="B5550" s="4" t="s">
        <v>13</v>
      </c>
      <c r="C5550" s="4">
        <v>0.006</v>
      </c>
      <c r="D5550" s="4">
        <v>5.3E-4</v>
      </c>
      <c r="E5550" s="4">
        <v>5.3E-4</v>
      </c>
      <c r="I5550" s="4">
        <v>0.11874</v>
      </c>
      <c r="J5550" s="4">
        <v>0.00205</v>
      </c>
      <c r="K5550" s="6" t="b">
        <f t="shared" ref="K5550:M5550" si="5288">FALSE()</f>
        <v>0</v>
      </c>
      <c r="L5550" s="6" t="b">
        <f t="shared" si="5288"/>
        <v>0</v>
      </c>
      <c r="M5550" s="6" t="b">
        <f t="shared" si="5288"/>
        <v>0</v>
      </c>
      <c r="N5550" s="4">
        <v>0.0059820716775474</v>
      </c>
      <c r="P5550" s="4">
        <v>0.112203052019493</v>
      </c>
      <c r="T5550" s="4">
        <f t="shared" si="3"/>
        <v>2014</v>
      </c>
      <c r="U5550" s="4">
        <f t="shared" si="4"/>
        <v>3897</v>
      </c>
    </row>
    <row r="5551" ht="15.75" customHeight="1">
      <c r="A5551" s="4" t="s">
        <v>6003</v>
      </c>
      <c r="B5551" s="4" t="s">
        <v>13</v>
      </c>
      <c r="D5551" s="4">
        <v>9.0E-4</v>
      </c>
      <c r="E5551" s="4">
        <v>9.0E-4</v>
      </c>
      <c r="F5551" s="4">
        <v>0.0182</v>
      </c>
      <c r="G5551" s="4">
        <v>9.0E-4</v>
      </c>
      <c r="H5551" s="4">
        <v>9.0E-4</v>
      </c>
      <c r="K5551" s="6" t="b">
        <f t="shared" ref="K5551:M5551" si="5289">FALSE()</f>
        <v>0</v>
      </c>
      <c r="L5551" s="6" t="b">
        <f t="shared" si="5289"/>
        <v>0</v>
      </c>
      <c r="M5551" s="6" t="b">
        <f t="shared" si="5289"/>
        <v>0</v>
      </c>
      <c r="O5551" s="4">
        <v>0.0180363624860985</v>
      </c>
      <c r="T5551" s="4" t="str">
        <f t="shared" si="3"/>
        <v/>
      </c>
      <c r="U5551" s="4" t="str">
        <f t="shared" si="4"/>
        <v/>
      </c>
    </row>
    <row r="5552" ht="15.75" customHeight="1">
      <c r="A5552" s="4" t="s">
        <v>6004</v>
      </c>
      <c r="B5552" s="4" t="s">
        <v>13</v>
      </c>
      <c r="I5552" s="4">
        <v>0.3238</v>
      </c>
      <c r="J5552" s="4">
        <v>0.018</v>
      </c>
      <c r="K5552" s="6" t="b">
        <f t="shared" ref="K5552:M5552" si="5290">FALSE()</f>
        <v>0</v>
      </c>
      <c r="L5552" s="6" t="b">
        <f t="shared" si="5290"/>
        <v>0</v>
      </c>
      <c r="M5552" s="6" t="b">
        <f t="shared" si="5290"/>
        <v>0</v>
      </c>
      <c r="P5552" s="4">
        <v>0.280506388702685</v>
      </c>
      <c r="T5552" s="4" t="str">
        <f t="shared" si="3"/>
        <v/>
      </c>
      <c r="U5552" s="4">
        <f t="shared" si="4"/>
        <v>1287</v>
      </c>
    </row>
    <row r="5553" ht="15.75" customHeight="1">
      <c r="A5553" s="4" t="s">
        <v>6005</v>
      </c>
      <c r="B5553" s="4" t="s">
        <v>13</v>
      </c>
      <c r="I5553" s="4">
        <v>0.24</v>
      </c>
      <c r="J5553" s="4">
        <v>0.018</v>
      </c>
      <c r="K5553" s="6" t="b">
        <f t="shared" ref="K5553:M5553" si="5291">FALSE()</f>
        <v>0</v>
      </c>
      <c r="L5553" s="6" t="b">
        <f t="shared" si="5291"/>
        <v>0</v>
      </c>
      <c r="M5553" s="6" t="b">
        <f t="shared" si="5291"/>
        <v>0</v>
      </c>
      <c r="P5553" s="4">
        <v>0.215111379616946</v>
      </c>
      <c r="T5553" s="4" t="str">
        <f t="shared" si="3"/>
        <v/>
      </c>
      <c r="U5553" s="4">
        <f t="shared" si="4"/>
        <v>1955</v>
      </c>
    </row>
    <row r="5554" ht="15.75" customHeight="1">
      <c r="A5554" s="4" t="s">
        <v>6006</v>
      </c>
      <c r="B5554" s="4" t="s">
        <v>13</v>
      </c>
      <c r="I5554" s="4">
        <v>0.96</v>
      </c>
      <c r="J5554" s="4">
        <v>0.05</v>
      </c>
      <c r="K5554" s="6" t="b">
        <f t="shared" ref="K5554:L5554" si="5292">FALSE()</f>
        <v>0</v>
      </c>
      <c r="L5554" s="6" t="b">
        <f t="shared" si="5292"/>
        <v>0</v>
      </c>
      <c r="M5554" s="6" t="b">
        <f t="shared" ref="M5554:M5555" si="5294">TRUE()</f>
        <v>1</v>
      </c>
      <c r="P5554" s="4">
        <v>0.672944473242426</v>
      </c>
      <c r="T5554" s="4" t="str">
        <f t="shared" si="3"/>
        <v/>
      </c>
      <c r="U5554" s="4">
        <f t="shared" si="4"/>
        <v>717</v>
      </c>
    </row>
    <row r="5555" ht="15.75" customHeight="1">
      <c r="A5555" s="4" t="s">
        <v>1561</v>
      </c>
      <c r="B5555" s="4" t="s">
        <v>13</v>
      </c>
      <c r="C5555" s="4">
        <v>2.0</v>
      </c>
      <c r="D5555" s="4">
        <v>0.05</v>
      </c>
      <c r="E5555" s="4">
        <v>0.05</v>
      </c>
      <c r="I5555" s="4">
        <v>1.09</v>
      </c>
      <c r="J5555" s="4">
        <v>0.04</v>
      </c>
      <c r="K5555" s="6" t="b">
        <f t="shared" ref="K5555:L5555" si="5293">FALSE()</f>
        <v>0</v>
      </c>
      <c r="L5555" s="6" t="b">
        <f t="shared" si="5293"/>
        <v>0</v>
      </c>
      <c r="M5555" s="6" t="b">
        <f t="shared" si="5294"/>
        <v>1</v>
      </c>
      <c r="N5555" s="4">
        <v>1.09861228866811</v>
      </c>
      <c r="P5555" s="4">
        <v>0.73716406597672</v>
      </c>
      <c r="T5555" s="4">
        <f t="shared" si="3"/>
        <v>441</v>
      </c>
      <c r="U5555" s="4">
        <f t="shared" si="4"/>
        <v>538</v>
      </c>
    </row>
    <row r="5556" ht="15.75" customHeight="1">
      <c r="A5556" s="4" t="s">
        <v>6007</v>
      </c>
      <c r="B5556" s="4" t="s">
        <v>13</v>
      </c>
      <c r="I5556" s="4">
        <v>0.16879</v>
      </c>
      <c r="J5556" s="4">
        <v>0.00839</v>
      </c>
      <c r="K5556" s="6" t="b">
        <f t="shared" ref="K5556:M5556" si="5295">FALSE()</f>
        <v>0</v>
      </c>
      <c r="L5556" s="6" t="b">
        <f t="shared" si="5295"/>
        <v>0</v>
      </c>
      <c r="M5556" s="6" t="b">
        <f t="shared" si="5295"/>
        <v>0</v>
      </c>
      <c r="P5556" s="4">
        <v>0.155969025634042</v>
      </c>
      <c r="T5556" s="4" t="str">
        <f t="shared" si="3"/>
        <v/>
      </c>
      <c r="U5556" s="4">
        <f t="shared" si="4"/>
        <v>3068</v>
      </c>
    </row>
    <row r="5557" ht="15.75" customHeight="1">
      <c r="A5557" s="4" t="s">
        <v>6008</v>
      </c>
      <c r="B5557" s="4" t="s">
        <v>13</v>
      </c>
      <c r="I5557" s="4">
        <v>0.2748</v>
      </c>
      <c r="J5557" s="4">
        <v>0.0125</v>
      </c>
      <c r="K5557" s="6" t="b">
        <f t="shared" ref="K5557:M5557" si="5296">FALSE()</f>
        <v>0</v>
      </c>
      <c r="L5557" s="6" t="b">
        <f t="shared" si="5296"/>
        <v>0</v>
      </c>
      <c r="M5557" s="6" t="b">
        <f t="shared" si="5296"/>
        <v>0</v>
      </c>
      <c r="P5557" s="4">
        <v>0.242789303561044</v>
      </c>
      <c r="T5557" s="4" t="str">
        <f t="shared" si="3"/>
        <v/>
      </c>
      <c r="U5557" s="4">
        <f t="shared" si="4"/>
        <v>1547</v>
      </c>
    </row>
    <row r="5558" ht="15.75" customHeight="1">
      <c r="A5558" s="4" t="s">
        <v>6009</v>
      </c>
      <c r="B5558" s="4" t="s">
        <v>13</v>
      </c>
      <c r="I5558" s="4">
        <v>0.3631</v>
      </c>
      <c r="J5558" s="4">
        <v>0.0134</v>
      </c>
      <c r="K5558" s="6" t="b">
        <f t="shared" ref="K5558:M5558" si="5297">FALSE()</f>
        <v>0</v>
      </c>
      <c r="L5558" s="6" t="b">
        <f t="shared" si="5297"/>
        <v>0</v>
      </c>
      <c r="M5558" s="6" t="b">
        <f t="shared" si="5297"/>
        <v>0</v>
      </c>
      <c r="P5558" s="4">
        <v>0.30976151759466</v>
      </c>
      <c r="T5558" s="4" t="str">
        <f t="shared" si="3"/>
        <v/>
      </c>
      <c r="U5558" s="4">
        <f t="shared" si="4"/>
        <v>1176</v>
      </c>
    </row>
    <row r="5559" ht="15.75" customHeight="1">
      <c r="A5559" s="4" t="s">
        <v>6010</v>
      </c>
      <c r="B5559" s="4" t="s">
        <v>13</v>
      </c>
      <c r="I5559" s="4">
        <v>0.08</v>
      </c>
      <c r="J5559" s="4">
        <v>0.08</v>
      </c>
      <c r="K5559" s="6" t="b">
        <f t="shared" ref="K5559:M5559" si="5298">FALSE()</f>
        <v>0</v>
      </c>
      <c r="L5559" s="6" t="b">
        <f t="shared" si="5298"/>
        <v>0</v>
      </c>
      <c r="M5559" s="6" t="b">
        <f t="shared" si="5298"/>
        <v>0</v>
      </c>
      <c r="P5559" s="4">
        <v>0.0769610411361283</v>
      </c>
      <c r="T5559" s="4" t="str">
        <f t="shared" si="3"/>
        <v/>
      </c>
      <c r="U5559" s="4">
        <f t="shared" si="4"/>
        <v>4413</v>
      </c>
    </row>
    <row r="5560" ht="15.75" customHeight="1">
      <c r="A5560" s="4" t="s">
        <v>1563</v>
      </c>
      <c r="B5560" s="4" t="s">
        <v>13</v>
      </c>
      <c r="C5560" s="4">
        <v>1.49</v>
      </c>
      <c r="D5560" s="4">
        <v>0.13</v>
      </c>
      <c r="E5560" s="4">
        <v>0.13</v>
      </c>
      <c r="I5560" s="4">
        <v>1.06</v>
      </c>
      <c r="J5560" s="4">
        <v>0.06</v>
      </c>
      <c r="K5560" s="6" t="b">
        <f t="shared" ref="K5560:L5560" si="5299">FALSE()</f>
        <v>0</v>
      </c>
      <c r="L5560" s="6" t="b">
        <f t="shared" si="5299"/>
        <v>0</v>
      </c>
      <c r="M5560" s="6" t="b">
        <f>TRUE()</f>
        <v>1</v>
      </c>
      <c r="N5560" s="4">
        <v>0.912282710476616</v>
      </c>
      <c r="P5560" s="4">
        <v>0.72270598280149</v>
      </c>
      <c r="T5560" s="4">
        <f t="shared" si="3"/>
        <v>512</v>
      </c>
      <c r="U5560" s="4">
        <f t="shared" si="4"/>
        <v>593</v>
      </c>
    </row>
    <row r="5561" ht="15.75" customHeight="1">
      <c r="A5561" s="4" t="s">
        <v>1564</v>
      </c>
      <c r="B5561" s="4" t="s">
        <v>13</v>
      </c>
      <c r="C5561" s="4">
        <v>0.0085</v>
      </c>
      <c r="D5561" s="4">
        <v>0.003</v>
      </c>
      <c r="E5561" s="4">
        <v>0.006</v>
      </c>
      <c r="I5561" s="4">
        <v>0.12624</v>
      </c>
      <c r="J5561" s="4">
        <v>0.0098</v>
      </c>
      <c r="K5561" s="6" t="b">
        <f t="shared" ref="K5561:M5561" si="5300">FALSE()</f>
        <v>0</v>
      </c>
      <c r="L5561" s="6" t="b">
        <f t="shared" si="5300"/>
        <v>0</v>
      </c>
      <c r="M5561" s="6" t="b">
        <f t="shared" si="5300"/>
        <v>0</v>
      </c>
      <c r="N5561" s="4">
        <v>0.0084640784121294</v>
      </c>
      <c r="P5561" s="4">
        <v>0.118884650877684</v>
      </c>
      <c r="T5561" s="4">
        <f t="shared" si="3"/>
        <v>1968</v>
      </c>
      <c r="U5561" s="4">
        <f t="shared" si="4"/>
        <v>3758</v>
      </c>
    </row>
    <row r="5562" ht="15.75" customHeight="1">
      <c r="A5562" s="4" t="s">
        <v>1565</v>
      </c>
      <c r="B5562" s="4" t="s">
        <v>13</v>
      </c>
      <c r="C5562" s="4">
        <v>3.29</v>
      </c>
      <c r="D5562" s="4">
        <v>0.8</v>
      </c>
      <c r="E5562" s="4">
        <v>1.9</v>
      </c>
      <c r="I5562" s="4">
        <v>1.072</v>
      </c>
      <c r="J5562" s="4">
        <v>0.044</v>
      </c>
      <c r="K5562" s="6" t="b">
        <f t="shared" ref="K5562:L5562" si="5301">FALSE()</f>
        <v>0</v>
      </c>
      <c r="L5562" s="6" t="b">
        <f t="shared" si="5301"/>
        <v>0</v>
      </c>
      <c r="M5562" s="6" t="b">
        <f>TRUE()</f>
        <v>1</v>
      </c>
      <c r="N5562" s="4">
        <v>1.45628673293993</v>
      </c>
      <c r="P5562" s="4">
        <v>0.728514324397237</v>
      </c>
      <c r="T5562" s="4">
        <f t="shared" si="3"/>
        <v>303</v>
      </c>
      <c r="U5562" s="4">
        <f t="shared" si="4"/>
        <v>567</v>
      </c>
    </row>
    <row r="5563" ht="15.75" customHeight="1">
      <c r="A5563" s="4" t="s">
        <v>6011</v>
      </c>
      <c r="B5563" s="4" t="s">
        <v>13</v>
      </c>
      <c r="C5563" s="4">
        <v>5.77</v>
      </c>
      <c r="D5563" s="4">
        <v>0.56</v>
      </c>
      <c r="E5563" s="4">
        <v>0.37</v>
      </c>
      <c r="K5563" s="6" t="b">
        <f>TRUE()</f>
        <v>1</v>
      </c>
      <c r="L5563" s="6" t="b">
        <f t="shared" ref="L5563:M5563" si="5302">FALSE()</f>
        <v>0</v>
      </c>
      <c r="M5563" s="6" t="b">
        <f t="shared" si="5302"/>
        <v>0</v>
      </c>
      <c r="N5563" s="4">
        <v>1.91250108692418</v>
      </c>
      <c r="T5563" s="4">
        <f t="shared" si="3"/>
        <v>182</v>
      </c>
      <c r="U5563" s="4" t="str">
        <f t="shared" si="4"/>
        <v/>
      </c>
    </row>
    <row r="5564" ht="15.75" customHeight="1">
      <c r="A5564" s="4" t="s">
        <v>1566</v>
      </c>
      <c r="B5564" s="4" t="s">
        <v>13</v>
      </c>
      <c r="C5564" s="4">
        <v>0.53</v>
      </c>
      <c r="D5564" s="4">
        <v>0.05</v>
      </c>
      <c r="E5564" s="4">
        <v>0.05</v>
      </c>
      <c r="I5564" s="4">
        <v>0.94</v>
      </c>
      <c r="J5564" s="4">
        <v>0.12</v>
      </c>
      <c r="K5564" s="6" t="b">
        <f t="shared" ref="K5564:L5564" si="5303">FALSE()</f>
        <v>0</v>
      </c>
      <c r="L5564" s="6" t="b">
        <f t="shared" si="5303"/>
        <v>0</v>
      </c>
      <c r="M5564" s="6" t="b">
        <f>TRUE()</f>
        <v>1</v>
      </c>
      <c r="N5564" s="4">
        <v>0.425267735404344</v>
      </c>
      <c r="P5564" s="4">
        <v>0.662687973075237</v>
      </c>
      <c r="T5564" s="4">
        <f t="shared" si="3"/>
        <v>934</v>
      </c>
      <c r="U5564" s="4">
        <f t="shared" si="4"/>
        <v>739</v>
      </c>
    </row>
    <row r="5565" ht="15.75" customHeight="1">
      <c r="A5565" s="4" t="s">
        <v>6012</v>
      </c>
      <c r="B5565" s="4" t="s">
        <v>13</v>
      </c>
      <c r="I5565" s="4">
        <v>0.607</v>
      </c>
      <c r="J5565" s="4">
        <v>0.027</v>
      </c>
      <c r="K5565" s="6" t="b">
        <f t="shared" ref="K5565:M5565" si="5304">FALSE()</f>
        <v>0</v>
      </c>
      <c r="L5565" s="6" t="b">
        <f t="shared" si="5304"/>
        <v>0</v>
      </c>
      <c r="M5565" s="6" t="b">
        <f t="shared" si="5304"/>
        <v>0</v>
      </c>
      <c r="P5565" s="4">
        <v>0.474369086755376</v>
      </c>
      <c r="T5565" s="4" t="str">
        <f t="shared" si="3"/>
        <v/>
      </c>
      <c r="U5565" s="4">
        <f t="shared" si="4"/>
        <v>945</v>
      </c>
    </row>
    <row r="5566" ht="15.75" customHeight="1">
      <c r="A5566" s="4" t="s">
        <v>6013</v>
      </c>
      <c r="B5566" s="4" t="s">
        <v>13</v>
      </c>
      <c r="I5566" s="4">
        <v>0.8404</v>
      </c>
      <c r="J5566" s="4">
        <v>0.0375</v>
      </c>
      <c r="K5566" s="6" t="b">
        <f t="shared" ref="K5566:L5566" si="5305">FALSE()</f>
        <v>0</v>
      </c>
      <c r="L5566" s="6" t="b">
        <f t="shared" si="5305"/>
        <v>0</v>
      </c>
      <c r="M5566" s="6" t="b">
        <f t="shared" ref="M5566:M5567" si="5306">TRUE()</f>
        <v>1</v>
      </c>
      <c r="P5566" s="4">
        <v>0.609982939299177</v>
      </c>
      <c r="T5566" s="4" t="str">
        <f t="shared" si="3"/>
        <v/>
      </c>
      <c r="U5566" s="4">
        <f t="shared" si="4"/>
        <v>811</v>
      </c>
    </row>
    <row r="5567" ht="15.75" customHeight="1">
      <c r="A5567" s="4" t="s">
        <v>166</v>
      </c>
      <c r="B5567" s="4" t="s">
        <v>13</v>
      </c>
      <c r="C5567" s="4">
        <v>12.89</v>
      </c>
      <c r="D5567" s="4">
        <v>0.58</v>
      </c>
      <c r="E5567" s="4">
        <v>0.58</v>
      </c>
      <c r="I5567" s="4">
        <v>1.042</v>
      </c>
      <c r="J5567" s="4">
        <v>0.038</v>
      </c>
      <c r="K5567" s="6" t="b">
        <f>TRUE()</f>
        <v>1</v>
      </c>
      <c r="L5567" s="6" t="b">
        <f>FALSE()</f>
        <v>0</v>
      </c>
      <c r="M5567" s="6" t="b">
        <f t="shared" si="5306"/>
        <v>1</v>
      </c>
      <c r="N5567" s="4">
        <v>2.63116915676625</v>
      </c>
      <c r="P5567" s="4">
        <v>0.713929719742474</v>
      </c>
      <c r="T5567" s="4">
        <f t="shared" si="3"/>
        <v>3</v>
      </c>
      <c r="U5567" s="4">
        <f t="shared" si="4"/>
        <v>611</v>
      </c>
    </row>
    <row r="5568" ht="15.75" customHeight="1">
      <c r="A5568" s="4" t="s">
        <v>1567</v>
      </c>
      <c r="B5568" s="4" t="s">
        <v>13</v>
      </c>
      <c r="C5568" s="4">
        <v>0.1504</v>
      </c>
      <c r="D5568" s="4">
        <v>0.076</v>
      </c>
      <c r="E5568" s="4">
        <v>0.088</v>
      </c>
      <c r="I5568" s="4">
        <v>0.285</v>
      </c>
      <c r="J5568" s="4">
        <v>0.018</v>
      </c>
      <c r="K5568" s="6" t="b">
        <f t="shared" ref="K5568:M5568" si="5307">FALSE()</f>
        <v>0</v>
      </c>
      <c r="L5568" s="6" t="b">
        <f t="shared" si="5307"/>
        <v>0</v>
      </c>
      <c r="M5568" s="6" t="b">
        <f t="shared" si="5307"/>
        <v>0</v>
      </c>
      <c r="N5568" s="4">
        <v>0.140109707984645</v>
      </c>
      <c r="P5568" s="4">
        <v>0.250758718347183</v>
      </c>
      <c r="T5568" s="4">
        <f t="shared" si="3"/>
        <v>1195</v>
      </c>
      <c r="U5568" s="4">
        <f t="shared" si="4"/>
        <v>1474</v>
      </c>
    </row>
    <row r="5569" ht="15.75" customHeight="1">
      <c r="A5569" s="4" t="s">
        <v>1568</v>
      </c>
      <c r="B5569" s="4" t="s">
        <v>13</v>
      </c>
      <c r="C5569" s="4">
        <v>3.87</v>
      </c>
      <c r="D5569" s="4">
        <v>3.87</v>
      </c>
      <c r="E5569" s="4">
        <v>0.0</v>
      </c>
      <c r="I5569" s="4">
        <v>0.73</v>
      </c>
      <c r="J5569" s="4">
        <v>0.028</v>
      </c>
      <c r="K5569" s="6" t="b">
        <f>TRUE()</f>
        <v>1</v>
      </c>
      <c r="L5569" s="6" t="b">
        <f t="shared" ref="L5569:M5569" si="5308">FALSE()</f>
        <v>0</v>
      </c>
      <c r="M5569" s="6" t="b">
        <f t="shared" si="5308"/>
        <v>0</v>
      </c>
      <c r="N5569" s="4">
        <v>1.5830939370945</v>
      </c>
      <c r="P5569" s="4">
        <v>0.548121408509688</v>
      </c>
      <c r="T5569" s="4">
        <f t="shared" si="3"/>
        <v>266</v>
      </c>
      <c r="U5569" s="4">
        <f t="shared" si="4"/>
        <v>886</v>
      </c>
    </row>
    <row r="5570" ht="15.75" customHeight="1">
      <c r="A5570" s="4" t="s">
        <v>1569</v>
      </c>
      <c r="B5570" s="4" t="s">
        <v>13</v>
      </c>
      <c r="C5570" s="4">
        <v>0.0186</v>
      </c>
      <c r="D5570" s="4">
        <v>0.006</v>
      </c>
      <c r="E5570" s="4">
        <v>0.006</v>
      </c>
      <c r="I5570" s="4">
        <v>0.3105</v>
      </c>
      <c r="J5570" s="4">
        <v>0.025</v>
      </c>
      <c r="K5570" s="6" t="b">
        <f t="shared" ref="K5570:M5570" si="5309">FALSE()</f>
        <v>0</v>
      </c>
      <c r="L5570" s="6" t="b">
        <f t="shared" si="5309"/>
        <v>0</v>
      </c>
      <c r="M5570" s="6" t="b">
        <f t="shared" si="5309"/>
        <v>0</v>
      </c>
      <c r="N5570" s="4">
        <v>0.0184291354683671</v>
      </c>
      <c r="P5570" s="4">
        <v>0.270408743781324</v>
      </c>
      <c r="T5570" s="4">
        <f t="shared" si="3"/>
        <v>1763</v>
      </c>
      <c r="U5570" s="4">
        <f t="shared" si="4"/>
        <v>1339</v>
      </c>
    </row>
    <row r="5571" ht="15.75" customHeight="1">
      <c r="A5571" s="4" t="s">
        <v>1570</v>
      </c>
      <c r="B5571" s="4" t="s">
        <v>13</v>
      </c>
      <c r="C5571" s="4">
        <v>0.0142</v>
      </c>
      <c r="D5571" s="4">
        <v>9.0E-4</v>
      </c>
      <c r="E5571" s="4">
        <v>9.0E-4</v>
      </c>
      <c r="I5571" s="4">
        <v>0.141</v>
      </c>
      <c r="J5571" s="4">
        <v>0.0303</v>
      </c>
      <c r="K5571" s="6" t="b">
        <f t="shared" ref="K5571:M5571" si="5310">FALSE()</f>
        <v>0</v>
      </c>
      <c r="L5571" s="6" t="b">
        <f t="shared" si="5310"/>
        <v>0</v>
      </c>
      <c r="M5571" s="6" t="b">
        <f t="shared" si="5310"/>
        <v>0</v>
      </c>
      <c r="N5571" s="4">
        <v>0.0141001243787816</v>
      </c>
      <c r="P5571" s="4">
        <v>0.131905070879939</v>
      </c>
      <c r="T5571" s="4">
        <f t="shared" si="3"/>
        <v>1844</v>
      </c>
      <c r="U5571" s="4">
        <f t="shared" si="4"/>
        <v>3494</v>
      </c>
    </row>
    <row r="5572" ht="15.75" customHeight="1">
      <c r="A5572" s="4" t="s">
        <v>1571</v>
      </c>
      <c r="B5572" s="4" t="s">
        <v>13</v>
      </c>
      <c r="C5572" s="4">
        <v>0.016</v>
      </c>
      <c r="D5572" s="4">
        <v>0.0013</v>
      </c>
      <c r="E5572" s="4">
        <v>0.0013</v>
      </c>
      <c r="I5572" s="4">
        <v>0.1222</v>
      </c>
      <c r="J5572" s="4">
        <v>0.036</v>
      </c>
      <c r="K5572" s="6" t="b">
        <f t="shared" ref="K5572:M5572" si="5311">FALSE()</f>
        <v>0</v>
      </c>
      <c r="L5572" s="6" t="b">
        <f t="shared" si="5311"/>
        <v>0</v>
      </c>
      <c r="M5572" s="6" t="b">
        <f t="shared" si="5311"/>
        <v>0</v>
      </c>
      <c r="N5572" s="4">
        <v>0.0158733491562901</v>
      </c>
      <c r="P5572" s="4">
        <v>0.115291044334735</v>
      </c>
      <c r="T5572" s="4">
        <f t="shared" si="3"/>
        <v>1808</v>
      </c>
      <c r="U5572" s="4">
        <f t="shared" si="4"/>
        <v>3823</v>
      </c>
    </row>
    <row r="5573" ht="15.75" customHeight="1">
      <c r="A5573" s="4" t="s">
        <v>6014</v>
      </c>
      <c r="B5573" s="4" t="s">
        <v>13</v>
      </c>
      <c r="I5573" s="4">
        <v>0.3872</v>
      </c>
      <c r="J5573" s="4">
        <v>0.027</v>
      </c>
      <c r="K5573" s="6" t="b">
        <f t="shared" ref="K5573:M5573" si="5312">FALSE()</f>
        <v>0</v>
      </c>
      <c r="L5573" s="6" t="b">
        <f t="shared" si="5312"/>
        <v>0</v>
      </c>
      <c r="M5573" s="6" t="b">
        <f t="shared" si="5312"/>
        <v>0</v>
      </c>
      <c r="P5573" s="4">
        <v>0.32728732704414</v>
      </c>
      <c r="T5573" s="4" t="str">
        <f t="shared" si="3"/>
        <v/>
      </c>
      <c r="U5573" s="4">
        <f t="shared" si="4"/>
        <v>1135</v>
      </c>
    </row>
    <row r="5574" ht="15.75" customHeight="1">
      <c r="A5574" s="4" t="s">
        <v>1572</v>
      </c>
      <c r="B5574" s="4" t="s">
        <v>13</v>
      </c>
      <c r="C5574" s="4">
        <v>2.31</v>
      </c>
      <c r="D5574" s="4">
        <v>0.33</v>
      </c>
      <c r="E5574" s="4">
        <v>0.33</v>
      </c>
      <c r="I5574" s="4">
        <v>1.11</v>
      </c>
      <c r="J5574" s="4">
        <v>0.05</v>
      </c>
      <c r="K5574" s="6" t="b">
        <f t="shared" ref="K5574:L5574" si="5313">FALSE()</f>
        <v>0</v>
      </c>
      <c r="L5574" s="6" t="b">
        <f t="shared" si="5313"/>
        <v>0</v>
      </c>
      <c r="M5574" s="6" t="b">
        <f>TRUE()</f>
        <v>1</v>
      </c>
      <c r="N5574" s="4">
        <v>1.19694818938897</v>
      </c>
      <c r="P5574" s="4">
        <v>0.746687947487975</v>
      </c>
      <c r="T5574" s="4">
        <f t="shared" si="3"/>
        <v>397</v>
      </c>
      <c r="U5574" s="4">
        <f t="shared" si="4"/>
        <v>504</v>
      </c>
    </row>
    <row r="5575" ht="15.75" customHeight="1">
      <c r="A5575" s="4" t="s">
        <v>1573</v>
      </c>
      <c r="B5575" s="4" t="s">
        <v>13</v>
      </c>
      <c r="C5575" s="4">
        <v>0.0654</v>
      </c>
      <c r="D5575" s="4">
        <v>0.0138</v>
      </c>
      <c r="E5575" s="4">
        <v>0.0138</v>
      </c>
      <c r="I5575" s="4">
        <v>0.24</v>
      </c>
      <c r="J5575" s="4">
        <v>0.009</v>
      </c>
      <c r="K5575" s="6" t="b">
        <f t="shared" ref="K5575:M5575" si="5314">FALSE()</f>
        <v>0</v>
      </c>
      <c r="L5575" s="6" t="b">
        <f t="shared" si="5314"/>
        <v>0</v>
      </c>
      <c r="M5575" s="6" t="b">
        <f t="shared" si="5314"/>
        <v>0</v>
      </c>
      <c r="N5575" s="4">
        <v>0.0633503155007617</v>
      </c>
      <c r="P5575" s="4">
        <v>0.215111379616946</v>
      </c>
      <c r="T5575" s="4">
        <f t="shared" si="3"/>
        <v>1339</v>
      </c>
      <c r="U5575" s="4">
        <f t="shared" si="4"/>
        <v>1956</v>
      </c>
    </row>
    <row r="5576" ht="15.75" customHeight="1">
      <c r="A5576" s="4" t="s">
        <v>1574</v>
      </c>
      <c r="B5576" s="4" t="s">
        <v>13</v>
      </c>
      <c r="C5576" s="4">
        <v>1.53</v>
      </c>
      <c r="D5576" s="4">
        <v>0.03</v>
      </c>
      <c r="E5576" s="4">
        <v>0.03</v>
      </c>
      <c r="I5576" s="4">
        <v>0.99</v>
      </c>
      <c r="J5576" s="4">
        <v>0.01</v>
      </c>
      <c r="K5576" s="6" t="b">
        <f t="shared" ref="K5576:L5576" si="5315">FALSE()</f>
        <v>0</v>
      </c>
      <c r="L5576" s="6" t="b">
        <f t="shared" si="5315"/>
        <v>0</v>
      </c>
      <c r="M5576" s="6" t="b">
        <f t="shared" ref="M5576:M5580" si="5317">TRUE()</f>
        <v>1</v>
      </c>
      <c r="N5576" s="4">
        <v>0.928219302739429</v>
      </c>
      <c r="P5576" s="4">
        <v>0.688134638736401</v>
      </c>
      <c r="T5576" s="4">
        <f t="shared" si="3"/>
        <v>506</v>
      </c>
      <c r="U5576" s="4">
        <f t="shared" si="4"/>
        <v>689</v>
      </c>
    </row>
    <row r="5577" ht="15.75" customHeight="1">
      <c r="A5577" s="4" t="s">
        <v>1575</v>
      </c>
      <c r="B5577" s="4" t="s">
        <v>13</v>
      </c>
      <c r="C5577" s="4">
        <v>0.67</v>
      </c>
      <c r="D5577" s="4">
        <v>0.14</v>
      </c>
      <c r="E5577" s="4">
        <v>0.14</v>
      </c>
      <c r="I5577" s="4">
        <v>0.756</v>
      </c>
      <c r="J5577" s="4">
        <v>0.024</v>
      </c>
      <c r="K5577" s="6" t="b">
        <f t="shared" ref="K5577:L5577" si="5316">FALSE()</f>
        <v>0</v>
      </c>
      <c r="L5577" s="6" t="b">
        <f t="shared" si="5316"/>
        <v>0</v>
      </c>
      <c r="M5577" s="6" t="b">
        <f t="shared" si="5317"/>
        <v>1</v>
      </c>
      <c r="N5577" s="4">
        <v>0.512823626428664</v>
      </c>
      <c r="P5577" s="4">
        <v>0.563038495212925</v>
      </c>
      <c r="T5577" s="4">
        <f t="shared" si="3"/>
        <v>840</v>
      </c>
      <c r="U5577" s="4">
        <f t="shared" si="4"/>
        <v>869</v>
      </c>
    </row>
    <row r="5578" ht="15.75" customHeight="1">
      <c r="A5578" s="4" t="s">
        <v>1576</v>
      </c>
      <c r="B5578" s="4" t="s">
        <v>13</v>
      </c>
      <c r="C5578" s="4">
        <v>0.714</v>
      </c>
      <c r="D5578" s="4">
        <v>0.041</v>
      </c>
      <c r="E5578" s="4">
        <v>0.041</v>
      </c>
      <c r="I5578" s="4">
        <v>1.1482</v>
      </c>
      <c r="J5578" s="4">
        <v>0.0321</v>
      </c>
      <c r="K5578" s="6" t="b">
        <f t="shared" ref="K5578:L5578" si="5318">FALSE()</f>
        <v>0</v>
      </c>
      <c r="L5578" s="6" t="b">
        <f t="shared" si="5318"/>
        <v>0</v>
      </c>
      <c r="M5578" s="6" t="b">
        <f t="shared" si="5317"/>
        <v>1</v>
      </c>
      <c r="N5578" s="4">
        <v>0.538829820175588</v>
      </c>
      <c r="P5578" s="4">
        <v>0.76463028218181</v>
      </c>
      <c r="T5578" s="4">
        <f t="shared" si="3"/>
        <v>813</v>
      </c>
      <c r="U5578" s="4">
        <f t="shared" si="4"/>
        <v>450</v>
      </c>
    </row>
    <row r="5579" ht="15.75" customHeight="1">
      <c r="A5579" s="4" t="s">
        <v>168</v>
      </c>
      <c r="B5579" s="4" t="s">
        <v>13</v>
      </c>
      <c r="C5579" s="4">
        <v>12.37</v>
      </c>
      <c r="D5579" s="4">
        <v>0.9</v>
      </c>
      <c r="E5579" s="4">
        <v>0.9</v>
      </c>
      <c r="I5579" s="4">
        <v>1.93</v>
      </c>
      <c r="J5579" s="4">
        <v>0.09</v>
      </c>
      <c r="K5579" s="6" t="b">
        <f>TRUE()</f>
        <v>1</v>
      </c>
      <c r="L5579" s="6" t="b">
        <f>FALSE()</f>
        <v>0</v>
      </c>
      <c r="M5579" s="6" t="b">
        <f t="shared" si="5317"/>
        <v>1</v>
      </c>
      <c r="N5579" s="4">
        <v>2.59301339111385</v>
      </c>
      <c r="P5579" s="4">
        <v>1.07500242302898</v>
      </c>
      <c r="T5579" s="4">
        <f t="shared" si="3"/>
        <v>10</v>
      </c>
      <c r="U5579" s="4">
        <f t="shared" si="4"/>
        <v>16</v>
      </c>
    </row>
    <row r="5580" ht="15.75" customHeight="1">
      <c r="A5580" s="4" t="s">
        <v>1577</v>
      </c>
      <c r="B5580" s="4" t="s">
        <v>13</v>
      </c>
      <c r="C5580" s="4">
        <v>0.28</v>
      </c>
      <c r="D5580" s="4">
        <v>0.034</v>
      </c>
      <c r="E5580" s="4">
        <v>0.037</v>
      </c>
      <c r="F5580" s="4">
        <v>0.28</v>
      </c>
      <c r="G5580" s="4">
        <v>0.034</v>
      </c>
      <c r="H5580" s="4">
        <v>0.037</v>
      </c>
      <c r="I5580" s="4">
        <v>0.762</v>
      </c>
      <c r="J5580" s="4">
        <v>0.027</v>
      </c>
      <c r="K5580" s="6" t="b">
        <f t="shared" ref="K5580:L5580" si="5319">FALSE()</f>
        <v>0</v>
      </c>
      <c r="L5580" s="6" t="b">
        <f t="shared" si="5319"/>
        <v>0</v>
      </c>
      <c r="M5580" s="6" t="b">
        <f t="shared" si="5317"/>
        <v>1</v>
      </c>
      <c r="N5580" s="4">
        <v>0.246860077931526</v>
      </c>
      <c r="O5580" s="4">
        <v>0.246860077931526</v>
      </c>
      <c r="P5580" s="4">
        <v>0.566449527513988</v>
      </c>
      <c r="Q5580" s="4">
        <v>-0.45606362870878</v>
      </c>
      <c r="R5580" s="4">
        <v>-0.474823628684224</v>
      </c>
      <c r="S5580" s="4">
        <v>-0.118389313704509</v>
      </c>
      <c r="T5580" s="4">
        <f t="shared" si="3"/>
        <v>1084</v>
      </c>
      <c r="U5580" s="4">
        <f t="shared" si="4"/>
        <v>867</v>
      </c>
    </row>
    <row r="5581" ht="15.75" customHeight="1">
      <c r="A5581" s="4" t="s">
        <v>1578</v>
      </c>
      <c r="B5581" s="4" t="s">
        <v>13</v>
      </c>
      <c r="C5581" s="4">
        <v>0.1029</v>
      </c>
      <c r="D5581" s="4">
        <v>0.0186</v>
      </c>
      <c r="E5581" s="4">
        <v>0.0186</v>
      </c>
      <c r="I5581" s="4">
        <v>0.5576</v>
      </c>
      <c r="J5581" s="4">
        <v>0.0214</v>
      </c>
      <c r="K5581" s="6" t="b">
        <f t="shared" ref="K5581:M5581" si="5320">FALSE()</f>
        <v>0</v>
      </c>
      <c r="L5581" s="6" t="b">
        <f t="shared" si="5320"/>
        <v>0</v>
      </c>
      <c r="M5581" s="6" t="b">
        <f t="shared" si="5320"/>
        <v>0</v>
      </c>
      <c r="N5581" s="4">
        <v>0.0979430743299641</v>
      </c>
      <c r="P5581" s="4">
        <v>0.443146175075853</v>
      </c>
      <c r="T5581" s="4">
        <f t="shared" si="3"/>
        <v>1255</v>
      </c>
      <c r="U5581" s="4">
        <f t="shared" si="4"/>
        <v>969</v>
      </c>
    </row>
    <row r="5582" ht="15.75" customHeight="1">
      <c r="A5582" s="4" t="s">
        <v>1579</v>
      </c>
      <c r="B5582" s="4" t="s">
        <v>13</v>
      </c>
      <c r="C5582" s="4">
        <v>0.005</v>
      </c>
      <c r="D5582" s="4">
        <v>0.0022</v>
      </c>
      <c r="E5582" s="4">
        <v>0.0041</v>
      </c>
      <c r="I5582" s="4">
        <v>0.1035</v>
      </c>
      <c r="J5582" s="4">
        <v>0.0107</v>
      </c>
      <c r="K5582" s="6" t="b">
        <f t="shared" ref="K5582:M5582" si="5321">FALSE()</f>
        <v>0</v>
      </c>
      <c r="L5582" s="6" t="b">
        <f t="shared" si="5321"/>
        <v>0</v>
      </c>
      <c r="M5582" s="6" t="b">
        <f t="shared" si="5321"/>
        <v>0</v>
      </c>
      <c r="N5582" s="4">
        <v>0.004987541511039</v>
      </c>
      <c r="P5582" s="4">
        <v>0.098486946714654</v>
      </c>
      <c r="T5582" s="4">
        <f t="shared" si="3"/>
        <v>2027</v>
      </c>
      <c r="U5582" s="4">
        <f t="shared" si="4"/>
        <v>4165</v>
      </c>
    </row>
    <row r="5583" ht="15.75" customHeight="1">
      <c r="A5583" s="4" t="s">
        <v>6015</v>
      </c>
      <c r="B5583" s="4" t="s">
        <v>13</v>
      </c>
      <c r="D5583" s="4">
        <v>0.0016</v>
      </c>
      <c r="E5583" s="4">
        <v>0.0016</v>
      </c>
      <c r="F5583" s="4">
        <v>0.0146</v>
      </c>
      <c r="G5583" s="4">
        <v>0.0016</v>
      </c>
      <c r="H5583" s="4">
        <v>0.0016</v>
      </c>
      <c r="K5583" s="6" t="b">
        <f t="shared" ref="K5583:M5583" si="5322">FALSE()</f>
        <v>0</v>
      </c>
      <c r="L5583" s="6" t="b">
        <f t="shared" si="5322"/>
        <v>0</v>
      </c>
      <c r="M5583" s="6" t="b">
        <f t="shared" si="5322"/>
        <v>0</v>
      </c>
      <c r="O5583" s="4">
        <v>0.0144944461504525</v>
      </c>
      <c r="T5583" s="4" t="str">
        <f t="shared" si="3"/>
        <v/>
      </c>
      <c r="U5583" s="4" t="str">
        <f t="shared" si="4"/>
        <v/>
      </c>
    </row>
    <row r="5584" ht="15.75" customHeight="1">
      <c r="A5584" s="4" t="s">
        <v>6016</v>
      </c>
      <c r="B5584" s="4" t="s">
        <v>13</v>
      </c>
      <c r="D5584" s="4">
        <v>0.003</v>
      </c>
      <c r="E5584" s="4">
        <v>0.003</v>
      </c>
      <c r="F5584" s="4">
        <v>0.10553</v>
      </c>
      <c r="G5584" s="4">
        <v>0.003</v>
      </c>
      <c r="H5584" s="4">
        <v>0.003</v>
      </c>
      <c r="K5584" s="6" t="b">
        <f t="shared" ref="K5584:M5584" si="5323">FALSE()</f>
        <v>0</v>
      </c>
      <c r="L5584" s="6" t="b">
        <f t="shared" si="5323"/>
        <v>0</v>
      </c>
      <c r="M5584" s="6" t="b">
        <f t="shared" si="5323"/>
        <v>0</v>
      </c>
      <c r="O5584" s="4">
        <v>0.100324857989223</v>
      </c>
      <c r="T5584" s="4" t="str">
        <f t="shared" si="3"/>
        <v/>
      </c>
      <c r="U5584" s="4" t="str">
        <f t="shared" si="4"/>
        <v/>
      </c>
    </row>
    <row r="5585" ht="15.75" customHeight="1">
      <c r="A5585" s="4" t="s">
        <v>6017</v>
      </c>
      <c r="B5585" s="4" t="s">
        <v>13</v>
      </c>
      <c r="D5585" s="4">
        <v>0.00428</v>
      </c>
      <c r="E5585" s="4">
        <v>0.00428</v>
      </c>
      <c r="F5585" s="4">
        <v>0.03757</v>
      </c>
      <c r="G5585" s="4">
        <v>0.00428</v>
      </c>
      <c r="H5585" s="4">
        <v>0.00428</v>
      </c>
      <c r="K5585" s="6" t="b">
        <f t="shared" ref="K5585:M5585" si="5324">FALSE()</f>
        <v>0</v>
      </c>
      <c r="L5585" s="6" t="b">
        <f t="shared" si="5324"/>
        <v>0</v>
      </c>
      <c r="M5585" s="6" t="b">
        <f t="shared" si="5324"/>
        <v>0</v>
      </c>
      <c r="O5585" s="4">
        <v>0.0368814407262444</v>
      </c>
      <c r="T5585" s="4" t="str">
        <f t="shared" si="3"/>
        <v/>
      </c>
      <c r="U5585" s="4" t="str">
        <f t="shared" si="4"/>
        <v/>
      </c>
    </row>
    <row r="5586" ht="15.75" customHeight="1">
      <c r="A5586" s="4" t="s">
        <v>1580</v>
      </c>
      <c r="B5586" s="4" t="s">
        <v>13</v>
      </c>
      <c r="C5586" s="4">
        <v>2.0</v>
      </c>
      <c r="D5586" s="4">
        <v>0.13</v>
      </c>
      <c r="E5586" s="4">
        <v>0.13</v>
      </c>
      <c r="I5586" s="4">
        <v>0.99</v>
      </c>
      <c r="J5586" s="4">
        <v>0.12</v>
      </c>
      <c r="K5586" s="6" t="b">
        <f t="shared" ref="K5586:L5586" si="5325">FALSE()</f>
        <v>0</v>
      </c>
      <c r="L5586" s="6" t="b">
        <f t="shared" si="5325"/>
        <v>0</v>
      </c>
      <c r="M5586" s="6" t="b">
        <f>TRUE()</f>
        <v>1</v>
      </c>
      <c r="N5586" s="4">
        <v>1.09861228866811</v>
      </c>
      <c r="P5586" s="4">
        <v>0.688134638736401</v>
      </c>
      <c r="T5586" s="4">
        <f t="shared" si="3"/>
        <v>442</v>
      </c>
      <c r="U5586" s="4">
        <f t="shared" si="4"/>
        <v>690</v>
      </c>
    </row>
    <row r="5587" ht="15.75" customHeight="1">
      <c r="A5587" s="4" t="s">
        <v>1581</v>
      </c>
      <c r="B5587" s="4" t="s">
        <v>13</v>
      </c>
      <c r="C5587" s="4">
        <v>0.05</v>
      </c>
      <c r="D5587" s="4">
        <v>0.006</v>
      </c>
      <c r="E5587" s="4">
        <v>0.006</v>
      </c>
      <c r="I5587" s="4">
        <v>0.285</v>
      </c>
      <c r="J5587" s="4">
        <v>0.009</v>
      </c>
      <c r="K5587" s="6" t="b">
        <f t="shared" ref="K5587:M5587" si="5326">FALSE()</f>
        <v>0</v>
      </c>
      <c r="L5587" s="6" t="b">
        <f t="shared" si="5326"/>
        <v>0</v>
      </c>
      <c r="M5587" s="6" t="b">
        <f t="shared" si="5326"/>
        <v>0</v>
      </c>
      <c r="N5587" s="4">
        <v>0.048790164169432</v>
      </c>
      <c r="P5587" s="4">
        <v>0.250758718347183</v>
      </c>
      <c r="T5587" s="4">
        <f t="shared" si="3"/>
        <v>1404</v>
      </c>
      <c r="U5587" s="4">
        <f t="shared" si="4"/>
        <v>1475</v>
      </c>
    </row>
    <row r="5588" ht="15.75" customHeight="1">
      <c r="A5588" s="4" t="s">
        <v>6018</v>
      </c>
      <c r="B5588" s="4" t="s">
        <v>13</v>
      </c>
      <c r="I5588" s="4">
        <v>0.223</v>
      </c>
      <c r="J5588" s="4">
        <v>0.009</v>
      </c>
      <c r="K5588" s="6" t="b">
        <f t="shared" ref="K5588:M5588" si="5327">FALSE()</f>
        <v>0</v>
      </c>
      <c r="L5588" s="6" t="b">
        <f t="shared" si="5327"/>
        <v>0</v>
      </c>
      <c r="M5588" s="6" t="b">
        <f t="shared" si="5327"/>
        <v>0</v>
      </c>
      <c r="P5588" s="4">
        <v>0.201306856705035</v>
      </c>
      <c r="T5588" s="4" t="str">
        <f t="shared" si="3"/>
        <v/>
      </c>
      <c r="U5588" s="4">
        <f t="shared" si="4"/>
        <v>2223</v>
      </c>
    </row>
    <row r="5589" ht="15.75" customHeight="1">
      <c r="A5589" s="4" t="s">
        <v>1582</v>
      </c>
      <c r="B5589" s="4" t="s">
        <v>13</v>
      </c>
      <c r="C5589" s="4">
        <v>0.101</v>
      </c>
      <c r="D5589" s="4">
        <v>0.016</v>
      </c>
      <c r="E5589" s="4">
        <v>0.016</v>
      </c>
      <c r="I5589" s="4">
        <v>0.589</v>
      </c>
      <c r="J5589" s="4">
        <v>0.009</v>
      </c>
      <c r="K5589" s="6" t="b">
        <f t="shared" ref="K5589:M5589" si="5328">FALSE()</f>
        <v>0</v>
      </c>
      <c r="L5589" s="6" t="b">
        <f t="shared" si="5328"/>
        <v>0</v>
      </c>
      <c r="M5589" s="6" t="b">
        <f t="shared" si="5328"/>
        <v>0</v>
      </c>
      <c r="N5589" s="4">
        <v>0.0962188577405429</v>
      </c>
      <c r="P5589" s="4">
        <v>0.463104887554579</v>
      </c>
      <c r="T5589" s="4">
        <f t="shared" si="3"/>
        <v>1260</v>
      </c>
      <c r="U5589" s="4">
        <f t="shared" si="4"/>
        <v>951</v>
      </c>
    </row>
    <row r="5590" ht="15.75" customHeight="1">
      <c r="A5590" s="4" t="s">
        <v>1583</v>
      </c>
      <c r="B5590" s="4" t="s">
        <v>13</v>
      </c>
      <c r="C5590" s="4">
        <v>2.9</v>
      </c>
      <c r="D5590" s="4">
        <v>0.13</v>
      </c>
      <c r="E5590" s="4">
        <v>0.13</v>
      </c>
      <c r="F5590" s="4">
        <v>2.89</v>
      </c>
      <c r="G5590" s="4">
        <v>0.13</v>
      </c>
      <c r="H5590" s="4">
        <v>0.13</v>
      </c>
      <c r="I5590" s="4">
        <v>1.069</v>
      </c>
      <c r="J5590" s="4">
        <v>0.052</v>
      </c>
      <c r="K5590" s="6" t="b">
        <f t="shared" ref="K5590:L5590" si="5329">FALSE()</f>
        <v>0</v>
      </c>
      <c r="L5590" s="6" t="b">
        <f t="shared" si="5329"/>
        <v>0</v>
      </c>
      <c r="M5590" s="6" t="b">
        <f>TRUE()</f>
        <v>1</v>
      </c>
      <c r="N5590" s="4">
        <v>1.3609765531356</v>
      </c>
      <c r="O5590" s="4">
        <v>1.35840915763036</v>
      </c>
      <c r="P5590" s="4">
        <v>0.727065398763406</v>
      </c>
      <c r="Q5590" s="4">
        <v>1.15318810063546</v>
      </c>
      <c r="R5590" s="4">
        <v>1.18105710324787</v>
      </c>
      <c r="S5590" s="4">
        <v>0.456013482932237</v>
      </c>
      <c r="T5590" s="4">
        <f t="shared" si="3"/>
        <v>330</v>
      </c>
      <c r="U5590" s="4">
        <f t="shared" si="4"/>
        <v>580</v>
      </c>
    </row>
    <row r="5591" ht="15.75" customHeight="1">
      <c r="A5591" s="4" t="s">
        <v>6019</v>
      </c>
      <c r="B5591" s="4" t="s">
        <v>13</v>
      </c>
      <c r="I5591" s="4">
        <v>0.4247</v>
      </c>
      <c r="J5591" s="4">
        <v>0.0152</v>
      </c>
      <c r="K5591" s="6" t="b">
        <f t="shared" ref="K5591:M5591" si="5330">FALSE()</f>
        <v>0</v>
      </c>
      <c r="L5591" s="6" t="b">
        <f t="shared" si="5330"/>
        <v>0</v>
      </c>
      <c r="M5591" s="6" t="b">
        <f t="shared" si="5330"/>
        <v>0</v>
      </c>
      <c r="P5591" s="4">
        <v>0.353961265241049</v>
      </c>
      <c r="T5591" s="4" t="str">
        <f t="shared" si="3"/>
        <v/>
      </c>
      <c r="U5591" s="4">
        <f t="shared" si="4"/>
        <v>1086</v>
      </c>
    </row>
    <row r="5592" ht="15.75" customHeight="1">
      <c r="A5592" s="4" t="s">
        <v>6020</v>
      </c>
      <c r="B5592" s="4" t="s">
        <v>13</v>
      </c>
      <c r="I5592" s="4">
        <v>0.348</v>
      </c>
      <c r="J5592" s="4">
        <v>0.0161</v>
      </c>
      <c r="K5592" s="6" t="b">
        <f t="shared" ref="K5592:M5592" si="5331">FALSE()</f>
        <v>0</v>
      </c>
      <c r="L5592" s="6" t="b">
        <f t="shared" si="5331"/>
        <v>0</v>
      </c>
      <c r="M5592" s="6" t="b">
        <f t="shared" si="5331"/>
        <v>0</v>
      </c>
      <c r="P5592" s="4">
        <v>0.298622012490115</v>
      </c>
      <c r="T5592" s="4" t="str">
        <f t="shared" si="3"/>
        <v/>
      </c>
      <c r="U5592" s="4">
        <f t="shared" si="4"/>
        <v>1217</v>
      </c>
    </row>
    <row r="5593" ht="15.75" customHeight="1">
      <c r="A5593" s="4" t="s">
        <v>1584</v>
      </c>
      <c r="B5593" s="4" t="s">
        <v>13</v>
      </c>
      <c r="C5593" s="4">
        <v>0.01123</v>
      </c>
      <c r="D5593" s="4">
        <v>0.00173</v>
      </c>
      <c r="E5593" s="4">
        <v>0.00173</v>
      </c>
      <c r="I5593" s="4">
        <v>0.1374</v>
      </c>
      <c r="J5593" s="4">
        <v>0.009</v>
      </c>
      <c r="K5593" s="6" t="b">
        <f t="shared" ref="K5593:M5593" si="5332">FALSE()</f>
        <v>0</v>
      </c>
      <c r="L5593" s="6" t="b">
        <f t="shared" si="5332"/>
        <v>0</v>
      </c>
      <c r="M5593" s="6" t="b">
        <f t="shared" si="5332"/>
        <v>0</v>
      </c>
      <c r="N5593" s="4">
        <v>0.0111674116918967</v>
      </c>
      <c r="P5593" s="4">
        <v>0.128744955890562</v>
      </c>
      <c r="T5593" s="4">
        <f t="shared" si="3"/>
        <v>1913</v>
      </c>
      <c r="U5593" s="4">
        <f t="shared" si="4"/>
        <v>3554</v>
      </c>
    </row>
    <row r="5594" ht="15.75" customHeight="1">
      <c r="A5594" s="4" t="s">
        <v>6021</v>
      </c>
      <c r="B5594" s="4" t="s">
        <v>13</v>
      </c>
      <c r="I5594" s="4">
        <v>1.45</v>
      </c>
      <c r="K5594" s="6" t="b">
        <f t="shared" ref="K5594:L5594" si="5333">FALSE()</f>
        <v>0</v>
      </c>
      <c r="L5594" s="6" t="b">
        <f t="shared" si="5333"/>
        <v>0</v>
      </c>
      <c r="M5594" s="6" t="b">
        <f t="shared" ref="M5594:M5595" si="5335">TRUE()</f>
        <v>1</v>
      </c>
      <c r="P5594" s="4">
        <v>0.896088024556636</v>
      </c>
      <c r="T5594" s="4" t="str">
        <f t="shared" si="3"/>
        <v/>
      </c>
      <c r="U5594" s="4">
        <f t="shared" si="4"/>
        <v>143</v>
      </c>
    </row>
    <row r="5595" ht="15.75" customHeight="1">
      <c r="A5595" s="4" t="s">
        <v>1585</v>
      </c>
      <c r="B5595" s="4" t="s">
        <v>13</v>
      </c>
      <c r="C5595" s="4">
        <v>3.26</v>
      </c>
      <c r="D5595" s="4">
        <v>0.17</v>
      </c>
      <c r="E5595" s="4">
        <v>0.17</v>
      </c>
      <c r="I5595" s="4">
        <v>1.06</v>
      </c>
      <c r="J5595" s="4">
        <v>0.04</v>
      </c>
      <c r="K5595" s="6" t="b">
        <f t="shared" ref="K5595:L5595" si="5334">FALSE()</f>
        <v>0</v>
      </c>
      <c r="L5595" s="6" t="b">
        <f t="shared" si="5334"/>
        <v>0</v>
      </c>
      <c r="M5595" s="6" t="b">
        <f t="shared" si="5335"/>
        <v>1</v>
      </c>
      <c r="N5595" s="4">
        <v>1.44926916028128</v>
      </c>
      <c r="P5595" s="4">
        <v>0.72270598280149</v>
      </c>
      <c r="T5595" s="4">
        <f t="shared" si="3"/>
        <v>306</v>
      </c>
      <c r="U5595" s="4">
        <f t="shared" si="4"/>
        <v>594</v>
      </c>
    </row>
    <row r="5596" ht="15.75" customHeight="1">
      <c r="A5596" s="4" t="s">
        <v>6022</v>
      </c>
      <c r="B5596" s="4" t="s">
        <v>13</v>
      </c>
      <c r="I5596" s="4">
        <v>0.47667</v>
      </c>
      <c r="K5596" s="6" t="b">
        <f t="shared" ref="K5596:M5596" si="5336">FALSE()</f>
        <v>0</v>
      </c>
      <c r="L5596" s="6" t="b">
        <f t="shared" si="5336"/>
        <v>0</v>
      </c>
      <c r="M5596" s="6" t="b">
        <f t="shared" si="5336"/>
        <v>0</v>
      </c>
      <c r="P5596" s="4">
        <v>0.38978955272273</v>
      </c>
      <c r="T5596" s="4" t="str">
        <f t="shared" si="3"/>
        <v/>
      </c>
      <c r="U5596" s="4">
        <f t="shared" si="4"/>
        <v>1031</v>
      </c>
    </row>
    <row r="5597" ht="15.75" customHeight="1">
      <c r="A5597" s="4" t="s">
        <v>1586</v>
      </c>
      <c r="B5597" s="4" t="s">
        <v>13</v>
      </c>
      <c r="C5597" s="4">
        <v>0.525</v>
      </c>
      <c r="D5597" s="4">
        <v>0.064</v>
      </c>
      <c r="E5597" s="4">
        <v>0.064</v>
      </c>
      <c r="I5597" s="4">
        <v>1.059</v>
      </c>
      <c r="J5597" s="4">
        <v>0.02</v>
      </c>
      <c r="K5597" s="6" t="b">
        <f t="shared" ref="K5597:L5597" si="5337">FALSE()</f>
        <v>0</v>
      </c>
      <c r="L5597" s="6" t="b">
        <f t="shared" si="5337"/>
        <v>0</v>
      </c>
      <c r="M5597" s="6" t="b">
        <f t="shared" ref="M5597:M5600" si="5339">TRUE()</f>
        <v>1</v>
      </c>
      <c r="N5597" s="4">
        <v>0.421994410059375</v>
      </c>
      <c r="P5597" s="4">
        <v>0.722220428045652</v>
      </c>
      <c r="T5597" s="4">
        <f t="shared" si="3"/>
        <v>939</v>
      </c>
      <c r="U5597" s="4">
        <f t="shared" si="4"/>
        <v>597</v>
      </c>
    </row>
    <row r="5598" ht="15.75" customHeight="1">
      <c r="A5598" s="4" t="s">
        <v>1587</v>
      </c>
      <c r="B5598" s="4" t="s">
        <v>13</v>
      </c>
      <c r="C5598" s="4">
        <v>1.08</v>
      </c>
      <c r="D5598" s="4">
        <v>0.08</v>
      </c>
      <c r="E5598" s="4">
        <v>0.08</v>
      </c>
      <c r="I5598" s="4">
        <v>0.94</v>
      </c>
      <c r="J5598" s="4">
        <v>0.04</v>
      </c>
      <c r="K5598" s="6" t="b">
        <f t="shared" ref="K5598:L5598" si="5338">FALSE()</f>
        <v>0</v>
      </c>
      <c r="L5598" s="6" t="b">
        <f t="shared" si="5338"/>
        <v>0</v>
      </c>
      <c r="M5598" s="6" t="b">
        <f t="shared" si="5339"/>
        <v>1</v>
      </c>
      <c r="N5598" s="4">
        <v>0.732367893713227</v>
      </c>
      <c r="P5598" s="4">
        <v>0.662687973075237</v>
      </c>
      <c r="T5598" s="4">
        <f t="shared" si="3"/>
        <v>634</v>
      </c>
      <c r="U5598" s="4">
        <f t="shared" si="4"/>
        <v>740</v>
      </c>
    </row>
    <row r="5599" ht="15.75" customHeight="1">
      <c r="A5599" s="4" t="s">
        <v>1589</v>
      </c>
      <c r="B5599" s="4" t="s">
        <v>13</v>
      </c>
      <c r="C5599" s="4">
        <v>0.799</v>
      </c>
      <c r="D5599" s="4">
        <v>0.359</v>
      </c>
      <c r="E5599" s="4">
        <v>0.393</v>
      </c>
      <c r="I5599" s="4">
        <v>0.879</v>
      </c>
      <c r="J5599" s="4">
        <v>0.034</v>
      </c>
      <c r="K5599" s="6" t="b">
        <f t="shared" ref="K5599:L5599" si="5340">FALSE()</f>
        <v>0</v>
      </c>
      <c r="L5599" s="6" t="b">
        <f t="shared" si="5340"/>
        <v>0</v>
      </c>
      <c r="M5599" s="6" t="b">
        <f t="shared" si="5339"/>
        <v>1</v>
      </c>
      <c r="N5599" s="4">
        <v>0.587230954968396</v>
      </c>
      <c r="P5599" s="4">
        <v>0.630739720431328</v>
      </c>
      <c r="T5599" s="4">
        <f t="shared" si="3"/>
        <v>775</v>
      </c>
      <c r="U5599" s="4">
        <f t="shared" si="4"/>
        <v>780</v>
      </c>
    </row>
    <row r="5600" ht="15.75" customHeight="1">
      <c r="A5600" s="4" t="s">
        <v>1590</v>
      </c>
      <c r="B5600" s="4" t="s">
        <v>13</v>
      </c>
      <c r="C5600" s="4">
        <v>2.34</v>
      </c>
      <c r="D5600" s="4">
        <v>0.16</v>
      </c>
      <c r="E5600" s="4">
        <v>0.16</v>
      </c>
      <c r="I5600" s="4">
        <v>1.14</v>
      </c>
      <c r="J5600" s="4">
        <v>0.045</v>
      </c>
      <c r="K5600" s="6" t="b">
        <f t="shared" ref="K5600:L5600" si="5341">FALSE()</f>
        <v>0</v>
      </c>
      <c r="L5600" s="6" t="b">
        <f t="shared" si="5341"/>
        <v>0</v>
      </c>
      <c r="M5600" s="6" t="b">
        <f t="shared" si="5339"/>
        <v>1</v>
      </c>
      <c r="N5600" s="4">
        <v>1.20597080698861</v>
      </c>
      <c r="P5600" s="4">
        <v>0.76080582903376</v>
      </c>
      <c r="T5600" s="4">
        <f t="shared" si="3"/>
        <v>392</v>
      </c>
      <c r="U5600" s="4">
        <f t="shared" si="4"/>
        <v>460</v>
      </c>
    </row>
    <row r="5601" ht="15.75" customHeight="1">
      <c r="A5601" s="4" t="s">
        <v>6023</v>
      </c>
      <c r="B5601" s="4" t="s">
        <v>13</v>
      </c>
      <c r="I5601" s="4">
        <v>0.46472</v>
      </c>
      <c r="K5601" s="6" t="b">
        <f t="shared" ref="K5601:M5601" si="5342">FALSE()</f>
        <v>0</v>
      </c>
      <c r="L5601" s="6" t="b">
        <f t="shared" si="5342"/>
        <v>0</v>
      </c>
      <c r="M5601" s="6" t="b">
        <f t="shared" si="5342"/>
        <v>0</v>
      </c>
      <c r="P5601" s="4">
        <v>0.381664097922212</v>
      </c>
      <c r="T5601" s="4" t="str">
        <f t="shared" si="3"/>
        <v/>
      </c>
      <c r="U5601" s="4">
        <f t="shared" si="4"/>
        <v>1047</v>
      </c>
    </row>
    <row r="5602" ht="15.75" customHeight="1">
      <c r="A5602" s="4" t="s">
        <v>1591</v>
      </c>
      <c r="B5602" s="4" t="s">
        <v>13</v>
      </c>
      <c r="C5602" s="4">
        <v>0.54</v>
      </c>
      <c r="D5602" s="4">
        <v>0.07</v>
      </c>
      <c r="E5602" s="4">
        <v>0.07</v>
      </c>
      <c r="I5602" s="4">
        <v>1.06</v>
      </c>
      <c r="J5602" s="4">
        <v>0.04</v>
      </c>
      <c r="K5602" s="6" t="b">
        <f t="shared" ref="K5602:L5602" si="5343">FALSE()</f>
        <v>0</v>
      </c>
      <c r="L5602" s="6" t="b">
        <f t="shared" si="5343"/>
        <v>0</v>
      </c>
      <c r="M5602" s="6" t="b">
        <f t="shared" ref="M5602:M5605" si="5345">TRUE()</f>
        <v>1</v>
      </c>
      <c r="N5602" s="4">
        <v>0.431782416425538</v>
      </c>
      <c r="P5602" s="4">
        <v>0.72270598280149</v>
      </c>
      <c r="T5602" s="4">
        <f t="shared" si="3"/>
        <v>928</v>
      </c>
      <c r="U5602" s="4">
        <f t="shared" si="4"/>
        <v>595</v>
      </c>
    </row>
    <row r="5603" ht="15.75" customHeight="1">
      <c r="A5603" s="4" t="s">
        <v>1592</v>
      </c>
      <c r="B5603" s="4" t="s">
        <v>13</v>
      </c>
      <c r="C5603" s="4">
        <v>0.6</v>
      </c>
      <c r="D5603" s="4">
        <v>0.1</v>
      </c>
      <c r="E5603" s="4">
        <v>0.1</v>
      </c>
      <c r="I5603" s="4">
        <v>0.88</v>
      </c>
      <c r="J5603" s="4">
        <v>0.08</v>
      </c>
      <c r="K5603" s="6" t="b">
        <f t="shared" ref="K5603:L5603" si="5344">FALSE()</f>
        <v>0</v>
      </c>
      <c r="L5603" s="6" t="b">
        <f t="shared" si="5344"/>
        <v>0</v>
      </c>
      <c r="M5603" s="6" t="b">
        <f t="shared" si="5345"/>
        <v>1</v>
      </c>
      <c r="N5603" s="4">
        <v>0.470003629245736</v>
      </c>
      <c r="P5603" s="4">
        <v>0.631271776841858</v>
      </c>
      <c r="T5603" s="4">
        <f t="shared" si="3"/>
        <v>886</v>
      </c>
      <c r="U5603" s="4">
        <f t="shared" si="4"/>
        <v>779</v>
      </c>
    </row>
    <row r="5604" ht="15.75" customHeight="1">
      <c r="A5604" s="4" t="s">
        <v>1593</v>
      </c>
      <c r="B5604" s="4" t="s">
        <v>13</v>
      </c>
      <c r="C5604" s="4">
        <v>3.65</v>
      </c>
      <c r="D5604" s="4">
        <v>0.4</v>
      </c>
      <c r="E5604" s="4">
        <v>0.4</v>
      </c>
      <c r="I5604" s="4">
        <v>1.18</v>
      </c>
      <c r="J5604" s="4">
        <v>0.07</v>
      </c>
      <c r="K5604" s="6" t="b">
        <f>TRUE()</f>
        <v>1</v>
      </c>
      <c r="L5604" s="6" t="b">
        <f>FALSE()</f>
        <v>0</v>
      </c>
      <c r="M5604" s="6" t="b">
        <f t="shared" si="5345"/>
        <v>1</v>
      </c>
      <c r="N5604" s="4">
        <v>1.53686721959927</v>
      </c>
      <c r="P5604" s="4">
        <v>0.779324876800998</v>
      </c>
      <c r="T5604" s="4">
        <f t="shared" si="3"/>
        <v>279</v>
      </c>
      <c r="U5604" s="4">
        <f t="shared" si="4"/>
        <v>414</v>
      </c>
    </row>
    <row r="5605" ht="15.75" customHeight="1">
      <c r="A5605" s="4" t="s">
        <v>1594</v>
      </c>
      <c r="B5605" s="4" t="s">
        <v>13</v>
      </c>
      <c r="C5605" s="4">
        <v>0.4</v>
      </c>
      <c r="D5605" s="4">
        <v>0.1</v>
      </c>
      <c r="E5605" s="4">
        <v>0.1</v>
      </c>
      <c r="I5605" s="4">
        <v>0.83</v>
      </c>
      <c r="J5605" s="4">
        <v>0.06</v>
      </c>
      <c r="K5605" s="6" t="b">
        <f t="shared" ref="K5605:L5605" si="5346">FALSE()</f>
        <v>0</v>
      </c>
      <c r="L5605" s="6" t="b">
        <f t="shared" si="5346"/>
        <v>0</v>
      </c>
      <c r="M5605" s="6" t="b">
        <f t="shared" si="5345"/>
        <v>1</v>
      </c>
      <c r="N5605" s="4">
        <v>0.336472236621213</v>
      </c>
      <c r="P5605" s="4">
        <v>0.60431596685333</v>
      </c>
      <c r="T5605" s="4">
        <f t="shared" si="3"/>
        <v>1015</v>
      </c>
      <c r="U5605" s="4">
        <f t="shared" si="4"/>
        <v>818</v>
      </c>
    </row>
    <row r="5606" ht="15.75" customHeight="1">
      <c r="A5606" s="4" t="s">
        <v>6024</v>
      </c>
      <c r="B5606" s="4" t="s">
        <v>13</v>
      </c>
      <c r="I5606" s="4">
        <v>0.2525</v>
      </c>
      <c r="J5606" s="4">
        <v>0.0526</v>
      </c>
      <c r="K5606" s="6" t="b">
        <f t="shared" ref="K5606:M5606" si="5347">FALSE()</f>
        <v>0</v>
      </c>
      <c r="L5606" s="6" t="b">
        <f t="shared" si="5347"/>
        <v>0</v>
      </c>
      <c r="M5606" s="6" t="b">
        <f t="shared" si="5347"/>
        <v>0</v>
      </c>
      <c r="P5606" s="4">
        <v>0.225141553976883</v>
      </c>
      <c r="T5606" s="4" t="str">
        <f t="shared" si="3"/>
        <v/>
      </c>
      <c r="U5606" s="4">
        <f t="shared" si="4"/>
        <v>1776</v>
      </c>
    </row>
    <row r="5607" ht="15.75" customHeight="1">
      <c r="A5607" s="4" t="s">
        <v>1595</v>
      </c>
      <c r="B5607" s="4" t="s">
        <v>13</v>
      </c>
      <c r="C5607" s="4">
        <v>0.1935</v>
      </c>
      <c r="D5607" s="4">
        <v>0.0293</v>
      </c>
      <c r="E5607" s="4">
        <v>0.0305</v>
      </c>
      <c r="I5607" s="4">
        <v>0.5192</v>
      </c>
      <c r="J5607" s="4">
        <v>0.017</v>
      </c>
      <c r="K5607" s="6" t="b">
        <f t="shared" ref="K5607:M5607" si="5348">FALSE()</f>
        <v>0</v>
      </c>
      <c r="L5607" s="6" t="b">
        <f t="shared" si="5348"/>
        <v>0</v>
      </c>
      <c r="M5607" s="6" t="b">
        <f t="shared" si="5348"/>
        <v>0</v>
      </c>
      <c r="N5607" s="4">
        <v>0.176890166796748</v>
      </c>
      <c r="P5607" s="4">
        <v>0.418183880515939</v>
      </c>
      <c r="T5607" s="4">
        <f t="shared" si="3"/>
        <v>1157</v>
      </c>
      <c r="U5607" s="4">
        <f t="shared" si="4"/>
        <v>999</v>
      </c>
    </row>
    <row r="5608" ht="15.75" customHeight="1">
      <c r="A5608" s="4" t="s">
        <v>1597</v>
      </c>
      <c r="B5608" s="4" t="s">
        <v>13</v>
      </c>
      <c r="C5608" s="4">
        <v>0.42</v>
      </c>
      <c r="D5608" s="4">
        <v>0.06</v>
      </c>
      <c r="E5608" s="4">
        <v>0.06</v>
      </c>
      <c r="I5608" s="4">
        <v>0.87</v>
      </c>
      <c r="J5608" s="4">
        <v>0.04</v>
      </c>
      <c r="K5608" s="6" t="b">
        <f t="shared" ref="K5608:L5608" si="5349">FALSE()</f>
        <v>0</v>
      </c>
      <c r="L5608" s="6" t="b">
        <f t="shared" si="5349"/>
        <v>0</v>
      </c>
      <c r="M5608" s="6" t="b">
        <f>TRUE()</f>
        <v>1</v>
      </c>
      <c r="N5608" s="4">
        <v>0.350656871613169</v>
      </c>
      <c r="P5608" s="4">
        <v>0.625938430866495</v>
      </c>
      <c r="T5608" s="4">
        <f t="shared" si="3"/>
        <v>1002</v>
      </c>
      <c r="U5608" s="4">
        <f t="shared" si="4"/>
        <v>787</v>
      </c>
    </row>
    <row r="5609" ht="15.75" customHeight="1">
      <c r="A5609" s="4" t="s">
        <v>6025</v>
      </c>
      <c r="B5609" s="4" t="s">
        <v>13</v>
      </c>
      <c r="I5609" s="4">
        <v>0.1686</v>
      </c>
      <c r="J5609" s="4">
        <v>0.054</v>
      </c>
      <c r="K5609" s="6" t="b">
        <f t="shared" ref="K5609:M5609" si="5350">FALSE()</f>
        <v>0</v>
      </c>
      <c r="L5609" s="6" t="b">
        <f t="shared" si="5350"/>
        <v>0</v>
      </c>
      <c r="M5609" s="6" t="b">
        <f t="shared" si="5350"/>
        <v>0</v>
      </c>
      <c r="P5609" s="4">
        <v>0.1558064511382</v>
      </c>
      <c r="T5609" s="4" t="str">
        <f t="shared" si="3"/>
        <v/>
      </c>
      <c r="U5609" s="4">
        <f t="shared" si="4"/>
        <v>3069</v>
      </c>
    </row>
    <row r="5610" ht="15.75" customHeight="1">
      <c r="A5610" s="4" t="s">
        <v>1598</v>
      </c>
      <c r="B5610" s="4" t="s">
        <v>13</v>
      </c>
      <c r="C5610" s="4">
        <v>0.1847</v>
      </c>
      <c r="D5610" s="4">
        <v>0.0179</v>
      </c>
      <c r="E5610" s="4">
        <v>0.0179</v>
      </c>
      <c r="I5610" s="4">
        <v>1.008</v>
      </c>
      <c r="J5610" s="4">
        <v>0.036</v>
      </c>
      <c r="K5610" s="6" t="b">
        <f t="shared" ref="K5610:L5610" si="5351">FALSE()</f>
        <v>0</v>
      </c>
      <c r="L5610" s="6" t="b">
        <f t="shared" si="5351"/>
        <v>0</v>
      </c>
      <c r="M5610" s="6" t="b">
        <f>TRUE()</f>
        <v>1</v>
      </c>
      <c r="N5610" s="4">
        <v>0.169489577978576</v>
      </c>
      <c r="P5610" s="4">
        <v>0.697139201829483</v>
      </c>
      <c r="T5610" s="4">
        <f t="shared" si="3"/>
        <v>1166</v>
      </c>
      <c r="U5610" s="4">
        <f t="shared" si="4"/>
        <v>657</v>
      </c>
    </row>
    <row r="5611" ht="15.75" customHeight="1">
      <c r="A5611" s="4" t="s">
        <v>1599</v>
      </c>
      <c r="B5611" s="4" t="s">
        <v>13</v>
      </c>
      <c r="C5611" s="4">
        <v>0.0371</v>
      </c>
      <c r="D5611" s="4">
        <v>0.0151</v>
      </c>
      <c r="E5611" s="4">
        <v>0.0151</v>
      </c>
      <c r="I5611" s="4">
        <v>0.314</v>
      </c>
      <c r="J5611" s="4">
        <v>0.018</v>
      </c>
      <c r="K5611" s="6" t="b">
        <f t="shared" ref="K5611:M5611" si="5352">FALSE()</f>
        <v>0</v>
      </c>
      <c r="L5611" s="6" t="b">
        <f t="shared" si="5352"/>
        <v>0</v>
      </c>
      <c r="M5611" s="6" t="b">
        <f t="shared" si="5352"/>
        <v>0</v>
      </c>
      <c r="N5611" s="4">
        <v>0.0364283566135514</v>
      </c>
      <c r="P5611" s="4">
        <v>0.273075920062419</v>
      </c>
      <c r="T5611" s="4">
        <f t="shared" si="3"/>
        <v>1477</v>
      </c>
      <c r="U5611" s="4">
        <f t="shared" si="4"/>
        <v>1326</v>
      </c>
    </row>
    <row r="5612" ht="15.75" customHeight="1">
      <c r="A5612" s="4" t="s">
        <v>6026</v>
      </c>
      <c r="B5612" s="4" t="s">
        <v>13</v>
      </c>
      <c r="I5612" s="4">
        <v>0.08056</v>
      </c>
      <c r="J5612" s="4">
        <v>0.00464</v>
      </c>
      <c r="K5612" s="6" t="b">
        <f t="shared" ref="K5612:M5612" si="5353">FALSE()</f>
        <v>0</v>
      </c>
      <c r="L5612" s="6" t="b">
        <f t="shared" si="5353"/>
        <v>0</v>
      </c>
      <c r="M5612" s="6" t="b">
        <f t="shared" si="5353"/>
        <v>0</v>
      </c>
      <c r="P5612" s="4">
        <v>0.0774794252703716</v>
      </c>
      <c r="T5612" s="4" t="str">
        <f t="shared" si="3"/>
        <v/>
      </c>
      <c r="U5612" s="4">
        <f t="shared" si="4"/>
        <v>4409</v>
      </c>
    </row>
    <row r="5613" ht="15.75" customHeight="1">
      <c r="A5613" s="4" t="s">
        <v>1600</v>
      </c>
      <c r="B5613" s="4" t="s">
        <v>13</v>
      </c>
      <c r="C5613" s="4">
        <v>0.00909</v>
      </c>
      <c r="D5613" s="4">
        <v>0.00151</v>
      </c>
      <c r="E5613" s="4">
        <v>0.00151</v>
      </c>
      <c r="I5613" s="4">
        <v>0.1802</v>
      </c>
      <c r="J5613" s="4">
        <v>0.0062</v>
      </c>
      <c r="K5613" s="6" t="b">
        <f t="shared" ref="K5613:M5613" si="5354">FALSE()</f>
        <v>0</v>
      </c>
      <c r="L5613" s="6" t="b">
        <f t="shared" si="5354"/>
        <v>0</v>
      </c>
      <c r="M5613" s="6" t="b">
        <f t="shared" si="5354"/>
        <v>0</v>
      </c>
      <c r="N5613" s="4">
        <v>0.0090489346186111</v>
      </c>
      <c r="P5613" s="4">
        <v>0.165683915640931</v>
      </c>
      <c r="T5613" s="4">
        <f t="shared" si="3"/>
        <v>1954</v>
      </c>
      <c r="U5613" s="4">
        <f t="shared" si="4"/>
        <v>2884</v>
      </c>
    </row>
    <row r="5614" ht="15.75" customHeight="1">
      <c r="A5614" s="4" t="s">
        <v>6027</v>
      </c>
      <c r="B5614" s="4" t="s">
        <v>13</v>
      </c>
      <c r="I5614" s="4">
        <v>1.5</v>
      </c>
      <c r="J5614" s="4">
        <v>0.3</v>
      </c>
      <c r="K5614" s="6" t="b">
        <f t="shared" ref="K5614:L5614" si="5355">FALSE()</f>
        <v>0</v>
      </c>
      <c r="L5614" s="6" t="b">
        <f t="shared" si="5355"/>
        <v>0</v>
      </c>
      <c r="M5614" s="6" t="b">
        <f t="shared" ref="M5614:M5615" si="5357">TRUE()</f>
        <v>1</v>
      </c>
      <c r="P5614" s="4">
        <v>0.916290731874155</v>
      </c>
      <c r="T5614" s="4" t="str">
        <f t="shared" si="3"/>
        <v/>
      </c>
      <c r="U5614" s="4">
        <f t="shared" si="4"/>
        <v>119</v>
      </c>
    </row>
    <row r="5615" ht="15.75" customHeight="1">
      <c r="A5615" s="4" t="s">
        <v>1601</v>
      </c>
      <c r="B5615" s="4" t="s">
        <v>13</v>
      </c>
      <c r="C5615" s="4">
        <v>1.32</v>
      </c>
      <c r="D5615" s="4">
        <v>0.1</v>
      </c>
      <c r="E5615" s="4">
        <v>0.1</v>
      </c>
      <c r="I5615" s="4">
        <v>1.009</v>
      </c>
      <c r="J5615" s="4">
        <v>0.036</v>
      </c>
      <c r="K5615" s="6" t="b">
        <f t="shared" ref="K5615:L5615" si="5356">FALSE()</f>
        <v>0</v>
      </c>
      <c r="L5615" s="6" t="b">
        <f t="shared" si="5356"/>
        <v>0</v>
      </c>
      <c r="M5615" s="6" t="b">
        <f t="shared" si="5357"/>
        <v>1</v>
      </c>
      <c r="N5615" s="4">
        <v>0.841567185678219</v>
      </c>
      <c r="P5615" s="4">
        <v>0.697637085832797</v>
      </c>
      <c r="T5615" s="4">
        <f t="shared" si="3"/>
        <v>554</v>
      </c>
      <c r="U5615" s="4">
        <f t="shared" si="4"/>
        <v>655</v>
      </c>
    </row>
    <row r="5616" ht="15.75" customHeight="1">
      <c r="A5616" s="4" t="s">
        <v>1603</v>
      </c>
      <c r="B5616" s="4" t="s">
        <v>13</v>
      </c>
      <c r="C5616" s="4">
        <v>0.0274</v>
      </c>
      <c r="D5616" s="4">
        <v>0.0085</v>
      </c>
      <c r="E5616" s="4">
        <v>0.0085</v>
      </c>
      <c r="I5616" s="4">
        <v>0.2337</v>
      </c>
      <c r="J5616" s="4">
        <v>0.0143</v>
      </c>
      <c r="K5616" s="6" t="b">
        <f t="shared" ref="K5616:M5616" si="5358">FALSE()</f>
        <v>0</v>
      </c>
      <c r="L5616" s="6" t="b">
        <f t="shared" si="5358"/>
        <v>0</v>
      </c>
      <c r="M5616" s="6" t="b">
        <f t="shared" si="5358"/>
        <v>0</v>
      </c>
      <c r="N5616" s="4">
        <v>0.0270313390510304</v>
      </c>
      <c r="P5616" s="4">
        <v>0.210017784095282</v>
      </c>
      <c r="T5616" s="4">
        <f t="shared" si="3"/>
        <v>1597</v>
      </c>
      <c r="U5616" s="4">
        <f t="shared" si="4"/>
        <v>2049</v>
      </c>
    </row>
    <row r="5617" ht="15.75" customHeight="1">
      <c r="A5617" s="4" t="s">
        <v>1604</v>
      </c>
      <c r="B5617" s="4" t="s">
        <v>13</v>
      </c>
      <c r="C5617" s="4">
        <v>0.0135</v>
      </c>
      <c r="D5617" s="4">
        <v>0.006</v>
      </c>
      <c r="E5617" s="4">
        <v>0.006</v>
      </c>
      <c r="I5617" s="4">
        <v>0.134</v>
      </c>
      <c r="J5617" s="4">
        <v>0.0107</v>
      </c>
      <c r="K5617" s="6" t="b">
        <f t="shared" ref="K5617:M5617" si="5359">FALSE()</f>
        <v>0</v>
      </c>
      <c r="L5617" s="6" t="b">
        <f t="shared" si="5359"/>
        <v>0</v>
      </c>
      <c r="M5617" s="6" t="b">
        <f t="shared" si="5359"/>
        <v>0</v>
      </c>
      <c r="N5617" s="4">
        <v>0.0134096869099176</v>
      </c>
      <c r="P5617" s="4">
        <v>0.12575120530556</v>
      </c>
      <c r="T5617" s="4">
        <f t="shared" si="3"/>
        <v>1857</v>
      </c>
      <c r="U5617" s="4">
        <f t="shared" si="4"/>
        <v>3639</v>
      </c>
    </row>
    <row r="5618" ht="15.75" customHeight="1">
      <c r="A5618" s="4" t="s">
        <v>1605</v>
      </c>
      <c r="B5618" s="4" t="s">
        <v>13</v>
      </c>
      <c r="C5618" s="4">
        <v>0.35</v>
      </c>
      <c r="D5618" s="4">
        <v>0.06</v>
      </c>
      <c r="E5618" s="4">
        <v>0.06</v>
      </c>
      <c r="I5618" s="4">
        <v>0.87</v>
      </c>
      <c r="J5618" s="4">
        <v>0.04</v>
      </c>
      <c r="K5618" s="6" t="b">
        <f t="shared" ref="K5618:L5618" si="5360">FALSE()</f>
        <v>0</v>
      </c>
      <c r="L5618" s="6" t="b">
        <f t="shared" si="5360"/>
        <v>0</v>
      </c>
      <c r="M5618" s="6" t="b">
        <f t="shared" ref="M5618:M5621" si="5362">TRUE()</f>
        <v>1</v>
      </c>
      <c r="N5618" s="4">
        <v>0.300104592450338</v>
      </c>
      <c r="P5618" s="4">
        <v>0.625938430866495</v>
      </c>
      <c r="T5618" s="4">
        <f t="shared" si="3"/>
        <v>1049</v>
      </c>
      <c r="U5618" s="4">
        <f t="shared" si="4"/>
        <v>788</v>
      </c>
    </row>
    <row r="5619" ht="15.75" customHeight="1">
      <c r="A5619" s="4" t="s">
        <v>1606</v>
      </c>
      <c r="B5619" s="4" t="s">
        <v>13</v>
      </c>
      <c r="C5619" s="4">
        <v>3.61</v>
      </c>
      <c r="D5619" s="4">
        <v>0.15</v>
      </c>
      <c r="E5619" s="4">
        <v>0.15</v>
      </c>
      <c r="I5619" s="4">
        <v>1.086</v>
      </c>
      <c r="J5619" s="4">
        <v>0.04</v>
      </c>
      <c r="K5619" s="6" t="b">
        <f t="shared" ref="K5619:L5619" si="5361">FALSE()</f>
        <v>0</v>
      </c>
      <c r="L5619" s="6" t="b">
        <f t="shared" si="5361"/>
        <v>0</v>
      </c>
      <c r="M5619" s="6" t="b">
        <f t="shared" si="5362"/>
        <v>1</v>
      </c>
      <c r="N5619" s="4">
        <v>1.52822785700856</v>
      </c>
      <c r="P5619" s="4">
        <v>0.735248356578581</v>
      </c>
      <c r="T5619" s="4">
        <f t="shared" si="3"/>
        <v>282</v>
      </c>
      <c r="U5619" s="4">
        <f t="shared" si="4"/>
        <v>542</v>
      </c>
    </row>
    <row r="5620" ht="15.75" customHeight="1">
      <c r="A5620" s="4" t="s">
        <v>1607</v>
      </c>
      <c r="B5620" s="4" t="s">
        <v>13</v>
      </c>
      <c r="C5620" s="4">
        <v>6.01</v>
      </c>
      <c r="D5620" s="4">
        <v>0.24</v>
      </c>
      <c r="E5620" s="4">
        <v>0.24</v>
      </c>
      <c r="I5620" s="4">
        <v>1.091</v>
      </c>
      <c r="J5620" s="4">
        <v>0.028</v>
      </c>
      <c r="K5620" s="6" t="b">
        <f>TRUE()</f>
        <v>1</v>
      </c>
      <c r="L5620" s="6" t="b">
        <f>FALSE()</f>
        <v>0</v>
      </c>
      <c r="M5620" s="6" t="b">
        <f t="shared" si="5362"/>
        <v>1</v>
      </c>
      <c r="N5620" s="4">
        <v>1.9473377010465</v>
      </c>
      <c r="P5620" s="4">
        <v>0.737642420446497</v>
      </c>
      <c r="T5620" s="4">
        <f t="shared" si="3"/>
        <v>162</v>
      </c>
      <c r="U5620" s="4">
        <f t="shared" si="4"/>
        <v>532</v>
      </c>
    </row>
    <row r="5621" ht="15.75" customHeight="1">
      <c r="A5621" s="4" t="s">
        <v>1608</v>
      </c>
      <c r="B5621" s="4" t="s">
        <v>13</v>
      </c>
      <c r="C5621" s="4">
        <v>0.802</v>
      </c>
      <c r="D5621" s="4">
        <v>0.384</v>
      </c>
      <c r="E5621" s="4">
        <v>0.371</v>
      </c>
      <c r="I5621" s="4">
        <v>0.961</v>
      </c>
      <c r="J5621" s="4">
        <v>0.042</v>
      </c>
      <c r="K5621" s="6" t="b">
        <f t="shared" ref="K5621:L5621" si="5363">FALSE()</f>
        <v>0</v>
      </c>
      <c r="L5621" s="6" t="b">
        <f t="shared" si="5363"/>
        <v>0</v>
      </c>
      <c r="M5621" s="6" t="b">
        <f t="shared" si="5362"/>
        <v>1</v>
      </c>
      <c r="N5621" s="4">
        <v>0.588897159186146</v>
      </c>
      <c r="P5621" s="4">
        <v>0.673454547214209</v>
      </c>
      <c r="T5621" s="4">
        <f t="shared" si="3"/>
        <v>765</v>
      </c>
      <c r="U5621" s="4">
        <f t="shared" si="4"/>
        <v>708</v>
      </c>
    </row>
    <row r="5622" ht="15.75" customHeight="1">
      <c r="A5622" s="4" t="s">
        <v>1610</v>
      </c>
      <c r="B5622" s="4" t="s">
        <v>13</v>
      </c>
      <c r="C5622" s="4">
        <v>0.00636</v>
      </c>
      <c r="D5622" s="4">
        <v>7.2E-4</v>
      </c>
      <c r="E5622" s="4">
        <v>7.2E-4</v>
      </c>
      <c r="I5622" s="4">
        <v>0.12463</v>
      </c>
      <c r="J5622" s="4">
        <v>0.00241</v>
      </c>
      <c r="K5622" s="6" t="b">
        <f t="shared" ref="K5622:M5622" si="5364">FALSE()</f>
        <v>0</v>
      </c>
      <c r="L5622" s="6" t="b">
        <f t="shared" si="5364"/>
        <v>0</v>
      </c>
      <c r="M5622" s="6" t="b">
        <f t="shared" si="5364"/>
        <v>0</v>
      </c>
      <c r="N5622" s="4">
        <v>0.0063398605461797</v>
      </c>
      <c r="P5622" s="4">
        <v>0.117454092671683</v>
      </c>
      <c r="T5622" s="4">
        <f t="shared" si="3"/>
        <v>2002</v>
      </c>
      <c r="U5622" s="4">
        <f t="shared" si="4"/>
        <v>3794</v>
      </c>
    </row>
    <row r="5623" ht="15.75" customHeight="1">
      <c r="A5623" s="4" t="s">
        <v>1611</v>
      </c>
      <c r="B5623" s="4" t="s">
        <v>13</v>
      </c>
      <c r="C5623" s="4">
        <v>0.01866</v>
      </c>
      <c r="D5623" s="4">
        <v>0.00211</v>
      </c>
      <c r="E5623" s="4">
        <v>0.00211</v>
      </c>
      <c r="I5623" s="4">
        <v>0.2556</v>
      </c>
      <c r="J5623" s="4">
        <v>0.00366</v>
      </c>
      <c r="K5623" s="6" t="b">
        <f t="shared" ref="K5623:M5623" si="5365">FALSE()</f>
        <v>0</v>
      </c>
      <c r="L5623" s="6" t="b">
        <f t="shared" si="5365"/>
        <v>0</v>
      </c>
      <c r="M5623" s="6" t="b">
        <f t="shared" si="5365"/>
        <v>0</v>
      </c>
      <c r="N5623" s="4">
        <v>0.0184880381121312</v>
      </c>
      <c r="P5623" s="4">
        <v>0.227613545985661</v>
      </c>
      <c r="T5623" s="4">
        <f t="shared" si="3"/>
        <v>1760</v>
      </c>
      <c r="U5623" s="4">
        <f t="shared" si="4"/>
        <v>1740</v>
      </c>
    </row>
    <row r="5624" ht="15.75" customHeight="1">
      <c r="A5624" s="4" t="s">
        <v>1612</v>
      </c>
      <c r="B5624" s="4" t="s">
        <v>13</v>
      </c>
      <c r="C5624" s="4">
        <v>0.04194</v>
      </c>
      <c r="D5624" s="4">
        <v>0.00308</v>
      </c>
      <c r="E5624" s="4">
        <v>0.00308</v>
      </c>
      <c r="I5624" s="4">
        <v>0.2333</v>
      </c>
      <c r="J5624" s="4">
        <v>0.0054</v>
      </c>
      <c r="K5624" s="6" t="b">
        <f t="shared" ref="K5624:M5624" si="5366">FALSE()</f>
        <v>0</v>
      </c>
      <c r="L5624" s="6" t="b">
        <f t="shared" si="5366"/>
        <v>0</v>
      </c>
      <c r="M5624" s="6" t="b">
        <f t="shared" si="5366"/>
        <v>0</v>
      </c>
      <c r="N5624" s="4">
        <v>0.0410843600993963</v>
      </c>
      <c r="P5624" s="4">
        <v>0.209693503589805</v>
      </c>
      <c r="T5624" s="4">
        <f t="shared" si="3"/>
        <v>1444</v>
      </c>
      <c r="U5624" s="4">
        <f t="shared" si="4"/>
        <v>2052</v>
      </c>
    </row>
    <row r="5625" ht="15.75" customHeight="1">
      <c r="A5625" s="4" t="s">
        <v>1613</v>
      </c>
      <c r="B5625" s="4" t="s">
        <v>13</v>
      </c>
      <c r="C5625" s="4">
        <v>0.039</v>
      </c>
      <c r="D5625" s="4">
        <v>0.0044</v>
      </c>
      <c r="E5625" s="4">
        <v>0.0044</v>
      </c>
      <c r="I5625" s="4">
        <v>0.22455</v>
      </c>
      <c r="J5625" s="4">
        <v>0.00401</v>
      </c>
      <c r="K5625" s="6" t="b">
        <f t="shared" ref="K5625:M5625" si="5367">FALSE()</f>
        <v>0</v>
      </c>
      <c r="L5625" s="6" t="b">
        <f t="shared" si="5367"/>
        <v>0</v>
      </c>
      <c r="M5625" s="6" t="b">
        <f t="shared" si="5367"/>
        <v>0</v>
      </c>
      <c r="N5625" s="4">
        <v>0.0382587121170903</v>
      </c>
      <c r="P5625" s="4">
        <v>0.2025734295695</v>
      </c>
      <c r="T5625" s="4">
        <f t="shared" si="3"/>
        <v>1459</v>
      </c>
      <c r="U5625" s="4">
        <f t="shared" si="4"/>
        <v>2194</v>
      </c>
    </row>
    <row r="5626" ht="15.75" customHeight="1">
      <c r="A5626" s="4" t="s">
        <v>1614</v>
      </c>
      <c r="B5626" s="4" t="s">
        <v>13</v>
      </c>
      <c r="C5626" s="4">
        <v>0.0601</v>
      </c>
      <c r="D5626" s="4">
        <v>0.0085</v>
      </c>
      <c r="E5626" s="4">
        <v>0.0085</v>
      </c>
      <c r="I5626" s="4">
        <v>0.207</v>
      </c>
      <c r="J5626" s="4">
        <v>0.0143</v>
      </c>
      <c r="K5626" s="6" t="b">
        <f t="shared" ref="K5626:M5626" si="5368">FALSE()</f>
        <v>0</v>
      </c>
      <c r="L5626" s="6" t="b">
        <f t="shared" si="5368"/>
        <v>0</v>
      </c>
      <c r="M5626" s="6" t="b">
        <f t="shared" si="5368"/>
        <v>0</v>
      </c>
      <c r="N5626" s="4">
        <v>0.0583632432969149</v>
      </c>
      <c r="P5626" s="4">
        <v>0.188137942115394</v>
      </c>
      <c r="T5626" s="4">
        <f t="shared" si="3"/>
        <v>1355</v>
      </c>
      <c r="U5626" s="4">
        <f t="shared" si="4"/>
        <v>2472</v>
      </c>
    </row>
    <row r="5627" ht="15.75" customHeight="1">
      <c r="A5627" s="4" t="s">
        <v>1615</v>
      </c>
      <c r="B5627" s="4" t="s">
        <v>13</v>
      </c>
      <c r="C5627" s="4">
        <v>0.576</v>
      </c>
      <c r="D5627" s="4">
        <v>0.346</v>
      </c>
      <c r="E5627" s="4">
        <v>0.406</v>
      </c>
      <c r="I5627" s="4">
        <v>0.923</v>
      </c>
      <c r="J5627" s="4">
        <v>0.05</v>
      </c>
      <c r="K5627" s="6" t="b">
        <f t="shared" ref="K5627:L5627" si="5369">FALSE()</f>
        <v>0</v>
      </c>
      <c r="L5627" s="6" t="b">
        <f t="shared" si="5369"/>
        <v>0</v>
      </c>
      <c r="M5627" s="6" t="b">
        <f t="shared" ref="M5627:M5628" si="5371">TRUE()</f>
        <v>1</v>
      </c>
      <c r="N5627" s="4">
        <v>0.454889991435687</v>
      </c>
      <c r="P5627" s="4">
        <v>0.653886466606643</v>
      </c>
      <c r="T5627" s="4">
        <f t="shared" si="3"/>
        <v>907</v>
      </c>
      <c r="U5627" s="4">
        <f t="shared" si="4"/>
        <v>749</v>
      </c>
    </row>
    <row r="5628" ht="15.75" customHeight="1">
      <c r="A5628" s="4" t="s">
        <v>1616</v>
      </c>
      <c r="B5628" s="4" t="s">
        <v>13</v>
      </c>
      <c r="C5628" s="4">
        <v>1.463</v>
      </c>
      <c r="D5628" s="4">
        <v>0.096</v>
      </c>
      <c r="E5628" s="4">
        <v>0.1</v>
      </c>
      <c r="I5628" s="4">
        <v>1.02</v>
      </c>
      <c r="J5628" s="4">
        <v>0.29</v>
      </c>
      <c r="K5628" s="6" t="b">
        <f t="shared" ref="K5628:L5628" si="5370">FALSE()</f>
        <v>0</v>
      </c>
      <c r="L5628" s="6" t="b">
        <f t="shared" si="5370"/>
        <v>0</v>
      </c>
      <c r="M5628" s="6" t="b">
        <f t="shared" si="5371"/>
        <v>1</v>
      </c>
      <c r="N5628" s="4">
        <v>0.901380119138401</v>
      </c>
      <c r="P5628" s="4">
        <v>0.703097511413113</v>
      </c>
      <c r="T5628" s="4">
        <f t="shared" si="3"/>
        <v>521</v>
      </c>
      <c r="U5628" s="4">
        <f t="shared" si="4"/>
        <v>643</v>
      </c>
    </row>
    <row r="5629" ht="15.75" customHeight="1">
      <c r="A5629" s="4" t="s">
        <v>1618</v>
      </c>
      <c r="B5629" s="4" t="s">
        <v>13</v>
      </c>
      <c r="C5629" s="4">
        <v>0.063</v>
      </c>
      <c r="D5629" s="4">
        <v>0.013</v>
      </c>
      <c r="E5629" s="4">
        <v>0.013</v>
      </c>
      <c r="I5629" s="4">
        <v>0.438</v>
      </c>
      <c r="J5629" s="4">
        <v>0.0071</v>
      </c>
      <c r="K5629" s="6" t="b">
        <f t="shared" ref="K5629:M5629" si="5372">FALSE()</f>
        <v>0</v>
      </c>
      <c r="L5629" s="6" t="b">
        <f t="shared" si="5372"/>
        <v>0</v>
      </c>
      <c r="M5629" s="6" t="b">
        <f t="shared" si="5372"/>
        <v>0</v>
      </c>
      <c r="N5629" s="4">
        <v>0.0610950993598108</v>
      </c>
      <c r="P5629" s="4">
        <v>0.363253259298855</v>
      </c>
      <c r="T5629" s="4">
        <f t="shared" si="3"/>
        <v>1350</v>
      </c>
      <c r="U5629" s="4">
        <f t="shared" si="4"/>
        <v>1069</v>
      </c>
    </row>
    <row r="5630" ht="15.75" customHeight="1">
      <c r="A5630" s="4" t="s">
        <v>1619</v>
      </c>
      <c r="B5630" s="4" t="s">
        <v>13</v>
      </c>
      <c r="C5630" s="4">
        <v>0.39</v>
      </c>
      <c r="D5630" s="4">
        <v>0.0768</v>
      </c>
      <c r="E5630" s="4">
        <v>0.0736</v>
      </c>
      <c r="I5630" s="4">
        <v>0.919</v>
      </c>
      <c r="J5630" s="4">
        <v>0.062</v>
      </c>
      <c r="K5630" s="6" t="b">
        <f t="shared" ref="K5630:L5630" si="5373">FALSE()</f>
        <v>0</v>
      </c>
      <c r="L5630" s="6" t="b">
        <f t="shared" si="5373"/>
        <v>0</v>
      </c>
      <c r="M5630" s="6" t="b">
        <f>TRUE()</f>
        <v>1</v>
      </c>
      <c r="N5630" s="4">
        <v>0.3293037471426</v>
      </c>
      <c r="P5630" s="4">
        <v>0.651804217025563</v>
      </c>
      <c r="T5630" s="4">
        <f t="shared" si="3"/>
        <v>1023</v>
      </c>
      <c r="U5630" s="4">
        <f t="shared" si="4"/>
        <v>753</v>
      </c>
    </row>
    <row r="5631" ht="15.75" customHeight="1">
      <c r="A5631" s="4" t="s">
        <v>1620</v>
      </c>
      <c r="B5631" s="4" t="s">
        <v>13</v>
      </c>
      <c r="C5631" s="4">
        <v>0.0135</v>
      </c>
      <c r="D5631" s="4">
        <v>0.0035</v>
      </c>
      <c r="E5631" s="4">
        <v>0.0053</v>
      </c>
      <c r="I5631" s="4">
        <v>0.1579</v>
      </c>
      <c r="J5631" s="4">
        <v>0.0152</v>
      </c>
      <c r="K5631" s="6" t="b">
        <f t="shared" ref="K5631:M5631" si="5374">FALSE()</f>
        <v>0</v>
      </c>
      <c r="L5631" s="6" t="b">
        <f t="shared" si="5374"/>
        <v>0</v>
      </c>
      <c r="M5631" s="6" t="b">
        <f t="shared" si="5374"/>
        <v>0</v>
      </c>
      <c r="N5631" s="4">
        <v>0.0134096869099176</v>
      </c>
      <c r="P5631" s="4">
        <v>0.14660801963609</v>
      </c>
      <c r="T5631" s="4">
        <f t="shared" si="3"/>
        <v>1858</v>
      </c>
      <c r="U5631" s="4">
        <f t="shared" si="4"/>
        <v>3212</v>
      </c>
    </row>
    <row r="5632" ht="15.75" customHeight="1">
      <c r="A5632" s="4" t="s">
        <v>1621</v>
      </c>
      <c r="B5632" s="4" t="s">
        <v>13</v>
      </c>
      <c r="C5632" s="4">
        <v>0.00415</v>
      </c>
      <c r="D5632" s="4">
        <v>0.0016</v>
      </c>
      <c r="E5632" s="4">
        <v>0.0028</v>
      </c>
      <c r="F5632" s="4">
        <v>0.0135</v>
      </c>
      <c r="G5632" s="4">
        <v>0.0135</v>
      </c>
      <c r="H5632" s="4">
        <v>0.0</v>
      </c>
      <c r="I5632" s="4">
        <v>0.0972</v>
      </c>
      <c r="J5632" s="4">
        <v>0.0062</v>
      </c>
      <c r="K5632" s="6" t="b">
        <f t="shared" ref="K5632:M5632" si="5375">FALSE()</f>
        <v>0</v>
      </c>
      <c r="L5632" s="6" t="b">
        <f t="shared" si="5375"/>
        <v>0</v>
      </c>
      <c r="M5632" s="6" t="b">
        <f t="shared" si="5375"/>
        <v>0</v>
      </c>
      <c r="N5632" s="4">
        <v>0.00414141250055</v>
      </c>
      <c r="O5632" s="4">
        <v>0.0134096869099176</v>
      </c>
      <c r="P5632" s="4">
        <v>0.0927614800813111</v>
      </c>
      <c r="Q5632" s="4">
        <v>-0.625495723952905</v>
      </c>
      <c r="R5632" s="4">
        <v>-0.643901105718669</v>
      </c>
      <c r="S5632" s="4">
        <v>-1.36224266616089</v>
      </c>
      <c r="T5632" s="4">
        <f t="shared" si="3"/>
        <v>2040</v>
      </c>
      <c r="U5632" s="4">
        <f t="shared" si="4"/>
        <v>4253</v>
      </c>
    </row>
    <row r="5633" ht="15.75" customHeight="1">
      <c r="A5633" s="4" t="s">
        <v>1622</v>
      </c>
      <c r="B5633" s="4" t="s">
        <v>13</v>
      </c>
      <c r="C5633" s="4">
        <v>0.23</v>
      </c>
      <c r="D5633" s="4">
        <v>0.028</v>
      </c>
      <c r="E5633" s="4">
        <v>0.028</v>
      </c>
      <c r="I5633" s="4">
        <v>0.7708</v>
      </c>
      <c r="J5633" s="4">
        <v>0.0116</v>
      </c>
      <c r="K5633" s="6" t="b">
        <f t="shared" ref="K5633:L5633" si="5376">FALSE()</f>
        <v>0</v>
      </c>
      <c r="L5633" s="6" t="b">
        <f t="shared" si="5376"/>
        <v>0</v>
      </c>
      <c r="M5633" s="6" t="b">
        <f>TRUE()</f>
        <v>1</v>
      </c>
      <c r="N5633" s="4">
        <v>0.207014169384326</v>
      </c>
      <c r="P5633" s="4">
        <v>0.571431421875849</v>
      </c>
      <c r="T5633" s="4">
        <f t="shared" si="3"/>
        <v>1128</v>
      </c>
      <c r="U5633" s="4">
        <f t="shared" si="4"/>
        <v>860</v>
      </c>
    </row>
    <row r="5634" ht="15.75" customHeight="1">
      <c r="A5634" s="4" t="s">
        <v>1623</v>
      </c>
      <c r="B5634" s="4" t="s">
        <v>13</v>
      </c>
      <c r="C5634" s="4">
        <v>0.0116</v>
      </c>
      <c r="D5634" s="4">
        <v>0.0044</v>
      </c>
      <c r="E5634" s="4">
        <v>0.0085</v>
      </c>
      <c r="I5634" s="4">
        <v>0.14497</v>
      </c>
      <c r="J5634" s="4">
        <v>0.0116</v>
      </c>
      <c r="K5634" s="6" t="b">
        <f t="shared" ref="K5634:M5634" si="5377">FALSE()</f>
        <v>0</v>
      </c>
      <c r="L5634" s="6" t="b">
        <f t="shared" si="5377"/>
        <v>0</v>
      </c>
      <c r="M5634" s="6" t="b">
        <f t="shared" si="5377"/>
        <v>0</v>
      </c>
      <c r="N5634" s="4">
        <v>0.011533235813673</v>
      </c>
      <c r="P5634" s="4">
        <v>0.135378435789592</v>
      </c>
      <c r="T5634" s="4">
        <f t="shared" si="3"/>
        <v>1907</v>
      </c>
      <c r="U5634" s="4">
        <f t="shared" si="4"/>
        <v>3428</v>
      </c>
    </row>
    <row r="5635" ht="15.75" customHeight="1">
      <c r="A5635" s="4" t="s">
        <v>1624</v>
      </c>
      <c r="B5635" s="4" t="s">
        <v>13</v>
      </c>
      <c r="C5635" s="4">
        <v>0.034</v>
      </c>
      <c r="D5635" s="4">
        <v>0.0044</v>
      </c>
      <c r="E5635" s="4">
        <v>0.0041</v>
      </c>
      <c r="I5635" s="4">
        <v>0.2391</v>
      </c>
      <c r="J5635" s="4">
        <v>0.018</v>
      </c>
      <c r="K5635" s="6" t="b">
        <f t="shared" ref="K5635:M5635" si="5378">FALSE()</f>
        <v>0</v>
      </c>
      <c r="L5635" s="6" t="b">
        <f t="shared" si="5378"/>
        <v>0</v>
      </c>
      <c r="M5635" s="6" t="b">
        <f t="shared" si="5378"/>
        <v>0</v>
      </c>
      <c r="N5635" s="4">
        <v>0.0334347760862373</v>
      </c>
      <c r="P5635" s="4">
        <v>0.21438530964031</v>
      </c>
      <c r="T5635" s="4">
        <f t="shared" si="3"/>
        <v>1501</v>
      </c>
      <c r="U5635" s="4">
        <f t="shared" si="4"/>
        <v>1960</v>
      </c>
    </row>
    <row r="5636" ht="15.75" customHeight="1">
      <c r="A5636" s="4" t="s">
        <v>1625</v>
      </c>
      <c r="B5636" s="4" t="s">
        <v>13</v>
      </c>
      <c r="C5636" s="4">
        <v>0.03392</v>
      </c>
      <c r="I5636" s="4">
        <v>0.292018</v>
      </c>
      <c r="J5636" s="4">
        <v>0.0107</v>
      </c>
      <c r="K5636" s="6" t="b">
        <f t="shared" ref="K5636:M5636" si="5379">FALSE()</f>
        <v>0</v>
      </c>
      <c r="L5636" s="6" t="b">
        <f t="shared" si="5379"/>
        <v>0</v>
      </c>
      <c r="M5636" s="6" t="b">
        <f t="shared" si="5379"/>
        <v>0</v>
      </c>
      <c r="N5636" s="4">
        <v>0.0333574036539963</v>
      </c>
      <c r="P5636" s="4">
        <v>0.256205337151907</v>
      </c>
      <c r="T5636" s="4">
        <f t="shared" si="3"/>
        <v>1503</v>
      </c>
      <c r="U5636" s="4">
        <f t="shared" si="4"/>
        <v>1423</v>
      </c>
    </row>
    <row r="5637" ht="15.75" customHeight="1">
      <c r="A5637" s="4" t="s">
        <v>1626</v>
      </c>
      <c r="B5637" s="4" t="s">
        <v>13</v>
      </c>
      <c r="C5637" s="4">
        <v>0.0324</v>
      </c>
      <c r="D5637" s="4">
        <v>0.0041</v>
      </c>
      <c r="E5637" s="4">
        <v>0.0044</v>
      </c>
      <c r="I5637" s="4">
        <v>0.2748</v>
      </c>
      <c r="J5637" s="4">
        <v>0.0125</v>
      </c>
      <c r="K5637" s="6" t="b">
        <f t="shared" ref="K5637:M5637" si="5380">FALSE()</f>
        <v>0</v>
      </c>
      <c r="L5637" s="6" t="b">
        <f t="shared" si="5380"/>
        <v>0</v>
      </c>
      <c r="M5637" s="6" t="b">
        <f t="shared" si="5380"/>
        <v>0</v>
      </c>
      <c r="N5637" s="4">
        <v>0.0318861888623217</v>
      </c>
      <c r="P5637" s="4">
        <v>0.242789303561044</v>
      </c>
      <c r="T5637" s="4">
        <f t="shared" si="3"/>
        <v>1522</v>
      </c>
      <c r="U5637" s="4">
        <f t="shared" si="4"/>
        <v>1548</v>
      </c>
    </row>
    <row r="5638" ht="15.75" customHeight="1">
      <c r="A5638" s="4" t="s">
        <v>1627</v>
      </c>
      <c r="B5638" s="4" t="s">
        <v>13</v>
      </c>
      <c r="C5638" s="4">
        <v>0.012</v>
      </c>
      <c r="D5638" s="4">
        <v>0.003</v>
      </c>
      <c r="E5638" s="4">
        <v>0.005</v>
      </c>
      <c r="I5638" s="4">
        <v>0.1472</v>
      </c>
      <c r="J5638" s="4">
        <v>0.018</v>
      </c>
      <c r="K5638" s="6" t="b">
        <f t="shared" ref="K5638:M5638" si="5381">FALSE()</f>
        <v>0</v>
      </c>
      <c r="L5638" s="6" t="b">
        <f t="shared" si="5381"/>
        <v>0</v>
      </c>
      <c r="M5638" s="6" t="b">
        <f t="shared" si="5381"/>
        <v>0</v>
      </c>
      <c r="N5638" s="4">
        <v>0.0119285708652738</v>
      </c>
      <c r="P5638" s="4">
        <v>0.137324190863219</v>
      </c>
      <c r="T5638" s="4">
        <f t="shared" si="3"/>
        <v>1900</v>
      </c>
      <c r="U5638" s="4">
        <f t="shared" si="4"/>
        <v>3374</v>
      </c>
    </row>
    <row r="5639" ht="15.75" customHeight="1">
      <c r="A5639" s="4" t="s">
        <v>1628</v>
      </c>
      <c r="B5639" s="4" t="s">
        <v>13</v>
      </c>
      <c r="C5639" s="4">
        <v>0.0035</v>
      </c>
      <c r="D5639" s="4">
        <v>0.0028</v>
      </c>
      <c r="E5639" s="4">
        <v>0.0104</v>
      </c>
      <c r="I5639" s="4">
        <v>0.0919</v>
      </c>
      <c r="J5639" s="4">
        <v>0.0045</v>
      </c>
      <c r="K5639" s="6" t="b">
        <f t="shared" ref="K5639:M5639" si="5382">FALSE()</f>
        <v>0</v>
      </c>
      <c r="L5639" s="6" t="b">
        <f t="shared" si="5382"/>
        <v>0</v>
      </c>
      <c r="M5639" s="6" t="b">
        <f t="shared" si="5382"/>
        <v>0</v>
      </c>
      <c r="N5639" s="4">
        <v>0.0034938892542557</v>
      </c>
      <c r="P5639" s="4">
        <v>0.0879192980378835</v>
      </c>
      <c r="T5639" s="4">
        <f t="shared" si="3"/>
        <v>2049</v>
      </c>
      <c r="U5639" s="4">
        <f t="shared" si="4"/>
        <v>4317</v>
      </c>
    </row>
    <row r="5640" ht="15.75" customHeight="1">
      <c r="A5640" s="4" t="s">
        <v>1629</v>
      </c>
      <c r="B5640" s="4" t="s">
        <v>13</v>
      </c>
      <c r="C5640" s="4">
        <v>1.17</v>
      </c>
      <c r="D5640" s="4">
        <v>0.09</v>
      </c>
      <c r="E5640" s="4">
        <v>0.09</v>
      </c>
      <c r="I5640" s="4">
        <v>1.22</v>
      </c>
      <c r="J5640" s="4">
        <v>0.03</v>
      </c>
      <c r="K5640" s="6" t="b">
        <f t="shared" ref="K5640:L5640" si="5383">FALSE()</f>
        <v>0</v>
      </c>
      <c r="L5640" s="6" t="b">
        <f t="shared" si="5383"/>
        <v>0</v>
      </c>
      <c r="M5640" s="6" t="b">
        <f t="shared" ref="M5640:M5642" si="5385">TRUE()</f>
        <v>1</v>
      </c>
      <c r="N5640" s="4">
        <v>0.774727167552368</v>
      </c>
      <c r="P5640" s="4">
        <v>0.797507195884188</v>
      </c>
      <c r="T5640" s="4">
        <f t="shared" si="3"/>
        <v>603</v>
      </c>
      <c r="U5640" s="4">
        <f t="shared" si="4"/>
        <v>350</v>
      </c>
    </row>
    <row r="5641" ht="15.75" customHeight="1">
      <c r="A5641" s="4" t="s">
        <v>1630</v>
      </c>
      <c r="B5641" s="4" t="s">
        <v>13</v>
      </c>
      <c r="C5641" s="4">
        <v>1.635</v>
      </c>
      <c r="D5641" s="4">
        <v>0.032</v>
      </c>
      <c r="E5641" s="4">
        <v>0.032</v>
      </c>
      <c r="I5641" s="4">
        <v>1.284</v>
      </c>
      <c r="J5641" s="4">
        <v>0.098</v>
      </c>
      <c r="K5641" s="6" t="b">
        <f t="shared" ref="K5641:L5641" si="5384">FALSE()</f>
        <v>0</v>
      </c>
      <c r="L5641" s="6" t="b">
        <f t="shared" si="5384"/>
        <v>0</v>
      </c>
      <c r="M5641" s="6" t="b">
        <f t="shared" si="5385"/>
        <v>1</v>
      </c>
      <c r="N5641" s="4">
        <v>0.968883181993326</v>
      </c>
      <c r="P5641" s="4">
        <v>0.825928291793764</v>
      </c>
      <c r="T5641" s="4">
        <f t="shared" si="3"/>
        <v>492</v>
      </c>
      <c r="U5641" s="4">
        <f t="shared" si="4"/>
        <v>278</v>
      </c>
    </row>
    <row r="5642" ht="15.75" customHeight="1">
      <c r="A5642" s="4" t="s">
        <v>1631</v>
      </c>
      <c r="B5642" s="4" t="s">
        <v>13</v>
      </c>
      <c r="C5642" s="4">
        <v>0.798</v>
      </c>
      <c r="D5642" s="4">
        <v>0.075</v>
      </c>
      <c r="E5642" s="4">
        <v>0.075</v>
      </c>
      <c r="I5642" s="4">
        <v>1.063</v>
      </c>
      <c r="J5642" s="4">
        <v>0.042</v>
      </c>
      <c r="K5642" s="6" t="b">
        <f t="shared" ref="K5642:L5642" si="5386">FALSE()</f>
        <v>0</v>
      </c>
      <c r="L5642" s="6" t="b">
        <f t="shared" si="5386"/>
        <v>0</v>
      </c>
      <c r="M5642" s="6" t="b">
        <f t="shared" si="5385"/>
        <v>1</v>
      </c>
      <c r="N5642" s="4">
        <v>0.586674936049429</v>
      </c>
      <c r="P5642" s="4">
        <v>0.724161234089115</v>
      </c>
      <c r="T5642" s="4">
        <f t="shared" si="3"/>
        <v>776</v>
      </c>
      <c r="U5642" s="4">
        <f t="shared" si="4"/>
        <v>583</v>
      </c>
    </row>
    <row r="5643" ht="15.75" customHeight="1">
      <c r="A5643" s="4" t="s">
        <v>6028</v>
      </c>
      <c r="B5643" s="4" t="s">
        <v>13</v>
      </c>
      <c r="I5643" s="4">
        <v>0.70328</v>
      </c>
      <c r="K5643" s="6" t="b">
        <f t="shared" ref="K5643:M5643" si="5387">FALSE()</f>
        <v>0</v>
      </c>
      <c r="L5643" s="6" t="b">
        <f t="shared" si="5387"/>
        <v>0</v>
      </c>
      <c r="M5643" s="6" t="b">
        <f t="shared" si="5387"/>
        <v>0</v>
      </c>
      <c r="P5643" s="4">
        <v>0.5325558039027</v>
      </c>
      <c r="T5643" s="4" t="str">
        <f t="shared" si="3"/>
        <v/>
      </c>
      <c r="U5643" s="4">
        <f t="shared" si="4"/>
        <v>897</v>
      </c>
    </row>
    <row r="5644" ht="15.75" customHeight="1">
      <c r="A5644" s="4" t="s">
        <v>1632</v>
      </c>
      <c r="B5644" s="4" t="s">
        <v>13</v>
      </c>
      <c r="C5644" s="4">
        <v>0.247</v>
      </c>
      <c r="D5644" s="4">
        <v>0.0311</v>
      </c>
      <c r="E5644" s="4">
        <v>0.0299</v>
      </c>
      <c r="F5644" s="4">
        <v>0.246</v>
      </c>
      <c r="G5644" s="4">
        <v>0.0311</v>
      </c>
      <c r="H5644" s="4">
        <v>0.0311</v>
      </c>
      <c r="I5644" s="4">
        <v>0.5719</v>
      </c>
      <c r="J5644" s="4">
        <v>0.0143</v>
      </c>
      <c r="K5644" s="6" t="b">
        <f t="shared" ref="K5644:M5644" si="5388">FALSE()</f>
        <v>0</v>
      </c>
      <c r="L5644" s="6" t="b">
        <f t="shared" si="5388"/>
        <v>0</v>
      </c>
      <c r="M5644" s="6" t="b">
        <f t="shared" si="5388"/>
        <v>0</v>
      </c>
      <c r="N5644" s="4">
        <v>0.220740666697899</v>
      </c>
      <c r="O5644" s="4">
        <v>0.219938420365261</v>
      </c>
      <c r="P5644" s="4">
        <v>0.452285078752055</v>
      </c>
      <c r="Q5644" s="4">
        <v>-0.47633282987991</v>
      </c>
      <c r="R5644" s="4">
        <v>-0.496394488793684</v>
      </c>
      <c r="S5644" s="4">
        <v>-0.474070003087719</v>
      </c>
      <c r="T5644" s="4">
        <f t="shared" si="3"/>
        <v>1115</v>
      </c>
      <c r="U5644" s="4">
        <f t="shared" si="4"/>
        <v>958</v>
      </c>
    </row>
    <row r="5645" ht="15.75" customHeight="1">
      <c r="A5645" s="4" t="s">
        <v>1633</v>
      </c>
      <c r="B5645" s="4" t="s">
        <v>13</v>
      </c>
      <c r="C5645" s="4">
        <v>0.1495</v>
      </c>
      <c r="D5645" s="4">
        <v>0.0431</v>
      </c>
      <c r="E5645" s="4">
        <v>0.0431</v>
      </c>
      <c r="I5645" s="4">
        <v>0.7075</v>
      </c>
      <c r="J5645" s="4">
        <v>0.018</v>
      </c>
      <c r="K5645" s="6" t="b">
        <f t="shared" ref="K5645:M5645" si="5389">FALSE()</f>
        <v>0</v>
      </c>
      <c r="L5645" s="6" t="b">
        <f t="shared" si="5389"/>
        <v>0</v>
      </c>
      <c r="M5645" s="6" t="b">
        <f t="shared" si="5389"/>
        <v>0</v>
      </c>
      <c r="N5645" s="4">
        <v>0.139327065221099</v>
      </c>
      <c r="P5645" s="4">
        <v>0.535030312462808</v>
      </c>
      <c r="T5645" s="4">
        <f t="shared" si="3"/>
        <v>1198</v>
      </c>
      <c r="U5645" s="4">
        <f t="shared" si="4"/>
        <v>896</v>
      </c>
    </row>
    <row r="5646" ht="15.75" customHeight="1">
      <c r="A5646" s="4" t="s">
        <v>1634</v>
      </c>
      <c r="B5646" s="4" t="s">
        <v>13</v>
      </c>
      <c r="C5646" s="4">
        <v>0.039</v>
      </c>
      <c r="D5646" s="4">
        <v>0.0053</v>
      </c>
      <c r="E5646" s="4">
        <v>0.0053</v>
      </c>
      <c r="I5646" s="4">
        <v>0.2364</v>
      </c>
      <c r="J5646" s="4">
        <v>0.0134</v>
      </c>
      <c r="K5646" s="6" t="b">
        <f t="shared" ref="K5646:M5646" si="5390">FALSE()</f>
        <v>0</v>
      </c>
      <c r="L5646" s="6" t="b">
        <f t="shared" si="5390"/>
        <v>0</v>
      </c>
      <c r="M5646" s="6" t="b">
        <f t="shared" si="5390"/>
        <v>0</v>
      </c>
      <c r="N5646" s="4">
        <v>0.0382587121170903</v>
      </c>
      <c r="P5646" s="4">
        <v>0.212203931275824</v>
      </c>
      <c r="T5646" s="4">
        <f t="shared" si="3"/>
        <v>1460</v>
      </c>
      <c r="U5646" s="4">
        <f t="shared" si="4"/>
        <v>2006</v>
      </c>
    </row>
    <row r="5647" ht="15.75" customHeight="1">
      <c r="A5647" s="4" t="s">
        <v>1635</v>
      </c>
      <c r="B5647" s="4" t="s">
        <v>13</v>
      </c>
      <c r="C5647" s="4">
        <v>0.0289</v>
      </c>
      <c r="D5647" s="4">
        <v>0.006</v>
      </c>
      <c r="E5647" s="4">
        <v>0.006</v>
      </c>
      <c r="I5647" s="4">
        <v>0.25</v>
      </c>
      <c r="J5647" s="4">
        <v>0.0161</v>
      </c>
      <c r="K5647" s="6" t="b">
        <f t="shared" ref="K5647:M5647" si="5391">FALSE()</f>
        <v>0</v>
      </c>
      <c r="L5647" s="6" t="b">
        <f t="shared" si="5391"/>
        <v>0</v>
      </c>
      <c r="M5647" s="6" t="b">
        <f t="shared" si="5391"/>
        <v>0</v>
      </c>
      <c r="N5647" s="4">
        <v>0.0284902703996274</v>
      </c>
      <c r="P5647" s="4">
        <v>0.22314355131421</v>
      </c>
      <c r="T5647" s="4">
        <f t="shared" si="3"/>
        <v>1572</v>
      </c>
      <c r="U5647" s="4">
        <f t="shared" si="4"/>
        <v>1814</v>
      </c>
    </row>
    <row r="5648" ht="15.75" customHeight="1">
      <c r="A5648" s="4" t="s">
        <v>1636</v>
      </c>
      <c r="B5648" s="4" t="s">
        <v>13</v>
      </c>
      <c r="C5648" s="4">
        <v>0.00529</v>
      </c>
      <c r="D5648" s="4">
        <v>0.00176</v>
      </c>
      <c r="E5648" s="4">
        <v>0.00362</v>
      </c>
      <c r="I5648" s="4">
        <v>0.1053</v>
      </c>
      <c r="J5648" s="4">
        <v>0.0062</v>
      </c>
      <c r="K5648" s="6" t="b">
        <f t="shared" ref="K5648:M5648" si="5392">FALSE()</f>
        <v>0</v>
      </c>
      <c r="L5648" s="6" t="b">
        <f t="shared" si="5392"/>
        <v>0</v>
      </c>
      <c r="M5648" s="6" t="b">
        <f t="shared" si="5392"/>
        <v>0</v>
      </c>
      <c r="N5648" s="4">
        <v>0.0052760571003437</v>
      </c>
      <c r="P5648" s="4">
        <v>0.100116791334773</v>
      </c>
      <c r="T5648" s="4">
        <f t="shared" si="3"/>
        <v>2019</v>
      </c>
      <c r="U5648" s="4">
        <f t="shared" si="4"/>
        <v>4135</v>
      </c>
    </row>
    <row r="5649" ht="15.75" customHeight="1">
      <c r="A5649" s="4" t="s">
        <v>1637</v>
      </c>
      <c r="B5649" s="4" t="s">
        <v>13</v>
      </c>
      <c r="C5649" s="4">
        <v>1.05</v>
      </c>
      <c r="D5649" s="4">
        <v>0.06</v>
      </c>
      <c r="E5649" s="4">
        <v>0.06</v>
      </c>
      <c r="I5649" s="4">
        <v>1.28</v>
      </c>
      <c r="J5649" s="4">
        <v>0.03</v>
      </c>
      <c r="K5649" s="6" t="b">
        <f t="shared" ref="K5649:L5649" si="5393">FALSE()</f>
        <v>0</v>
      </c>
      <c r="L5649" s="6" t="b">
        <f t="shared" si="5393"/>
        <v>0</v>
      </c>
      <c r="M5649" s="6" t="b">
        <f t="shared" ref="M5649:M5650" si="5395">TRUE()</f>
        <v>1</v>
      </c>
      <c r="N5649" s="4">
        <v>0.717839793150317</v>
      </c>
      <c r="P5649" s="4">
        <v>0.824175442966349</v>
      </c>
      <c r="T5649" s="4">
        <f t="shared" si="3"/>
        <v>646</v>
      </c>
      <c r="U5649" s="4">
        <f t="shared" si="4"/>
        <v>285</v>
      </c>
    </row>
    <row r="5650" ht="15.75" customHeight="1">
      <c r="A5650" s="4" t="s">
        <v>1639</v>
      </c>
      <c r="B5650" s="4" t="s">
        <v>13</v>
      </c>
      <c r="C5650" s="4">
        <v>0.435</v>
      </c>
      <c r="D5650" s="4">
        <v>0.082</v>
      </c>
      <c r="E5650" s="4">
        <v>0.086</v>
      </c>
      <c r="I5650" s="4">
        <v>1.693</v>
      </c>
      <c r="J5650" s="4">
        <v>0.057</v>
      </c>
      <c r="K5650" s="6" t="b">
        <f t="shared" ref="K5650:L5650" si="5394">FALSE()</f>
        <v>0</v>
      </c>
      <c r="L5650" s="6" t="b">
        <f t="shared" si="5394"/>
        <v>0</v>
      </c>
      <c r="M5650" s="6" t="b">
        <f t="shared" si="5395"/>
        <v>1</v>
      </c>
      <c r="N5650" s="4">
        <v>0.361164849211584</v>
      </c>
      <c r="P5650" s="4">
        <v>0.990655813829462</v>
      </c>
      <c r="T5650" s="4">
        <f t="shared" si="3"/>
        <v>990</v>
      </c>
      <c r="U5650" s="4">
        <f t="shared" si="4"/>
        <v>48</v>
      </c>
    </row>
    <row r="5651" ht="15.75" customHeight="1">
      <c r="A5651" s="4" t="s">
        <v>1640</v>
      </c>
      <c r="B5651" s="4" t="s">
        <v>13</v>
      </c>
      <c r="C5651" s="4">
        <v>0.0485</v>
      </c>
      <c r="D5651" s="4">
        <v>0.0113</v>
      </c>
      <c r="E5651" s="4">
        <v>0.0173</v>
      </c>
      <c r="I5651" s="4">
        <v>0.3354</v>
      </c>
      <c r="J5651" s="4">
        <v>0.0134</v>
      </c>
      <c r="K5651" s="6" t="b">
        <f t="shared" ref="K5651:M5651" si="5396">FALSE()</f>
        <v>0</v>
      </c>
      <c r="L5651" s="6" t="b">
        <f t="shared" si="5396"/>
        <v>0</v>
      </c>
      <c r="M5651" s="6" t="b">
        <f t="shared" si="5396"/>
        <v>0</v>
      </c>
      <c r="N5651" s="4">
        <v>0.0473605713598375</v>
      </c>
      <c r="P5651" s="4">
        <v>0.289230872441631</v>
      </c>
      <c r="T5651" s="4">
        <f t="shared" si="3"/>
        <v>1409</v>
      </c>
      <c r="U5651" s="4">
        <f t="shared" si="4"/>
        <v>1245</v>
      </c>
    </row>
    <row r="5652" ht="15.75" customHeight="1">
      <c r="A5652" s="4" t="s">
        <v>1641</v>
      </c>
      <c r="B5652" s="4" t="s">
        <v>13</v>
      </c>
      <c r="C5652" s="4">
        <v>0.303</v>
      </c>
      <c r="D5652" s="4">
        <v>0.072</v>
      </c>
      <c r="E5652" s="4">
        <v>0.072</v>
      </c>
      <c r="I5652" s="4">
        <v>0.824</v>
      </c>
      <c r="J5652" s="4">
        <v>0.029</v>
      </c>
      <c r="K5652" s="6" t="b">
        <f t="shared" ref="K5652:L5652" si="5397">FALSE()</f>
        <v>0</v>
      </c>
      <c r="L5652" s="6" t="b">
        <f t="shared" si="5397"/>
        <v>0</v>
      </c>
      <c r="M5652" s="6" t="b">
        <f>TRUE()</f>
        <v>1</v>
      </c>
      <c r="N5652" s="4">
        <v>0.264669298142708</v>
      </c>
      <c r="P5652" s="4">
        <v>0.60103189165214</v>
      </c>
      <c r="T5652" s="4">
        <f t="shared" si="3"/>
        <v>1066</v>
      </c>
      <c r="U5652" s="4">
        <f t="shared" si="4"/>
        <v>821</v>
      </c>
    </row>
    <row r="5653" ht="15.75" customHeight="1">
      <c r="A5653" s="4" t="s">
        <v>1642</v>
      </c>
      <c r="B5653" s="4" t="s">
        <v>13</v>
      </c>
      <c r="C5653" s="4">
        <v>0.00453</v>
      </c>
      <c r="D5653" s="4">
        <v>4.4E-4</v>
      </c>
      <c r="E5653" s="4">
        <v>4.4E-4</v>
      </c>
      <c r="I5653" s="4">
        <v>0.09626</v>
      </c>
      <c r="J5653" s="4">
        <v>0.0058</v>
      </c>
      <c r="K5653" s="6" t="b">
        <f t="shared" ref="K5653:M5653" si="5398">FALSE()</f>
        <v>0</v>
      </c>
      <c r="L5653" s="6" t="b">
        <f t="shared" si="5398"/>
        <v>0</v>
      </c>
      <c r="M5653" s="6" t="b">
        <f t="shared" si="5398"/>
        <v>0</v>
      </c>
      <c r="N5653" s="4">
        <v>0.0045197704316622</v>
      </c>
      <c r="P5653" s="4">
        <v>0.091904386669492</v>
      </c>
      <c r="T5653" s="4">
        <f t="shared" si="3"/>
        <v>2032</v>
      </c>
      <c r="U5653" s="4">
        <f t="shared" si="4"/>
        <v>4264</v>
      </c>
    </row>
    <row r="5654" ht="15.75" customHeight="1">
      <c r="A5654" s="4" t="s">
        <v>1643</v>
      </c>
      <c r="B5654" s="4" t="s">
        <v>13</v>
      </c>
      <c r="C5654" s="4">
        <v>6.33</v>
      </c>
      <c r="D5654" s="4">
        <v>0.3</v>
      </c>
      <c r="E5654" s="4">
        <v>0.3</v>
      </c>
      <c r="I5654" s="4">
        <v>1.06</v>
      </c>
      <c r="J5654" s="4">
        <v>0.034</v>
      </c>
      <c r="K5654" s="6" t="b">
        <f t="shared" ref="K5654:K5655" si="5399">TRUE()</f>
        <v>1</v>
      </c>
      <c r="L5654" s="6" t="b">
        <f t="shared" ref="L5654:L5655" si="5400">FALSE()</f>
        <v>0</v>
      </c>
      <c r="M5654" s="6" t="b">
        <f t="shared" ref="M5654:M5655" si="5401">TRUE()</f>
        <v>1</v>
      </c>
      <c r="N5654" s="4">
        <v>1.99197551589856</v>
      </c>
      <c r="P5654" s="4">
        <v>0.72270598280149</v>
      </c>
      <c r="T5654" s="4">
        <f t="shared" si="3"/>
        <v>151</v>
      </c>
      <c r="U5654" s="4">
        <f t="shared" si="4"/>
        <v>596</v>
      </c>
    </row>
    <row r="5655" ht="15.75" customHeight="1">
      <c r="A5655" s="4" t="s">
        <v>1644</v>
      </c>
      <c r="B5655" s="4" t="s">
        <v>13</v>
      </c>
      <c r="C5655" s="4">
        <v>7.84</v>
      </c>
      <c r="D5655" s="4">
        <v>0.31</v>
      </c>
      <c r="E5655" s="4">
        <v>0.31</v>
      </c>
      <c r="I5655" s="4">
        <v>1.03</v>
      </c>
      <c r="J5655" s="4">
        <v>0.06</v>
      </c>
      <c r="K5655" s="6" t="b">
        <f t="shared" si="5399"/>
        <v>1</v>
      </c>
      <c r="L5655" s="6" t="b">
        <f t="shared" si="5400"/>
        <v>0</v>
      </c>
      <c r="M5655" s="6" t="b">
        <f t="shared" si="5401"/>
        <v>1</v>
      </c>
      <c r="N5655" s="4">
        <v>2.17928687664955</v>
      </c>
      <c r="P5655" s="4">
        <v>0.708035793053696</v>
      </c>
      <c r="T5655" s="4">
        <f t="shared" si="3"/>
        <v>115</v>
      </c>
      <c r="U5655" s="4">
        <f t="shared" si="4"/>
        <v>630</v>
      </c>
    </row>
    <row r="5656" ht="15.75" customHeight="1">
      <c r="A5656" s="4" t="s">
        <v>1645</v>
      </c>
      <c r="B5656" s="4" t="s">
        <v>13</v>
      </c>
      <c r="C5656" s="4">
        <v>0.00368</v>
      </c>
      <c r="D5656" s="4">
        <v>6.9E-4</v>
      </c>
      <c r="E5656" s="4">
        <v>6.9E-4</v>
      </c>
      <c r="I5656" s="4">
        <v>0.09448</v>
      </c>
      <c r="J5656" s="4">
        <v>0.00366</v>
      </c>
      <c r="K5656" s="6" t="b">
        <f t="shared" ref="K5656:M5656" si="5402">FALSE()</f>
        <v>0</v>
      </c>
      <c r="L5656" s="6" t="b">
        <f t="shared" si="5402"/>
        <v>0</v>
      </c>
      <c r="M5656" s="6" t="b">
        <f t="shared" si="5402"/>
        <v>0</v>
      </c>
      <c r="N5656" s="4">
        <v>0.003673245366296</v>
      </c>
      <c r="P5656" s="4">
        <v>0.0902793646297215</v>
      </c>
      <c r="T5656" s="4">
        <f t="shared" si="3"/>
        <v>2047</v>
      </c>
      <c r="U5656" s="4">
        <f t="shared" si="4"/>
        <v>4286</v>
      </c>
    </row>
    <row r="5657" ht="15.75" customHeight="1">
      <c r="A5657" s="4" t="s">
        <v>1646</v>
      </c>
      <c r="B5657" s="4" t="s">
        <v>13</v>
      </c>
      <c r="C5657" s="4">
        <v>10.0</v>
      </c>
      <c r="D5657" s="4">
        <v>0.3</v>
      </c>
      <c r="E5657" s="4">
        <v>0.3</v>
      </c>
      <c r="I5657" s="4">
        <v>0.97</v>
      </c>
      <c r="J5657" s="4">
        <v>0.03</v>
      </c>
      <c r="K5657" s="6" t="b">
        <f>TRUE()</f>
        <v>1</v>
      </c>
      <c r="L5657" s="6" t="b">
        <f>FALSE()</f>
        <v>0</v>
      </c>
      <c r="M5657" s="6" t="b">
        <f t="shared" ref="M5657:M5659" si="5404">TRUE()</f>
        <v>1</v>
      </c>
      <c r="N5657" s="4">
        <v>2.39789527279837</v>
      </c>
      <c r="P5657" s="4">
        <v>0.678033542749897</v>
      </c>
      <c r="T5657" s="4">
        <f t="shared" si="3"/>
        <v>59</v>
      </c>
      <c r="U5657" s="4">
        <f t="shared" si="4"/>
        <v>703</v>
      </c>
    </row>
    <row r="5658" ht="15.75" customHeight="1">
      <c r="A5658" s="4" t="s">
        <v>1647</v>
      </c>
      <c r="B5658" s="4" t="s">
        <v>13</v>
      </c>
      <c r="C5658" s="4">
        <v>1.04</v>
      </c>
      <c r="D5658" s="4">
        <v>0.094</v>
      </c>
      <c r="E5658" s="4">
        <v>0.094</v>
      </c>
      <c r="I5658" s="4">
        <v>1.0072</v>
      </c>
      <c r="J5658" s="4">
        <v>0.033</v>
      </c>
      <c r="K5658" s="6" t="b">
        <f t="shared" ref="K5658:L5658" si="5403">FALSE()</f>
        <v>0</v>
      </c>
      <c r="L5658" s="6" t="b">
        <f t="shared" si="5403"/>
        <v>0</v>
      </c>
      <c r="M5658" s="6" t="b">
        <f t="shared" si="5404"/>
        <v>1</v>
      </c>
      <c r="N5658" s="4">
        <v>0.712949807856125</v>
      </c>
      <c r="P5658" s="4">
        <v>0.696740716070076</v>
      </c>
      <c r="T5658" s="4">
        <f t="shared" si="3"/>
        <v>649</v>
      </c>
      <c r="U5658" s="4">
        <f t="shared" si="4"/>
        <v>659</v>
      </c>
    </row>
    <row r="5659" ht="15.75" customHeight="1">
      <c r="A5659" s="4" t="s">
        <v>1648</v>
      </c>
      <c r="B5659" s="4" t="s">
        <v>13</v>
      </c>
      <c r="C5659" s="4">
        <v>0.88</v>
      </c>
      <c r="D5659" s="4">
        <v>0.16</v>
      </c>
      <c r="E5659" s="4">
        <v>0.16</v>
      </c>
      <c r="I5659" s="4">
        <v>1.771</v>
      </c>
      <c r="J5659" s="4">
        <v>0.06</v>
      </c>
      <c r="K5659" s="6" t="b">
        <f t="shared" ref="K5659:L5659" si="5405">FALSE()</f>
        <v>0</v>
      </c>
      <c r="L5659" s="6" t="b">
        <f t="shared" si="5405"/>
        <v>0</v>
      </c>
      <c r="M5659" s="6" t="b">
        <f t="shared" si="5404"/>
        <v>1</v>
      </c>
      <c r="N5659" s="4">
        <v>0.631271776841858</v>
      </c>
      <c r="P5659" s="4">
        <v>1.01920826588084</v>
      </c>
      <c r="T5659" s="4">
        <f t="shared" si="3"/>
        <v>727</v>
      </c>
      <c r="U5659" s="4">
        <f t="shared" si="4"/>
        <v>33</v>
      </c>
    </row>
    <row r="5660" ht="15.75" customHeight="1">
      <c r="A5660" s="4" t="s">
        <v>6029</v>
      </c>
      <c r="B5660" s="4" t="s">
        <v>13</v>
      </c>
      <c r="I5660" s="4">
        <v>0.41</v>
      </c>
      <c r="J5660" s="4">
        <v>0.0214</v>
      </c>
      <c r="K5660" s="6" t="b">
        <f t="shared" ref="K5660:M5660" si="5406">FALSE()</f>
        <v>0</v>
      </c>
      <c r="L5660" s="6" t="b">
        <f t="shared" si="5406"/>
        <v>0</v>
      </c>
      <c r="M5660" s="6" t="b">
        <f t="shared" si="5406"/>
        <v>0</v>
      </c>
      <c r="P5660" s="4">
        <v>0.343589704390077</v>
      </c>
      <c r="T5660" s="4" t="str">
        <f t="shared" si="3"/>
        <v/>
      </c>
      <c r="U5660" s="4">
        <f t="shared" si="4"/>
        <v>1110</v>
      </c>
    </row>
    <row r="5661" ht="15.75" customHeight="1">
      <c r="A5661" s="4" t="s">
        <v>6030</v>
      </c>
      <c r="B5661" s="4" t="s">
        <v>13</v>
      </c>
      <c r="I5661" s="4">
        <v>0.214</v>
      </c>
      <c r="J5661" s="4">
        <v>0.009</v>
      </c>
      <c r="K5661" s="6" t="b">
        <f t="shared" ref="K5661:M5661" si="5407">FALSE()</f>
        <v>0</v>
      </c>
      <c r="L5661" s="6" t="b">
        <f t="shared" si="5407"/>
        <v>0</v>
      </c>
      <c r="M5661" s="6" t="b">
        <f t="shared" si="5407"/>
        <v>0</v>
      </c>
      <c r="P5661" s="4">
        <v>0.193920692637307</v>
      </c>
      <c r="T5661" s="4" t="str">
        <f t="shared" si="3"/>
        <v/>
      </c>
      <c r="U5661" s="4">
        <f t="shared" si="4"/>
        <v>2352</v>
      </c>
    </row>
    <row r="5662" ht="15.75" customHeight="1">
      <c r="A5662" s="4" t="s">
        <v>1649</v>
      </c>
      <c r="B5662" s="4" t="s">
        <v>13</v>
      </c>
      <c r="C5662" s="4">
        <v>0.75</v>
      </c>
      <c r="D5662" s="4">
        <v>0.06</v>
      </c>
      <c r="E5662" s="4">
        <v>0.06</v>
      </c>
      <c r="I5662" s="4">
        <v>0.98</v>
      </c>
      <c r="J5662" s="4">
        <v>0.05</v>
      </c>
      <c r="K5662" s="6" t="b">
        <f t="shared" ref="K5662:L5662" si="5408">FALSE()</f>
        <v>0</v>
      </c>
      <c r="L5662" s="6" t="b">
        <f t="shared" si="5408"/>
        <v>0</v>
      </c>
      <c r="M5662" s="6" t="b">
        <f>TRUE()</f>
        <v>1</v>
      </c>
      <c r="N5662" s="4">
        <v>0.559615787935423</v>
      </c>
      <c r="P5662" s="4">
        <v>0.683096844706444</v>
      </c>
      <c r="T5662" s="4">
        <f t="shared" si="3"/>
        <v>797</v>
      </c>
      <c r="U5662" s="4">
        <f t="shared" si="4"/>
        <v>696</v>
      </c>
    </row>
    <row r="5663" ht="15.75" customHeight="1">
      <c r="A5663" s="4" t="s">
        <v>1650</v>
      </c>
      <c r="B5663" s="4" t="s">
        <v>13</v>
      </c>
      <c r="C5663" s="4">
        <v>0.014</v>
      </c>
      <c r="D5663" s="4">
        <v>0.0022</v>
      </c>
      <c r="E5663" s="4">
        <v>0.0019</v>
      </c>
      <c r="I5663" s="4">
        <v>0.2025</v>
      </c>
      <c r="J5663" s="4">
        <v>0.009</v>
      </c>
      <c r="K5663" s="6" t="b">
        <f t="shared" ref="K5663:M5663" si="5409">FALSE()</f>
        <v>0</v>
      </c>
      <c r="L5663" s="6" t="b">
        <f t="shared" si="5409"/>
        <v>0</v>
      </c>
      <c r="M5663" s="6" t="b">
        <f t="shared" si="5409"/>
        <v>0</v>
      </c>
      <c r="N5663" s="4">
        <v>0.0139029051689914</v>
      </c>
      <c r="P5663" s="4">
        <v>0.184402722997779</v>
      </c>
      <c r="T5663" s="4">
        <f t="shared" si="3"/>
        <v>1850</v>
      </c>
      <c r="U5663" s="4">
        <f t="shared" si="4"/>
        <v>2545</v>
      </c>
    </row>
    <row r="5664" ht="15.75" customHeight="1">
      <c r="A5664" s="4" t="s">
        <v>1651</v>
      </c>
      <c r="B5664" s="4" t="s">
        <v>13</v>
      </c>
      <c r="C5664" s="4">
        <v>0.01148</v>
      </c>
      <c r="D5664" s="4">
        <v>3.0E-4</v>
      </c>
      <c r="E5664" s="4">
        <v>3.0E-4</v>
      </c>
      <c r="I5664" s="4">
        <v>0.2016</v>
      </c>
      <c r="J5664" s="4">
        <v>0.009</v>
      </c>
      <c r="K5664" s="6" t="b">
        <f t="shared" ref="K5664:M5664" si="5410">FALSE()</f>
        <v>0</v>
      </c>
      <c r="L5664" s="6" t="b">
        <f t="shared" si="5410"/>
        <v>0</v>
      </c>
      <c r="M5664" s="6" t="b">
        <f t="shared" si="5410"/>
        <v>0</v>
      </c>
      <c r="N5664" s="4">
        <v>0.011414604815254</v>
      </c>
      <c r="P5664" s="4">
        <v>0.183654002027733</v>
      </c>
      <c r="T5664" s="4">
        <f t="shared" si="3"/>
        <v>1908</v>
      </c>
      <c r="U5664" s="4">
        <f t="shared" si="4"/>
        <v>2563</v>
      </c>
    </row>
    <row r="5665" ht="15.75" customHeight="1">
      <c r="A5665" s="4" t="s">
        <v>1652</v>
      </c>
      <c r="B5665" s="4" t="s">
        <v>13</v>
      </c>
      <c r="C5665" s="4">
        <v>0.0164</v>
      </c>
      <c r="D5665" s="4">
        <v>0.0164</v>
      </c>
      <c r="E5665" s="4">
        <v>0.0</v>
      </c>
      <c r="I5665" s="4">
        <v>0.1713</v>
      </c>
      <c r="J5665" s="4">
        <v>0.0116</v>
      </c>
      <c r="K5665" s="6" t="b">
        <f t="shared" ref="K5665:M5665" si="5411">FALSE()</f>
        <v>0</v>
      </c>
      <c r="L5665" s="6" t="b">
        <f t="shared" si="5411"/>
        <v>0</v>
      </c>
      <c r="M5665" s="6" t="b">
        <f t="shared" si="5411"/>
        <v>0</v>
      </c>
      <c r="N5665" s="4">
        <v>0.0162669724638719</v>
      </c>
      <c r="P5665" s="4">
        <v>0.158114243093692</v>
      </c>
      <c r="T5665" s="4">
        <f t="shared" si="3"/>
        <v>1799</v>
      </c>
      <c r="U5665" s="4">
        <f t="shared" si="4"/>
        <v>3027</v>
      </c>
    </row>
    <row r="5666" ht="15.75" customHeight="1">
      <c r="A5666" s="4" t="s">
        <v>1653</v>
      </c>
      <c r="B5666" s="4" t="s">
        <v>13</v>
      </c>
      <c r="C5666" s="4">
        <v>0.192</v>
      </c>
      <c r="D5666" s="4">
        <v>0.0249</v>
      </c>
      <c r="E5666" s="4">
        <v>0.0249</v>
      </c>
      <c r="I5666" s="4">
        <v>0.4541</v>
      </c>
      <c r="J5666" s="4">
        <v>0.0241</v>
      </c>
      <c r="K5666" s="6" t="b">
        <f t="shared" ref="K5666:M5666" si="5412">FALSE()</f>
        <v>0</v>
      </c>
      <c r="L5666" s="6" t="b">
        <f t="shared" si="5412"/>
        <v>0</v>
      </c>
      <c r="M5666" s="6" t="b">
        <f t="shared" si="5412"/>
        <v>0</v>
      </c>
      <c r="N5666" s="4">
        <v>0.175632568643158</v>
      </c>
      <c r="P5666" s="4">
        <v>0.374387152537303</v>
      </c>
      <c r="T5666" s="4">
        <f t="shared" si="3"/>
        <v>1160</v>
      </c>
      <c r="U5666" s="4">
        <f t="shared" si="4"/>
        <v>1057</v>
      </c>
    </row>
    <row r="5667" ht="15.75" customHeight="1">
      <c r="A5667" s="4" t="s">
        <v>1654</v>
      </c>
      <c r="B5667" s="4" t="s">
        <v>13</v>
      </c>
      <c r="C5667" s="4">
        <v>0.21</v>
      </c>
      <c r="D5667" s="4">
        <v>0.001</v>
      </c>
      <c r="E5667" s="4">
        <v>0.001</v>
      </c>
      <c r="I5667" s="4">
        <v>0.85</v>
      </c>
      <c r="J5667" s="4">
        <v>0.02</v>
      </c>
      <c r="K5667" s="6" t="b">
        <f t="shared" ref="K5667:L5667" si="5413">FALSE()</f>
        <v>0</v>
      </c>
      <c r="L5667" s="6" t="b">
        <f t="shared" si="5413"/>
        <v>0</v>
      </c>
      <c r="M5667" s="6" t="b">
        <f>TRUE()</f>
        <v>1</v>
      </c>
      <c r="N5667" s="4">
        <v>0.19062035960865</v>
      </c>
      <c r="P5667" s="4">
        <v>0.615185639090234</v>
      </c>
      <c r="T5667" s="4">
        <f t="shared" si="3"/>
        <v>1145</v>
      </c>
      <c r="U5667" s="4">
        <f t="shared" si="4"/>
        <v>803</v>
      </c>
    </row>
    <row r="5668" ht="15.75" customHeight="1">
      <c r="A5668" s="4" t="s">
        <v>6031</v>
      </c>
      <c r="B5668" s="4" t="s">
        <v>13</v>
      </c>
      <c r="C5668" s="4">
        <v>1.45</v>
      </c>
      <c r="D5668" s="4">
        <v>0.03</v>
      </c>
      <c r="E5668" s="4">
        <v>0.03</v>
      </c>
      <c r="F5668" s="4">
        <v>1.45</v>
      </c>
      <c r="G5668" s="4">
        <v>0.03</v>
      </c>
      <c r="H5668" s="4">
        <v>0.03</v>
      </c>
      <c r="K5668" s="6" t="b">
        <f t="shared" ref="K5668:M5668" si="5414">FALSE()</f>
        <v>0</v>
      </c>
      <c r="L5668" s="6" t="b">
        <f t="shared" si="5414"/>
        <v>0</v>
      </c>
      <c r="M5668" s="6" t="b">
        <f t="shared" si="5414"/>
        <v>0</v>
      </c>
      <c r="N5668" s="4">
        <v>0.896088024556636</v>
      </c>
      <c r="O5668" s="4">
        <v>0.896088024556636</v>
      </c>
      <c r="T5668" s="4">
        <f t="shared" si="3"/>
        <v>526</v>
      </c>
      <c r="U5668" s="4" t="str">
        <f t="shared" si="4"/>
        <v/>
      </c>
    </row>
    <row r="5669" ht="15.75" customHeight="1">
      <c r="A5669" s="4" t="s">
        <v>6032</v>
      </c>
      <c r="B5669" s="4" t="s">
        <v>13</v>
      </c>
      <c r="C5669" s="4">
        <v>0.031</v>
      </c>
      <c r="D5669" s="4">
        <v>0.0044</v>
      </c>
      <c r="E5669" s="4">
        <v>0.0044</v>
      </c>
      <c r="K5669" s="6" t="b">
        <f t="shared" ref="K5669:M5669" si="5415">FALSE()</f>
        <v>0</v>
      </c>
      <c r="L5669" s="6" t="b">
        <f t="shared" si="5415"/>
        <v>0</v>
      </c>
      <c r="M5669" s="6" t="b">
        <f t="shared" si="5415"/>
        <v>0</v>
      </c>
      <c r="N5669" s="4">
        <v>0.0305292050348228</v>
      </c>
      <c r="T5669" s="4">
        <f t="shared" si="3"/>
        <v>1539</v>
      </c>
      <c r="U5669" s="4" t="str">
        <f t="shared" si="4"/>
        <v/>
      </c>
    </row>
    <row r="5670" ht="15.75" customHeight="1">
      <c r="A5670" s="4" t="s">
        <v>1655</v>
      </c>
      <c r="B5670" s="4" t="s">
        <v>13</v>
      </c>
      <c r="C5670" s="4">
        <v>0.0759785</v>
      </c>
      <c r="I5670" s="4">
        <v>0.469305</v>
      </c>
      <c r="J5670" s="4">
        <v>0.009</v>
      </c>
      <c r="K5670" s="6" t="b">
        <f t="shared" ref="K5670:M5670" si="5416">FALSE()</f>
        <v>0</v>
      </c>
      <c r="L5670" s="6" t="b">
        <f t="shared" si="5416"/>
        <v>0</v>
      </c>
      <c r="M5670" s="6" t="b">
        <f t="shared" si="5416"/>
        <v>0</v>
      </c>
      <c r="N5670" s="4">
        <v>0.0732304801273221</v>
      </c>
      <c r="P5670" s="4">
        <v>0.384789499874985</v>
      </c>
      <c r="T5670" s="4">
        <f t="shared" si="3"/>
        <v>1308</v>
      </c>
      <c r="U5670" s="4">
        <f t="shared" si="4"/>
        <v>1039</v>
      </c>
    </row>
    <row r="5671" ht="15.75" customHeight="1">
      <c r="A5671" s="4" t="s">
        <v>1656</v>
      </c>
      <c r="B5671" s="4" t="s">
        <v>13</v>
      </c>
      <c r="C5671" s="4">
        <v>0.0739</v>
      </c>
      <c r="D5671" s="4">
        <v>0.0104</v>
      </c>
      <c r="E5671" s="4">
        <v>0.0104</v>
      </c>
      <c r="I5671" s="4">
        <v>0.4693</v>
      </c>
      <c r="J5671" s="4">
        <v>0.0152</v>
      </c>
      <c r="K5671" s="6" t="b">
        <f t="shared" ref="K5671:M5671" si="5417">FALSE()</f>
        <v>0</v>
      </c>
      <c r="L5671" s="6" t="b">
        <f t="shared" si="5417"/>
        <v>0</v>
      </c>
      <c r="M5671" s="6" t="b">
        <f t="shared" si="5417"/>
        <v>0</v>
      </c>
      <c r="N5671" s="4">
        <v>0.0712968818820337</v>
      </c>
      <c r="P5671" s="4">
        <v>0.384786096899764</v>
      </c>
      <c r="T5671" s="4">
        <f t="shared" si="3"/>
        <v>1313</v>
      </c>
      <c r="U5671" s="4">
        <f t="shared" si="4"/>
        <v>1040</v>
      </c>
    </row>
    <row r="5672" ht="15.75" customHeight="1">
      <c r="A5672" s="4" t="s">
        <v>1657</v>
      </c>
      <c r="B5672" s="4" t="s">
        <v>13</v>
      </c>
      <c r="C5672" s="4">
        <v>1.234</v>
      </c>
      <c r="D5672" s="4">
        <v>0.084</v>
      </c>
      <c r="E5672" s="4">
        <v>0.084</v>
      </c>
      <c r="I5672" s="4">
        <v>1.17</v>
      </c>
      <c r="J5672" s="4">
        <v>0.03</v>
      </c>
      <c r="K5672" s="6" t="b">
        <f t="shared" ref="K5672:L5672" si="5418">FALSE()</f>
        <v>0</v>
      </c>
      <c r="L5672" s="6" t="b">
        <f t="shared" si="5418"/>
        <v>0</v>
      </c>
      <c r="M5672" s="6" t="b">
        <f>TRUE()</f>
        <v>1</v>
      </c>
      <c r="N5672" s="4">
        <v>0.803793700647009</v>
      </c>
      <c r="P5672" s="4">
        <v>0.774727167552368</v>
      </c>
      <c r="T5672" s="4">
        <f t="shared" si="3"/>
        <v>578</v>
      </c>
      <c r="U5672" s="4">
        <f t="shared" si="4"/>
        <v>428</v>
      </c>
    </row>
    <row r="5673" ht="15.75" customHeight="1">
      <c r="A5673" s="4" t="s">
        <v>1658</v>
      </c>
      <c r="B5673" s="4" t="s">
        <v>13</v>
      </c>
      <c r="C5673" s="4">
        <v>0.0387</v>
      </c>
      <c r="I5673" s="4">
        <v>0.339</v>
      </c>
      <c r="K5673" s="6" t="b">
        <f t="shared" ref="K5673:M5673" si="5419">FALSE()</f>
        <v>0</v>
      </c>
      <c r="L5673" s="6" t="b">
        <f t="shared" si="5419"/>
        <v>0</v>
      </c>
      <c r="M5673" s="6" t="b">
        <f t="shared" si="5419"/>
        <v>0</v>
      </c>
      <c r="N5673" s="4">
        <v>0.0379699312516286</v>
      </c>
      <c r="P5673" s="4">
        <v>0.291923066709035</v>
      </c>
      <c r="T5673" s="4">
        <f t="shared" si="3"/>
        <v>1461</v>
      </c>
      <c r="U5673" s="4">
        <f t="shared" si="4"/>
        <v>1238</v>
      </c>
    </row>
    <row r="5674" ht="15.75" customHeight="1">
      <c r="A5674" s="4" t="s">
        <v>6033</v>
      </c>
      <c r="B5674" s="4" t="s">
        <v>13</v>
      </c>
      <c r="F5674" s="4">
        <v>0.0302</v>
      </c>
      <c r="K5674" s="6" t="b">
        <f t="shared" ref="K5674:M5674" si="5420">FALSE()</f>
        <v>0</v>
      </c>
      <c r="L5674" s="6" t="b">
        <f t="shared" si="5420"/>
        <v>0</v>
      </c>
      <c r="M5674" s="6" t="b">
        <f t="shared" si="5420"/>
        <v>0</v>
      </c>
      <c r="O5674" s="4">
        <v>0.0297529581493477</v>
      </c>
      <c r="T5674" s="4" t="str">
        <f t="shared" si="3"/>
        <v/>
      </c>
      <c r="U5674" s="4" t="str">
        <f t="shared" si="4"/>
        <v/>
      </c>
    </row>
    <row r="5675" ht="15.75" customHeight="1">
      <c r="A5675" s="4" t="s">
        <v>1659</v>
      </c>
      <c r="B5675" s="4" t="s">
        <v>13</v>
      </c>
      <c r="C5675" s="4">
        <v>4.34</v>
      </c>
      <c r="D5675" s="4">
        <v>0.15</v>
      </c>
      <c r="E5675" s="4">
        <v>0.15</v>
      </c>
      <c r="I5675" s="4">
        <v>1.087</v>
      </c>
      <c r="J5675" s="4">
        <v>0.02</v>
      </c>
      <c r="K5675" s="6" t="b">
        <f>TRUE()</f>
        <v>1</v>
      </c>
      <c r="L5675" s="6" t="b">
        <f>FALSE()</f>
        <v>0</v>
      </c>
      <c r="M5675" s="6" t="b">
        <f t="shared" ref="M5675:M5677" si="5422">TRUE()</f>
        <v>1</v>
      </c>
      <c r="N5675" s="4">
        <v>1.6752256529721</v>
      </c>
      <c r="P5675" s="4">
        <v>0.735727628095064</v>
      </c>
      <c r="T5675" s="4">
        <f t="shared" si="3"/>
        <v>241</v>
      </c>
      <c r="U5675" s="4">
        <f t="shared" si="4"/>
        <v>540</v>
      </c>
    </row>
    <row r="5676" ht="15.75" customHeight="1">
      <c r="A5676" s="4" t="s">
        <v>1660</v>
      </c>
      <c r="B5676" s="4" t="s">
        <v>13</v>
      </c>
      <c r="C5676" s="4">
        <v>0.357</v>
      </c>
      <c r="D5676" s="4">
        <v>0.132</v>
      </c>
      <c r="E5676" s="4">
        <v>0.132</v>
      </c>
      <c r="I5676" s="4">
        <v>0.792</v>
      </c>
      <c r="J5676" s="4">
        <v>0.018</v>
      </c>
      <c r="K5676" s="6" t="b">
        <f t="shared" ref="K5676:L5676" si="5421">FALSE()</f>
        <v>0</v>
      </c>
      <c r="L5676" s="6" t="b">
        <f t="shared" si="5421"/>
        <v>0</v>
      </c>
      <c r="M5676" s="6" t="b">
        <f t="shared" si="5422"/>
        <v>1</v>
      </c>
      <c r="N5676" s="4">
        <v>0.305276380852732</v>
      </c>
      <c r="P5676" s="4">
        <v>0.583332314552739</v>
      </c>
      <c r="T5676" s="4">
        <f t="shared" si="3"/>
        <v>1045</v>
      </c>
      <c r="U5676" s="4">
        <f t="shared" si="4"/>
        <v>846</v>
      </c>
    </row>
    <row r="5677" ht="15.75" customHeight="1">
      <c r="A5677" s="4" t="s">
        <v>1661</v>
      </c>
      <c r="B5677" s="4" t="s">
        <v>13</v>
      </c>
      <c r="C5677" s="4">
        <v>0.168</v>
      </c>
      <c r="D5677" s="4">
        <v>0.022</v>
      </c>
      <c r="E5677" s="4">
        <v>0.022</v>
      </c>
      <c r="I5677" s="4">
        <v>0.855</v>
      </c>
      <c r="J5677" s="4">
        <v>0.022</v>
      </c>
      <c r="K5677" s="6" t="b">
        <f t="shared" ref="K5677:L5677" si="5423">FALSE()</f>
        <v>0</v>
      </c>
      <c r="L5677" s="6" t="b">
        <f t="shared" si="5423"/>
        <v>0</v>
      </c>
      <c r="M5677" s="6" t="b">
        <f t="shared" si="5422"/>
        <v>1</v>
      </c>
      <c r="N5677" s="4">
        <v>0.155292884406035</v>
      </c>
      <c r="P5677" s="4">
        <v>0.617884696059398</v>
      </c>
      <c r="T5677" s="4">
        <f t="shared" si="3"/>
        <v>1187</v>
      </c>
      <c r="U5677" s="4">
        <f t="shared" si="4"/>
        <v>798</v>
      </c>
    </row>
    <row r="5678" ht="15.75" customHeight="1">
      <c r="A5678" s="4" t="s">
        <v>1662</v>
      </c>
      <c r="B5678" s="4" t="s">
        <v>13</v>
      </c>
      <c r="C5678" s="4">
        <v>0.00406</v>
      </c>
      <c r="D5678" s="4">
        <v>0.00116</v>
      </c>
      <c r="E5678" s="4">
        <v>0.003</v>
      </c>
      <c r="I5678" s="4">
        <v>0.08154</v>
      </c>
      <c r="J5678" s="4">
        <v>0.00437</v>
      </c>
      <c r="K5678" s="6" t="b">
        <f t="shared" ref="K5678:M5678" si="5424">FALSE()</f>
        <v>0</v>
      </c>
      <c r="L5678" s="6" t="b">
        <f t="shared" si="5424"/>
        <v>0</v>
      </c>
      <c r="M5678" s="6" t="b">
        <f t="shared" si="5424"/>
        <v>0</v>
      </c>
      <c r="N5678" s="4">
        <v>0.0040517804400979</v>
      </c>
      <c r="P5678" s="4">
        <v>0.078385951395077</v>
      </c>
      <c r="T5678" s="4">
        <f t="shared" si="3"/>
        <v>2042</v>
      </c>
      <c r="U5678" s="4">
        <f t="shared" si="4"/>
        <v>4403</v>
      </c>
    </row>
    <row r="5679" ht="15.75" customHeight="1">
      <c r="A5679" s="4" t="s">
        <v>1663</v>
      </c>
      <c r="B5679" s="4" t="s">
        <v>13</v>
      </c>
      <c r="C5679" s="4">
        <v>0.0249</v>
      </c>
      <c r="D5679" s="4">
        <v>0.0057</v>
      </c>
      <c r="E5679" s="4">
        <v>0.0085</v>
      </c>
      <c r="I5679" s="4">
        <v>0.232</v>
      </c>
      <c r="J5679" s="4">
        <v>0.0125</v>
      </c>
      <c r="K5679" s="6" t="b">
        <f t="shared" ref="K5679:M5679" si="5425">FALSE()</f>
        <v>0</v>
      </c>
      <c r="L5679" s="6" t="b">
        <f t="shared" si="5425"/>
        <v>0</v>
      </c>
      <c r="M5679" s="6" t="b">
        <f t="shared" si="5425"/>
        <v>0</v>
      </c>
      <c r="N5679" s="4">
        <v>0.0245950468553802</v>
      </c>
      <c r="P5679" s="4">
        <v>0.208638865111328</v>
      </c>
      <c r="T5679" s="4">
        <f t="shared" si="3"/>
        <v>1642</v>
      </c>
      <c r="U5679" s="4">
        <f t="shared" si="4"/>
        <v>2090</v>
      </c>
    </row>
    <row r="5680" ht="15.75" customHeight="1">
      <c r="A5680" s="4" t="s">
        <v>1664</v>
      </c>
      <c r="B5680" s="4" t="s">
        <v>13</v>
      </c>
      <c r="C5680" s="4">
        <v>0.00711</v>
      </c>
      <c r="D5680" s="4">
        <v>0.00164</v>
      </c>
      <c r="E5680" s="4">
        <v>0.0022</v>
      </c>
      <c r="I5680" s="4">
        <v>0.09573</v>
      </c>
      <c r="J5680" s="4">
        <v>0.00482</v>
      </c>
      <c r="K5680" s="6" t="b">
        <f t="shared" ref="K5680:M5680" si="5426">FALSE()</f>
        <v>0</v>
      </c>
      <c r="L5680" s="6" t="b">
        <f t="shared" si="5426"/>
        <v>0</v>
      </c>
      <c r="M5680" s="6" t="b">
        <f t="shared" si="5426"/>
        <v>0</v>
      </c>
      <c r="N5680" s="4">
        <v>0.0070848431232108</v>
      </c>
      <c r="P5680" s="4">
        <v>0.0914208078116246</v>
      </c>
      <c r="T5680" s="4">
        <f t="shared" si="3"/>
        <v>1983</v>
      </c>
      <c r="U5680" s="4">
        <f t="shared" si="4"/>
        <v>4270</v>
      </c>
    </row>
    <row r="5681" ht="15.75" customHeight="1">
      <c r="A5681" s="4" t="s">
        <v>6034</v>
      </c>
      <c r="B5681" s="4" t="s">
        <v>13</v>
      </c>
      <c r="I5681" s="4">
        <v>0.08502</v>
      </c>
      <c r="J5681" s="4">
        <v>0.00669</v>
      </c>
      <c r="K5681" s="6" t="b">
        <f t="shared" ref="K5681:M5681" si="5427">FALSE()</f>
        <v>0</v>
      </c>
      <c r="L5681" s="6" t="b">
        <f t="shared" si="5427"/>
        <v>0</v>
      </c>
      <c r="M5681" s="6" t="b">
        <f t="shared" si="5427"/>
        <v>0</v>
      </c>
      <c r="P5681" s="4">
        <v>0.0815984200022574</v>
      </c>
      <c r="T5681" s="4" t="str">
        <f t="shared" si="3"/>
        <v/>
      </c>
      <c r="U5681" s="4">
        <f t="shared" si="4"/>
        <v>4373</v>
      </c>
    </row>
    <row r="5682" ht="15.75" customHeight="1">
      <c r="A5682" s="4" t="s">
        <v>6035</v>
      </c>
      <c r="B5682" s="4" t="s">
        <v>13</v>
      </c>
      <c r="I5682" s="4">
        <v>1.61</v>
      </c>
      <c r="J5682" s="4">
        <v>0.04</v>
      </c>
      <c r="K5682" s="6" t="b">
        <f t="shared" ref="K5682:L5682" si="5428">FALSE()</f>
        <v>0</v>
      </c>
      <c r="L5682" s="6" t="b">
        <f t="shared" si="5428"/>
        <v>0</v>
      </c>
      <c r="M5682" s="6" t="b">
        <f t="shared" ref="M5682:M5684" si="5430">TRUE()</f>
        <v>1</v>
      </c>
      <c r="P5682" s="4">
        <v>0.959350221334602</v>
      </c>
      <c r="T5682" s="4" t="str">
        <f t="shared" si="3"/>
        <v/>
      </c>
      <c r="U5682" s="4">
        <f t="shared" si="4"/>
        <v>76</v>
      </c>
    </row>
    <row r="5683" ht="15.75" customHeight="1">
      <c r="A5683" s="4" t="s">
        <v>1666</v>
      </c>
      <c r="B5683" s="4" t="s">
        <v>13</v>
      </c>
      <c r="C5683" s="4">
        <v>0.36</v>
      </c>
      <c r="D5683" s="4">
        <v>0.16</v>
      </c>
      <c r="E5683" s="4">
        <v>0.16</v>
      </c>
      <c r="I5683" s="4">
        <v>1.02</v>
      </c>
      <c r="J5683" s="4">
        <v>0.03</v>
      </c>
      <c r="K5683" s="6" t="b">
        <f t="shared" ref="K5683:L5683" si="5429">FALSE()</f>
        <v>0</v>
      </c>
      <c r="L5683" s="6" t="b">
        <f t="shared" si="5429"/>
        <v>0</v>
      </c>
      <c r="M5683" s="6" t="b">
        <f t="shared" si="5430"/>
        <v>1</v>
      </c>
      <c r="N5683" s="4">
        <v>0.307484699747961</v>
      </c>
      <c r="P5683" s="4">
        <v>0.703097511413113</v>
      </c>
      <c r="T5683" s="4">
        <f t="shared" si="3"/>
        <v>1044</v>
      </c>
      <c r="U5683" s="4">
        <f t="shared" si="4"/>
        <v>644</v>
      </c>
    </row>
    <row r="5684" ht="15.75" customHeight="1">
      <c r="A5684" s="4" t="s">
        <v>6036</v>
      </c>
      <c r="B5684" s="4" t="s">
        <v>13</v>
      </c>
      <c r="I5684" s="4">
        <v>1.65</v>
      </c>
      <c r="J5684" s="4">
        <v>0.05</v>
      </c>
      <c r="K5684" s="6" t="b">
        <f t="shared" ref="K5684:L5684" si="5431">FALSE()</f>
        <v>0</v>
      </c>
      <c r="L5684" s="6" t="b">
        <f t="shared" si="5431"/>
        <v>0</v>
      </c>
      <c r="M5684" s="6" t="b">
        <f t="shared" si="5430"/>
        <v>1</v>
      </c>
      <c r="P5684" s="4">
        <v>0.974559639998131</v>
      </c>
      <c r="T5684" s="4" t="str">
        <f t="shared" si="3"/>
        <v/>
      </c>
      <c r="U5684" s="4">
        <f t="shared" si="4"/>
        <v>62</v>
      </c>
    </row>
    <row r="5685" ht="15.75" customHeight="1">
      <c r="A5685" s="4" t="s">
        <v>1667</v>
      </c>
      <c r="B5685" s="4" t="s">
        <v>13</v>
      </c>
      <c r="C5685" s="4">
        <v>0.0176</v>
      </c>
      <c r="D5685" s="4">
        <v>0.0041</v>
      </c>
      <c r="E5685" s="4">
        <v>0.006</v>
      </c>
      <c r="I5685" s="4">
        <v>0.1828</v>
      </c>
      <c r="J5685" s="4">
        <v>0.0071</v>
      </c>
      <c r="K5685" s="6" t="b">
        <f t="shared" ref="K5685:M5685" si="5432">FALSE()</f>
        <v>0</v>
      </c>
      <c r="L5685" s="6" t="b">
        <f t="shared" si="5432"/>
        <v>0</v>
      </c>
      <c r="M5685" s="6" t="b">
        <f t="shared" si="5432"/>
        <v>0</v>
      </c>
      <c r="N5685" s="4">
        <v>0.0174469136037206</v>
      </c>
      <c r="P5685" s="4">
        <v>0.167884508996185</v>
      </c>
      <c r="T5685" s="4">
        <f t="shared" si="3"/>
        <v>1784</v>
      </c>
      <c r="U5685" s="4">
        <f t="shared" si="4"/>
        <v>2861</v>
      </c>
    </row>
    <row r="5686" ht="15.75" customHeight="1">
      <c r="A5686" s="4" t="s">
        <v>1668</v>
      </c>
      <c r="B5686" s="4" t="s">
        <v>13</v>
      </c>
      <c r="C5686" s="4">
        <v>0.0274</v>
      </c>
      <c r="D5686" s="4">
        <v>0.006</v>
      </c>
      <c r="E5686" s="4">
        <v>0.0098</v>
      </c>
      <c r="I5686" s="4">
        <v>0.241</v>
      </c>
      <c r="J5686" s="4">
        <v>0.0071</v>
      </c>
      <c r="K5686" s="6" t="b">
        <f t="shared" ref="K5686:M5686" si="5433">FALSE()</f>
        <v>0</v>
      </c>
      <c r="L5686" s="6" t="b">
        <f t="shared" si="5433"/>
        <v>0</v>
      </c>
      <c r="M5686" s="6" t="b">
        <f t="shared" si="5433"/>
        <v>0</v>
      </c>
      <c r="N5686" s="4">
        <v>0.0270313390510304</v>
      </c>
      <c r="P5686" s="4">
        <v>0.21591750622247</v>
      </c>
      <c r="T5686" s="4">
        <f t="shared" si="3"/>
        <v>1598</v>
      </c>
      <c r="U5686" s="4">
        <f t="shared" si="4"/>
        <v>1940</v>
      </c>
    </row>
    <row r="5687" ht="15.75" customHeight="1">
      <c r="A5687" s="4" t="s">
        <v>1669</v>
      </c>
      <c r="B5687" s="4" t="s">
        <v>13</v>
      </c>
      <c r="C5687" s="4">
        <v>0.0236</v>
      </c>
      <c r="D5687" s="4">
        <v>0.0053</v>
      </c>
      <c r="E5687" s="4">
        <v>0.0085</v>
      </c>
      <c r="I5687" s="4">
        <v>0.22072</v>
      </c>
      <c r="J5687" s="4">
        <v>0.00732</v>
      </c>
      <c r="K5687" s="6" t="b">
        <f t="shared" ref="K5687:M5687" si="5434">FALSE()</f>
        <v>0</v>
      </c>
      <c r="L5687" s="6" t="b">
        <f t="shared" si="5434"/>
        <v>0</v>
      </c>
      <c r="M5687" s="6" t="b">
        <f t="shared" si="5434"/>
        <v>0</v>
      </c>
      <c r="N5687" s="4">
        <v>0.0233258253034966</v>
      </c>
      <c r="P5687" s="4">
        <v>0.199440848601343</v>
      </c>
      <c r="T5687" s="4">
        <f t="shared" si="3"/>
        <v>1656</v>
      </c>
      <c r="U5687" s="4">
        <f t="shared" si="4"/>
        <v>2253</v>
      </c>
    </row>
    <row r="5688" ht="15.75" customHeight="1">
      <c r="A5688" s="4" t="s">
        <v>6037</v>
      </c>
      <c r="B5688" s="4" t="s">
        <v>13</v>
      </c>
      <c r="I5688" s="4">
        <v>0.1383</v>
      </c>
      <c r="J5688" s="4">
        <v>0.00571</v>
      </c>
      <c r="K5688" s="6" t="b">
        <f t="shared" ref="K5688:M5688" si="5435">FALSE()</f>
        <v>0</v>
      </c>
      <c r="L5688" s="6" t="b">
        <f t="shared" si="5435"/>
        <v>0</v>
      </c>
      <c r="M5688" s="6" t="b">
        <f t="shared" si="5435"/>
        <v>0</v>
      </c>
      <c r="P5688" s="4">
        <v>0.129535921349034</v>
      </c>
      <c r="T5688" s="4" t="str">
        <f t="shared" si="3"/>
        <v/>
      </c>
      <c r="U5688" s="4">
        <f t="shared" si="4"/>
        <v>3535</v>
      </c>
    </row>
    <row r="5689" ht="15.75" customHeight="1">
      <c r="A5689" s="4" t="s">
        <v>1670</v>
      </c>
      <c r="B5689" s="4" t="s">
        <v>13</v>
      </c>
      <c r="C5689" s="4">
        <v>0.00774</v>
      </c>
      <c r="D5689" s="4">
        <v>6.0E-4</v>
      </c>
      <c r="E5689" s="4">
        <v>6.0E-4</v>
      </c>
      <c r="I5689" s="4">
        <v>0.11821</v>
      </c>
      <c r="J5689" s="4">
        <v>0.00517</v>
      </c>
      <c r="K5689" s="6" t="b">
        <f t="shared" ref="K5689:M5689" si="5436">FALSE()</f>
        <v>0</v>
      </c>
      <c r="L5689" s="6" t="b">
        <f t="shared" si="5436"/>
        <v>0</v>
      </c>
      <c r="M5689" s="6" t="b">
        <f t="shared" si="5436"/>
        <v>0</v>
      </c>
      <c r="N5689" s="4">
        <v>0.0077101998698979</v>
      </c>
      <c r="P5689" s="4">
        <v>0.111729192514437</v>
      </c>
      <c r="T5689" s="4">
        <f t="shared" si="3"/>
        <v>1979</v>
      </c>
      <c r="U5689" s="4">
        <f t="shared" si="4"/>
        <v>3901</v>
      </c>
    </row>
    <row r="5690" ht="15.75" customHeight="1">
      <c r="A5690" s="4" t="s">
        <v>1671</v>
      </c>
      <c r="B5690" s="4" t="s">
        <v>13</v>
      </c>
      <c r="C5690" s="4">
        <v>0.0253</v>
      </c>
      <c r="D5690" s="4">
        <v>0.0016</v>
      </c>
      <c r="E5690" s="4">
        <v>0.0016</v>
      </c>
      <c r="I5690" s="4">
        <v>0.2132</v>
      </c>
      <c r="J5690" s="4">
        <v>0.009</v>
      </c>
      <c r="K5690" s="6" t="b">
        <f t="shared" ref="K5690:M5690" si="5437">FALSE()</f>
        <v>0</v>
      </c>
      <c r="L5690" s="6" t="b">
        <f t="shared" si="5437"/>
        <v>0</v>
      </c>
      <c r="M5690" s="6" t="b">
        <f t="shared" si="5437"/>
        <v>0</v>
      </c>
      <c r="N5690" s="4">
        <v>0.0249852526939085</v>
      </c>
      <c r="P5690" s="4">
        <v>0.193261496832289</v>
      </c>
      <c r="T5690" s="4">
        <f t="shared" si="3"/>
        <v>1629</v>
      </c>
      <c r="U5690" s="4">
        <f t="shared" si="4"/>
        <v>2355</v>
      </c>
    </row>
    <row r="5691" ht="15.75" customHeight="1">
      <c r="A5691" s="4" t="s">
        <v>1672</v>
      </c>
      <c r="B5691" s="4" t="s">
        <v>13</v>
      </c>
      <c r="C5691" s="4">
        <v>0.018</v>
      </c>
      <c r="D5691" s="4">
        <v>2.2E-4</v>
      </c>
      <c r="E5691" s="4">
        <v>2.2E-4</v>
      </c>
      <c r="I5691" s="4">
        <v>0.1775</v>
      </c>
      <c r="J5691" s="4">
        <v>0.008</v>
      </c>
      <c r="K5691" s="6" t="b">
        <f t="shared" ref="K5691:M5691" si="5438">FALSE()</f>
        <v>0</v>
      </c>
      <c r="L5691" s="6" t="b">
        <f t="shared" si="5438"/>
        <v>0</v>
      </c>
      <c r="M5691" s="6" t="b">
        <f t="shared" si="5438"/>
        <v>0</v>
      </c>
      <c r="N5691" s="4">
        <v>0.017839918128331</v>
      </c>
      <c r="P5691" s="4">
        <v>0.163393546908436</v>
      </c>
      <c r="T5691" s="4">
        <f t="shared" si="3"/>
        <v>1774</v>
      </c>
      <c r="U5691" s="4">
        <f t="shared" si="4"/>
        <v>2943</v>
      </c>
    </row>
    <row r="5692" ht="15.75" customHeight="1">
      <c r="A5692" s="4" t="s">
        <v>1673</v>
      </c>
      <c r="B5692" s="4" t="s">
        <v>13</v>
      </c>
      <c r="C5692" s="4">
        <v>0.033</v>
      </c>
      <c r="D5692" s="4">
        <v>0.0069</v>
      </c>
      <c r="E5692" s="4">
        <v>0.0069</v>
      </c>
      <c r="I5692" s="4">
        <v>0.223</v>
      </c>
      <c r="J5692" s="4">
        <v>0.009</v>
      </c>
      <c r="K5692" s="6" t="b">
        <f t="shared" ref="K5692:M5692" si="5439">FALSE()</f>
        <v>0</v>
      </c>
      <c r="L5692" s="6" t="b">
        <f t="shared" si="5439"/>
        <v>0</v>
      </c>
      <c r="M5692" s="6" t="b">
        <f t="shared" si="5439"/>
        <v>0</v>
      </c>
      <c r="N5692" s="4">
        <v>0.0324671901375014</v>
      </c>
      <c r="P5692" s="4">
        <v>0.201306856705035</v>
      </c>
      <c r="T5692" s="4">
        <f t="shared" si="3"/>
        <v>1516</v>
      </c>
      <c r="U5692" s="4">
        <f t="shared" si="4"/>
        <v>2224</v>
      </c>
    </row>
    <row r="5693" ht="15.75" customHeight="1">
      <c r="A5693" s="4" t="s">
        <v>1674</v>
      </c>
      <c r="B5693" s="4" t="s">
        <v>13</v>
      </c>
      <c r="C5693" s="4">
        <v>0.251</v>
      </c>
      <c r="D5693" s="4">
        <v>0.042</v>
      </c>
      <c r="E5693" s="4">
        <v>0.042</v>
      </c>
      <c r="I5693" s="4">
        <v>0.744</v>
      </c>
      <c r="J5693" s="4">
        <v>0.017</v>
      </c>
      <c r="K5693" s="6" t="b">
        <f t="shared" ref="K5693:L5693" si="5440">FALSE()</f>
        <v>0</v>
      </c>
      <c r="L5693" s="6" t="b">
        <f t="shared" si="5440"/>
        <v>0</v>
      </c>
      <c r="M5693" s="6" t="b">
        <f>TRUE()</f>
        <v>1</v>
      </c>
      <c r="N5693" s="4">
        <v>0.223943231484774</v>
      </c>
      <c r="P5693" s="4">
        <v>0.556181325486788</v>
      </c>
      <c r="T5693" s="4">
        <f t="shared" si="3"/>
        <v>1106</v>
      </c>
      <c r="U5693" s="4">
        <f t="shared" si="4"/>
        <v>876</v>
      </c>
    </row>
    <row r="5694" ht="15.75" customHeight="1">
      <c r="A5694" s="4" t="s">
        <v>1675</v>
      </c>
      <c r="B5694" s="4" t="s">
        <v>13</v>
      </c>
      <c r="C5694" s="4">
        <v>0.0308</v>
      </c>
      <c r="D5694" s="4">
        <v>0.00245</v>
      </c>
      <c r="E5694" s="4">
        <v>0.00245</v>
      </c>
      <c r="I5694" s="4">
        <v>0.2034</v>
      </c>
      <c r="J5694" s="4">
        <v>0.0098</v>
      </c>
      <c r="K5694" s="6" t="b">
        <f t="shared" ref="K5694:M5694" si="5441">FALSE()</f>
        <v>0</v>
      </c>
      <c r="L5694" s="6" t="b">
        <f t="shared" si="5441"/>
        <v>0</v>
      </c>
      <c r="M5694" s="6" t="b">
        <f t="shared" si="5441"/>
        <v>0</v>
      </c>
      <c r="N5694" s="4">
        <v>0.0303351997960729</v>
      </c>
      <c r="P5694" s="4">
        <v>0.185150883804114</v>
      </c>
      <c r="T5694" s="4">
        <f t="shared" si="3"/>
        <v>1543</v>
      </c>
      <c r="U5694" s="4">
        <f t="shared" si="4"/>
        <v>2519</v>
      </c>
    </row>
    <row r="5695" ht="15.75" customHeight="1">
      <c r="A5695" s="4" t="s">
        <v>1676</v>
      </c>
      <c r="B5695" s="4" t="s">
        <v>13</v>
      </c>
      <c r="C5695" s="4">
        <v>0.02932</v>
      </c>
      <c r="D5695" s="4">
        <v>0.00321</v>
      </c>
      <c r="E5695" s="4">
        <v>0.00321</v>
      </c>
      <c r="I5695" s="4">
        <v>0.2346</v>
      </c>
      <c r="J5695" s="4">
        <v>0.0107</v>
      </c>
      <c r="K5695" s="6" t="b">
        <f t="shared" ref="K5695:M5695" si="5442">FALSE()</f>
        <v>0</v>
      </c>
      <c r="L5695" s="6" t="b">
        <f t="shared" si="5442"/>
        <v>0</v>
      </c>
      <c r="M5695" s="6" t="b">
        <f t="shared" si="5442"/>
        <v>0</v>
      </c>
      <c r="N5695" s="4">
        <v>0.0288983900426488</v>
      </c>
      <c r="P5695" s="4">
        <v>0.210747030977658</v>
      </c>
      <c r="T5695" s="4">
        <f t="shared" si="3"/>
        <v>1563</v>
      </c>
      <c r="U5695" s="4">
        <f t="shared" si="4"/>
        <v>2042</v>
      </c>
    </row>
    <row r="5696" ht="15.75" customHeight="1">
      <c r="A5696" s="4" t="s">
        <v>1677</v>
      </c>
      <c r="B5696" s="4" t="s">
        <v>13</v>
      </c>
      <c r="C5696" s="4">
        <v>0.00777</v>
      </c>
      <c r="D5696" s="4">
        <v>0.0013</v>
      </c>
      <c r="E5696" s="4">
        <v>0.0013</v>
      </c>
      <c r="I5696" s="4">
        <v>0.1213</v>
      </c>
      <c r="J5696" s="4">
        <v>0.009</v>
      </c>
      <c r="K5696" s="6" t="b">
        <f t="shared" ref="K5696:M5696" si="5443">FALSE()</f>
        <v>0</v>
      </c>
      <c r="L5696" s="6" t="b">
        <f t="shared" si="5443"/>
        <v>0</v>
      </c>
      <c r="M5696" s="6" t="b">
        <f t="shared" si="5443"/>
        <v>0</v>
      </c>
      <c r="N5696" s="4">
        <v>0.0077399690102169</v>
      </c>
      <c r="P5696" s="4">
        <v>0.114488726484698</v>
      </c>
      <c r="T5696" s="4">
        <f t="shared" si="3"/>
        <v>1978</v>
      </c>
      <c r="U5696" s="4">
        <f t="shared" si="4"/>
        <v>3840</v>
      </c>
    </row>
    <row r="5697" ht="15.75" customHeight="1">
      <c r="A5697" s="4" t="s">
        <v>6038</v>
      </c>
      <c r="B5697" s="4" t="s">
        <v>13</v>
      </c>
      <c r="D5697" s="4">
        <v>0.0013</v>
      </c>
      <c r="E5697" s="4">
        <v>0.0013</v>
      </c>
      <c r="F5697" s="4">
        <v>0.00903</v>
      </c>
      <c r="G5697" s="4">
        <v>0.0013</v>
      </c>
      <c r="H5697" s="4">
        <v>0.0013</v>
      </c>
      <c r="K5697" s="6" t="b">
        <f t="shared" ref="K5697:M5697" si="5444">FALSE()</f>
        <v>0</v>
      </c>
      <c r="L5697" s="6" t="b">
        <f t="shared" si="5444"/>
        <v>0</v>
      </c>
      <c r="M5697" s="6" t="b">
        <f t="shared" si="5444"/>
        <v>0</v>
      </c>
      <c r="O5697" s="4">
        <v>0.0089894733377976</v>
      </c>
      <c r="T5697" s="4" t="str">
        <f t="shared" si="3"/>
        <v/>
      </c>
      <c r="U5697" s="4" t="str">
        <f t="shared" si="4"/>
        <v/>
      </c>
    </row>
    <row r="5698" ht="15.75" customHeight="1">
      <c r="A5698" s="4" t="s">
        <v>1678</v>
      </c>
      <c r="B5698" s="4" t="s">
        <v>13</v>
      </c>
      <c r="C5698" s="4">
        <v>0.01466</v>
      </c>
      <c r="D5698" s="4">
        <v>0.00305</v>
      </c>
      <c r="E5698" s="4">
        <v>0.00305</v>
      </c>
      <c r="I5698" s="4">
        <v>0.165</v>
      </c>
      <c r="J5698" s="4">
        <v>0.0116</v>
      </c>
      <c r="K5698" s="6" t="b">
        <f t="shared" ref="K5698:M5698" si="5445">FALSE()</f>
        <v>0</v>
      </c>
      <c r="L5698" s="6" t="b">
        <f t="shared" si="5445"/>
        <v>0</v>
      </c>
      <c r="M5698" s="6" t="b">
        <f t="shared" si="5445"/>
        <v>0</v>
      </c>
      <c r="N5698" s="4">
        <v>0.0145535810075112</v>
      </c>
      <c r="P5698" s="4">
        <v>0.152721087017664</v>
      </c>
      <c r="T5698" s="4">
        <f t="shared" si="3"/>
        <v>1830</v>
      </c>
      <c r="U5698" s="4">
        <f t="shared" si="4"/>
        <v>3114</v>
      </c>
    </row>
    <row r="5699" ht="15.75" customHeight="1">
      <c r="A5699" s="4" t="s">
        <v>1679</v>
      </c>
      <c r="B5699" s="4" t="s">
        <v>13</v>
      </c>
      <c r="C5699" s="4">
        <v>0.0217</v>
      </c>
      <c r="D5699" s="4">
        <v>0.0082</v>
      </c>
      <c r="E5699" s="4">
        <v>0.0082</v>
      </c>
      <c r="I5699" s="4">
        <v>0.1829</v>
      </c>
      <c r="J5699" s="4">
        <v>0.0071</v>
      </c>
      <c r="K5699" s="6" t="b">
        <f t="shared" ref="K5699:M5699" si="5446">FALSE()</f>
        <v>0</v>
      </c>
      <c r="L5699" s="6" t="b">
        <f t="shared" si="5446"/>
        <v>0</v>
      </c>
      <c r="M5699" s="6" t="b">
        <f t="shared" si="5446"/>
        <v>0</v>
      </c>
      <c r="N5699" s="4">
        <v>0.0214679066152409</v>
      </c>
      <c r="P5699" s="4">
        <v>0.167969050569554</v>
      </c>
      <c r="T5699" s="4">
        <f t="shared" si="3"/>
        <v>1691</v>
      </c>
      <c r="U5699" s="4">
        <f t="shared" si="4"/>
        <v>2860</v>
      </c>
    </row>
    <row r="5700" ht="15.75" customHeight="1">
      <c r="A5700" s="4" t="s">
        <v>1680</v>
      </c>
      <c r="B5700" s="4" t="s">
        <v>13</v>
      </c>
      <c r="C5700" s="4">
        <v>2.8</v>
      </c>
      <c r="D5700" s="4">
        <v>0.2</v>
      </c>
      <c r="E5700" s="4">
        <v>0.2</v>
      </c>
      <c r="I5700" s="4">
        <v>1.374</v>
      </c>
      <c r="J5700" s="4">
        <v>0.045</v>
      </c>
      <c r="K5700" s="6" t="b">
        <f t="shared" ref="K5700:L5700" si="5447">FALSE()</f>
        <v>0</v>
      </c>
      <c r="L5700" s="6" t="b">
        <f t="shared" si="5447"/>
        <v>0</v>
      </c>
      <c r="M5700" s="6" t="b">
        <f>TRUE()</f>
        <v>1</v>
      </c>
      <c r="N5700" s="4">
        <v>1.33500106673234</v>
      </c>
      <c r="P5700" s="4">
        <v>0.864576296187476</v>
      </c>
      <c r="T5700" s="4">
        <f t="shared" si="3"/>
        <v>340</v>
      </c>
      <c r="U5700" s="4">
        <f t="shared" si="4"/>
        <v>197</v>
      </c>
    </row>
    <row r="5701" ht="15.75" customHeight="1">
      <c r="A5701" s="4" t="s">
        <v>1681</v>
      </c>
      <c r="B5701" s="4" t="s">
        <v>13</v>
      </c>
      <c r="C5701" s="4">
        <v>0.0601</v>
      </c>
      <c r="D5701" s="4">
        <v>0.0</v>
      </c>
      <c r="E5701" s="4">
        <v>0.0601</v>
      </c>
      <c r="I5701" s="4">
        <v>0.24391</v>
      </c>
      <c r="J5701" s="4">
        <v>0.00758</v>
      </c>
      <c r="K5701" s="6" t="b">
        <f t="shared" ref="K5701:M5701" si="5448">FALSE()</f>
        <v>0</v>
      </c>
      <c r="L5701" s="6" t="b">
        <f t="shared" si="5448"/>
        <v>0</v>
      </c>
      <c r="M5701" s="6" t="b">
        <f t="shared" si="5448"/>
        <v>0</v>
      </c>
      <c r="N5701" s="4">
        <v>0.0583632432969149</v>
      </c>
      <c r="P5701" s="4">
        <v>0.218259644432917</v>
      </c>
      <c r="T5701" s="4">
        <f t="shared" si="3"/>
        <v>1356</v>
      </c>
      <c r="U5701" s="4">
        <f t="shared" si="4"/>
        <v>1896</v>
      </c>
    </row>
    <row r="5702" ht="15.75" customHeight="1">
      <c r="A5702" s="4" t="s">
        <v>1682</v>
      </c>
      <c r="B5702" s="4" t="s">
        <v>13</v>
      </c>
      <c r="C5702" s="4">
        <v>0.03043</v>
      </c>
      <c r="D5702" s="4">
        <v>0.0025</v>
      </c>
      <c r="E5702" s="4">
        <v>0.0025</v>
      </c>
      <c r="I5702" s="4">
        <v>0.1722</v>
      </c>
      <c r="J5702" s="4">
        <v>0.009</v>
      </c>
      <c r="K5702" s="6" t="b">
        <f t="shared" ref="K5702:M5702" si="5449">FALSE()</f>
        <v>0</v>
      </c>
      <c r="L5702" s="6" t="b">
        <f t="shared" si="5449"/>
        <v>0</v>
      </c>
      <c r="M5702" s="6" t="b">
        <f t="shared" si="5449"/>
        <v>0</v>
      </c>
      <c r="N5702" s="4">
        <v>0.0299761908509537</v>
      </c>
      <c r="P5702" s="4">
        <v>0.158882325060192</v>
      </c>
      <c r="T5702" s="4">
        <f t="shared" si="3"/>
        <v>1547</v>
      </c>
      <c r="U5702" s="4">
        <f t="shared" si="4"/>
        <v>3009</v>
      </c>
    </row>
    <row r="5703" ht="15.75" customHeight="1">
      <c r="A5703" s="4" t="s">
        <v>6039</v>
      </c>
      <c r="B5703" s="4" t="s">
        <v>13</v>
      </c>
      <c r="C5703" s="4">
        <v>0.06878</v>
      </c>
      <c r="D5703" s="4">
        <v>0.02912</v>
      </c>
      <c r="F5703" s="4">
        <v>0.06875</v>
      </c>
      <c r="G5703" s="4">
        <v>0.0291</v>
      </c>
      <c r="H5703" s="4">
        <v>0.0291</v>
      </c>
      <c r="K5703" s="6" t="b">
        <f t="shared" ref="K5703:M5703" si="5450">FALSE()</f>
        <v>0</v>
      </c>
      <c r="L5703" s="6" t="b">
        <f t="shared" si="5450"/>
        <v>0</v>
      </c>
      <c r="M5703" s="6" t="b">
        <f t="shared" si="5450"/>
        <v>0</v>
      </c>
      <c r="N5703" s="4">
        <v>0.0665178110503115</v>
      </c>
      <c r="O5703" s="4">
        <v>0.0664897412688329</v>
      </c>
      <c r="T5703" s="4">
        <f t="shared" si="3"/>
        <v>1329</v>
      </c>
      <c r="U5703" s="4" t="str">
        <f t="shared" si="4"/>
        <v/>
      </c>
    </row>
    <row r="5704" ht="15.75" customHeight="1">
      <c r="A5704" s="4" t="s">
        <v>6040</v>
      </c>
      <c r="B5704" s="4" t="s">
        <v>13</v>
      </c>
      <c r="I5704" s="4">
        <v>0.5986</v>
      </c>
      <c r="J5704" s="4">
        <v>0.0339</v>
      </c>
      <c r="K5704" s="6" t="b">
        <f t="shared" ref="K5704:M5704" si="5451">FALSE()</f>
        <v>0</v>
      </c>
      <c r="L5704" s="6" t="b">
        <f t="shared" si="5451"/>
        <v>0</v>
      </c>
      <c r="M5704" s="6" t="b">
        <f t="shared" si="5451"/>
        <v>0</v>
      </c>
      <c r="P5704" s="4">
        <v>0.469128246209782</v>
      </c>
      <c r="T5704" s="4" t="str">
        <f t="shared" si="3"/>
        <v/>
      </c>
      <c r="U5704" s="4">
        <f t="shared" si="4"/>
        <v>949</v>
      </c>
    </row>
    <row r="5705" ht="15.75" customHeight="1">
      <c r="A5705" s="4" t="s">
        <v>1683</v>
      </c>
      <c r="B5705" s="4" t="s">
        <v>13</v>
      </c>
      <c r="C5705" s="4">
        <v>0.0239</v>
      </c>
      <c r="D5705" s="4">
        <v>0.0047</v>
      </c>
      <c r="E5705" s="4">
        <v>0.0047</v>
      </c>
      <c r="I5705" s="4">
        <v>0.2623</v>
      </c>
      <c r="J5705" s="4">
        <v>0.0045</v>
      </c>
      <c r="K5705" s="6" t="b">
        <f t="shared" ref="K5705:M5705" si="5452">FALSE()</f>
        <v>0</v>
      </c>
      <c r="L5705" s="6" t="b">
        <f t="shared" si="5452"/>
        <v>0</v>
      </c>
      <c r="M5705" s="6" t="b">
        <f t="shared" si="5452"/>
        <v>0</v>
      </c>
      <c r="N5705" s="4">
        <v>0.023618865598634</v>
      </c>
      <c r="P5705" s="4">
        <v>0.232935453776679</v>
      </c>
      <c r="T5705" s="4">
        <f t="shared" si="3"/>
        <v>1655</v>
      </c>
      <c r="U5705" s="4">
        <f t="shared" si="4"/>
        <v>1654</v>
      </c>
    </row>
    <row r="5706" ht="15.75" customHeight="1">
      <c r="A5706" s="4" t="s">
        <v>1684</v>
      </c>
      <c r="B5706" s="4" t="s">
        <v>13</v>
      </c>
      <c r="C5706" s="4">
        <v>0.0739</v>
      </c>
      <c r="D5706" s="4">
        <v>0.0076</v>
      </c>
      <c r="E5706" s="4">
        <v>0.0076</v>
      </c>
      <c r="I5706" s="4">
        <v>0.2337</v>
      </c>
      <c r="J5706" s="4">
        <v>0.009</v>
      </c>
      <c r="K5706" s="6" t="b">
        <f t="shared" ref="K5706:M5706" si="5453">FALSE()</f>
        <v>0</v>
      </c>
      <c r="L5706" s="6" t="b">
        <f t="shared" si="5453"/>
        <v>0</v>
      </c>
      <c r="M5706" s="6" t="b">
        <f t="shared" si="5453"/>
        <v>0</v>
      </c>
      <c r="N5706" s="4">
        <v>0.0712968818820337</v>
      </c>
      <c r="P5706" s="4">
        <v>0.210017784095282</v>
      </c>
      <c r="T5706" s="4">
        <f t="shared" si="3"/>
        <v>1314</v>
      </c>
      <c r="U5706" s="4">
        <f t="shared" si="4"/>
        <v>2050</v>
      </c>
    </row>
    <row r="5707" ht="15.75" customHeight="1">
      <c r="A5707" s="4" t="s">
        <v>1685</v>
      </c>
      <c r="B5707" s="4" t="s">
        <v>13</v>
      </c>
      <c r="C5707" s="4">
        <v>0.058104</v>
      </c>
      <c r="D5707" s="4">
        <v>0.00592</v>
      </c>
      <c r="E5707" s="4">
        <v>0.00579</v>
      </c>
      <c r="I5707" s="4">
        <v>0.26104</v>
      </c>
      <c r="J5707" s="4">
        <v>0.017</v>
      </c>
      <c r="K5707" s="6" t="b">
        <f t="shared" ref="K5707:M5707" si="5454">FALSE()</f>
        <v>0</v>
      </c>
      <c r="L5707" s="6" t="b">
        <f t="shared" si="5454"/>
        <v>0</v>
      </c>
      <c r="M5707" s="6" t="b">
        <f t="shared" si="5454"/>
        <v>0</v>
      </c>
      <c r="N5707" s="4">
        <v>0.0564786272818578</v>
      </c>
      <c r="P5707" s="4">
        <v>0.23193677733615</v>
      </c>
      <c r="T5707" s="4">
        <f t="shared" si="3"/>
        <v>1370</v>
      </c>
      <c r="U5707" s="4">
        <f t="shared" si="4"/>
        <v>1668</v>
      </c>
    </row>
    <row r="5708" ht="15.75" customHeight="1">
      <c r="A5708" s="4" t="s">
        <v>1686</v>
      </c>
      <c r="B5708" s="4" t="s">
        <v>13</v>
      </c>
      <c r="C5708" s="4">
        <v>0.006</v>
      </c>
      <c r="D5708" s="4">
        <v>0.0019</v>
      </c>
      <c r="E5708" s="4">
        <v>0.0041</v>
      </c>
      <c r="I5708" s="4">
        <v>0.1133</v>
      </c>
      <c r="J5708" s="4">
        <v>0.0062</v>
      </c>
      <c r="K5708" s="6" t="b">
        <f t="shared" ref="K5708:M5708" si="5455">FALSE()</f>
        <v>0</v>
      </c>
      <c r="L5708" s="6" t="b">
        <f t="shared" si="5455"/>
        <v>0</v>
      </c>
      <c r="M5708" s="6" t="b">
        <f t="shared" si="5455"/>
        <v>0</v>
      </c>
      <c r="N5708" s="4">
        <v>0.0059820716775474</v>
      </c>
      <c r="P5708" s="4">
        <v>0.107328577752525</v>
      </c>
      <c r="T5708" s="4">
        <f t="shared" si="3"/>
        <v>2015</v>
      </c>
      <c r="U5708" s="4">
        <f t="shared" si="4"/>
        <v>3989</v>
      </c>
    </row>
    <row r="5709" ht="15.75" customHeight="1">
      <c r="A5709" s="4" t="s">
        <v>1687</v>
      </c>
      <c r="B5709" s="4" t="s">
        <v>13</v>
      </c>
      <c r="C5709" s="4">
        <v>0.01425</v>
      </c>
      <c r="D5709" s="4">
        <v>0.00271</v>
      </c>
      <c r="E5709" s="4">
        <v>0.00289</v>
      </c>
      <c r="I5709" s="4">
        <v>0.15202</v>
      </c>
      <c r="J5709" s="4">
        <v>0.00598</v>
      </c>
      <c r="K5709" s="6" t="b">
        <f t="shared" ref="K5709:M5709" si="5456">FALSE()</f>
        <v>0</v>
      </c>
      <c r="L5709" s="6" t="b">
        <f t="shared" si="5456"/>
        <v>0</v>
      </c>
      <c r="M5709" s="6" t="b">
        <f t="shared" si="5456"/>
        <v>0</v>
      </c>
      <c r="N5709" s="4">
        <v>0.0141494231044195</v>
      </c>
      <c r="P5709" s="4">
        <v>0.141516923234108</v>
      </c>
      <c r="T5709" s="4">
        <f t="shared" si="3"/>
        <v>1842</v>
      </c>
      <c r="U5709" s="4">
        <f t="shared" si="4"/>
        <v>3289</v>
      </c>
    </row>
    <row r="5710" ht="15.75" customHeight="1">
      <c r="A5710" s="4" t="s">
        <v>1688</v>
      </c>
      <c r="B5710" s="4" t="s">
        <v>13</v>
      </c>
      <c r="C5710" s="4">
        <v>0.0302</v>
      </c>
      <c r="D5710" s="4">
        <v>0.0085</v>
      </c>
      <c r="E5710" s="4">
        <v>0.0085</v>
      </c>
      <c r="I5710" s="4">
        <v>0.2308</v>
      </c>
      <c r="J5710" s="4">
        <v>0.00785</v>
      </c>
      <c r="K5710" s="6" t="b">
        <f t="shared" ref="K5710:M5710" si="5457">FALSE()</f>
        <v>0</v>
      </c>
      <c r="L5710" s="6" t="b">
        <f t="shared" si="5457"/>
        <v>0</v>
      </c>
      <c r="M5710" s="6" t="b">
        <f t="shared" si="5457"/>
        <v>0</v>
      </c>
      <c r="N5710" s="4">
        <v>0.0297529581493477</v>
      </c>
      <c r="P5710" s="4">
        <v>0.20766436446575</v>
      </c>
      <c r="T5710" s="4">
        <f t="shared" si="3"/>
        <v>1552</v>
      </c>
      <c r="U5710" s="4">
        <f t="shared" si="4"/>
        <v>2103</v>
      </c>
    </row>
    <row r="5711" ht="15.75" customHeight="1">
      <c r="A5711" s="4" t="s">
        <v>1689</v>
      </c>
      <c r="B5711" s="4" t="s">
        <v>13</v>
      </c>
      <c r="C5711" s="4">
        <v>0.395</v>
      </c>
      <c r="D5711" s="4">
        <v>0.07</v>
      </c>
      <c r="E5711" s="4">
        <v>0.07</v>
      </c>
      <c r="F5711" s="4">
        <v>1.2</v>
      </c>
      <c r="G5711" s="4">
        <v>1.2</v>
      </c>
      <c r="H5711" s="4">
        <v>0.0</v>
      </c>
      <c r="I5711" s="4">
        <v>0.817</v>
      </c>
      <c r="J5711" s="4">
        <v>0.023</v>
      </c>
      <c r="K5711" s="6" t="b">
        <f t="shared" ref="K5711:L5711" si="5458">FALSE()</f>
        <v>0</v>
      </c>
      <c r="L5711" s="6" t="b">
        <f t="shared" si="5458"/>
        <v>0</v>
      </c>
      <c r="M5711" s="6" t="b">
        <f>TRUE()</f>
        <v>1</v>
      </c>
      <c r="N5711" s="4">
        <v>0.332894415273329</v>
      </c>
      <c r="O5711" s="4">
        <v>0.78845736036427</v>
      </c>
      <c r="P5711" s="4">
        <v>0.597186789414034</v>
      </c>
      <c r="Q5711" s="4">
        <v>-0.385428533718479</v>
      </c>
      <c r="R5711" s="4">
        <v>0.108858468395286</v>
      </c>
      <c r="S5711" s="4">
        <v>-0.0154832752190986</v>
      </c>
      <c r="T5711" s="4">
        <f t="shared" si="3"/>
        <v>1019</v>
      </c>
      <c r="U5711" s="4">
        <f t="shared" si="4"/>
        <v>829</v>
      </c>
    </row>
    <row r="5712" ht="15.75" customHeight="1">
      <c r="A5712" s="4" t="s">
        <v>1690</v>
      </c>
      <c r="B5712" s="4" t="s">
        <v>13</v>
      </c>
      <c r="C5712" s="4">
        <v>0.1315</v>
      </c>
      <c r="D5712" s="4">
        <v>0.0079</v>
      </c>
      <c r="E5712" s="4">
        <v>0.0079</v>
      </c>
      <c r="I5712" s="4">
        <v>0.30726</v>
      </c>
      <c r="J5712" s="4">
        <v>0.01026</v>
      </c>
      <c r="K5712" s="6" t="b">
        <f t="shared" ref="K5712:M5712" si="5459">FALSE()</f>
        <v>0</v>
      </c>
      <c r="L5712" s="6" t="b">
        <f t="shared" si="5459"/>
        <v>0</v>
      </c>
      <c r="M5712" s="6" t="b">
        <f t="shared" si="5459"/>
        <v>0</v>
      </c>
      <c r="N5712" s="4">
        <v>0.123544186091455</v>
      </c>
      <c r="P5712" s="4">
        <v>0.267933343703048</v>
      </c>
      <c r="T5712" s="4">
        <f t="shared" si="3"/>
        <v>1216</v>
      </c>
      <c r="U5712" s="4">
        <f t="shared" si="4"/>
        <v>1343</v>
      </c>
    </row>
    <row r="5713" ht="15.75" customHeight="1">
      <c r="A5713" s="4" t="s">
        <v>1691</v>
      </c>
      <c r="B5713" s="4" t="s">
        <v>13</v>
      </c>
      <c r="C5713" s="4">
        <v>1.1</v>
      </c>
      <c r="D5713" s="4">
        <v>0.08</v>
      </c>
      <c r="E5713" s="4">
        <v>0.08</v>
      </c>
      <c r="I5713" s="4">
        <v>1.255</v>
      </c>
      <c r="J5713" s="4">
        <v>0.04</v>
      </c>
      <c r="K5713" s="6" t="b">
        <f t="shared" ref="K5713:L5713" si="5460">FALSE()</f>
        <v>0</v>
      </c>
      <c r="L5713" s="6" t="b">
        <f t="shared" si="5460"/>
        <v>0</v>
      </c>
      <c r="M5713" s="6" t="b">
        <f>TRUE()</f>
        <v>1</v>
      </c>
      <c r="N5713" s="4">
        <v>0.741937344729377</v>
      </c>
      <c r="P5713" s="4">
        <v>0.813149972954642</v>
      </c>
      <c r="T5713" s="4">
        <f t="shared" si="3"/>
        <v>630</v>
      </c>
      <c r="U5713" s="4">
        <f t="shared" si="4"/>
        <v>311</v>
      </c>
    </row>
    <row r="5714" ht="15.75" customHeight="1">
      <c r="A5714" s="4" t="s">
        <v>1692</v>
      </c>
      <c r="B5714" s="4" t="s">
        <v>13</v>
      </c>
      <c r="C5714" s="4">
        <v>0.012</v>
      </c>
      <c r="D5714" s="4">
        <v>0.0044</v>
      </c>
      <c r="E5714" s="4">
        <v>0.0085</v>
      </c>
      <c r="I5714" s="4">
        <v>0.1481</v>
      </c>
      <c r="J5714" s="4">
        <v>0.0098</v>
      </c>
      <c r="K5714" s="6" t="b">
        <f t="shared" ref="K5714:M5714" si="5461">FALSE()</f>
        <v>0</v>
      </c>
      <c r="L5714" s="6" t="b">
        <f t="shared" si="5461"/>
        <v>0</v>
      </c>
      <c r="M5714" s="6" t="b">
        <f t="shared" si="5461"/>
        <v>0</v>
      </c>
      <c r="N5714" s="4">
        <v>0.0119285708652738</v>
      </c>
      <c r="P5714" s="4">
        <v>0.138108402117629</v>
      </c>
      <c r="T5714" s="4">
        <f t="shared" si="3"/>
        <v>1901</v>
      </c>
      <c r="U5714" s="4">
        <f t="shared" si="4"/>
        <v>3357</v>
      </c>
    </row>
    <row r="5715" ht="15.75" customHeight="1">
      <c r="A5715" s="4" t="s">
        <v>6041</v>
      </c>
      <c r="B5715" s="4" t="s">
        <v>13</v>
      </c>
      <c r="I5715" s="4">
        <v>0.248</v>
      </c>
      <c r="J5715" s="4">
        <v>0.0205</v>
      </c>
      <c r="K5715" s="6" t="b">
        <f t="shared" ref="K5715:M5715" si="5462">FALSE()</f>
        <v>0</v>
      </c>
      <c r="L5715" s="6" t="b">
        <f t="shared" si="5462"/>
        <v>0</v>
      </c>
      <c r="M5715" s="6" t="b">
        <f t="shared" si="5462"/>
        <v>0</v>
      </c>
      <c r="P5715" s="4">
        <v>0.221542269947236</v>
      </c>
      <c r="T5715" s="4" t="str">
        <f t="shared" si="3"/>
        <v/>
      </c>
      <c r="U5715" s="4">
        <f t="shared" si="4"/>
        <v>1840</v>
      </c>
    </row>
    <row r="5716" ht="15.75" customHeight="1">
      <c r="A5716" s="4" t="s">
        <v>1693</v>
      </c>
      <c r="B5716" s="4" t="s">
        <v>13</v>
      </c>
      <c r="C5716" s="4">
        <v>0.95</v>
      </c>
      <c r="D5716" s="4">
        <v>0.07</v>
      </c>
      <c r="E5716" s="4">
        <v>0.07</v>
      </c>
      <c r="I5716" s="4">
        <v>1.07</v>
      </c>
      <c r="J5716" s="4">
        <v>0.02</v>
      </c>
      <c r="K5716" s="6" t="b">
        <f t="shared" ref="K5716:L5716" si="5463">FALSE()</f>
        <v>0</v>
      </c>
      <c r="L5716" s="6" t="b">
        <f t="shared" si="5463"/>
        <v>0</v>
      </c>
      <c r="M5716" s="6" t="b">
        <f>TRUE()</f>
        <v>1</v>
      </c>
      <c r="N5716" s="4">
        <v>0.667829372575655</v>
      </c>
      <c r="P5716" s="4">
        <v>0.727548607277278</v>
      </c>
      <c r="T5716" s="4">
        <f t="shared" si="3"/>
        <v>687</v>
      </c>
      <c r="U5716" s="4">
        <f t="shared" si="4"/>
        <v>577</v>
      </c>
    </row>
    <row r="5717" ht="15.75" customHeight="1">
      <c r="A5717" s="4" t="s">
        <v>6042</v>
      </c>
      <c r="B5717" s="4" t="s">
        <v>13</v>
      </c>
      <c r="I5717" s="4">
        <v>0.2168</v>
      </c>
      <c r="J5717" s="4">
        <v>0.0134</v>
      </c>
      <c r="K5717" s="6" t="b">
        <f t="shared" ref="K5717:M5717" si="5464">FALSE()</f>
        <v>0</v>
      </c>
      <c r="L5717" s="6" t="b">
        <f t="shared" si="5464"/>
        <v>0</v>
      </c>
      <c r="M5717" s="6" t="b">
        <f t="shared" si="5464"/>
        <v>0</v>
      </c>
      <c r="P5717" s="4">
        <v>0.196224461962946</v>
      </c>
      <c r="T5717" s="4" t="str">
        <f t="shared" si="3"/>
        <v/>
      </c>
      <c r="U5717" s="4">
        <f t="shared" si="4"/>
        <v>2311</v>
      </c>
    </row>
    <row r="5718" ht="15.75" customHeight="1">
      <c r="A5718" s="4" t="s">
        <v>6043</v>
      </c>
      <c r="B5718" s="4" t="s">
        <v>13</v>
      </c>
      <c r="I5718" s="4">
        <v>0.1936</v>
      </c>
      <c r="J5718" s="4">
        <v>0.0107</v>
      </c>
      <c r="K5718" s="6" t="b">
        <f t="shared" ref="K5718:M5718" si="5465">FALSE()</f>
        <v>0</v>
      </c>
      <c r="L5718" s="6" t="b">
        <f t="shared" si="5465"/>
        <v>0</v>
      </c>
      <c r="M5718" s="6" t="b">
        <f t="shared" si="5465"/>
        <v>0</v>
      </c>
      <c r="P5718" s="4">
        <v>0.176973950467359</v>
      </c>
      <c r="T5718" s="4" t="str">
        <f t="shared" si="3"/>
        <v/>
      </c>
      <c r="U5718" s="4">
        <f t="shared" si="4"/>
        <v>2698</v>
      </c>
    </row>
    <row r="5719" ht="15.75" customHeight="1">
      <c r="A5719" s="4" t="s">
        <v>1694</v>
      </c>
      <c r="B5719" s="4" t="s">
        <v>13</v>
      </c>
      <c r="C5719" s="4">
        <v>0.667</v>
      </c>
      <c r="D5719" s="4">
        <v>0.042</v>
      </c>
      <c r="E5719" s="4">
        <v>0.042</v>
      </c>
      <c r="I5719" s="4">
        <v>1.171</v>
      </c>
      <c r="J5719" s="4">
        <v>0.053</v>
      </c>
      <c r="K5719" s="6" t="b">
        <f t="shared" ref="K5719:L5719" si="5466">FALSE()</f>
        <v>0</v>
      </c>
      <c r="L5719" s="6" t="b">
        <f t="shared" si="5466"/>
        <v>0</v>
      </c>
      <c r="M5719" s="6" t="b">
        <f t="shared" ref="M5719:M5720" si="5468">TRUE()</f>
        <v>1</v>
      </c>
      <c r="N5719" s="4">
        <v>0.511025603768657</v>
      </c>
      <c r="P5719" s="4">
        <v>0.775187890896155</v>
      </c>
      <c r="T5719" s="4">
        <f t="shared" si="3"/>
        <v>844</v>
      </c>
      <c r="U5719" s="4">
        <f t="shared" si="4"/>
        <v>422</v>
      </c>
    </row>
    <row r="5720" ht="15.75" customHeight="1">
      <c r="A5720" s="4" t="s">
        <v>6044</v>
      </c>
      <c r="B5720" s="4" t="s">
        <v>13</v>
      </c>
      <c r="I5720" s="4">
        <v>0.856</v>
      </c>
      <c r="J5720" s="4">
        <v>0.054</v>
      </c>
      <c r="K5720" s="6" t="b">
        <f t="shared" ref="K5720:L5720" si="5467">FALSE()</f>
        <v>0</v>
      </c>
      <c r="L5720" s="6" t="b">
        <f t="shared" si="5467"/>
        <v>0</v>
      </c>
      <c r="M5720" s="6" t="b">
        <f t="shared" si="5468"/>
        <v>1</v>
      </c>
      <c r="P5720" s="4">
        <v>0.618423634364009</v>
      </c>
      <c r="T5720" s="4" t="str">
        <f t="shared" si="3"/>
        <v/>
      </c>
      <c r="U5720" s="4">
        <f t="shared" si="4"/>
        <v>797</v>
      </c>
    </row>
    <row r="5721" ht="15.75" customHeight="1">
      <c r="A5721" s="4" t="s">
        <v>1695</v>
      </c>
      <c r="B5721" s="4" t="s">
        <v>13</v>
      </c>
      <c r="C5721" s="4">
        <v>0.050773</v>
      </c>
      <c r="D5721" s="4">
        <v>0.01271</v>
      </c>
      <c r="E5721" s="4">
        <v>0.0129</v>
      </c>
      <c r="I5721" s="4">
        <v>0.28424</v>
      </c>
      <c r="J5721" s="4">
        <v>0.01383</v>
      </c>
      <c r="K5721" s="6" t="b">
        <f t="shared" ref="K5721:M5721" si="5469">FALSE()</f>
        <v>0</v>
      </c>
      <c r="L5721" s="6" t="b">
        <f t="shared" si="5469"/>
        <v>0</v>
      </c>
      <c r="M5721" s="6" t="b">
        <f t="shared" si="5469"/>
        <v>0</v>
      </c>
      <c r="N5721" s="4">
        <v>0.0495260837903397</v>
      </c>
      <c r="P5721" s="4">
        <v>0.250167103689022</v>
      </c>
      <c r="T5721" s="4">
        <f t="shared" si="3"/>
        <v>1402</v>
      </c>
      <c r="U5721" s="4">
        <f t="shared" si="4"/>
        <v>1476</v>
      </c>
    </row>
    <row r="5722" ht="15.75" customHeight="1">
      <c r="A5722" s="4" t="s">
        <v>1696</v>
      </c>
      <c r="B5722" s="4" t="s">
        <v>13</v>
      </c>
      <c r="C5722" s="4">
        <v>0.0208</v>
      </c>
      <c r="I5722" s="4">
        <v>0.2192</v>
      </c>
      <c r="J5722" s="4">
        <v>0.009</v>
      </c>
      <c r="K5722" s="6" t="b">
        <f t="shared" ref="K5722:M5722" si="5470">FALSE()</f>
        <v>0</v>
      </c>
      <c r="L5722" s="6" t="b">
        <f t="shared" si="5470"/>
        <v>0</v>
      </c>
      <c r="M5722" s="6" t="b">
        <f t="shared" si="5470"/>
        <v>0</v>
      </c>
      <c r="N5722" s="4">
        <v>0.0205866336083883</v>
      </c>
      <c r="P5722" s="4">
        <v>0.198194905950245</v>
      </c>
      <c r="T5722" s="4">
        <f t="shared" si="3"/>
        <v>1715</v>
      </c>
      <c r="U5722" s="4">
        <f t="shared" si="4"/>
        <v>2273</v>
      </c>
    </row>
    <row r="5723" ht="15.75" customHeight="1">
      <c r="A5723" s="4" t="s">
        <v>1697</v>
      </c>
      <c r="B5723" s="4" t="s">
        <v>13</v>
      </c>
      <c r="C5723" s="4">
        <v>2.599</v>
      </c>
      <c r="D5723" s="4">
        <v>2.596</v>
      </c>
      <c r="E5723" s="4">
        <v>0.0</v>
      </c>
      <c r="I5723" s="4">
        <v>0.4291</v>
      </c>
      <c r="J5723" s="4">
        <v>0.018</v>
      </c>
      <c r="K5723" s="6" t="b">
        <f t="shared" ref="K5723:M5723" si="5471">FALSE()</f>
        <v>0</v>
      </c>
      <c r="L5723" s="6" t="b">
        <f t="shared" si="5471"/>
        <v>0</v>
      </c>
      <c r="M5723" s="6" t="b">
        <f t="shared" si="5471"/>
        <v>0</v>
      </c>
      <c r="N5723" s="4">
        <v>1.28065602909689</v>
      </c>
      <c r="P5723" s="4">
        <v>0.357044875505612</v>
      </c>
      <c r="T5723" s="4">
        <f t="shared" si="3"/>
        <v>360</v>
      </c>
      <c r="U5723" s="4">
        <f t="shared" si="4"/>
        <v>1078</v>
      </c>
    </row>
    <row r="5724" ht="15.75" customHeight="1">
      <c r="A5724" s="4" t="s">
        <v>1698</v>
      </c>
      <c r="B5724" s="4" t="s">
        <v>13</v>
      </c>
      <c r="C5724" s="4">
        <v>2.501</v>
      </c>
      <c r="D5724" s="4">
        <v>2.501</v>
      </c>
      <c r="E5724" s="4">
        <v>0.0</v>
      </c>
      <c r="I5724" s="4">
        <v>0.5166</v>
      </c>
      <c r="J5724" s="4">
        <v>0.0161</v>
      </c>
      <c r="K5724" s="6" t="b">
        <f t="shared" ref="K5724:M5724" si="5472">FALSE()</f>
        <v>0</v>
      </c>
      <c r="L5724" s="6" t="b">
        <f t="shared" si="5472"/>
        <v>0</v>
      </c>
      <c r="M5724" s="6" t="b">
        <f t="shared" si="5472"/>
        <v>0</v>
      </c>
      <c r="N5724" s="4">
        <v>1.25304864197253</v>
      </c>
      <c r="P5724" s="4">
        <v>0.416470987284698</v>
      </c>
      <c r="T5724" s="4">
        <f t="shared" si="3"/>
        <v>368</v>
      </c>
      <c r="U5724" s="4">
        <f t="shared" si="4"/>
        <v>1000</v>
      </c>
    </row>
    <row r="5725" ht="15.75" customHeight="1">
      <c r="A5725" s="4" t="s">
        <v>1699</v>
      </c>
      <c r="B5725" s="4" t="s">
        <v>13</v>
      </c>
      <c r="C5725" s="4">
        <v>0.174</v>
      </c>
      <c r="D5725" s="4">
        <v>0.017</v>
      </c>
      <c r="E5725" s="4">
        <v>0.018</v>
      </c>
      <c r="I5725" s="4">
        <v>0.852</v>
      </c>
      <c r="J5725" s="4">
        <v>0.062</v>
      </c>
      <c r="K5725" s="6" t="b">
        <f t="shared" ref="K5725:L5725" si="5473">FALSE()</f>
        <v>0</v>
      </c>
      <c r="L5725" s="6" t="b">
        <f t="shared" si="5473"/>
        <v>0</v>
      </c>
      <c r="M5725" s="6" t="b">
        <f>TRUE()</f>
        <v>1</v>
      </c>
      <c r="N5725" s="4">
        <v>0.160416721405905</v>
      </c>
      <c r="P5725" s="4">
        <v>0.616266136223988</v>
      </c>
      <c r="T5725" s="4">
        <f t="shared" si="3"/>
        <v>1180</v>
      </c>
      <c r="U5725" s="4">
        <f t="shared" si="4"/>
        <v>801</v>
      </c>
    </row>
    <row r="5726" ht="15.75" customHeight="1">
      <c r="A5726" s="4" t="s">
        <v>1700</v>
      </c>
      <c r="B5726" s="4" t="s">
        <v>13</v>
      </c>
      <c r="C5726" s="4">
        <v>0.0286</v>
      </c>
      <c r="D5726" s="4">
        <v>0.003</v>
      </c>
      <c r="E5726" s="4">
        <v>0.003</v>
      </c>
      <c r="I5726" s="4">
        <v>0.24668</v>
      </c>
      <c r="J5726" s="4">
        <v>0.009</v>
      </c>
      <c r="K5726" s="6" t="b">
        <f t="shared" ref="K5726:M5726" si="5474">FALSE()</f>
        <v>0</v>
      </c>
      <c r="L5726" s="6" t="b">
        <f t="shared" si="5474"/>
        <v>0</v>
      </c>
      <c r="M5726" s="6" t="b">
        <f t="shared" si="5474"/>
        <v>0</v>
      </c>
      <c r="N5726" s="4">
        <v>0.0281986543586787</v>
      </c>
      <c r="P5726" s="4">
        <v>0.220484017888304</v>
      </c>
      <c r="T5726" s="4">
        <f t="shared" si="3"/>
        <v>1576</v>
      </c>
      <c r="U5726" s="4">
        <f t="shared" si="4"/>
        <v>1855</v>
      </c>
    </row>
    <row r="5727" ht="15.75" customHeight="1">
      <c r="A5727" s="4" t="s">
        <v>6045</v>
      </c>
      <c r="B5727" s="4" t="s">
        <v>13</v>
      </c>
      <c r="D5727" s="4">
        <v>0.9</v>
      </c>
      <c r="E5727" s="4">
        <v>1.1</v>
      </c>
      <c r="F5727" s="4">
        <v>11.3</v>
      </c>
      <c r="G5727" s="4">
        <v>0.9</v>
      </c>
      <c r="H5727" s="4">
        <v>1.1</v>
      </c>
      <c r="K5727" s="6" t="b">
        <f t="shared" ref="K5727:K5748" si="5475">FALSE()</f>
        <v>0</v>
      </c>
      <c r="L5727" s="6" t="b">
        <f>TRUE()</f>
        <v>1</v>
      </c>
      <c r="M5727" s="6" t="b">
        <f>FALSE()</f>
        <v>0</v>
      </c>
      <c r="O5727" s="4">
        <v>2.50959926237837</v>
      </c>
      <c r="T5727" s="4" t="str">
        <f t="shared" si="3"/>
        <v/>
      </c>
      <c r="U5727" s="4" t="str">
        <f t="shared" si="4"/>
        <v/>
      </c>
    </row>
    <row r="5728" ht="15.75" customHeight="1">
      <c r="A5728" s="4" t="s">
        <v>1701</v>
      </c>
      <c r="B5728" s="4" t="s">
        <v>13</v>
      </c>
      <c r="C5728" s="4">
        <v>0.0027</v>
      </c>
      <c r="D5728" s="4">
        <v>0.0023</v>
      </c>
      <c r="E5728" s="4">
        <v>0.0023</v>
      </c>
      <c r="I5728" s="4">
        <v>0.09689</v>
      </c>
      <c r="J5728" s="4">
        <v>3.1E-4</v>
      </c>
      <c r="K5728" s="6" t="b">
        <f t="shared" si="5475"/>
        <v>0</v>
      </c>
      <c r="L5728" s="6" t="b">
        <f t="shared" ref="L5728:M5728" si="5476">FALSE()</f>
        <v>0</v>
      </c>
      <c r="M5728" s="6" t="b">
        <f t="shared" si="5476"/>
        <v>0</v>
      </c>
      <c r="N5728" s="4">
        <v>0.0026963615477426</v>
      </c>
      <c r="P5728" s="4">
        <v>0.0924789027922639</v>
      </c>
      <c r="T5728" s="4">
        <f t="shared" si="3"/>
        <v>2059</v>
      </c>
      <c r="U5728" s="4">
        <f t="shared" si="4"/>
        <v>4263</v>
      </c>
    </row>
    <row r="5729" ht="15.75" customHeight="1">
      <c r="A5729" s="4" t="s">
        <v>1702</v>
      </c>
      <c r="B5729" s="4" t="s">
        <v>13</v>
      </c>
      <c r="C5729" s="4">
        <v>0.00434</v>
      </c>
      <c r="D5729" s="4">
        <v>0.0019</v>
      </c>
      <c r="E5729" s="4">
        <v>0.0019</v>
      </c>
      <c r="I5729" s="4">
        <v>0.09421</v>
      </c>
      <c r="J5729" s="4">
        <v>3.1E-4</v>
      </c>
      <c r="K5729" s="6" t="b">
        <f t="shared" si="5475"/>
        <v>0</v>
      </c>
      <c r="L5729" s="6" t="b">
        <f t="shared" ref="L5729:M5729" si="5477">FALSE()</f>
        <v>0</v>
      </c>
      <c r="M5729" s="6" t="b">
        <f t="shared" si="5477"/>
        <v>0</v>
      </c>
      <c r="N5729" s="4">
        <v>0.0043306093604465</v>
      </c>
      <c r="P5729" s="4">
        <v>0.0900326417028844</v>
      </c>
      <c r="T5729" s="4">
        <f t="shared" si="3"/>
        <v>2036</v>
      </c>
      <c r="U5729" s="4">
        <f t="shared" si="4"/>
        <v>4287</v>
      </c>
    </row>
    <row r="5730" ht="15.75" customHeight="1">
      <c r="A5730" s="4" t="s">
        <v>1703</v>
      </c>
      <c r="B5730" s="4" t="s">
        <v>13</v>
      </c>
      <c r="C5730" s="4">
        <v>0.0013</v>
      </c>
      <c r="D5730" s="4">
        <v>8.5E-4</v>
      </c>
      <c r="E5730" s="4">
        <v>8.5E-4</v>
      </c>
      <c r="I5730" s="4">
        <v>0.0689</v>
      </c>
      <c r="J5730" s="4">
        <v>0.0027</v>
      </c>
      <c r="K5730" s="6" t="b">
        <f t="shared" si="5475"/>
        <v>0</v>
      </c>
      <c r="L5730" s="6" t="b">
        <f t="shared" ref="L5730:M5730" si="5478">FALSE()</f>
        <v>0</v>
      </c>
      <c r="M5730" s="6" t="b">
        <f t="shared" si="5478"/>
        <v>0</v>
      </c>
      <c r="N5730" s="4">
        <v>0.00129915573162</v>
      </c>
      <c r="P5730" s="4">
        <v>0.066630082297763</v>
      </c>
      <c r="T5730" s="4">
        <f t="shared" si="3"/>
        <v>2073</v>
      </c>
      <c r="U5730" s="4">
        <f t="shared" si="4"/>
        <v>4494</v>
      </c>
    </row>
    <row r="5731" ht="15.75" customHeight="1">
      <c r="A5731" s="4" t="s">
        <v>1704</v>
      </c>
      <c r="B5731" s="4" t="s">
        <v>13</v>
      </c>
      <c r="C5731" s="4">
        <v>0.002</v>
      </c>
      <c r="D5731" s="4">
        <v>0.0018</v>
      </c>
      <c r="E5731" s="4">
        <v>0.0018</v>
      </c>
      <c r="I5731" s="4">
        <v>0.0819</v>
      </c>
      <c r="J5731" s="4">
        <v>0.0035</v>
      </c>
      <c r="K5731" s="6" t="b">
        <f t="shared" si="5475"/>
        <v>0</v>
      </c>
      <c r="L5731" s="6" t="b">
        <f t="shared" ref="L5731:M5731" si="5479">FALSE()</f>
        <v>0</v>
      </c>
      <c r="M5731" s="6" t="b">
        <f t="shared" si="5479"/>
        <v>0</v>
      </c>
      <c r="N5731" s="4">
        <v>0.001998002662673</v>
      </c>
      <c r="P5731" s="4">
        <v>0.0787187547113906</v>
      </c>
      <c r="T5731" s="4">
        <f t="shared" si="3"/>
        <v>2067</v>
      </c>
      <c r="U5731" s="4">
        <f t="shared" si="4"/>
        <v>4402</v>
      </c>
    </row>
    <row r="5732" ht="15.75" customHeight="1">
      <c r="A5732" s="4" t="s">
        <v>1705</v>
      </c>
      <c r="B5732" s="4" t="s">
        <v>13</v>
      </c>
      <c r="C5732" s="4">
        <v>0.0021</v>
      </c>
      <c r="D5732" s="4">
        <v>5.7E-4</v>
      </c>
      <c r="E5732" s="4">
        <v>5.7E-4</v>
      </c>
      <c r="I5732" s="4">
        <v>0.09323</v>
      </c>
      <c r="J5732" s="4">
        <v>0.0034</v>
      </c>
      <c r="K5732" s="6" t="b">
        <f t="shared" si="5475"/>
        <v>0</v>
      </c>
      <c r="L5732" s="6" t="b">
        <f t="shared" ref="L5732:M5732" si="5480">FALSE()</f>
        <v>0</v>
      </c>
      <c r="M5732" s="6" t="b">
        <f t="shared" si="5480"/>
        <v>0</v>
      </c>
      <c r="N5732" s="4">
        <v>0.0020977980821461</v>
      </c>
      <c r="P5732" s="4">
        <v>0.0891366170662617</v>
      </c>
      <c r="T5732" s="4">
        <f t="shared" si="3"/>
        <v>2065</v>
      </c>
      <c r="U5732" s="4">
        <f t="shared" si="4"/>
        <v>4294</v>
      </c>
    </row>
    <row r="5733" ht="15.75" customHeight="1">
      <c r="A5733" s="4" t="s">
        <v>1706</v>
      </c>
      <c r="B5733" s="4" t="s">
        <v>13</v>
      </c>
      <c r="C5733" s="4">
        <v>0.00422</v>
      </c>
      <c r="D5733" s="4">
        <v>0.0028</v>
      </c>
      <c r="E5733" s="4">
        <v>0.0028</v>
      </c>
      <c r="I5733" s="4">
        <v>0.1005</v>
      </c>
      <c r="J5733" s="4">
        <v>0.0037</v>
      </c>
      <c r="K5733" s="6" t="b">
        <f t="shared" si="5475"/>
        <v>0</v>
      </c>
      <c r="L5733" s="6" t="b">
        <f t="shared" ref="L5733:M5733" si="5481">FALSE()</f>
        <v>0</v>
      </c>
      <c r="M5733" s="6" t="b">
        <f t="shared" si="5481"/>
        <v>0</v>
      </c>
      <c r="N5733" s="4">
        <v>0.0042111207714646</v>
      </c>
      <c r="P5733" s="4">
        <v>0.0957646219843793</v>
      </c>
      <c r="T5733" s="4">
        <f t="shared" si="3"/>
        <v>2037</v>
      </c>
      <c r="U5733" s="4">
        <f t="shared" si="4"/>
        <v>4209</v>
      </c>
    </row>
    <row r="5734" ht="15.75" customHeight="1">
      <c r="A5734" s="4" t="s">
        <v>1707</v>
      </c>
      <c r="B5734" s="4" t="s">
        <v>13</v>
      </c>
      <c r="C5734" s="4">
        <v>0.001041</v>
      </c>
      <c r="D5734" s="4">
        <v>1.54E-4</v>
      </c>
      <c r="E5734" s="4">
        <v>1.76E-4</v>
      </c>
      <c r="I5734" s="4">
        <v>0.0674</v>
      </c>
      <c r="J5734" s="4">
        <v>0.003</v>
      </c>
      <c r="K5734" s="6" t="b">
        <f t="shared" si="5475"/>
        <v>0</v>
      </c>
      <c r="L5734" s="6" t="b">
        <f t="shared" ref="L5734:M5734" si="5482">FALSE()</f>
        <v>0</v>
      </c>
      <c r="M5734" s="6" t="b">
        <f t="shared" si="5482"/>
        <v>0</v>
      </c>
      <c r="N5734" s="4">
        <v>0.0010404585352439</v>
      </c>
      <c r="P5734" s="4">
        <v>0.0652257849177074</v>
      </c>
      <c r="T5734" s="4">
        <f t="shared" si="3"/>
        <v>2076</v>
      </c>
      <c r="U5734" s="4">
        <f t="shared" si="4"/>
        <v>4504</v>
      </c>
    </row>
    <row r="5735" ht="15.75" customHeight="1">
      <c r="A5735" s="4" t="s">
        <v>1708</v>
      </c>
      <c r="B5735" s="4" t="s">
        <v>13</v>
      </c>
      <c r="C5735" s="4">
        <v>0.761</v>
      </c>
      <c r="D5735" s="4">
        <v>0.05</v>
      </c>
      <c r="E5735" s="4">
        <v>0.05</v>
      </c>
      <c r="I5735" s="4">
        <v>1.099</v>
      </c>
      <c r="J5735" s="4">
        <v>0.035</v>
      </c>
      <c r="K5735" s="6" t="b">
        <f t="shared" si="5475"/>
        <v>0</v>
      </c>
      <c r="L5735" s="6" t="b">
        <f t="shared" ref="L5735:L5743" si="5483">FALSE()</f>
        <v>0</v>
      </c>
      <c r="M5735" s="6" t="b">
        <f t="shared" ref="M5735:M5739" si="5484">TRUE()</f>
        <v>1</v>
      </c>
      <c r="N5735" s="4">
        <v>0.565881829514069</v>
      </c>
      <c r="P5735" s="4">
        <v>0.741461040838496</v>
      </c>
      <c r="T5735" s="4">
        <f t="shared" si="3"/>
        <v>790</v>
      </c>
      <c r="U5735" s="4">
        <f t="shared" si="4"/>
        <v>518</v>
      </c>
    </row>
    <row r="5736" ht="15.75" customHeight="1">
      <c r="A5736" s="4" t="s">
        <v>1709</v>
      </c>
      <c r="B5736" s="4" t="s">
        <v>13</v>
      </c>
      <c r="C5736" s="4">
        <v>1.253</v>
      </c>
      <c r="D5736" s="4">
        <v>0.052</v>
      </c>
      <c r="E5736" s="4">
        <v>0.052</v>
      </c>
      <c r="I5736" s="4">
        <v>1.189</v>
      </c>
      <c r="J5736" s="4">
        <v>0.025</v>
      </c>
      <c r="K5736" s="6" t="b">
        <f t="shared" si="5475"/>
        <v>0</v>
      </c>
      <c r="L5736" s="6" t="b">
        <f t="shared" si="5483"/>
        <v>0</v>
      </c>
      <c r="M5736" s="6" t="b">
        <f t="shared" si="5484"/>
        <v>1</v>
      </c>
      <c r="N5736" s="4">
        <v>0.812262661450107</v>
      </c>
      <c r="P5736" s="4">
        <v>0.783444818540726</v>
      </c>
      <c r="T5736" s="4">
        <f t="shared" si="3"/>
        <v>573</v>
      </c>
      <c r="U5736" s="4">
        <f t="shared" si="4"/>
        <v>404</v>
      </c>
    </row>
    <row r="5737" ht="15.75" customHeight="1">
      <c r="A5737" s="4" t="s">
        <v>1710</v>
      </c>
      <c r="B5737" s="4" t="s">
        <v>13</v>
      </c>
      <c r="C5737" s="4">
        <v>1.91</v>
      </c>
      <c r="D5737" s="4">
        <v>0.07</v>
      </c>
      <c r="E5737" s="4">
        <v>0.06</v>
      </c>
      <c r="I5737" s="4">
        <v>1.305</v>
      </c>
      <c r="J5737" s="4">
        <v>0.09</v>
      </c>
      <c r="K5737" s="6" t="b">
        <f t="shared" si="5475"/>
        <v>0</v>
      </c>
      <c r="L5737" s="6" t="b">
        <f t="shared" si="5483"/>
        <v>0</v>
      </c>
      <c r="M5737" s="6" t="b">
        <f t="shared" si="5484"/>
        <v>1</v>
      </c>
      <c r="N5737" s="4">
        <v>1.0681530811834</v>
      </c>
      <c r="P5737" s="4">
        <v>0.835080676448612</v>
      </c>
      <c r="T5737" s="4">
        <f t="shared" si="3"/>
        <v>451</v>
      </c>
      <c r="U5737" s="4">
        <f t="shared" si="4"/>
        <v>244</v>
      </c>
    </row>
    <row r="5738" ht="15.75" customHeight="1">
      <c r="A5738" s="4" t="s">
        <v>1711</v>
      </c>
      <c r="B5738" s="4" t="s">
        <v>13</v>
      </c>
      <c r="C5738" s="4">
        <v>0.917</v>
      </c>
      <c r="D5738" s="4">
        <v>0.07</v>
      </c>
      <c r="E5738" s="4">
        <v>0.07</v>
      </c>
      <c r="I5738" s="4">
        <v>1.706</v>
      </c>
      <c r="J5738" s="4">
        <v>0.056</v>
      </c>
      <c r="K5738" s="6" t="b">
        <f t="shared" si="5475"/>
        <v>0</v>
      </c>
      <c r="L5738" s="6" t="b">
        <f t="shared" si="5483"/>
        <v>0</v>
      </c>
      <c r="M5738" s="6" t="b">
        <f t="shared" si="5484"/>
        <v>1</v>
      </c>
      <c r="N5738" s="4">
        <v>0.650761464063507</v>
      </c>
      <c r="P5738" s="4">
        <v>0.995471529748596</v>
      </c>
      <c r="T5738" s="4">
        <f t="shared" si="3"/>
        <v>709</v>
      </c>
      <c r="U5738" s="4">
        <f t="shared" si="4"/>
        <v>41</v>
      </c>
    </row>
    <row r="5739" ht="15.75" customHeight="1">
      <c r="A5739" s="4" t="s">
        <v>1712</v>
      </c>
      <c r="B5739" s="4" t="s">
        <v>13</v>
      </c>
      <c r="C5739" s="4">
        <v>1.778</v>
      </c>
      <c r="D5739" s="4">
        <v>0.063</v>
      </c>
      <c r="E5739" s="4">
        <v>0.063</v>
      </c>
      <c r="I5739" s="4">
        <v>1.209</v>
      </c>
      <c r="J5739" s="4">
        <v>0.021</v>
      </c>
      <c r="K5739" s="6" t="b">
        <f t="shared" si="5475"/>
        <v>0</v>
      </c>
      <c r="L5739" s="6" t="b">
        <f t="shared" si="5483"/>
        <v>0</v>
      </c>
      <c r="M5739" s="6" t="b">
        <f t="shared" si="5484"/>
        <v>1</v>
      </c>
      <c r="N5739" s="4">
        <v>1.02173124433215</v>
      </c>
      <c r="P5739" s="4">
        <v>0.79253992443798</v>
      </c>
      <c r="T5739" s="4">
        <f t="shared" si="3"/>
        <v>474</v>
      </c>
      <c r="U5739" s="4">
        <f t="shared" si="4"/>
        <v>370</v>
      </c>
    </row>
    <row r="5740" ht="15.75" customHeight="1">
      <c r="A5740" s="4" t="s">
        <v>6046</v>
      </c>
      <c r="B5740" s="4" t="s">
        <v>13</v>
      </c>
      <c r="C5740" s="4">
        <v>0.38</v>
      </c>
      <c r="D5740" s="4">
        <v>0.24</v>
      </c>
      <c r="E5740" s="4">
        <v>0.24</v>
      </c>
      <c r="K5740" s="6" t="b">
        <f t="shared" si="5475"/>
        <v>0</v>
      </c>
      <c r="L5740" s="6" t="b">
        <f t="shared" si="5483"/>
        <v>0</v>
      </c>
      <c r="M5740" s="6" t="b">
        <f t="shared" ref="M5740:M5744" si="5485">FALSE()</f>
        <v>0</v>
      </c>
      <c r="N5740" s="4">
        <v>0.322083499169113</v>
      </c>
      <c r="T5740" s="4">
        <f t="shared" si="3"/>
        <v>1029</v>
      </c>
      <c r="U5740" s="4" t="str">
        <f t="shared" si="4"/>
        <v/>
      </c>
    </row>
    <row r="5741" ht="15.75" customHeight="1">
      <c r="A5741" s="4" t="s">
        <v>6047</v>
      </c>
      <c r="B5741" s="4" t="s">
        <v>13</v>
      </c>
      <c r="C5741" s="4">
        <v>0.31</v>
      </c>
      <c r="K5741" s="6" t="b">
        <f t="shared" si="5475"/>
        <v>0</v>
      </c>
      <c r="L5741" s="6" t="b">
        <f t="shared" si="5483"/>
        <v>0</v>
      </c>
      <c r="M5741" s="6" t="b">
        <f t="shared" si="5485"/>
        <v>0</v>
      </c>
      <c r="N5741" s="4">
        <v>0.27002713721306</v>
      </c>
      <c r="T5741" s="4">
        <f t="shared" si="3"/>
        <v>1063</v>
      </c>
      <c r="U5741" s="4" t="str">
        <f t="shared" si="4"/>
        <v/>
      </c>
    </row>
    <row r="5742" ht="15.75" customHeight="1">
      <c r="A5742" s="4" t="s">
        <v>6048</v>
      </c>
      <c r="B5742" s="4" t="s">
        <v>13</v>
      </c>
      <c r="D5742" s="4">
        <v>0.022</v>
      </c>
      <c r="E5742" s="4">
        <v>0.028</v>
      </c>
      <c r="F5742" s="4">
        <v>0.094</v>
      </c>
      <c r="G5742" s="4">
        <v>0.022</v>
      </c>
      <c r="H5742" s="4">
        <v>0.028</v>
      </c>
      <c r="K5742" s="6" t="b">
        <f t="shared" si="5475"/>
        <v>0</v>
      </c>
      <c r="L5742" s="6" t="b">
        <f t="shared" si="5483"/>
        <v>0</v>
      </c>
      <c r="M5742" s="6" t="b">
        <f t="shared" si="5485"/>
        <v>0</v>
      </c>
      <c r="O5742" s="4">
        <v>0.0898407039997894</v>
      </c>
      <c r="T5742" s="4" t="str">
        <f t="shared" si="3"/>
        <v/>
      </c>
      <c r="U5742" s="4" t="str">
        <f t="shared" si="4"/>
        <v/>
      </c>
    </row>
    <row r="5743" ht="15.75" customHeight="1">
      <c r="A5743" s="4" t="s">
        <v>6049</v>
      </c>
      <c r="B5743" s="4" t="s">
        <v>13</v>
      </c>
      <c r="D5743" s="4">
        <v>0.12</v>
      </c>
      <c r="E5743" s="4">
        <v>0.12</v>
      </c>
      <c r="F5743" s="4">
        <v>2.51</v>
      </c>
      <c r="G5743" s="4">
        <v>0.12</v>
      </c>
      <c r="H5743" s="4">
        <v>0.12</v>
      </c>
      <c r="K5743" s="6" t="b">
        <f t="shared" si="5475"/>
        <v>0</v>
      </c>
      <c r="L5743" s="6" t="b">
        <f t="shared" si="5483"/>
        <v>0</v>
      </c>
      <c r="M5743" s="6" t="b">
        <f t="shared" si="5485"/>
        <v>0</v>
      </c>
      <c r="O5743" s="4">
        <v>1.25561603747778</v>
      </c>
      <c r="T5743" s="4" t="str">
        <f t="shared" si="3"/>
        <v/>
      </c>
      <c r="U5743" s="4" t="str">
        <f t="shared" si="4"/>
        <v/>
      </c>
    </row>
    <row r="5744" ht="15.75" customHeight="1">
      <c r="A5744" s="4" t="s">
        <v>6050</v>
      </c>
      <c r="B5744" s="4" t="s">
        <v>13</v>
      </c>
      <c r="D5744" s="4">
        <v>0.14</v>
      </c>
      <c r="E5744" s="4">
        <v>0.14</v>
      </c>
      <c r="F5744" s="4">
        <v>10.1</v>
      </c>
      <c r="G5744" s="4">
        <v>0.14</v>
      </c>
      <c r="H5744" s="4">
        <v>0.14</v>
      </c>
      <c r="K5744" s="6" t="b">
        <f t="shared" si="5475"/>
        <v>0</v>
      </c>
      <c r="L5744" s="6" t="b">
        <f>TRUE()</f>
        <v>1</v>
      </c>
      <c r="M5744" s="6" t="b">
        <f t="shared" si="5485"/>
        <v>0</v>
      </c>
      <c r="O5744" s="4">
        <v>2.40694510831829</v>
      </c>
      <c r="T5744" s="4" t="str">
        <f t="shared" si="3"/>
        <v/>
      </c>
      <c r="U5744" s="4" t="str">
        <f t="shared" si="4"/>
        <v/>
      </c>
    </row>
    <row r="5745" ht="15.75" customHeight="1">
      <c r="A5745" s="4" t="s">
        <v>6051</v>
      </c>
      <c r="B5745" s="4" t="s">
        <v>13</v>
      </c>
      <c r="D5745" s="4">
        <v>0.02</v>
      </c>
      <c r="E5745" s="4">
        <v>0.02</v>
      </c>
      <c r="F5745" s="4">
        <v>0.34</v>
      </c>
      <c r="G5745" s="4">
        <v>0.02</v>
      </c>
      <c r="H5745" s="4">
        <v>0.02</v>
      </c>
      <c r="K5745" s="6" t="b">
        <f t="shared" si="5475"/>
        <v>0</v>
      </c>
      <c r="L5745" s="6" t="b">
        <f t="shared" ref="L5745:M5745" si="5486">FALSE()</f>
        <v>0</v>
      </c>
      <c r="M5745" s="6" t="b">
        <f t="shared" si="5486"/>
        <v>0</v>
      </c>
      <c r="O5745" s="4">
        <v>0.29266961396282</v>
      </c>
      <c r="T5745" s="4" t="str">
        <f t="shared" si="3"/>
        <v/>
      </c>
      <c r="U5745" s="4" t="str">
        <f t="shared" si="4"/>
        <v/>
      </c>
    </row>
    <row r="5746" ht="15.75" customHeight="1">
      <c r="A5746" s="4" t="s">
        <v>6052</v>
      </c>
      <c r="B5746" s="4" t="s">
        <v>13</v>
      </c>
      <c r="D5746" s="4">
        <v>0.35</v>
      </c>
      <c r="E5746" s="4">
        <v>0.35</v>
      </c>
      <c r="F5746" s="4">
        <v>3.42</v>
      </c>
      <c r="G5746" s="4">
        <v>0.35</v>
      </c>
      <c r="H5746" s="4">
        <v>0.35</v>
      </c>
      <c r="K5746" s="6" t="b">
        <f t="shared" si="5475"/>
        <v>0</v>
      </c>
      <c r="L5746" s="6" t="b">
        <f t="shared" ref="L5746:M5746" si="5487">FALSE()</f>
        <v>0</v>
      </c>
      <c r="M5746" s="6" t="b">
        <f t="shared" si="5487"/>
        <v>0</v>
      </c>
      <c r="O5746" s="4">
        <v>1.48613969608961</v>
      </c>
      <c r="T5746" s="4" t="str">
        <f t="shared" si="3"/>
        <v/>
      </c>
      <c r="U5746" s="4" t="str">
        <f t="shared" si="4"/>
        <v/>
      </c>
    </row>
    <row r="5747" ht="15.75" customHeight="1">
      <c r="A5747" s="4" t="s">
        <v>6053</v>
      </c>
      <c r="B5747" s="4" t="s">
        <v>13</v>
      </c>
      <c r="D5747" s="4">
        <v>0.4</v>
      </c>
      <c r="E5747" s="4">
        <v>0.4</v>
      </c>
      <c r="F5747" s="4">
        <v>5.4</v>
      </c>
      <c r="G5747" s="4">
        <v>0.4</v>
      </c>
      <c r="H5747" s="4">
        <v>0.4</v>
      </c>
      <c r="K5747" s="6" t="b">
        <f t="shared" si="5475"/>
        <v>0</v>
      </c>
      <c r="L5747" s="6" t="b">
        <f t="shared" ref="L5747:M5747" si="5488">FALSE()</f>
        <v>0</v>
      </c>
      <c r="M5747" s="6" t="b">
        <f t="shared" si="5488"/>
        <v>0</v>
      </c>
      <c r="O5747" s="4">
        <v>1.85629799036563</v>
      </c>
      <c r="T5747" s="4" t="str">
        <f t="shared" si="3"/>
        <v/>
      </c>
      <c r="U5747" s="4" t="str">
        <f t="shared" si="4"/>
        <v/>
      </c>
    </row>
    <row r="5748" ht="15.75" customHeight="1">
      <c r="A5748" s="4" t="s">
        <v>6054</v>
      </c>
      <c r="B5748" s="4" t="s">
        <v>13</v>
      </c>
      <c r="D5748" s="4">
        <v>0.12</v>
      </c>
      <c r="E5748" s="4">
        <v>0.12</v>
      </c>
      <c r="F5748" s="4">
        <v>10.78</v>
      </c>
      <c r="G5748" s="4">
        <v>0.12</v>
      </c>
      <c r="H5748" s="4">
        <v>0.12</v>
      </c>
      <c r="K5748" s="6" t="b">
        <f t="shared" si="5475"/>
        <v>0</v>
      </c>
      <c r="L5748" s="6" t="b">
        <f>TRUE()</f>
        <v>1</v>
      </c>
      <c r="M5748" s="6" t="b">
        <f>FALSE()</f>
        <v>0</v>
      </c>
      <c r="O5748" s="4">
        <v>2.46640317822344</v>
      </c>
      <c r="T5748" s="4" t="str">
        <f t="shared" si="3"/>
        <v/>
      </c>
      <c r="U5748" s="4" t="str">
        <f t="shared" si="4"/>
        <v/>
      </c>
    </row>
    <row r="5749" ht="15.75" customHeight="1">
      <c r="A5749" s="4" t="s">
        <v>6055</v>
      </c>
      <c r="B5749" s="4" t="s">
        <v>13</v>
      </c>
      <c r="C5749" s="4">
        <v>6.0</v>
      </c>
      <c r="D5749" s="4">
        <v>1.0</v>
      </c>
      <c r="E5749" s="4">
        <v>1.0</v>
      </c>
      <c r="K5749" s="6" t="b">
        <f>TRUE()</f>
        <v>1</v>
      </c>
      <c r="L5749" s="6" t="b">
        <f t="shared" ref="L5749:M5749" si="5489">FALSE()</f>
        <v>0</v>
      </c>
      <c r="M5749" s="6" t="b">
        <f t="shared" si="5489"/>
        <v>0</v>
      </c>
      <c r="N5749" s="4">
        <v>1.94591014905531</v>
      </c>
      <c r="T5749" s="4">
        <f t="shared" si="3"/>
        <v>169</v>
      </c>
      <c r="U5749" s="4" t="str">
        <f t="shared" si="4"/>
        <v/>
      </c>
    </row>
    <row r="5750" ht="15.75" customHeight="1">
      <c r="A5750" s="4" t="s">
        <v>6056</v>
      </c>
      <c r="B5750" s="4" t="s">
        <v>13</v>
      </c>
      <c r="C5750" s="4">
        <v>1.28</v>
      </c>
      <c r="D5750" s="4">
        <v>0.44</v>
      </c>
      <c r="E5750" s="4">
        <v>0.37</v>
      </c>
      <c r="K5750" s="6" t="b">
        <f t="shared" ref="K5750:M5750" si="5490">FALSE()</f>
        <v>0</v>
      </c>
      <c r="L5750" s="6" t="b">
        <f t="shared" si="5490"/>
        <v>0</v>
      </c>
      <c r="M5750" s="6" t="b">
        <f t="shared" si="5490"/>
        <v>0</v>
      </c>
      <c r="N5750" s="4">
        <v>0.824175442966349</v>
      </c>
      <c r="T5750" s="4">
        <f t="shared" si="3"/>
        <v>567</v>
      </c>
      <c r="U5750" s="4" t="str">
        <f t="shared" si="4"/>
        <v/>
      </c>
    </row>
    <row r="5751" ht="15.75" customHeight="1">
      <c r="A5751" s="4" t="s">
        <v>6057</v>
      </c>
      <c r="B5751" s="4" t="s">
        <v>13</v>
      </c>
      <c r="C5751" s="4">
        <v>0.62</v>
      </c>
      <c r="D5751" s="4">
        <v>0.09</v>
      </c>
      <c r="F5751" s="4">
        <v>0.62</v>
      </c>
      <c r="G5751" s="4">
        <v>0.09</v>
      </c>
      <c r="H5751" s="4">
        <v>0.09</v>
      </c>
      <c r="K5751" s="6" t="b">
        <f t="shared" ref="K5751:M5751" si="5491">FALSE()</f>
        <v>0</v>
      </c>
      <c r="L5751" s="6" t="b">
        <f t="shared" si="5491"/>
        <v>0</v>
      </c>
      <c r="M5751" s="6" t="b">
        <f t="shared" si="5491"/>
        <v>0</v>
      </c>
      <c r="N5751" s="4">
        <v>0.482426149244293</v>
      </c>
      <c r="O5751" s="4">
        <v>0.482426149244293</v>
      </c>
      <c r="T5751" s="4">
        <f t="shared" si="3"/>
        <v>875</v>
      </c>
      <c r="U5751" s="4" t="str">
        <f t="shared" si="4"/>
        <v/>
      </c>
    </row>
    <row r="5752" ht="15.75" customHeight="1">
      <c r="A5752" s="4" t="s">
        <v>6058</v>
      </c>
      <c r="B5752" s="4" t="s">
        <v>13</v>
      </c>
      <c r="C5752" s="4">
        <v>9.1</v>
      </c>
      <c r="D5752" s="4">
        <v>2.93</v>
      </c>
      <c r="E5752" s="4">
        <v>5.04</v>
      </c>
      <c r="F5752" s="4">
        <v>1.8</v>
      </c>
      <c r="G5752" s="4">
        <v>0.26</v>
      </c>
      <c r="H5752" s="4">
        <v>0.26</v>
      </c>
      <c r="K5752" s="6" t="b">
        <f>TRUE()</f>
        <v>1</v>
      </c>
      <c r="L5752" s="6" t="b">
        <f t="shared" ref="L5752:M5752" si="5492">FALSE()</f>
        <v>0</v>
      </c>
      <c r="M5752" s="6" t="b">
        <f t="shared" si="5492"/>
        <v>0</v>
      </c>
      <c r="N5752" s="4">
        <v>2.31253542384721</v>
      </c>
      <c r="O5752" s="4">
        <v>1.02961941718116</v>
      </c>
      <c r="T5752" s="4">
        <f t="shared" si="3"/>
        <v>74</v>
      </c>
      <c r="U5752" s="4" t="str">
        <f t="shared" si="4"/>
        <v/>
      </c>
    </row>
    <row r="5753" ht="15.75" customHeight="1">
      <c r="A5753" s="4" t="s">
        <v>6059</v>
      </c>
      <c r="B5753" s="4" t="s">
        <v>13</v>
      </c>
      <c r="D5753" s="4">
        <v>0.028</v>
      </c>
      <c r="E5753" s="4">
        <v>0.028</v>
      </c>
      <c r="F5753" s="4">
        <v>1.059</v>
      </c>
      <c r="G5753" s="4">
        <v>0.028</v>
      </c>
      <c r="H5753" s="4">
        <v>0.028</v>
      </c>
      <c r="K5753" s="6" t="b">
        <f t="shared" ref="K5753:M5753" si="5493">FALSE()</f>
        <v>0</v>
      </c>
      <c r="L5753" s="6" t="b">
        <f t="shared" si="5493"/>
        <v>0</v>
      </c>
      <c r="M5753" s="6" t="b">
        <f t="shared" si="5493"/>
        <v>0</v>
      </c>
      <c r="O5753" s="4">
        <v>0.722220428045652</v>
      </c>
      <c r="T5753" s="4" t="str">
        <f t="shared" si="3"/>
        <v/>
      </c>
      <c r="U5753" s="4" t="str">
        <f t="shared" si="4"/>
        <v/>
      </c>
    </row>
    <row r="5754" ht="15.75" customHeight="1">
      <c r="A5754" s="4" t="s">
        <v>6060</v>
      </c>
      <c r="B5754" s="4" t="s">
        <v>13</v>
      </c>
      <c r="D5754" s="4">
        <v>0.26</v>
      </c>
      <c r="E5754" s="4">
        <v>0.08</v>
      </c>
      <c r="F5754" s="4">
        <v>0.51</v>
      </c>
      <c r="G5754" s="4">
        <v>0.26</v>
      </c>
      <c r="H5754" s="4">
        <v>0.08</v>
      </c>
      <c r="K5754" s="6" t="b">
        <f t="shared" ref="K5754:M5754" si="5494">FALSE()</f>
        <v>0</v>
      </c>
      <c r="L5754" s="6" t="b">
        <f t="shared" si="5494"/>
        <v>0</v>
      </c>
      <c r="M5754" s="6" t="b">
        <f t="shared" si="5494"/>
        <v>0</v>
      </c>
      <c r="O5754" s="4">
        <v>0.412109650826833</v>
      </c>
      <c r="T5754" s="4" t="str">
        <f t="shared" si="3"/>
        <v/>
      </c>
      <c r="U5754" s="4" t="str">
        <f t="shared" si="4"/>
        <v/>
      </c>
    </row>
    <row r="5755" ht="15.75" customHeight="1">
      <c r="A5755" s="4" t="s">
        <v>6061</v>
      </c>
      <c r="B5755" s="4" t="s">
        <v>13</v>
      </c>
      <c r="C5755" s="4">
        <v>6.3</v>
      </c>
      <c r="F5755" s="4">
        <v>6.3</v>
      </c>
      <c r="K5755" s="6" t="b">
        <f t="shared" ref="K5755:L5755" si="5495">TRUE()</f>
        <v>1</v>
      </c>
      <c r="L5755" s="6" t="b">
        <f t="shared" si="5495"/>
        <v>1</v>
      </c>
      <c r="M5755" s="6" t="b">
        <f>FALSE()</f>
        <v>0</v>
      </c>
      <c r="N5755" s="4">
        <v>1.98787434815435</v>
      </c>
      <c r="O5755" s="4">
        <v>1.98787434815435</v>
      </c>
      <c r="T5755" s="4">
        <f t="shared" si="3"/>
        <v>154</v>
      </c>
      <c r="U5755" s="4" t="str">
        <f t="shared" si="4"/>
        <v/>
      </c>
    </row>
    <row r="5756" ht="15.75" customHeight="1">
      <c r="A5756" s="4" t="s">
        <v>6062</v>
      </c>
      <c r="B5756" s="4" t="s">
        <v>13</v>
      </c>
      <c r="C5756" s="4">
        <v>7.7</v>
      </c>
      <c r="D5756" s="4">
        <v>1.2</v>
      </c>
      <c r="E5756" s="4">
        <v>1.2</v>
      </c>
      <c r="K5756" s="6" t="b">
        <f>TRUE()</f>
        <v>1</v>
      </c>
      <c r="L5756" s="6" t="b">
        <f t="shared" ref="L5756:M5756" si="5496">FALSE()</f>
        <v>0</v>
      </c>
      <c r="M5756" s="6" t="b">
        <f t="shared" si="5496"/>
        <v>0</v>
      </c>
      <c r="N5756" s="4">
        <v>2.16332302566054</v>
      </c>
      <c r="T5756" s="4">
        <f t="shared" si="3"/>
        <v>119</v>
      </c>
      <c r="U5756" s="4" t="str">
        <f t="shared" si="4"/>
        <v/>
      </c>
    </row>
    <row r="5757" ht="15.75" customHeight="1">
      <c r="A5757" s="4" t="s">
        <v>1713</v>
      </c>
      <c r="B5757" s="4" t="s">
        <v>13</v>
      </c>
      <c r="C5757" s="4">
        <v>2.03</v>
      </c>
      <c r="D5757" s="4">
        <v>0.12</v>
      </c>
      <c r="E5757" s="4">
        <v>0.12</v>
      </c>
      <c r="I5757" s="4">
        <v>1.69</v>
      </c>
      <c r="J5757" s="4">
        <v>0.29</v>
      </c>
      <c r="K5757" s="6" t="b">
        <f t="shared" ref="K5757:L5757" si="5497">FALSE()</f>
        <v>0</v>
      </c>
      <c r="L5757" s="6" t="b">
        <f t="shared" si="5497"/>
        <v>0</v>
      </c>
      <c r="M5757" s="6" t="b">
        <f t="shared" ref="M5757:M5764" si="5499">TRUE()</f>
        <v>1</v>
      </c>
      <c r="N5757" s="4">
        <v>1.10856261952128</v>
      </c>
      <c r="P5757" s="4">
        <v>0.989541193613748</v>
      </c>
      <c r="T5757" s="4">
        <f t="shared" si="3"/>
        <v>435</v>
      </c>
      <c r="U5757" s="4">
        <f t="shared" si="4"/>
        <v>49</v>
      </c>
    </row>
    <row r="5758" ht="15.75" customHeight="1">
      <c r="A5758" s="4" t="s">
        <v>1714</v>
      </c>
      <c r="B5758" s="4" t="s">
        <v>13</v>
      </c>
      <c r="C5758" s="4">
        <v>0.5</v>
      </c>
      <c r="D5758" s="4">
        <v>0.004</v>
      </c>
      <c r="E5758" s="4">
        <v>0.004</v>
      </c>
      <c r="I5758" s="4">
        <v>1.36</v>
      </c>
      <c r="J5758" s="4">
        <v>0.04</v>
      </c>
      <c r="K5758" s="6" t="b">
        <f t="shared" ref="K5758:L5758" si="5498">FALSE()</f>
        <v>0</v>
      </c>
      <c r="L5758" s="6" t="b">
        <f t="shared" si="5498"/>
        <v>0</v>
      </c>
      <c r="M5758" s="6" t="b">
        <f t="shared" si="5499"/>
        <v>1</v>
      </c>
      <c r="N5758" s="4">
        <v>0.405465108108164</v>
      </c>
      <c r="P5758" s="4">
        <v>0.858661619037519</v>
      </c>
      <c r="T5758" s="4">
        <f t="shared" si="3"/>
        <v>959</v>
      </c>
      <c r="U5758" s="4">
        <f t="shared" si="4"/>
        <v>205</v>
      </c>
    </row>
    <row r="5759" ht="15.75" customHeight="1">
      <c r="A5759" s="4" t="s">
        <v>1715</v>
      </c>
      <c r="B5759" s="4" t="s">
        <v>13</v>
      </c>
      <c r="C5759" s="4">
        <v>0.621</v>
      </c>
      <c r="D5759" s="4">
        <v>0.133</v>
      </c>
      <c r="E5759" s="4">
        <v>0.133</v>
      </c>
      <c r="I5759" s="4">
        <v>1.33</v>
      </c>
      <c r="J5759" s="4">
        <v>0.05</v>
      </c>
      <c r="K5759" s="6" t="b">
        <f t="shared" ref="K5759:L5759" si="5500">FALSE()</f>
        <v>0</v>
      </c>
      <c r="L5759" s="6" t="b">
        <f t="shared" si="5500"/>
        <v>0</v>
      </c>
      <c r="M5759" s="6" t="b">
        <f t="shared" si="5499"/>
        <v>1</v>
      </c>
      <c r="N5759" s="4">
        <v>0.483043242753539</v>
      </c>
      <c r="P5759" s="4">
        <v>0.845868267577609</v>
      </c>
      <c r="T5759" s="4">
        <f t="shared" si="3"/>
        <v>872</v>
      </c>
      <c r="U5759" s="4">
        <f t="shared" si="4"/>
        <v>226</v>
      </c>
    </row>
    <row r="5760" ht="15.75" customHeight="1">
      <c r="A5760" s="4" t="s">
        <v>1716</v>
      </c>
      <c r="B5760" s="4" t="s">
        <v>13</v>
      </c>
      <c r="C5760" s="4">
        <v>1.49</v>
      </c>
      <c r="D5760" s="4">
        <v>0.088</v>
      </c>
      <c r="E5760" s="4">
        <v>0.088</v>
      </c>
      <c r="I5760" s="4">
        <v>1.528</v>
      </c>
      <c r="J5760" s="4">
        <v>0.047</v>
      </c>
      <c r="K5760" s="6" t="b">
        <f t="shared" ref="K5760:L5760" si="5501">FALSE()</f>
        <v>0</v>
      </c>
      <c r="L5760" s="6" t="b">
        <f t="shared" si="5501"/>
        <v>0</v>
      </c>
      <c r="M5760" s="6" t="b">
        <f t="shared" si="5499"/>
        <v>1</v>
      </c>
      <c r="N5760" s="4">
        <v>0.912282710476616</v>
      </c>
      <c r="P5760" s="4">
        <v>0.927428476284611</v>
      </c>
      <c r="T5760" s="4">
        <f t="shared" si="3"/>
        <v>513</v>
      </c>
      <c r="U5760" s="4">
        <f t="shared" si="4"/>
        <v>103</v>
      </c>
    </row>
    <row r="5761" ht="15.75" customHeight="1">
      <c r="A5761" s="4" t="s">
        <v>1718</v>
      </c>
      <c r="B5761" s="4" t="s">
        <v>13</v>
      </c>
      <c r="C5761" s="4">
        <v>1.272</v>
      </c>
      <c r="D5761" s="4">
        <v>0.047</v>
      </c>
      <c r="E5761" s="4">
        <v>0.047</v>
      </c>
      <c r="I5761" s="4">
        <v>1.137</v>
      </c>
      <c r="J5761" s="4">
        <v>0.037</v>
      </c>
      <c r="K5761" s="6" t="b">
        <f t="shared" ref="K5761:L5761" si="5502">FALSE()</f>
        <v>0</v>
      </c>
      <c r="L5761" s="6" t="b">
        <f t="shared" si="5502"/>
        <v>0</v>
      </c>
      <c r="M5761" s="6" t="b">
        <f t="shared" si="5499"/>
        <v>1</v>
      </c>
      <c r="N5761" s="4">
        <v>0.820660500858905</v>
      </c>
      <c r="P5761" s="4">
        <v>0.759402976337011</v>
      </c>
      <c r="T5761" s="4">
        <f t="shared" si="3"/>
        <v>568</v>
      </c>
      <c r="U5761" s="4">
        <f t="shared" si="4"/>
        <v>464</v>
      </c>
    </row>
    <row r="5762" ht="15.75" customHeight="1">
      <c r="A5762" s="4" t="s">
        <v>1719</v>
      </c>
      <c r="B5762" s="4" t="s">
        <v>13</v>
      </c>
      <c r="C5762" s="4">
        <v>1.8</v>
      </c>
      <c r="D5762" s="4">
        <v>0.1</v>
      </c>
      <c r="E5762" s="4">
        <v>0.1</v>
      </c>
      <c r="I5762" s="4">
        <v>0.96</v>
      </c>
      <c r="J5762" s="4">
        <v>0.03</v>
      </c>
      <c r="K5762" s="6" t="b">
        <f t="shared" ref="K5762:L5762" si="5503">FALSE()</f>
        <v>0</v>
      </c>
      <c r="L5762" s="6" t="b">
        <f t="shared" si="5503"/>
        <v>0</v>
      </c>
      <c r="M5762" s="6" t="b">
        <f t="shared" si="5499"/>
        <v>1</v>
      </c>
      <c r="N5762" s="4">
        <v>1.02961941718116</v>
      </c>
      <c r="P5762" s="4">
        <v>0.672944473242426</v>
      </c>
      <c r="T5762" s="4">
        <f t="shared" si="3"/>
        <v>470</v>
      </c>
      <c r="U5762" s="4">
        <f t="shared" si="4"/>
        <v>718</v>
      </c>
    </row>
    <row r="5763" ht="15.75" customHeight="1">
      <c r="A5763" s="4" t="s">
        <v>1720</v>
      </c>
      <c r="B5763" s="4" t="s">
        <v>13</v>
      </c>
      <c r="C5763" s="4">
        <v>1.925</v>
      </c>
      <c r="D5763" s="4">
        <v>0.076</v>
      </c>
      <c r="E5763" s="4">
        <v>0.076</v>
      </c>
      <c r="I5763" s="4">
        <v>1.085</v>
      </c>
      <c r="J5763" s="4">
        <v>0.028</v>
      </c>
      <c r="K5763" s="6" t="b">
        <f t="shared" ref="K5763:L5763" si="5504">FALSE()</f>
        <v>0</v>
      </c>
      <c r="L5763" s="6" t="b">
        <f t="shared" si="5504"/>
        <v>0</v>
      </c>
      <c r="M5763" s="6" t="b">
        <f t="shared" si="5499"/>
        <v>1</v>
      </c>
      <c r="N5763" s="4">
        <v>1.07329448068382</v>
      </c>
      <c r="P5763" s="4">
        <v>0.734768855250765</v>
      </c>
      <c r="T5763" s="4">
        <f t="shared" si="3"/>
        <v>450</v>
      </c>
      <c r="U5763" s="4">
        <f t="shared" si="4"/>
        <v>543</v>
      </c>
    </row>
    <row r="5764" ht="15.75" customHeight="1">
      <c r="A5764" s="4" t="s">
        <v>1721</v>
      </c>
      <c r="B5764" s="4" t="s">
        <v>13</v>
      </c>
      <c r="C5764" s="4">
        <v>0.12</v>
      </c>
      <c r="D5764" s="4">
        <v>0.01</v>
      </c>
      <c r="E5764" s="4">
        <v>0.01</v>
      </c>
      <c r="I5764" s="4">
        <v>0.94</v>
      </c>
      <c r="J5764" s="4">
        <v>0.02</v>
      </c>
      <c r="K5764" s="6" t="b">
        <f t="shared" ref="K5764:L5764" si="5505">FALSE()</f>
        <v>0</v>
      </c>
      <c r="L5764" s="6" t="b">
        <f t="shared" si="5505"/>
        <v>0</v>
      </c>
      <c r="M5764" s="6" t="b">
        <f t="shared" si="5499"/>
        <v>1</v>
      </c>
      <c r="N5764" s="4">
        <v>0.113328685307003</v>
      </c>
      <c r="P5764" s="4">
        <v>0.662687973075237</v>
      </c>
      <c r="T5764" s="4">
        <f t="shared" si="3"/>
        <v>1232</v>
      </c>
      <c r="U5764" s="4">
        <f t="shared" si="4"/>
        <v>741</v>
      </c>
    </row>
    <row r="5765" ht="15.75" customHeight="1">
      <c r="A5765" s="4" t="s">
        <v>6063</v>
      </c>
      <c r="B5765" s="4" t="s">
        <v>13</v>
      </c>
      <c r="D5765" s="4">
        <v>0.04</v>
      </c>
      <c r="E5765" s="4">
        <v>0.04</v>
      </c>
      <c r="F5765" s="4">
        <v>0.36</v>
      </c>
      <c r="G5765" s="4">
        <v>0.04</v>
      </c>
      <c r="H5765" s="4">
        <v>0.04</v>
      </c>
      <c r="K5765" s="6" t="b">
        <f t="shared" ref="K5765:M5765" si="5506">FALSE()</f>
        <v>0</v>
      </c>
      <c r="L5765" s="6" t="b">
        <f t="shared" si="5506"/>
        <v>0</v>
      </c>
      <c r="M5765" s="6" t="b">
        <f t="shared" si="5506"/>
        <v>0</v>
      </c>
      <c r="O5765" s="4">
        <v>0.307484699747961</v>
      </c>
      <c r="T5765" s="4" t="str">
        <f t="shared" si="3"/>
        <v/>
      </c>
      <c r="U5765" s="4" t="str">
        <f t="shared" si="4"/>
        <v/>
      </c>
    </row>
    <row r="5766" ht="15.75" customHeight="1">
      <c r="A5766" s="4" t="s">
        <v>1722</v>
      </c>
      <c r="B5766" s="4" t="s">
        <v>13</v>
      </c>
      <c r="C5766" s="4">
        <v>1.167</v>
      </c>
      <c r="D5766" s="4">
        <v>0.091</v>
      </c>
      <c r="E5766" s="4">
        <v>0.092</v>
      </c>
      <c r="F5766" s="4">
        <v>1.167</v>
      </c>
      <c r="G5766" s="4">
        <v>0.091</v>
      </c>
      <c r="H5766" s="4">
        <v>0.091</v>
      </c>
      <c r="I5766" s="4">
        <v>1.215</v>
      </c>
      <c r="J5766" s="4">
        <v>0.04</v>
      </c>
      <c r="K5766" s="6" t="b">
        <f t="shared" ref="K5766:L5766" si="5507">FALSE()</f>
        <v>0</v>
      </c>
      <c r="L5766" s="6" t="b">
        <f t="shared" si="5507"/>
        <v>0</v>
      </c>
      <c r="M5766" s="6" t="b">
        <f t="shared" ref="M5766:M5783" si="5509">TRUE()</f>
        <v>1</v>
      </c>
      <c r="N5766" s="4">
        <v>0.773343722554222</v>
      </c>
      <c r="O5766" s="4">
        <v>0.773343722554222</v>
      </c>
      <c r="P5766" s="4">
        <v>0.795252403497099</v>
      </c>
      <c r="Q5766" s="4">
        <v>0.0887479300424946</v>
      </c>
      <c r="R5766" s="4">
        <v>0.0879220453478689</v>
      </c>
      <c r="S5766" s="4">
        <v>0.729182239638964</v>
      </c>
      <c r="T5766" s="4">
        <f t="shared" si="3"/>
        <v>605</v>
      </c>
      <c r="U5766" s="4">
        <f t="shared" si="4"/>
        <v>358</v>
      </c>
    </row>
    <row r="5767" ht="15.75" customHeight="1">
      <c r="A5767" s="4" t="s">
        <v>1723</v>
      </c>
      <c r="B5767" s="4" t="s">
        <v>13</v>
      </c>
      <c r="C5767" s="4">
        <v>0.91</v>
      </c>
      <c r="D5767" s="4">
        <v>0.13</v>
      </c>
      <c r="E5767" s="4">
        <v>0.13</v>
      </c>
      <c r="F5767" s="4">
        <v>0.91</v>
      </c>
      <c r="G5767" s="4">
        <v>0.13</v>
      </c>
      <c r="H5767" s="4">
        <v>0.13</v>
      </c>
      <c r="I5767" s="4">
        <v>1.443</v>
      </c>
      <c r="J5767" s="4">
        <v>0.053</v>
      </c>
      <c r="K5767" s="6" t="b">
        <f t="shared" ref="K5767:L5767" si="5508">FALSE()</f>
        <v>0</v>
      </c>
      <c r="L5767" s="6" t="b">
        <f t="shared" si="5508"/>
        <v>0</v>
      </c>
      <c r="M5767" s="6" t="b">
        <f t="shared" si="5509"/>
        <v>1</v>
      </c>
      <c r="N5767" s="4">
        <v>0.647103242058539</v>
      </c>
      <c r="O5767" s="4">
        <v>0.647103242058539</v>
      </c>
      <c r="P5767" s="4">
        <v>0.893226792275603</v>
      </c>
      <c r="Q5767" s="4">
        <v>-0.0691061518053943</v>
      </c>
      <c r="R5767" s="4">
        <v>-0.075128279597168</v>
      </c>
      <c r="S5767" s="4">
        <v>1.15577454463303</v>
      </c>
      <c r="T5767" s="4">
        <f t="shared" si="3"/>
        <v>711</v>
      </c>
      <c r="U5767" s="4">
        <f t="shared" si="4"/>
        <v>146</v>
      </c>
    </row>
    <row r="5768" ht="15.75" customHeight="1">
      <c r="A5768" s="4" t="s">
        <v>1724</v>
      </c>
      <c r="B5768" s="4" t="s">
        <v>13</v>
      </c>
      <c r="C5768" s="4">
        <v>3.16</v>
      </c>
      <c r="D5768" s="4">
        <v>0.23</v>
      </c>
      <c r="E5768" s="4">
        <v>0.23</v>
      </c>
      <c r="I5768" s="4">
        <v>1.08</v>
      </c>
      <c r="J5768" s="4">
        <v>0.02</v>
      </c>
      <c r="K5768" s="6" t="b">
        <f t="shared" ref="K5768:L5768" si="5510">FALSE()</f>
        <v>0</v>
      </c>
      <c r="L5768" s="6" t="b">
        <f t="shared" si="5510"/>
        <v>0</v>
      </c>
      <c r="M5768" s="6" t="b">
        <f t="shared" si="5509"/>
        <v>1</v>
      </c>
      <c r="N5768" s="4">
        <v>1.42551507427317</v>
      </c>
      <c r="P5768" s="4">
        <v>0.732367893713227</v>
      </c>
      <c r="T5768" s="4">
        <f t="shared" si="3"/>
        <v>312</v>
      </c>
      <c r="U5768" s="4">
        <f t="shared" si="4"/>
        <v>556</v>
      </c>
    </row>
    <row r="5769" ht="15.75" customHeight="1">
      <c r="A5769" s="4" t="s">
        <v>1725</v>
      </c>
      <c r="B5769" s="4" t="s">
        <v>13</v>
      </c>
      <c r="C5769" s="4">
        <v>0.515</v>
      </c>
      <c r="D5769" s="4">
        <v>0.064</v>
      </c>
      <c r="E5769" s="4">
        <v>0.064</v>
      </c>
      <c r="F5769" s="4">
        <v>0.515</v>
      </c>
      <c r="G5769" s="4">
        <v>0.064</v>
      </c>
      <c r="H5769" s="4">
        <v>0.064</v>
      </c>
      <c r="I5769" s="4">
        <v>1.238</v>
      </c>
      <c r="J5769" s="4">
        <v>0.056</v>
      </c>
      <c r="K5769" s="6" t="b">
        <f t="shared" ref="K5769:L5769" si="5511">FALSE()</f>
        <v>0</v>
      </c>
      <c r="L5769" s="6" t="b">
        <f t="shared" si="5511"/>
        <v>0</v>
      </c>
      <c r="M5769" s="6" t="b">
        <f t="shared" si="5509"/>
        <v>1</v>
      </c>
      <c r="N5769" s="4">
        <v>0.415415438961333</v>
      </c>
      <c r="O5769" s="4">
        <v>0.415415438961333</v>
      </c>
      <c r="P5769" s="4">
        <v>0.805582609889734</v>
      </c>
      <c r="Q5769" s="4">
        <v>-0.311722347641644</v>
      </c>
      <c r="R5769" s="4">
        <v>-0.325730919104132</v>
      </c>
      <c r="S5769" s="4">
        <v>0.772215673914681</v>
      </c>
      <c r="T5769" s="4">
        <f t="shared" si="3"/>
        <v>944</v>
      </c>
      <c r="U5769" s="4">
        <f t="shared" si="4"/>
        <v>332</v>
      </c>
    </row>
    <row r="5770" ht="15.75" customHeight="1">
      <c r="A5770" s="4" t="s">
        <v>1726</v>
      </c>
      <c r="B5770" s="4" t="s">
        <v>13</v>
      </c>
      <c r="C5770" s="4">
        <v>1.85</v>
      </c>
      <c r="D5770" s="4">
        <v>0.16</v>
      </c>
      <c r="E5770" s="4">
        <v>0.16</v>
      </c>
      <c r="F5770" s="4">
        <v>1.83</v>
      </c>
      <c r="G5770" s="4">
        <v>0.15</v>
      </c>
      <c r="H5770" s="4">
        <v>0.15</v>
      </c>
      <c r="I5770" s="4">
        <v>1.442</v>
      </c>
      <c r="J5770" s="4">
        <v>0.094</v>
      </c>
      <c r="K5770" s="6" t="b">
        <f t="shared" ref="K5770:L5770" si="5512">FALSE()</f>
        <v>0</v>
      </c>
      <c r="L5770" s="6" t="b">
        <f t="shared" si="5512"/>
        <v>0</v>
      </c>
      <c r="M5770" s="6" t="b">
        <f t="shared" si="5509"/>
        <v>1</v>
      </c>
      <c r="N5770" s="4">
        <v>1.04731899428056</v>
      </c>
      <c r="O5770" s="4">
        <v>1.04027671165515</v>
      </c>
      <c r="P5770" s="4">
        <v>0.892817375688513</v>
      </c>
      <c r="Q5770" s="4">
        <v>0.508258972463149</v>
      </c>
      <c r="R5770" s="4">
        <v>0.508553817482342</v>
      </c>
      <c r="S5770" s="4">
        <v>1.15390352575148</v>
      </c>
      <c r="T5770" s="4">
        <f t="shared" si="3"/>
        <v>463</v>
      </c>
      <c r="U5770" s="4">
        <f t="shared" si="4"/>
        <v>147</v>
      </c>
    </row>
    <row r="5771" ht="15.75" customHeight="1">
      <c r="A5771" s="4" t="s">
        <v>1727</v>
      </c>
      <c r="B5771" s="4" t="s">
        <v>13</v>
      </c>
      <c r="C5771" s="4">
        <v>0.88</v>
      </c>
      <c r="D5771" s="4">
        <v>0.12</v>
      </c>
      <c r="E5771" s="4">
        <v>0.12</v>
      </c>
      <c r="F5771" s="4">
        <v>0.88</v>
      </c>
      <c r="G5771" s="4">
        <v>0.12</v>
      </c>
      <c r="H5771" s="4">
        <v>0.12</v>
      </c>
      <c r="I5771" s="4">
        <v>1.191</v>
      </c>
      <c r="J5771" s="4">
        <v>0.049</v>
      </c>
      <c r="K5771" s="6" t="b">
        <f t="shared" ref="K5771:L5771" si="5513">FALSE()</f>
        <v>0</v>
      </c>
      <c r="L5771" s="6" t="b">
        <f t="shared" si="5513"/>
        <v>0</v>
      </c>
      <c r="M5771" s="6" t="b">
        <f t="shared" si="5509"/>
        <v>1</v>
      </c>
      <c r="N5771" s="4">
        <v>0.631271776841858</v>
      </c>
      <c r="O5771" s="4">
        <v>0.631271776841858</v>
      </c>
      <c r="P5771" s="4">
        <v>0.78435806061333</v>
      </c>
      <c r="Q5771" s="4">
        <v>-0.0875326983246032</v>
      </c>
      <c r="R5771" s="4">
        <v>-0.0941613914584564</v>
      </c>
      <c r="S5771" s="4">
        <v>0.684277786481694</v>
      </c>
      <c r="T5771" s="4">
        <f t="shared" si="3"/>
        <v>728</v>
      </c>
      <c r="U5771" s="4">
        <f t="shared" si="4"/>
        <v>396</v>
      </c>
    </row>
    <row r="5772" ht="15.75" customHeight="1">
      <c r="A5772" s="4" t="s">
        <v>1728</v>
      </c>
      <c r="B5772" s="4" t="s">
        <v>13</v>
      </c>
      <c r="C5772" s="4">
        <v>0.475</v>
      </c>
      <c r="D5772" s="4">
        <v>0.054</v>
      </c>
      <c r="E5772" s="4">
        <v>0.054</v>
      </c>
      <c r="I5772" s="4">
        <v>1.409</v>
      </c>
      <c r="J5772" s="4">
        <v>0.14</v>
      </c>
      <c r="K5772" s="6" t="b">
        <f t="shared" ref="K5772:L5772" si="5514">FALSE()</f>
        <v>0</v>
      </c>
      <c r="L5772" s="6" t="b">
        <f t="shared" si="5514"/>
        <v>0</v>
      </c>
      <c r="M5772" s="6" t="b">
        <f t="shared" si="5509"/>
        <v>1</v>
      </c>
      <c r="N5772" s="4">
        <v>0.388657989791783</v>
      </c>
      <c r="P5772" s="4">
        <v>0.879211723632734</v>
      </c>
      <c r="T5772" s="4">
        <f t="shared" si="3"/>
        <v>967</v>
      </c>
      <c r="U5772" s="4">
        <f t="shared" si="4"/>
        <v>174</v>
      </c>
    </row>
    <row r="5773" ht="15.75" customHeight="1">
      <c r="A5773" s="4" t="s">
        <v>1729</v>
      </c>
      <c r="B5773" s="4" t="s">
        <v>13</v>
      </c>
      <c r="C5773" s="4">
        <v>1.769</v>
      </c>
      <c r="D5773" s="4">
        <v>0.064</v>
      </c>
      <c r="E5773" s="4">
        <v>0.064</v>
      </c>
      <c r="I5773" s="4">
        <v>1.339</v>
      </c>
      <c r="J5773" s="4">
        <v>0.064</v>
      </c>
      <c r="K5773" s="6" t="b">
        <f t="shared" ref="K5773:L5773" si="5515">FALSE()</f>
        <v>0</v>
      </c>
      <c r="L5773" s="6" t="b">
        <f t="shared" si="5515"/>
        <v>0</v>
      </c>
      <c r="M5773" s="6" t="b">
        <f t="shared" si="5509"/>
        <v>1</v>
      </c>
      <c r="N5773" s="4">
        <v>1.01848624418883</v>
      </c>
      <c r="P5773" s="4">
        <v>0.849723487602042</v>
      </c>
      <c r="T5773" s="4">
        <f t="shared" si="3"/>
        <v>476</v>
      </c>
      <c r="U5773" s="4">
        <f t="shared" si="4"/>
        <v>216</v>
      </c>
    </row>
    <row r="5774" ht="15.75" customHeight="1">
      <c r="A5774" s="4" t="s">
        <v>1730</v>
      </c>
      <c r="B5774" s="4" t="s">
        <v>13</v>
      </c>
      <c r="C5774" s="4">
        <v>0.64</v>
      </c>
      <c r="D5774" s="4">
        <v>0.14</v>
      </c>
      <c r="E5774" s="4">
        <v>0.14</v>
      </c>
      <c r="I5774" s="4">
        <v>1.22</v>
      </c>
      <c r="J5774" s="4">
        <v>0.06</v>
      </c>
      <c r="K5774" s="6" t="b">
        <f t="shared" ref="K5774:L5774" si="5516">FALSE()</f>
        <v>0</v>
      </c>
      <c r="L5774" s="6" t="b">
        <f t="shared" si="5516"/>
        <v>0</v>
      </c>
      <c r="M5774" s="6" t="b">
        <f t="shared" si="5509"/>
        <v>1</v>
      </c>
      <c r="N5774" s="4">
        <v>0.494696241836107</v>
      </c>
      <c r="P5774" s="4">
        <v>0.797507195884188</v>
      </c>
      <c r="T5774" s="4">
        <f t="shared" si="3"/>
        <v>862</v>
      </c>
      <c r="U5774" s="4">
        <f t="shared" si="4"/>
        <v>351</v>
      </c>
    </row>
    <row r="5775" ht="15.75" customHeight="1">
      <c r="A5775" s="4" t="s">
        <v>1731</v>
      </c>
      <c r="B5775" s="4" t="s">
        <v>13</v>
      </c>
      <c r="C5775" s="4">
        <v>0.3</v>
      </c>
      <c r="D5775" s="4">
        <v>0.05</v>
      </c>
      <c r="E5775" s="4">
        <v>0.05</v>
      </c>
      <c r="I5775" s="4">
        <v>0.98</v>
      </c>
      <c r="J5775" s="4">
        <v>0.05</v>
      </c>
      <c r="K5775" s="6" t="b">
        <f t="shared" ref="K5775:L5775" si="5517">FALSE()</f>
        <v>0</v>
      </c>
      <c r="L5775" s="6" t="b">
        <f t="shared" si="5517"/>
        <v>0</v>
      </c>
      <c r="M5775" s="6" t="b">
        <f t="shared" si="5509"/>
        <v>1</v>
      </c>
      <c r="N5775" s="4">
        <v>0.262364264467491</v>
      </c>
      <c r="P5775" s="4">
        <v>0.683096844706444</v>
      </c>
      <c r="T5775" s="4">
        <f t="shared" si="3"/>
        <v>1070</v>
      </c>
      <c r="U5775" s="4">
        <f t="shared" si="4"/>
        <v>697</v>
      </c>
    </row>
    <row r="5776" ht="15.75" customHeight="1">
      <c r="A5776" s="4" t="s">
        <v>1732</v>
      </c>
      <c r="B5776" s="4" t="s">
        <v>13</v>
      </c>
      <c r="C5776" s="4">
        <v>0.514</v>
      </c>
      <c r="D5776" s="4">
        <v>0.02</v>
      </c>
      <c r="E5776" s="4">
        <v>0.02</v>
      </c>
      <c r="I5776" s="4">
        <v>1.44</v>
      </c>
      <c r="J5776" s="4">
        <v>0.036</v>
      </c>
      <c r="K5776" s="6" t="b">
        <f t="shared" ref="K5776:L5776" si="5518">FALSE()</f>
        <v>0</v>
      </c>
      <c r="L5776" s="6" t="b">
        <f t="shared" si="5518"/>
        <v>0</v>
      </c>
      <c r="M5776" s="6" t="b">
        <f t="shared" si="5509"/>
        <v>1</v>
      </c>
      <c r="N5776" s="4">
        <v>0.414755155015257</v>
      </c>
      <c r="P5776" s="4">
        <v>0.891998039305111</v>
      </c>
      <c r="T5776" s="4">
        <f t="shared" si="3"/>
        <v>945</v>
      </c>
      <c r="U5776" s="4">
        <f t="shared" si="4"/>
        <v>152</v>
      </c>
    </row>
    <row r="5777" ht="15.75" customHeight="1">
      <c r="A5777" s="4" t="s">
        <v>1733</v>
      </c>
      <c r="B5777" s="4" t="s">
        <v>13</v>
      </c>
      <c r="C5777" s="4">
        <v>1.23</v>
      </c>
      <c r="D5777" s="4">
        <v>0.08</v>
      </c>
      <c r="E5777" s="4">
        <v>0.09</v>
      </c>
      <c r="F5777" s="4">
        <v>1.23</v>
      </c>
      <c r="G5777" s="4">
        <v>0.08</v>
      </c>
      <c r="H5777" s="4">
        <v>0.08</v>
      </c>
      <c r="I5777" s="4">
        <v>1.4</v>
      </c>
      <c r="J5777" s="4">
        <v>0.2</v>
      </c>
      <c r="K5777" s="6" t="b">
        <f t="shared" ref="K5777:L5777" si="5519">FALSE()</f>
        <v>0</v>
      </c>
      <c r="L5777" s="6" t="b">
        <f t="shared" si="5519"/>
        <v>0</v>
      </c>
      <c r="M5777" s="6" t="b">
        <f t="shared" si="5509"/>
        <v>1</v>
      </c>
      <c r="N5777" s="4">
        <v>0.802001585472027</v>
      </c>
      <c r="O5777" s="4">
        <v>0.802001585472027</v>
      </c>
      <c r="P5777" s="4">
        <v>0.8754687373539</v>
      </c>
      <c r="Q5777" s="4">
        <v>0.127443677732833</v>
      </c>
      <c r="R5777" s="4">
        <v>0.127891580256575</v>
      </c>
      <c r="S5777" s="4">
        <v>1.07532073272625</v>
      </c>
      <c r="T5777" s="4">
        <f t="shared" si="3"/>
        <v>579</v>
      </c>
      <c r="U5777" s="4">
        <f t="shared" si="4"/>
        <v>179</v>
      </c>
    </row>
    <row r="5778" ht="15.75" customHeight="1">
      <c r="A5778" s="4" t="s">
        <v>1734</v>
      </c>
      <c r="B5778" s="4" t="s">
        <v>13</v>
      </c>
      <c r="C5778" s="4">
        <v>5.06</v>
      </c>
      <c r="D5778" s="4">
        <v>0.27</v>
      </c>
      <c r="E5778" s="4">
        <v>0.27</v>
      </c>
      <c r="F5778" s="4">
        <v>5.01</v>
      </c>
      <c r="G5778" s="4">
        <v>0.26</v>
      </c>
      <c r="H5778" s="4">
        <v>0.26</v>
      </c>
      <c r="I5778" s="4">
        <v>1.515</v>
      </c>
      <c r="J5778" s="4">
        <v>0.083</v>
      </c>
      <c r="K5778" s="6" t="b">
        <f>TRUE()</f>
        <v>1</v>
      </c>
      <c r="L5778" s="6" t="b">
        <f>FALSE()</f>
        <v>0</v>
      </c>
      <c r="M5778" s="6" t="b">
        <f t="shared" si="5509"/>
        <v>1</v>
      </c>
      <c r="N5778" s="4">
        <v>1.80170980008122</v>
      </c>
      <c r="O5778" s="4">
        <v>1.79342474854712</v>
      </c>
      <c r="P5778" s="4">
        <v>0.922272803551702</v>
      </c>
      <c r="Q5778" s="4">
        <v>2.47989945001849</v>
      </c>
      <c r="R5778" s="4">
        <v>2.52606367477891</v>
      </c>
      <c r="S5778" s="4">
        <v>1.29048790410484</v>
      </c>
      <c r="T5778" s="4">
        <f t="shared" si="3"/>
        <v>207</v>
      </c>
      <c r="U5778" s="4">
        <f t="shared" si="4"/>
        <v>105</v>
      </c>
    </row>
    <row r="5779" ht="15.75" customHeight="1">
      <c r="A5779" s="4" t="s">
        <v>1735</v>
      </c>
      <c r="B5779" s="4" t="s">
        <v>13</v>
      </c>
      <c r="C5779" s="4">
        <v>1.184</v>
      </c>
      <c r="D5779" s="4">
        <v>0.064</v>
      </c>
      <c r="E5779" s="4">
        <v>0.065</v>
      </c>
      <c r="F5779" s="4">
        <v>1.183</v>
      </c>
      <c r="G5779" s="4">
        <v>0.064</v>
      </c>
      <c r="H5779" s="4">
        <v>0.064</v>
      </c>
      <c r="I5779" s="4">
        <v>1.865</v>
      </c>
      <c r="J5779" s="4">
        <v>0.044</v>
      </c>
      <c r="K5779" s="6" t="b">
        <f t="shared" ref="K5779:L5779" si="5520">FALSE()</f>
        <v>0</v>
      </c>
      <c r="L5779" s="6" t="b">
        <f t="shared" si="5520"/>
        <v>0</v>
      </c>
      <c r="M5779" s="6" t="b">
        <f t="shared" si="5509"/>
        <v>1</v>
      </c>
      <c r="N5779" s="4">
        <v>0.781158057882659</v>
      </c>
      <c r="O5779" s="4">
        <v>0.780700077567807</v>
      </c>
      <c r="P5779" s="4">
        <v>1.0525683501667</v>
      </c>
      <c r="Q5779" s="4">
        <v>0.0991896397367129</v>
      </c>
      <c r="R5779" s="4">
        <v>0.0980730383405561</v>
      </c>
      <c r="S5779" s="4">
        <v>1.94534451264836</v>
      </c>
      <c r="T5779" s="4">
        <f t="shared" si="3"/>
        <v>594</v>
      </c>
      <c r="U5779" s="4">
        <f t="shared" si="4"/>
        <v>23</v>
      </c>
    </row>
    <row r="5780" ht="15.75" customHeight="1">
      <c r="A5780" s="4" t="s">
        <v>1736</v>
      </c>
      <c r="B5780" s="4" t="s">
        <v>13</v>
      </c>
      <c r="C5780" s="4">
        <v>1.401</v>
      </c>
      <c r="D5780" s="4">
        <v>0.075</v>
      </c>
      <c r="E5780" s="4">
        <v>0.075</v>
      </c>
      <c r="F5780" s="4">
        <v>1.372</v>
      </c>
      <c r="G5780" s="4">
        <v>0.072</v>
      </c>
      <c r="H5780" s="4">
        <v>0.072</v>
      </c>
      <c r="I5780" s="4">
        <v>1.792</v>
      </c>
      <c r="J5780" s="4">
        <v>0.069</v>
      </c>
      <c r="K5780" s="6" t="b">
        <f t="shared" ref="K5780:L5780" si="5521">FALSE()</f>
        <v>0</v>
      </c>
      <c r="L5780" s="6" t="b">
        <f t="shared" si="5521"/>
        <v>0</v>
      </c>
      <c r="M5780" s="6" t="b">
        <f t="shared" si="5509"/>
        <v>1</v>
      </c>
      <c r="N5780" s="4">
        <v>0.875885317239116</v>
      </c>
      <c r="O5780" s="4">
        <v>0.863733481135479</v>
      </c>
      <c r="P5780" s="4">
        <v>1.02675818490013</v>
      </c>
      <c r="Q5780" s="4">
        <v>0.232474992892323</v>
      </c>
      <c r="R5780" s="4">
        <v>0.217981643066673</v>
      </c>
      <c r="S5780" s="4">
        <v>1.808760134295</v>
      </c>
      <c r="T5780" s="4">
        <f t="shared" si="3"/>
        <v>536</v>
      </c>
      <c r="U5780" s="4">
        <f t="shared" si="4"/>
        <v>30</v>
      </c>
    </row>
    <row r="5781" ht="15.75" customHeight="1">
      <c r="A5781" s="4" t="s">
        <v>1737</v>
      </c>
      <c r="B5781" s="4" t="s">
        <v>13</v>
      </c>
      <c r="C5781" s="4">
        <v>0.92</v>
      </c>
      <c r="D5781" s="4">
        <v>0.05</v>
      </c>
      <c r="E5781" s="4">
        <v>0.05</v>
      </c>
      <c r="F5781" s="4">
        <v>0.92</v>
      </c>
      <c r="G5781" s="4">
        <v>0.05</v>
      </c>
      <c r="H5781" s="4">
        <v>0.05</v>
      </c>
      <c r="I5781" s="4">
        <v>1.327</v>
      </c>
      <c r="J5781" s="4">
        <v>0.074</v>
      </c>
      <c r="K5781" s="6" t="b">
        <f t="shared" ref="K5781:L5781" si="5522">FALSE()</f>
        <v>0</v>
      </c>
      <c r="L5781" s="6" t="b">
        <f t="shared" si="5522"/>
        <v>0</v>
      </c>
      <c r="M5781" s="6" t="b">
        <f t="shared" si="5509"/>
        <v>1</v>
      </c>
      <c r="N5781" s="4">
        <v>0.65232518603969</v>
      </c>
      <c r="O5781" s="4">
        <v>0.65232518603969</v>
      </c>
      <c r="P5781" s="4">
        <v>0.844579884320155</v>
      </c>
      <c r="Q5781" s="4">
        <v>-0.0629639696323247</v>
      </c>
      <c r="R5781" s="4">
        <v>-0.0687839089767386</v>
      </c>
      <c r="S5781" s="4">
        <v>0.938736354372891</v>
      </c>
      <c r="T5781" s="4">
        <f t="shared" si="3"/>
        <v>706</v>
      </c>
      <c r="U5781" s="4">
        <f t="shared" si="4"/>
        <v>231</v>
      </c>
    </row>
    <row r="5782" ht="15.75" customHeight="1">
      <c r="A5782" s="4" t="s">
        <v>1738</v>
      </c>
      <c r="B5782" s="4" t="s">
        <v>13</v>
      </c>
      <c r="C5782" s="4">
        <v>0.6</v>
      </c>
      <c r="D5782" s="4">
        <v>0.07</v>
      </c>
      <c r="E5782" s="4">
        <v>0.07</v>
      </c>
      <c r="F5782" s="4">
        <v>0.6</v>
      </c>
      <c r="G5782" s="4">
        <v>0.07</v>
      </c>
      <c r="H5782" s="4">
        <v>0.07</v>
      </c>
      <c r="I5782" s="4">
        <v>1.24</v>
      </c>
      <c r="J5782" s="4">
        <v>0.03</v>
      </c>
      <c r="K5782" s="6" t="b">
        <f t="shared" ref="K5782:L5782" si="5523">FALSE()</f>
        <v>0</v>
      </c>
      <c r="L5782" s="6" t="b">
        <f t="shared" si="5523"/>
        <v>0</v>
      </c>
      <c r="M5782" s="6" t="b">
        <f t="shared" si="5509"/>
        <v>1</v>
      </c>
      <c r="N5782" s="4">
        <v>0.470003629245736</v>
      </c>
      <c r="O5782" s="4">
        <v>0.470003629245736</v>
      </c>
      <c r="P5782" s="4">
        <v>0.806475865866949</v>
      </c>
      <c r="Q5782" s="4">
        <v>-0.259513799170552</v>
      </c>
      <c r="R5782" s="4">
        <v>-0.271803768830481</v>
      </c>
      <c r="S5782" s="4">
        <v>0.775957711677787</v>
      </c>
      <c r="T5782" s="4">
        <f t="shared" si="3"/>
        <v>887</v>
      </c>
      <c r="U5782" s="4">
        <f t="shared" si="4"/>
        <v>326</v>
      </c>
    </row>
    <row r="5783" ht="15.75" customHeight="1">
      <c r="A5783" s="4" t="s">
        <v>1739</v>
      </c>
      <c r="B5783" s="4" t="s">
        <v>13</v>
      </c>
      <c r="C5783" s="4">
        <v>0.2841</v>
      </c>
      <c r="I5783" s="4">
        <v>0.96</v>
      </c>
      <c r="J5783" s="4">
        <v>0.05</v>
      </c>
      <c r="K5783" s="6" t="b">
        <f t="shared" ref="K5783:L5783" si="5524">FALSE()</f>
        <v>0</v>
      </c>
      <c r="L5783" s="6" t="b">
        <f t="shared" si="5524"/>
        <v>0</v>
      </c>
      <c r="M5783" s="6" t="b">
        <f t="shared" si="5509"/>
        <v>1</v>
      </c>
      <c r="N5783" s="4">
        <v>0.250058083855091</v>
      </c>
      <c r="P5783" s="4">
        <v>0.672944473242426</v>
      </c>
      <c r="T5783" s="4">
        <f t="shared" si="3"/>
        <v>1079</v>
      </c>
      <c r="U5783" s="4">
        <f t="shared" si="4"/>
        <v>719</v>
      </c>
    </row>
    <row r="5784" ht="15.75" customHeight="1">
      <c r="A5784" s="4" t="s">
        <v>6064</v>
      </c>
      <c r="B5784" s="4" t="s">
        <v>13</v>
      </c>
      <c r="C5784" s="4">
        <v>0.202</v>
      </c>
      <c r="D5784" s="4">
        <v>0.0774</v>
      </c>
      <c r="E5784" s="4">
        <v>0.0774</v>
      </c>
      <c r="K5784" s="6" t="b">
        <f t="shared" ref="K5784:M5784" si="5525">FALSE()</f>
        <v>0</v>
      </c>
      <c r="L5784" s="6" t="b">
        <f t="shared" si="5525"/>
        <v>0</v>
      </c>
      <c r="M5784" s="6" t="b">
        <f t="shared" si="5525"/>
        <v>0</v>
      </c>
      <c r="N5784" s="4">
        <v>0.183986836113016</v>
      </c>
      <c r="T5784" s="4">
        <f t="shared" si="3"/>
        <v>1151</v>
      </c>
      <c r="U5784" s="4" t="str">
        <f t="shared" si="4"/>
        <v/>
      </c>
    </row>
    <row r="5785" ht="15.75" customHeight="1">
      <c r="A5785" s="4" t="s">
        <v>1740</v>
      </c>
      <c r="B5785" s="4" t="s">
        <v>13</v>
      </c>
      <c r="C5785" s="4">
        <v>0.17</v>
      </c>
      <c r="D5785" s="4">
        <v>0.015</v>
      </c>
      <c r="E5785" s="4">
        <v>0.015</v>
      </c>
      <c r="I5785" s="4">
        <v>1.293</v>
      </c>
      <c r="J5785" s="4">
        <v>0.027</v>
      </c>
      <c r="K5785" s="6" t="b">
        <f t="shared" ref="K5785:L5785" si="5526">FALSE()</f>
        <v>0</v>
      </c>
      <c r="L5785" s="6" t="b">
        <f t="shared" si="5526"/>
        <v>0</v>
      </c>
      <c r="M5785" s="6" t="b">
        <f t="shared" ref="M5785:M5790" si="5528">TRUE()</f>
        <v>1</v>
      </c>
      <c r="N5785" s="4">
        <v>0.157003748809665</v>
      </c>
      <c r="P5785" s="4">
        <v>0.829861003875767</v>
      </c>
      <c r="T5785" s="4">
        <f t="shared" si="3"/>
        <v>1184</v>
      </c>
      <c r="U5785" s="4">
        <f t="shared" si="4"/>
        <v>264</v>
      </c>
    </row>
    <row r="5786" ht="15.75" customHeight="1">
      <c r="A5786" s="4" t="s">
        <v>1741</v>
      </c>
      <c r="B5786" s="4" t="s">
        <v>13</v>
      </c>
      <c r="C5786" s="4">
        <v>1.0</v>
      </c>
      <c r="D5786" s="4">
        <v>0.1</v>
      </c>
      <c r="E5786" s="4">
        <v>0.1</v>
      </c>
      <c r="F5786" s="4">
        <v>1.0</v>
      </c>
      <c r="G5786" s="4">
        <v>0.1</v>
      </c>
      <c r="H5786" s="4">
        <v>0.1</v>
      </c>
      <c r="I5786" s="4">
        <v>0.93</v>
      </c>
      <c r="J5786" s="4">
        <v>0.03</v>
      </c>
      <c r="K5786" s="6" t="b">
        <f t="shared" ref="K5786:L5786" si="5527">FALSE()</f>
        <v>0</v>
      </c>
      <c r="L5786" s="6" t="b">
        <f t="shared" si="5527"/>
        <v>0</v>
      </c>
      <c r="M5786" s="6" t="b">
        <f t="shared" si="5528"/>
        <v>1</v>
      </c>
      <c r="N5786" s="4">
        <v>0.693147180559945</v>
      </c>
      <c r="O5786" s="4">
        <v>0.693147180559945</v>
      </c>
      <c r="P5786" s="4">
        <v>0.657520002916794</v>
      </c>
      <c r="Q5786" s="4">
        <v>-0.0138265122477679</v>
      </c>
      <c r="R5786" s="4">
        <v>-0.0180289440133029</v>
      </c>
      <c r="S5786" s="4">
        <v>0.195941858396382</v>
      </c>
      <c r="T5786" s="4">
        <f t="shared" si="3"/>
        <v>663</v>
      </c>
      <c r="U5786" s="4">
        <f t="shared" si="4"/>
        <v>745</v>
      </c>
    </row>
    <row r="5787" ht="15.75" customHeight="1">
      <c r="A5787" s="4" t="s">
        <v>1742</v>
      </c>
      <c r="B5787" s="4" t="s">
        <v>13</v>
      </c>
      <c r="C5787" s="4">
        <v>1.47</v>
      </c>
      <c r="D5787" s="4">
        <v>0.069</v>
      </c>
      <c r="E5787" s="4">
        <v>0.076</v>
      </c>
      <c r="F5787" s="4">
        <v>1.46</v>
      </c>
      <c r="G5787" s="4">
        <v>0.068</v>
      </c>
      <c r="H5787" s="4">
        <v>0.075</v>
      </c>
      <c r="I5787" s="4">
        <v>1.9</v>
      </c>
      <c r="J5787" s="4">
        <v>0.055</v>
      </c>
      <c r="K5787" s="6" t="b">
        <f t="shared" ref="K5787:L5787" si="5529">FALSE()</f>
        <v>0</v>
      </c>
      <c r="L5787" s="6" t="b">
        <f t="shared" si="5529"/>
        <v>0</v>
      </c>
      <c r="M5787" s="6" t="b">
        <f t="shared" si="5528"/>
        <v>1</v>
      </c>
      <c r="N5787" s="4">
        <v>0.904218150639886</v>
      </c>
      <c r="O5787" s="4">
        <v>0.900161349944271</v>
      </c>
      <c r="P5787" s="4">
        <v>1.06471073699243</v>
      </c>
      <c r="Q5787" s="4">
        <v>0.274856049886504</v>
      </c>
      <c r="R5787" s="4">
        <v>0.273812104526452</v>
      </c>
      <c r="S5787" s="4">
        <v>2.01083017350271</v>
      </c>
      <c r="T5787" s="4">
        <f t="shared" si="3"/>
        <v>519</v>
      </c>
      <c r="U5787" s="4">
        <f t="shared" si="4"/>
        <v>19</v>
      </c>
    </row>
    <row r="5788" ht="15.75" customHeight="1">
      <c r="A5788" s="4" t="s">
        <v>1743</v>
      </c>
      <c r="B5788" s="4" t="s">
        <v>13</v>
      </c>
      <c r="C5788" s="4">
        <v>1.23</v>
      </c>
      <c r="D5788" s="4">
        <v>0.04</v>
      </c>
      <c r="E5788" s="4">
        <v>0.04</v>
      </c>
      <c r="I5788" s="4">
        <v>0.89</v>
      </c>
      <c r="J5788" s="4">
        <v>0.03</v>
      </c>
      <c r="K5788" s="6" t="b">
        <f t="shared" ref="K5788:L5788" si="5530">FALSE()</f>
        <v>0</v>
      </c>
      <c r="L5788" s="6" t="b">
        <f t="shared" si="5530"/>
        <v>0</v>
      </c>
      <c r="M5788" s="6" t="b">
        <f t="shared" si="5528"/>
        <v>1</v>
      </c>
      <c r="N5788" s="4">
        <v>0.802001585472027</v>
      </c>
      <c r="P5788" s="4">
        <v>0.636576829071551</v>
      </c>
      <c r="T5788" s="4">
        <f t="shared" si="3"/>
        <v>580</v>
      </c>
      <c r="U5788" s="4">
        <f t="shared" si="4"/>
        <v>773</v>
      </c>
    </row>
    <row r="5789" ht="15.75" customHeight="1">
      <c r="A5789" s="4" t="s">
        <v>1744</v>
      </c>
      <c r="B5789" s="4" t="s">
        <v>13</v>
      </c>
      <c r="C5789" s="4">
        <v>0.27</v>
      </c>
      <c r="D5789" s="4">
        <v>0.02</v>
      </c>
      <c r="E5789" s="4">
        <v>0.02</v>
      </c>
      <c r="I5789" s="4">
        <v>1.19</v>
      </c>
      <c r="J5789" s="4">
        <v>0.04</v>
      </c>
      <c r="K5789" s="6" t="b">
        <f t="shared" ref="K5789:L5789" si="5531">FALSE()</f>
        <v>0</v>
      </c>
      <c r="L5789" s="6" t="b">
        <f t="shared" si="5531"/>
        <v>0</v>
      </c>
      <c r="M5789" s="6" t="b">
        <f t="shared" si="5528"/>
        <v>1</v>
      </c>
      <c r="N5789" s="4">
        <v>0.2390169004705</v>
      </c>
      <c r="P5789" s="4">
        <v>0.783901543828409</v>
      </c>
      <c r="T5789" s="4">
        <f t="shared" si="3"/>
        <v>1093</v>
      </c>
      <c r="U5789" s="4">
        <f t="shared" si="4"/>
        <v>403</v>
      </c>
    </row>
    <row r="5790" ht="15.75" customHeight="1">
      <c r="A5790" s="4" t="s">
        <v>1745</v>
      </c>
      <c r="B5790" s="4" t="s">
        <v>13</v>
      </c>
      <c r="C5790" s="4">
        <v>0.428</v>
      </c>
      <c r="D5790" s="4">
        <v>0.015</v>
      </c>
      <c r="E5790" s="4">
        <v>0.015</v>
      </c>
      <c r="F5790" s="4">
        <v>0.428</v>
      </c>
      <c r="G5790" s="4">
        <v>0.015</v>
      </c>
      <c r="H5790" s="4">
        <v>0.015</v>
      </c>
      <c r="I5790" s="4">
        <v>0.901</v>
      </c>
      <c r="J5790" s="4">
        <v>0.038</v>
      </c>
      <c r="K5790" s="6" t="b">
        <f t="shared" ref="K5790:L5790" si="5532">FALSE()</f>
        <v>0</v>
      </c>
      <c r="L5790" s="6" t="b">
        <f t="shared" si="5532"/>
        <v>0</v>
      </c>
      <c r="M5790" s="6" t="b">
        <f t="shared" si="5528"/>
        <v>1</v>
      </c>
      <c r="N5790" s="4">
        <v>0.356274863917393</v>
      </c>
      <c r="O5790" s="4">
        <v>0.356274863917393</v>
      </c>
      <c r="P5790" s="4">
        <v>0.642380063506292</v>
      </c>
      <c r="Q5790" s="4">
        <v>-0.36515933254735</v>
      </c>
      <c r="R5790" s="4">
        <v>-0.380926943501868</v>
      </c>
      <c r="S5790" s="4">
        <v>0.141682310831347</v>
      </c>
      <c r="T5790" s="4">
        <f t="shared" si="3"/>
        <v>997</v>
      </c>
      <c r="U5790" s="4">
        <f t="shared" si="4"/>
        <v>763</v>
      </c>
    </row>
    <row r="5791" ht="15.75" customHeight="1">
      <c r="A5791" s="4" t="s">
        <v>1746</v>
      </c>
      <c r="B5791" s="4" t="s">
        <v>13</v>
      </c>
      <c r="C5791" s="4">
        <v>0.0197</v>
      </c>
      <c r="D5791" s="4">
        <v>0.00576</v>
      </c>
      <c r="E5791" s="4">
        <v>0.00579</v>
      </c>
      <c r="I5791" s="4">
        <v>0.16424</v>
      </c>
      <c r="J5791" s="4">
        <v>0.0083</v>
      </c>
      <c r="K5791" s="6" t="b">
        <f t="shared" ref="K5791:M5791" si="5533">FALSE()</f>
        <v>0</v>
      </c>
      <c r="L5791" s="6" t="b">
        <f t="shared" si="5533"/>
        <v>0</v>
      </c>
      <c r="M5791" s="6" t="b">
        <f t="shared" si="5533"/>
        <v>0</v>
      </c>
      <c r="N5791" s="4">
        <v>0.0195084663880429</v>
      </c>
      <c r="P5791" s="4">
        <v>0.152068513622934</v>
      </c>
      <c r="T5791" s="4">
        <f t="shared" si="3"/>
        <v>1740</v>
      </c>
      <c r="U5791" s="4">
        <f t="shared" si="4"/>
        <v>3117</v>
      </c>
    </row>
    <row r="5792" ht="15.75" customHeight="1">
      <c r="A5792" s="4" t="s">
        <v>6065</v>
      </c>
      <c r="B5792" s="4" t="s">
        <v>13</v>
      </c>
      <c r="D5792" s="4">
        <v>0.52</v>
      </c>
      <c r="E5792" s="4">
        <v>0.52</v>
      </c>
      <c r="F5792" s="4">
        <v>5.16</v>
      </c>
      <c r="G5792" s="4">
        <v>0.52</v>
      </c>
      <c r="H5792" s="4">
        <v>0.52</v>
      </c>
      <c r="K5792" s="6" t="b">
        <f t="shared" ref="K5792:M5792" si="5534">FALSE()</f>
        <v>0</v>
      </c>
      <c r="L5792" s="6" t="b">
        <f t="shared" si="5534"/>
        <v>0</v>
      </c>
      <c r="M5792" s="6" t="b">
        <f t="shared" si="5534"/>
        <v>0</v>
      </c>
      <c r="O5792" s="4">
        <v>1.81807677754543</v>
      </c>
      <c r="T5792" s="4" t="str">
        <f t="shared" si="3"/>
        <v/>
      </c>
      <c r="U5792" s="4" t="str">
        <f t="shared" si="4"/>
        <v/>
      </c>
    </row>
    <row r="5793" ht="15.75" customHeight="1">
      <c r="A5793" s="4" t="s">
        <v>1747</v>
      </c>
      <c r="B5793" s="4" t="s">
        <v>13</v>
      </c>
      <c r="C5793" s="4">
        <v>1.16</v>
      </c>
      <c r="D5793" s="4">
        <v>0.09</v>
      </c>
      <c r="E5793" s="4">
        <v>0.09</v>
      </c>
      <c r="F5793" s="4">
        <v>1.16</v>
      </c>
      <c r="G5793" s="4">
        <v>0.09</v>
      </c>
      <c r="H5793" s="4">
        <v>0.09</v>
      </c>
      <c r="I5793" s="4">
        <v>1.21</v>
      </c>
      <c r="J5793" s="4">
        <v>0.05</v>
      </c>
      <c r="K5793" s="6" t="b">
        <f t="shared" ref="K5793:L5793" si="5535">FALSE()</f>
        <v>0</v>
      </c>
      <c r="L5793" s="6" t="b">
        <f t="shared" si="5535"/>
        <v>0</v>
      </c>
      <c r="M5793" s="6" t="b">
        <f t="shared" ref="M5793:M5794" si="5537">TRUE()</f>
        <v>1</v>
      </c>
      <c r="N5793" s="4">
        <v>0.770108221696074</v>
      </c>
      <c r="O5793" s="4">
        <v>0.770108221696074</v>
      </c>
      <c r="P5793" s="4">
        <v>0.792992515529661</v>
      </c>
      <c r="Q5793" s="4">
        <v>0.0844484025213458</v>
      </c>
      <c r="R5793" s="4">
        <v>0.0834809859135682</v>
      </c>
      <c r="S5793" s="4">
        <v>0.719827145231199</v>
      </c>
      <c r="T5793" s="4">
        <f t="shared" si="3"/>
        <v>608</v>
      </c>
      <c r="U5793" s="4">
        <f t="shared" si="4"/>
        <v>366</v>
      </c>
    </row>
    <row r="5794" ht="15.75" customHeight="1">
      <c r="A5794" s="4" t="s">
        <v>1748</v>
      </c>
      <c r="B5794" s="4" t="s">
        <v>13</v>
      </c>
      <c r="C5794" s="4">
        <v>1.412</v>
      </c>
      <c r="D5794" s="4">
        <v>0.075</v>
      </c>
      <c r="E5794" s="4">
        <v>0.075</v>
      </c>
      <c r="I5794" s="4">
        <v>0.988</v>
      </c>
      <c r="J5794" s="4">
        <v>0.057</v>
      </c>
      <c r="K5794" s="6" t="b">
        <f t="shared" ref="K5794:L5794" si="5536">FALSE()</f>
        <v>0</v>
      </c>
      <c r="L5794" s="6" t="b">
        <f t="shared" si="5536"/>
        <v>0</v>
      </c>
      <c r="M5794" s="6" t="b">
        <f t="shared" si="5537"/>
        <v>1</v>
      </c>
      <c r="N5794" s="4">
        <v>0.880456278864939</v>
      </c>
      <c r="P5794" s="4">
        <v>0.687129108234382</v>
      </c>
      <c r="T5794" s="4">
        <f t="shared" si="3"/>
        <v>534</v>
      </c>
      <c r="U5794" s="4">
        <f t="shared" si="4"/>
        <v>691</v>
      </c>
    </row>
    <row r="5795" ht="15.75" customHeight="1">
      <c r="A5795" s="4" t="s">
        <v>6066</v>
      </c>
      <c r="B5795" s="4" t="s">
        <v>13</v>
      </c>
      <c r="D5795" s="4">
        <v>0.07</v>
      </c>
      <c r="E5795" s="4">
        <v>0.07</v>
      </c>
      <c r="F5795" s="4">
        <v>0.7</v>
      </c>
      <c r="G5795" s="4">
        <v>0.07</v>
      </c>
      <c r="H5795" s="4">
        <v>0.07</v>
      </c>
      <c r="K5795" s="6" t="b">
        <f t="shared" ref="K5795:M5795" si="5538">FALSE()</f>
        <v>0</v>
      </c>
      <c r="L5795" s="6" t="b">
        <f t="shared" si="5538"/>
        <v>0</v>
      </c>
      <c r="M5795" s="6" t="b">
        <f t="shared" si="5538"/>
        <v>0</v>
      </c>
      <c r="O5795" s="4">
        <v>0.53062825106217</v>
      </c>
      <c r="T5795" s="4" t="str">
        <f t="shared" si="3"/>
        <v/>
      </c>
      <c r="U5795" s="4" t="str">
        <f t="shared" si="4"/>
        <v/>
      </c>
    </row>
    <row r="5796" ht="15.75" customHeight="1">
      <c r="A5796" s="4" t="s">
        <v>1749</v>
      </c>
      <c r="B5796" s="4" t="s">
        <v>13</v>
      </c>
      <c r="C5796" s="4">
        <v>1.9</v>
      </c>
      <c r="D5796" s="4">
        <v>0.08</v>
      </c>
      <c r="E5796" s="4">
        <v>0.08</v>
      </c>
      <c r="F5796" s="4">
        <v>1.9</v>
      </c>
      <c r="G5796" s="4">
        <v>0.08</v>
      </c>
      <c r="H5796" s="4">
        <v>0.08</v>
      </c>
      <c r="I5796" s="4">
        <v>1.3</v>
      </c>
      <c r="J5796" s="4">
        <v>0.09</v>
      </c>
      <c r="K5796" s="6" t="b">
        <f t="shared" ref="K5796:L5796" si="5539">FALSE()</f>
        <v>0</v>
      </c>
      <c r="L5796" s="6" t="b">
        <f t="shared" si="5539"/>
        <v>0</v>
      </c>
      <c r="M5796" s="6" t="b">
        <f t="shared" ref="M5796:M5798" si="5541">TRUE()</f>
        <v>1</v>
      </c>
      <c r="N5796" s="4">
        <v>1.06471073699243</v>
      </c>
      <c r="O5796" s="4">
        <v>1.06471073699243</v>
      </c>
      <c r="P5796" s="4">
        <v>0.832909122935104</v>
      </c>
      <c r="Q5796" s="4">
        <v>0.538969883328497</v>
      </c>
      <c r="R5796" s="4">
        <v>0.552964411825348</v>
      </c>
      <c r="S5796" s="4">
        <v>0.888218844570962</v>
      </c>
      <c r="T5796" s="4">
        <f t="shared" si="3"/>
        <v>455</v>
      </c>
      <c r="U5796" s="4">
        <f t="shared" si="4"/>
        <v>259</v>
      </c>
    </row>
    <row r="5797" ht="15.75" customHeight="1">
      <c r="A5797" s="4" t="s">
        <v>1750</v>
      </c>
      <c r="B5797" s="4" t="s">
        <v>13</v>
      </c>
      <c r="C5797" s="4">
        <v>1.51</v>
      </c>
      <c r="D5797" s="4">
        <v>0.08</v>
      </c>
      <c r="E5797" s="4">
        <v>0.08</v>
      </c>
      <c r="I5797" s="4">
        <v>1.38</v>
      </c>
      <c r="J5797" s="4">
        <v>0.16</v>
      </c>
      <c r="K5797" s="6" t="b">
        <f t="shared" ref="K5797:L5797" si="5540">FALSE()</f>
        <v>0</v>
      </c>
      <c r="L5797" s="6" t="b">
        <f t="shared" si="5540"/>
        <v>0</v>
      </c>
      <c r="M5797" s="6" t="b">
        <f t="shared" si="5541"/>
        <v>1</v>
      </c>
      <c r="N5797" s="4">
        <v>0.920282753143693</v>
      </c>
      <c r="P5797" s="4">
        <v>0.867100487683383</v>
      </c>
      <c r="T5797" s="4">
        <f t="shared" si="3"/>
        <v>509</v>
      </c>
      <c r="U5797" s="4">
        <f t="shared" si="4"/>
        <v>195</v>
      </c>
    </row>
    <row r="5798" ht="15.75" customHeight="1">
      <c r="A5798" s="4" t="s">
        <v>1751</v>
      </c>
      <c r="B5798" s="4" t="s">
        <v>13</v>
      </c>
      <c r="C5798" s="4">
        <v>0.681</v>
      </c>
      <c r="D5798" s="4">
        <v>0.054</v>
      </c>
      <c r="E5798" s="4">
        <v>0.054</v>
      </c>
      <c r="I5798" s="4">
        <v>1.27</v>
      </c>
      <c r="J5798" s="4">
        <v>0.11</v>
      </c>
      <c r="K5798" s="6" t="b">
        <f t="shared" ref="K5798:L5798" si="5542">FALSE()</f>
        <v>0</v>
      </c>
      <c r="L5798" s="6" t="b">
        <f t="shared" si="5542"/>
        <v>0</v>
      </c>
      <c r="M5798" s="6" t="b">
        <f t="shared" si="5541"/>
        <v>1</v>
      </c>
      <c r="N5798" s="4">
        <v>0.519388854426479</v>
      </c>
      <c r="P5798" s="4">
        <v>0.819779831493311</v>
      </c>
      <c r="T5798" s="4">
        <f t="shared" si="3"/>
        <v>828</v>
      </c>
      <c r="U5798" s="4">
        <f t="shared" si="4"/>
        <v>294</v>
      </c>
    </row>
    <row r="5799" ht="15.75" customHeight="1">
      <c r="A5799" s="4" t="s">
        <v>6067</v>
      </c>
      <c r="B5799" s="4" t="s">
        <v>13</v>
      </c>
      <c r="C5799" s="4">
        <v>1.22</v>
      </c>
      <c r="D5799" s="4">
        <v>0.08</v>
      </c>
      <c r="E5799" s="4">
        <v>0.08</v>
      </c>
      <c r="F5799" s="4">
        <v>1.09</v>
      </c>
      <c r="G5799" s="4">
        <v>0.05</v>
      </c>
      <c r="H5799" s="4">
        <v>0.05</v>
      </c>
      <c r="K5799" s="6" t="b">
        <f t="shared" ref="K5799:M5799" si="5543">FALSE()</f>
        <v>0</v>
      </c>
      <c r="L5799" s="6" t="b">
        <f t="shared" si="5543"/>
        <v>0</v>
      </c>
      <c r="M5799" s="6" t="b">
        <f t="shared" si="5543"/>
        <v>0</v>
      </c>
      <c r="N5799" s="4">
        <v>0.797507195884188</v>
      </c>
      <c r="O5799" s="4">
        <v>0.73716406597672</v>
      </c>
      <c r="T5799" s="4">
        <f t="shared" si="3"/>
        <v>585</v>
      </c>
      <c r="U5799" s="4" t="str">
        <f t="shared" si="4"/>
        <v/>
      </c>
    </row>
    <row r="5800" ht="15.75" customHeight="1">
      <c r="A5800" s="4" t="s">
        <v>1752</v>
      </c>
      <c r="B5800" s="4" t="s">
        <v>13</v>
      </c>
      <c r="C5800" s="4">
        <v>0.117</v>
      </c>
      <c r="D5800" s="4">
        <v>0.017</v>
      </c>
      <c r="E5800" s="4">
        <v>0.017</v>
      </c>
      <c r="I5800" s="4">
        <v>0.8</v>
      </c>
      <c r="J5800" s="4">
        <v>0.05</v>
      </c>
      <c r="K5800" s="6" t="b">
        <f t="shared" ref="K5800:L5800" si="5544">FALSE()</f>
        <v>0</v>
      </c>
      <c r="L5800" s="6" t="b">
        <f t="shared" si="5544"/>
        <v>0</v>
      </c>
      <c r="M5800" s="6" t="b">
        <f t="shared" ref="M5800:M5810" si="5546">TRUE()</f>
        <v>1</v>
      </c>
      <c r="N5800" s="4">
        <v>0.110646520087064</v>
      </c>
      <c r="P5800" s="4">
        <v>0.587786664902119</v>
      </c>
      <c r="T5800" s="4">
        <f t="shared" si="3"/>
        <v>1236</v>
      </c>
      <c r="U5800" s="4">
        <f t="shared" si="4"/>
        <v>842</v>
      </c>
    </row>
    <row r="5801" ht="15.75" customHeight="1">
      <c r="A5801" s="4" t="s">
        <v>1753</v>
      </c>
      <c r="B5801" s="4" t="s">
        <v>13</v>
      </c>
      <c r="C5801" s="4">
        <v>0.52</v>
      </c>
      <c r="D5801" s="4">
        <v>0.024</v>
      </c>
      <c r="E5801" s="4">
        <v>0.024</v>
      </c>
      <c r="I5801" s="4">
        <v>1.32</v>
      </c>
      <c r="J5801" s="4">
        <v>0.07</v>
      </c>
      <c r="K5801" s="6" t="b">
        <f t="shared" ref="K5801:L5801" si="5545">FALSE()</f>
        <v>0</v>
      </c>
      <c r="L5801" s="6" t="b">
        <f t="shared" si="5545"/>
        <v>0</v>
      </c>
      <c r="M5801" s="6" t="b">
        <f t="shared" si="5546"/>
        <v>1</v>
      </c>
      <c r="N5801" s="4">
        <v>0.418710334858185</v>
      </c>
      <c r="P5801" s="4">
        <v>0.841567185678219</v>
      </c>
      <c r="T5801" s="4">
        <f t="shared" si="3"/>
        <v>943</v>
      </c>
      <c r="U5801" s="4">
        <f t="shared" si="4"/>
        <v>234</v>
      </c>
    </row>
    <row r="5802" ht="15.75" customHeight="1">
      <c r="A5802" s="4" t="s">
        <v>1754</v>
      </c>
      <c r="B5802" s="4" t="s">
        <v>13</v>
      </c>
      <c r="C5802" s="4">
        <v>2.44</v>
      </c>
      <c r="D5802" s="4">
        <v>0.07</v>
      </c>
      <c r="E5802" s="4">
        <v>0.07</v>
      </c>
      <c r="I5802" s="4">
        <v>1.44</v>
      </c>
      <c r="J5802" s="4">
        <v>0.18</v>
      </c>
      <c r="K5802" s="6" t="b">
        <f t="shared" ref="K5802:L5802" si="5547">FALSE()</f>
        <v>0</v>
      </c>
      <c r="L5802" s="6" t="b">
        <f t="shared" si="5547"/>
        <v>0</v>
      </c>
      <c r="M5802" s="6" t="b">
        <f t="shared" si="5546"/>
        <v>1</v>
      </c>
      <c r="N5802" s="4">
        <v>1.23547147138531</v>
      </c>
      <c r="P5802" s="4">
        <v>0.891998039305111</v>
      </c>
      <c r="T5802" s="4">
        <f t="shared" si="3"/>
        <v>378</v>
      </c>
      <c r="U5802" s="4">
        <f t="shared" si="4"/>
        <v>153</v>
      </c>
    </row>
    <row r="5803" ht="15.75" customHeight="1">
      <c r="A5803" s="4" t="s">
        <v>1755</v>
      </c>
      <c r="B5803" s="4" t="s">
        <v>13</v>
      </c>
      <c r="C5803" s="4">
        <v>2.69</v>
      </c>
      <c r="D5803" s="4">
        <v>0.15</v>
      </c>
      <c r="E5803" s="4">
        <v>0.15</v>
      </c>
      <c r="I5803" s="4">
        <v>1.21</v>
      </c>
      <c r="J5803" s="4">
        <v>0.08</v>
      </c>
      <c r="K5803" s="6" t="b">
        <f t="shared" ref="K5803:L5803" si="5548">FALSE()</f>
        <v>0</v>
      </c>
      <c r="L5803" s="6" t="b">
        <f t="shared" si="5548"/>
        <v>0</v>
      </c>
      <c r="M5803" s="6" t="b">
        <f t="shared" si="5546"/>
        <v>1</v>
      </c>
      <c r="N5803" s="4">
        <v>1.30562645805244</v>
      </c>
      <c r="P5803" s="4">
        <v>0.792992515529661</v>
      </c>
      <c r="T5803" s="4">
        <f t="shared" si="3"/>
        <v>354</v>
      </c>
      <c r="U5803" s="4">
        <f t="shared" si="4"/>
        <v>367</v>
      </c>
    </row>
    <row r="5804" ht="15.75" customHeight="1">
      <c r="A5804" s="4" t="s">
        <v>1756</v>
      </c>
      <c r="B5804" s="4" t="s">
        <v>13</v>
      </c>
      <c r="C5804" s="4">
        <v>0.84</v>
      </c>
      <c r="D5804" s="4">
        <v>0.09</v>
      </c>
      <c r="E5804" s="4">
        <v>0.09</v>
      </c>
      <c r="I5804" s="4">
        <v>1.53</v>
      </c>
      <c r="J5804" s="4">
        <v>0.08</v>
      </c>
      <c r="K5804" s="6" t="b">
        <f t="shared" ref="K5804:L5804" si="5549">FALSE()</f>
        <v>0</v>
      </c>
      <c r="L5804" s="6" t="b">
        <f t="shared" si="5549"/>
        <v>0</v>
      </c>
      <c r="M5804" s="6" t="b">
        <f t="shared" si="5546"/>
        <v>1</v>
      </c>
      <c r="N5804" s="4">
        <v>0.609765571620894</v>
      </c>
      <c r="P5804" s="4">
        <v>0.928219302739429</v>
      </c>
      <c r="T5804" s="4">
        <f t="shared" si="3"/>
        <v>749</v>
      </c>
      <c r="U5804" s="4">
        <f t="shared" si="4"/>
        <v>102</v>
      </c>
    </row>
    <row r="5805" ht="15.75" customHeight="1">
      <c r="A5805" s="4" t="s">
        <v>1757</v>
      </c>
      <c r="B5805" s="4" t="s">
        <v>13</v>
      </c>
      <c r="C5805" s="4">
        <v>0.725</v>
      </c>
      <c r="D5805" s="4">
        <v>0.084</v>
      </c>
      <c r="E5805" s="4">
        <v>0.084</v>
      </c>
      <c r="I5805" s="4">
        <v>1.234</v>
      </c>
      <c r="J5805" s="4">
        <v>0.042</v>
      </c>
      <c r="K5805" s="6" t="b">
        <f t="shared" ref="K5805:L5805" si="5550">FALSE()</f>
        <v>0</v>
      </c>
      <c r="L5805" s="6" t="b">
        <f t="shared" si="5550"/>
        <v>0</v>
      </c>
      <c r="M5805" s="6" t="b">
        <f t="shared" si="5546"/>
        <v>1</v>
      </c>
      <c r="N5805" s="4">
        <v>0.545227050483323</v>
      </c>
      <c r="P5805" s="4">
        <v>0.803793700647009</v>
      </c>
      <c r="T5805" s="4">
        <f t="shared" si="3"/>
        <v>805</v>
      </c>
      <c r="U5805" s="4">
        <f t="shared" si="4"/>
        <v>335</v>
      </c>
    </row>
    <row r="5806" ht="15.75" customHeight="1">
      <c r="A5806" s="4" t="s">
        <v>1758</v>
      </c>
      <c r="B5806" s="4" t="s">
        <v>13</v>
      </c>
      <c r="C5806" s="4">
        <v>0.44</v>
      </c>
      <c r="D5806" s="4">
        <v>0.06</v>
      </c>
      <c r="E5806" s="4">
        <v>0.06</v>
      </c>
      <c r="I5806" s="4">
        <v>0.85</v>
      </c>
      <c r="J5806" s="4">
        <v>0.05</v>
      </c>
      <c r="K5806" s="6" t="b">
        <f t="shared" ref="K5806:L5806" si="5551">FALSE()</f>
        <v>0</v>
      </c>
      <c r="L5806" s="6" t="b">
        <f t="shared" si="5551"/>
        <v>0</v>
      </c>
      <c r="M5806" s="6" t="b">
        <f t="shared" si="5546"/>
        <v>1</v>
      </c>
      <c r="N5806" s="4">
        <v>0.364643113587909</v>
      </c>
      <c r="P5806" s="4">
        <v>0.615185639090234</v>
      </c>
      <c r="T5806" s="4">
        <f t="shared" si="3"/>
        <v>989</v>
      </c>
      <c r="U5806" s="4">
        <f t="shared" si="4"/>
        <v>804</v>
      </c>
    </row>
    <row r="5807" ht="15.75" customHeight="1">
      <c r="A5807" s="4" t="s">
        <v>1759</v>
      </c>
      <c r="B5807" s="4" t="s">
        <v>13</v>
      </c>
      <c r="C5807" s="4">
        <v>0.89</v>
      </c>
      <c r="D5807" s="4">
        <v>0.04</v>
      </c>
      <c r="E5807" s="4">
        <v>0.04</v>
      </c>
      <c r="I5807" s="4">
        <v>0.9</v>
      </c>
      <c r="J5807" s="4">
        <v>0.04</v>
      </c>
      <c r="K5807" s="6" t="b">
        <f t="shared" ref="K5807:L5807" si="5552">FALSE()</f>
        <v>0</v>
      </c>
      <c r="L5807" s="6" t="b">
        <f t="shared" si="5552"/>
        <v>0</v>
      </c>
      <c r="M5807" s="6" t="b">
        <f t="shared" si="5546"/>
        <v>1</v>
      </c>
      <c r="N5807" s="4">
        <v>0.636576829071551</v>
      </c>
      <c r="P5807" s="4">
        <v>0.641853886172395</v>
      </c>
      <c r="T5807" s="4">
        <f t="shared" si="3"/>
        <v>718</v>
      </c>
      <c r="U5807" s="4">
        <f t="shared" si="4"/>
        <v>766</v>
      </c>
    </row>
    <row r="5808" ht="15.75" customHeight="1">
      <c r="A5808" s="4" t="s">
        <v>1760</v>
      </c>
      <c r="B5808" s="4" t="s">
        <v>13</v>
      </c>
      <c r="C5808" s="4">
        <v>1.11</v>
      </c>
      <c r="D5808" s="4">
        <v>0.15</v>
      </c>
      <c r="E5808" s="4">
        <v>0.15</v>
      </c>
      <c r="I5808" s="4">
        <v>1.228</v>
      </c>
      <c r="J5808" s="4">
        <v>0.076</v>
      </c>
      <c r="K5808" s="6" t="b">
        <f t="shared" ref="K5808:L5808" si="5553">FALSE()</f>
        <v>0</v>
      </c>
      <c r="L5808" s="6" t="b">
        <f t="shared" si="5553"/>
        <v>0</v>
      </c>
      <c r="M5808" s="6" t="b">
        <f t="shared" si="5546"/>
        <v>1</v>
      </c>
      <c r="N5808" s="4">
        <v>0.746687947487975</v>
      </c>
      <c r="P5808" s="4">
        <v>0.801104322065038</v>
      </c>
      <c r="T5808" s="4">
        <f t="shared" si="3"/>
        <v>623</v>
      </c>
      <c r="U5808" s="4">
        <f t="shared" si="4"/>
        <v>344</v>
      </c>
    </row>
    <row r="5809" ht="15.75" customHeight="1">
      <c r="A5809" s="4" t="s">
        <v>1761</v>
      </c>
      <c r="B5809" s="4" t="s">
        <v>13</v>
      </c>
      <c r="C5809" s="4">
        <v>0.275</v>
      </c>
      <c r="D5809" s="4">
        <v>0.027</v>
      </c>
      <c r="E5809" s="4">
        <v>0.028</v>
      </c>
      <c r="I5809" s="4">
        <v>1.115</v>
      </c>
      <c r="J5809" s="4">
        <v>0.093</v>
      </c>
      <c r="K5809" s="6" t="b">
        <f t="shared" ref="K5809:L5809" si="5554">FALSE()</f>
        <v>0</v>
      </c>
      <c r="L5809" s="6" t="b">
        <f t="shared" si="5554"/>
        <v>0</v>
      </c>
      <c r="M5809" s="6" t="b">
        <f t="shared" si="5546"/>
        <v>1</v>
      </c>
      <c r="N5809" s="4">
        <v>0.242946178610389</v>
      </c>
      <c r="P5809" s="4">
        <v>0.749054812498241</v>
      </c>
      <c r="T5809" s="4">
        <f t="shared" si="3"/>
        <v>1087</v>
      </c>
      <c r="U5809" s="4">
        <f t="shared" si="4"/>
        <v>497</v>
      </c>
    </row>
    <row r="5810" ht="15.75" customHeight="1">
      <c r="A5810" s="4" t="s">
        <v>1762</v>
      </c>
      <c r="B5810" s="4" t="s">
        <v>13</v>
      </c>
      <c r="C5810" s="4">
        <v>0.287</v>
      </c>
      <c r="D5810" s="4">
        <v>0.016</v>
      </c>
      <c r="E5810" s="4">
        <v>0.022</v>
      </c>
      <c r="I5810" s="4">
        <v>0.756</v>
      </c>
      <c r="J5810" s="4">
        <v>0.017</v>
      </c>
      <c r="K5810" s="6" t="b">
        <f t="shared" ref="K5810:L5810" si="5555">FALSE()</f>
        <v>0</v>
      </c>
      <c r="L5810" s="6" t="b">
        <f t="shared" si="5555"/>
        <v>0</v>
      </c>
      <c r="M5810" s="6" t="b">
        <f t="shared" si="5546"/>
        <v>1</v>
      </c>
      <c r="N5810" s="4">
        <v>0.25231392861399</v>
      </c>
      <c r="P5810" s="4">
        <v>0.563038495212925</v>
      </c>
      <c r="T5810" s="4">
        <f t="shared" si="3"/>
        <v>1078</v>
      </c>
      <c r="U5810" s="4">
        <f t="shared" si="4"/>
        <v>870</v>
      </c>
    </row>
    <row r="5811" ht="15.75" customHeight="1">
      <c r="A5811" s="4" t="s">
        <v>6068</v>
      </c>
      <c r="B5811" s="4" t="s">
        <v>13</v>
      </c>
      <c r="D5811" s="4">
        <v>0.024</v>
      </c>
      <c r="E5811" s="4">
        <v>0.021</v>
      </c>
      <c r="F5811" s="4">
        <v>0.378</v>
      </c>
      <c r="G5811" s="4">
        <v>0.024</v>
      </c>
      <c r="H5811" s="4">
        <v>0.021</v>
      </c>
      <c r="K5811" s="6" t="b">
        <f t="shared" ref="K5811:M5811" si="5556">FALSE()</f>
        <v>0</v>
      </c>
      <c r="L5811" s="6" t="b">
        <f t="shared" si="5556"/>
        <v>0</v>
      </c>
      <c r="M5811" s="6" t="b">
        <f t="shared" si="5556"/>
        <v>0</v>
      </c>
      <c r="O5811" s="4">
        <v>0.320633172591467</v>
      </c>
      <c r="T5811" s="4" t="str">
        <f t="shared" si="3"/>
        <v/>
      </c>
      <c r="U5811" s="4" t="str">
        <f t="shared" si="4"/>
        <v/>
      </c>
    </row>
    <row r="5812" ht="15.75" customHeight="1">
      <c r="A5812" s="4" t="s">
        <v>1763</v>
      </c>
      <c r="B5812" s="4" t="s">
        <v>13</v>
      </c>
      <c r="C5812" s="4">
        <v>0.991</v>
      </c>
      <c r="D5812" s="4">
        <v>0.196</v>
      </c>
      <c r="E5812" s="4">
        <v>0.196</v>
      </c>
      <c r="I5812" s="4">
        <v>1.36</v>
      </c>
      <c r="J5812" s="4">
        <v>0.06</v>
      </c>
      <c r="K5812" s="6" t="b">
        <f t="shared" ref="K5812:L5812" si="5557">FALSE()</f>
        <v>0</v>
      </c>
      <c r="L5812" s="6" t="b">
        <f t="shared" si="5557"/>
        <v>0</v>
      </c>
      <c r="M5812" s="6" t="b">
        <f t="shared" ref="M5812:M5815" si="5558">TRUE()</f>
        <v>1</v>
      </c>
      <c r="N5812" s="4">
        <v>0.688637025082059</v>
      </c>
      <c r="P5812" s="4">
        <v>0.858661619037519</v>
      </c>
      <c r="T5812" s="4">
        <f t="shared" si="3"/>
        <v>665</v>
      </c>
      <c r="U5812" s="4">
        <f t="shared" si="4"/>
        <v>206</v>
      </c>
    </row>
    <row r="5813" ht="15.75" customHeight="1">
      <c r="A5813" s="4" t="s">
        <v>1764</v>
      </c>
      <c r="B5813" s="4" t="s">
        <v>13</v>
      </c>
      <c r="C5813" s="4">
        <v>7.341</v>
      </c>
      <c r="D5813" s="4">
        <v>0.496</v>
      </c>
      <c r="E5813" s="4">
        <v>0.508</v>
      </c>
      <c r="I5813" s="4">
        <v>1.281</v>
      </c>
      <c r="J5813" s="4">
        <v>0.082</v>
      </c>
      <c r="K5813" s="6" t="b">
        <f t="shared" ref="K5813:K5814" si="5559">TRUE()</f>
        <v>1</v>
      </c>
      <c r="L5813" s="6" t="b">
        <f t="shared" ref="L5813:L5814" si="5560">FALSE()</f>
        <v>0</v>
      </c>
      <c r="M5813" s="6" t="b">
        <f t="shared" si="5558"/>
        <v>1</v>
      </c>
      <c r="N5813" s="4">
        <v>2.12118311325948</v>
      </c>
      <c r="P5813" s="4">
        <v>0.824613943302251</v>
      </c>
      <c r="T5813" s="4">
        <f t="shared" si="3"/>
        <v>124</v>
      </c>
      <c r="U5813" s="4">
        <f t="shared" si="4"/>
        <v>282</v>
      </c>
    </row>
    <row r="5814" ht="15.75" customHeight="1">
      <c r="A5814" s="4" t="s">
        <v>1765</v>
      </c>
      <c r="B5814" s="4" t="s">
        <v>13</v>
      </c>
      <c r="C5814" s="4">
        <v>8.46</v>
      </c>
      <c r="D5814" s="4">
        <v>0.2</v>
      </c>
      <c r="E5814" s="4">
        <v>0.28</v>
      </c>
      <c r="I5814" s="4">
        <v>1.07</v>
      </c>
      <c r="J5814" s="4">
        <v>0.025</v>
      </c>
      <c r="K5814" s="6" t="b">
        <f t="shared" si="5559"/>
        <v>1</v>
      </c>
      <c r="L5814" s="6" t="b">
        <f t="shared" si="5560"/>
        <v>0</v>
      </c>
      <c r="M5814" s="6" t="b">
        <f t="shared" si="5558"/>
        <v>1</v>
      </c>
      <c r="N5814" s="4">
        <v>2.24707238306379</v>
      </c>
      <c r="P5814" s="4">
        <v>0.727548607277278</v>
      </c>
      <c r="T5814" s="4">
        <f t="shared" si="3"/>
        <v>95</v>
      </c>
      <c r="U5814" s="4">
        <f t="shared" si="4"/>
        <v>578</v>
      </c>
    </row>
    <row r="5815" ht="15.75" customHeight="1">
      <c r="A5815" s="4" t="s">
        <v>1766</v>
      </c>
      <c r="B5815" s="4" t="s">
        <v>13</v>
      </c>
      <c r="C5815" s="4">
        <v>0.31</v>
      </c>
      <c r="D5815" s="4">
        <v>0.03</v>
      </c>
      <c r="E5815" s="4">
        <v>0.04</v>
      </c>
      <c r="I5815" s="4">
        <v>1.13</v>
      </c>
      <c r="J5815" s="4">
        <v>0.03</v>
      </c>
      <c r="K5815" s="6" t="b">
        <f t="shared" ref="K5815:L5815" si="5561">FALSE()</f>
        <v>0</v>
      </c>
      <c r="L5815" s="6" t="b">
        <f t="shared" si="5561"/>
        <v>0</v>
      </c>
      <c r="M5815" s="6" t="b">
        <f t="shared" si="5558"/>
        <v>1</v>
      </c>
      <c r="N5815" s="4">
        <v>0.27002713721306</v>
      </c>
      <c r="P5815" s="4">
        <v>0.756121979721334</v>
      </c>
      <c r="T5815" s="4">
        <f t="shared" si="3"/>
        <v>1064</v>
      </c>
      <c r="U5815" s="4">
        <f t="shared" si="4"/>
        <v>480</v>
      </c>
    </row>
    <row r="5816" ht="15.75" customHeight="1">
      <c r="A5816" s="4" t="s">
        <v>1767</v>
      </c>
      <c r="B5816" s="4" t="s">
        <v>13</v>
      </c>
      <c r="C5816" s="4">
        <v>0.0211</v>
      </c>
      <c r="D5816" s="4">
        <v>0.0019</v>
      </c>
      <c r="E5816" s="4">
        <v>0.0019</v>
      </c>
      <c r="I5816" s="4">
        <v>0.2355</v>
      </c>
      <c r="J5816" s="4">
        <v>0.0071</v>
      </c>
      <c r="K5816" s="6" t="b">
        <f t="shared" ref="K5816:M5816" si="5562">FALSE()</f>
        <v>0</v>
      </c>
      <c r="L5816" s="6" t="b">
        <f t="shared" si="5562"/>
        <v>0</v>
      </c>
      <c r="M5816" s="6" t="b">
        <f t="shared" si="5562"/>
        <v>0</v>
      </c>
      <c r="N5816" s="4">
        <v>0.0208804775793552</v>
      </c>
      <c r="P5816" s="4">
        <v>0.211475746446528</v>
      </c>
      <c r="T5816" s="4">
        <f t="shared" si="3"/>
        <v>1707</v>
      </c>
      <c r="U5816" s="4">
        <f t="shared" si="4"/>
        <v>2024</v>
      </c>
    </row>
    <row r="5817" ht="15.75" customHeight="1">
      <c r="A5817" s="4" t="s">
        <v>1768</v>
      </c>
      <c r="B5817" s="4" t="s">
        <v>13</v>
      </c>
      <c r="C5817" s="4">
        <v>0.39</v>
      </c>
      <c r="D5817" s="4">
        <v>0.02</v>
      </c>
      <c r="E5817" s="4">
        <v>0.02</v>
      </c>
      <c r="I5817" s="4">
        <v>1.55</v>
      </c>
      <c r="J5817" s="4">
        <v>0.08</v>
      </c>
      <c r="K5817" s="6" t="b">
        <f t="shared" ref="K5817:L5817" si="5563">FALSE()</f>
        <v>0</v>
      </c>
      <c r="L5817" s="6" t="b">
        <f t="shared" si="5563"/>
        <v>0</v>
      </c>
      <c r="M5817" s="6" t="b">
        <f t="shared" ref="M5817:M5819" si="5565">TRUE()</f>
        <v>1</v>
      </c>
      <c r="N5817" s="4">
        <v>0.3293037471426</v>
      </c>
      <c r="P5817" s="4">
        <v>0.936093359170335</v>
      </c>
      <c r="T5817" s="4">
        <f t="shared" si="3"/>
        <v>1024</v>
      </c>
      <c r="U5817" s="4">
        <f t="shared" si="4"/>
        <v>97</v>
      </c>
    </row>
    <row r="5818" ht="15.75" customHeight="1">
      <c r="A5818" s="4" t="s">
        <v>1769</v>
      </c>
      <c r="B5818" s="4" t="s">
        <v>13</v>
      </c>
      <c r="C5818" s="4">
        <v>0.626</v>
      </c>
      <c r="D5818" s="4">
        <v>0.129</v>
      </c>
      <c r="E5818" s="4">
        <v>0.129</v>
      </c>
      <c r="I5818" s="4">
        <v>0.96</v>
      </c>
      <c r="J5818" s="4">
        <v>0.06</v>
      </c>
      <c r="K5818" s="6" t="b">
        <f t="shared" ref="K5818:L5818" si="5564">FALSE()</f>
        <v>0</v>
      </c>
      <c r="L5818" s="6" t="b">
        <f t="shared" si="5564"/>
        <v>0</v>
      </c>
      <c r="M5818" s="6" t="b">
        <f t="shared" si="5565"/>
        <v>1</v>
      </c>
      <c r="N5818" s="4">
        <v>0.486123011125619</v>
      </c>
      <c r="P5818" s="4">
        <v>0.672944473242426</v>
      </c>
      <c r="T5818" s="4">
        <f t="shared" si="3"/>
        <v>871</v>
      </c>
      <c r="U5818" s="4">
        <f t="shared" si="4"/>
        <v>720</v>
      </c>
    </row>
    <row r="5819" ht="15.75" customHeight="1">
      <c r="A5819" s="4" t="s">
        <v>1770</v>
      </c>
      <c r="B5819" s="4" t="s">
        <v>13</v>
      </c>
      <c r="C5819" s="4">
        <v>0.871</v>
      </c>
      <c r="D5819" s="4">
        <v>0.18</v>
      </c>
      <c r="E5819" s="4">
        <v>0.18</v>
      </c>
      <c r="I5819" s="4">
        <v>1.2</v>
      </c>
      <c r="J5819" s="4">
        <v>0.06</v>
      </c>
      <c r="K5819" s="6" t="b">
        <f t="shared" ref="K5819:L5819" si="5566">FALSE()</f>
        <v>0</v>
      </c>
      <c r="L5819" s="6" t="b">
        <f t="shared" si="5566"/>
        <v>0</v>
      </c>
      <c r="M5819" s="6" t="b">
        <f t="shared" si="5565"/>
        <v>1</v>
      </c>
      <c r="N5819" s="4">
        <v>0.626473047291953</v>
      </c>
      <c r="P5819" s="4">
        <v>0.78845736036427</v>
      </c>
      <c r="T5819" s="4">
        <f t="shared" si="3"/>
        <v>731</v>
      </c>
      <c r="U5819" s="4">
        <f t="shared" si="4"/>
        <v>388</v>
      </c>
    </row>
    <row r="5820" ht="15.75" customHeight="1">
      <c r="A5820" s="4" t="s">
        <v>1771</v>
      </c>
      <c r="B5820" s="4" t="s">
        <v>13</v>
      </c>
      <c r="C5820" s="4">
        <v>0.1303</v>
      </c>
      <c r="D5820" s="4">
        <v>0.0088</v>
      </c>
      <c r="E5820" s="4">
        <v>0.0088</v>
      </c>
      <c r="I5820" s="4">
        <v>0.554</v>
      </c>
      <c r="J5820" s="4">
        <v>0.034</v>
      </c>
      <c r="K5820" s="6" t="b">
        <f t="shared" ref="K5820:M5820" si="5567">FALSE()</f>
        <v>0</v>
      </c>
      <c r="L5820" s="6" t="b">
        <f t="shared" si="5567"/>
        <v>0</v>
      </c>
      <c r="M5820" s="6" t="b">
        <f t="shared" si="5567"/>
        <v>0</v>
      </c>
      <c r="N5820" s="4">
        <v>0.122483084214548</v>
      </c>
      <c r="P5820" s="4">
        <v>0.440832251945456</v>
      </c>
      <c r="T5820" s="4">
        <f t="shared" si="3"/>
        <v>1217</v>
      </c>
      <c r="U5820" s="4">
        <f t="shared" si="4"/>
        <v>971</v>
      </c>
    </row>
    <row r="5821" ht="15.75" customHeight="1">
      <c r="A5821" s="4" t="s">
        <v>1772</v>
      </c>
      <c r="B5821" s="4" t="s">
        <v>13</v>
      </c>
      <c r="C5821" s="4">
        <v>0.576</v>
      </c>
      <c r="D5821" s="4">
        <v>0.094</v>
      </c>
      <c r="E5821" s="4">
        <v>0.094</v>
      </c>
      <c r="F5821" s="4">
        <v>0.574</v>
      </c>
      <c r="G5821" s="4">
        <v>0.093</v>
      </c>
      <c r="H5821" s="4">
        <v>0.093</v>
      </c>
      <c r="I5821" s="4">
        <v>0.998</v>
      </c>
      <c r="J5821" s="4">
        <v>0.025</v>
      </c>
      <c r="K5821" s="6" t="b">
        <f t="shared" ref="K5821:L5821" si="5568">FALSE()</f>
        <v>0</v>
      </c>
      <c r="L5821" s="6" t="b">
        <f t="shared" si="5568"/>
        <v>0</v>
      </c>
      <c r="M5821" s="6" t="b">
        <f t="shared" ref="M5821:M5830" si="5570">TRUE()</f>
        <v>1</v>
      </c>
      <c r="N5821" s="4">
        <v>0.454889991435687</v>
      </c>
      <c r="O5821" s="4">
        <v>0.453620149995211</v>
      </c>
      <c r="P5821" s="4">
        <v>0.692146680226362</v>
      </c>
      <c r="Q5821" s="4">
        <v>-0.274255036385919</v>
      </c>
      <c r="R5821" s="4">
        <v>-0.288299132443598</v>
      </c>
      <c r="S5821" s="4">
        <v>0.32317114234198</v>
      </c>
      <c r="T5821" s="4">
        <f t="shared" si="3"/>
        <v>908</v>
      </c>
      <c r="U5821" s="4">
        <f t="shared" si="4"/>
        <v>680</v>
      </c>
    </row>
    <row r="5822" ht="15.75" customHeight="1">
      <c r="A5822" s="4" t="s">
        <v>1773</v>
      </c>
      <c r="B5822" s="4" t="s">
        <v>13</v>
      </c>
      <c r="C5822" s="4">
        <v>2.79</v>
      </c>
      <c r="D5822" s="4">
        <v>0.23</v>
      </c>
      <c r="E5822" s="4">
        <v>0.23</v>
      </c>
      <c r="I5822" s="4">
        <v>1.07</v>
      </c>
      <c r="J5822" s="4">
        <v>0.15</v>
      </c>
      <c r="K5822" s="6" t="b">
        <f t="shared" ref="K5822:L5822" si="5569">FALSE()</f>
        <v>0</v>
      </c>
      <c r="L5822" s="6" t="b">
        <f t="shared" si="5569"/>
        <v>0</v>
      </c>
      <c r="M5822" s="6" t="b">
        <f t="shared" si="5570"/>
        <v>1</v>
      </c>
      <c r="N5822" s="4">
        <v>1.33236601909434</v>
      </c>
      <c r="P5822" s="4">
        <v>0.727548607277278</v>
      </c>
      <c r="T5822" s="4">
        <f t="shared" si="3"/>
        <v>343</v>
      </c>
      <c r="U5822" s="4">
        <f t="shared" si="4"/>
        <v>579</v>
      </c>
    </row>
    <row r="5823" ht="15.75" customHeight="1">
      <c r="A5823" s="4" t="s">
        <v>1774</v>
      </c>
      <c r="B5823" s="4" t="s">
        <v>13</v>
      </c>
      <c r="C5823" s="4">
        <v>0.55</v>
      </c>
      <c r="D5823" s="4">
        <v>0.08</v>
      </c>
      <c r="E5823" s="4">
        <v>0.08</v>
      </c>
      <c r="I5823" s="4">
        <v>1.38</v>
      </c>
      <c r="J5823" s="4">
        <v>0.09</v>
      </c>
      <c r="K5823" s="6" t="b">
        <f t="shared" ref="K5823:L5823" si="5571">FALSE()</f>
        <v>0</v>
      </c>
      <c r="L5823" s="6" t="b">
        <f t="shared" si="5571"/>
        <v>0</v>
      </c>
      <c r="M5823" s="6" t="b">
        <f t="shared" si="5570"/>
        <v>1</v>
      </c>
      <c r="N5823" s="4">
        <v>0.438254930931155</v>
      </c>
      <c r="P5823" s="4">
        <v>0.867100487683383</v>
      </c>
      <c r="T5823" s="4">
        <f t="shared" si="3"/>
        <v>923</v>
      </c>
      <c r="U5823" s="4">
        <f t="shared" si="4"/>
        <v>196</v>
      </c>
    </row>
    <row r="5824" ht="15.75" customHeight="1">
      <c r="A5824" s="4" t="s">
        <v>1775</v>
      </c>
      <c r="B5824" s="4" t="s">
        <v>13</v>
      </c>
      <c r="C5824" s="4">
        <v>0.542</v>
      </c>
      <c r="D5824" s="4">
        <v>0.05</v>
      </c>
      <c r="E5824" s="4">
        <v>0.05</v>
      </c>
      <c r="I5824" s="4">
        <v>1.428</v>
      </c>
      <c r="J5824" s="4">
        <v>0.077</v>
      </c>
      <c r="K5824" s="6" t="b">
        <f t="shared" ref="K5824:L5824" si="5572">FALSE()</f>
        <v>0</v>
      </c>
      <c r="L5824" s="6" t="b">
        <f t="shared" si="5572"/>
        <v>0</v>
      </c>
      <c r="M5824" s="6" t="b">
        <f t="shared" si="5570"/>
        <v>1</v>
      </c>
      <c r="N5824" s="4">
        <v>0.433080275141138</v>
      </c>
      <c r="P5824" s="4">
        <v>0.887067873197252</v>
      </c>
      <c r="T5824" s="4">
        <f t="shared" si="3"/>
        <v>925</v>
      </c>
      <c r="U5824" s="4">
        <f t="shared" si="4"/>
        <v>160</v>
      </c>
    </row>
    <row r="5825" ht="15.75" customHeight="1">
      <c r="A5825" s="4" t="s">
        <v>1776</v>
      </c>
      <c r="B5825" s="4" t="s">
        <v>13</v>
      </c>
      <c r="C5825" s="4">
        <v>0.281</v>
      </c>
      <c r="D5825" s="4">
        <v>0.044</v>
      </c>
      <c r="E5825" s="4">
        <v>0.046</v>
      </c>
      <c r="I5825" s="4">
        <v>1.093</v>
      </c>
      <c r="J5825" s="4">
        <v>0.039</v>
      </c>
      <c r="K5825" s="6" t="b">
        <f t="shared" ref="K5825:L5825" si="5573">FALSE()</f>
        <v>0</v>
      </c>
      <c r="L5825" s="6" t="b">
        <f t="shared" si="5573"/>
        <v>0</v>
      </c>
      <c r="M5825" s="6" t="b">
        <f t="shared" si="5570"/>
        <v>1</v>
      </c>
      <c r="N5825" s="4">
        <v>0.247641022914597</v>
      </c>
      <c r="P5825" s="4">
        <v>0.738598443463863</v>
      </c>
      <c r="T5825" s="4">
        <f t="shared" si="3"/>
        <v>1080</v>
      </c>
      <c r="U5825" s="4">
        <f t="shared" si="4"/>
        <v>529</v>
      </c>
    </row>
    <row r="5826" ht="15.75" customHeight="1">
      <c r="A5826" s="4" t="s">
        <v>1777</v>
      </c>
      <c r="B5826" s="4" t="s">
        <v>13</v>
      </c>
      <c r="C5826" s="4">
        <v>2.49</v>
      </c>
      <c r="D5826" s="4">
        <v>0.21</v>
      </c>
      <c r="E5826" s="4">
        <v>0.21</v>
      </c>
      <c r="I5826" s="4">
        <v>1.143</v>
      </c>
      <c r="J5826" s="4">
        <v>0.058</v>
      </c>
      <c r="K5826" s="6" t="b">
        <f t="shared" ref="K5826:L5826" si="5574">FALSE()</f>
        <v>0</v>
      </c>
      <c r="L5826" s="6" t="b">
        <f t="shared" si="5574"/>
        <v>0</v>
      </c>
      <c r="M5826" s="6" t="b">
        <f t="shared" si="5570"/>
        <v>1</v>
      </c>
      <c r="N5826" s="4">
        <v>1.24990173621434</v>
      </c>
      <c r="P5826" s="4">
        <v>0.76220671649144</v>
      </c>
      <c r="T5826" s="4">
        <f t="shared" si="3"/>
        <v>373</v>
      </c>
      <c r="U5826" s="4">
        <f t="shared" si="4"/>
        <v>454</v>
      </c>
    </row>
    <row r="5827" ht="15.75" customHeight="1">
      <c r="A5827" s="4" t="s">
        <v>1778</v>
      </c>
      <c r="B5827" s="4" t="s">
        <v>13</v>
      </c>
      <c r="C5827" s="4">
        <v>5.2</v>
      </c>
      <c r="D5827" s="4">
        <v>0.2</v>
      </c>
      <c r="E5827" s="4">
        <v>0.2</v>
      </c>
      <c r="I5827" s="4">
        <v>1.0</v>
      </c>
      <c r="J5827" s="4">
        <v>0.05</v>
      </c>
      <c r="K5827" s="6" t="b">
        <f>TRUE()</f>
        <v>1</v>
      </c>
      <c r="L5827" s="6" t="b">
        <f>FALSE()</f>
        <v>0</v>
      </c>
      <c r="M5827" s="6" t="b">
        <f t="shared" si="5570"/>
        <v>1</v>
      </c>
      <c r="N5827" s="4">
        <v>1.82454929205105</v>
      </c>
      <c r="P5827" s="4">
        <v>0.693147180559945</v>
      </c>
      <c r="T5827" s="4">
        <f t="shared" si="3"/>
        <v>202</v>
      </c>
      <c r="U5827" s="4">
        <f t="shared" si="4"/>
        <v>675</v>
      </c>
    </row>
    <row r="5828" ht="15.75" customHeight="1">
      <c r="A5828" s="4" t="s">
        <v>1779</v>
      </c>
      <c r="B5828" s="4" t="s">
        <v>13</v>
      </c>
      <c r="C5828" s="4">
        <v>1.87</v>
      </c>
      <c r="D5828" s="4">
        <v>0.21</v>
      </c>
      <c r="E5828" s="4">
        <v>0.21</v>
      </c>
      <c r="I5828" s="4">
        <v>1.202</v>
      </c>
      <c r="J5828" s="4">
        <v>0.097</v>
      </c>
      <c r="K5828" s="6" t="b">
        <f t="shared" ref="K5828:L5828" si="5575">FALSE()</f>
        <v>0</v>
      </c>
      <c r="L5828" s="6" t="b">
        <f t="shared" si="5575"/>
        <v>0</v>
      </c>
      <c r="M5828" s="6" t="b">
        <f t="shared" si="5570"/>
        <v>1</v>
      </c>
      <c r="N5828" s="4">
        <v>1.05431202977153</v>
      </c>
      <c r="P5828" s="4">
        <v>0.789366038300488</v>
      </c>
      <c r="T5828" s="4">
        <f t="shared" si="3"/>
        <v>459</v>
      </c>
      <c r="U5828" s="4">
        <f t="shared" si="4"/>
        <v>379</v>
      </c>
    </row>
    <row r="5829" ht="15.75" customHeight="1">
      <c r="A5829" s="4" t="s">
        <v>1780</v>
      </c>
      <c r="B5829" s="4" t="s">
        <v>13</v>
      </c>
      <c r="C5829" s="4">
        <v>2.13</v>
      </c>
      <c r="D5829" s="4">
        <v>0.13</v>
      </c>
      <c r="E5829" s="4">
        <v>0.12</v>
      </c>
      <c r="I5829" s="4">
        <v>1.128</v>
      </c>
      <c r="J5829" s="4">
        <v>0.043</v>
      </c>
      <c r="K5829" s="6" t="b">
        <f t="shared" ref="K5829:L5829" si="5576">FALSE()</f>
        <v>0</v>
      </c>
      <c r="L5829" s="6" t="b">
        <f t="shared" si="5576"/>
        <v>0</v>
      </c>
      <c r="M5829" s="6" t="b">
        <f t="shared" si="5570"/>
        <v>1</v>
      </c>
      <c r="N5829" s="4">
        <v>1.14103300455206</v>
      </c>
      <c r="P5829" s="4">
        <v>0.755182571479398</v>
      </c>
      <c r="T5829" s="4">
        <f t="shared" si="3"/>
        <v>424</v>
      </c>
      <c r="U5829" s="4">
        <f t="shared" si="4"/>
        <v>482</v>
      </c>
    </row>
    <row r="5830" ht="15.75" customHeight="1">
      <c r="A5830" s="4" t="s">
        <v>1781</v>
      </c>
      <c r="B5830" s="4" t="s">
        <v>13</v>
      </c>
      <c r="C5830" s="4">
        <v>0.658</v>
      </c>
      <c r="D5830" s="4">
        <v>0.092</v>
      </c>
      <c r="E5830" s="4">
        <v>0.097</v>
      </c>
      <c r="I5830" s="4">
        <v>1.26</v>
      </c>
      <c r="J5830" s="4">
        <v>0.17</v>
      </c>
      <c r="K5830" s="6" t="b">
        <f t="shared" ref="K5830:L5830" si="5577">FALSE()</f>
        <v>0</v>
      </c>
      <c r="L5830" s="6" t="b">
        <f t="shared" si="5577"/>
        <v>0</v>
      </c>
      <c r="M5830" s="6" t="b">
        <f t="shared" si="5570"/>
        <v>1</v>
      </c>
      <c r="N5830" s="4">
        <v>0.505612056713103</v>
      </c>
      <c r="P5830" s="4">
        <v>0.815364813284195</v>
      </c>
      <c r="T5830" s="4">
        <f t="shared" si="3"/>
        <v>852</v>
      </c>
      <c r="U5830" s="4">
        <f t="shared" si="4"/>
        <v>307</v>
      </c>
    </row>
    <row r="5831" ht="15.75" customHeight="1">
      <c r="A5831" s="4" t="s">
        <v>1782</v>
      </c>
      <c r="B5831" s="4" t="s">
        <v>13</v>
      </c>
      <c r="C5831" s="4">
        <v>0.102</v>
      </c>
      <c r="D5831" s="4">
        <v>0.004</v>
      </c>
      <c r="E5831" s="4">
        <v>0.004</v>
      </c>
      <c r="I5831" s="4">
        <v>0.6155</v>
      </c>
      <c r="J5831" s="4">
        <v>0.03</v>
      </c>
      <c r="K5831" s="6" t="b">
        <f t="shared" ref="K5831:M5831" si="5578">FALSE()</f>
        <v>0</v>
      </c>
      <c r="L5831" s="6" t="b">
        <f t="shared" si="5578"/>
        <v>0</v>
      </c>
      <c r="M5831" s="6" t="b">
        <f t="shared" si="5578"/>
        <v>0</v>
      </c>
      <c r="N5831" s="4">
        <v>0.0971267107307227</v>
      </c>
      <c r="P5831" s="4">
        <v>0.479644506282416</v>
      </c>
      <c r="T5831" s="4">
        <f t="shared" si="3"/>
        <v>1256</v>
      </c>
      <c r="U5831" s="4">
        <f t="shared" si="4"/>
        <v>938</v>
      </c>
    </row>
    <row r="5832" ht="15.75" customHeight="1">
      <c r="A5832" s="4" t="s">
        <v>1783</v>
      </c>
      <c r="B5832" s="4" t="s">
        <v>13</v>
      </c>
      <c r="C5832" s="4">
        <v>0.37</v>
      </c>
      <c r="D5832" s="4">
        <v>0.3</v>
      </c>
      <c r="E5832" s="4">
        <v>0.3</v>
      </c>
      <c r="I5832" s="4">
        <v>1.62</v>
      </c>
      <c r="J5832" s="4">
        <v>0.06</v>
      </c>
      <c r="K5832" s="6" t="b">
        <f t="shared" ref="K5832:L5832" si="5579">FALSE()</f>
        <v>0</v>
      </c>
      <c r="L5832" s="6" t="b">
        <f t="shared" si="5579"/>
        <v>0</v>
      </c>
      <c r="M5832" s="6" t="b">
        <f t="shared" ref="M5832:M5835" si="5581">TRUE()</f>
        <v>1</v>
      </c>
      <c r="N5832" s="4">
        <v>0.314810739840034</v>
      </c>
      <c r="P5832" s="4">
        <v>0.963174317773006</v>
      </c>
      <c r="T5832" s="4">
        <f t="shared" si="3"/>
        <v>1040</v>
      </c>
      <c r="U5832" s="4">
        <f t="shared" si="4"/>
        <v>70</v>
      </c>
    </row>
    <row r="5833" ht="15.75" customHeight="1">
      <c r="A5833" s="4" t="s">
        <v>1784</v>
      </c>
      <c r="B5833" s="4" t="s">
        <v>13</v>
      </c>
      <c r="C5833" s="4">
        <v>0.42</v>
      </c>
      <c r="D5833" s="4">
        <v>0.04</v>
      </c>
      <c r="E5833" s="4">
        <v>0.04</v>
      </c>
      <c r="I5833" s="4">
        <v>1.5</v>
      </c>
      <c r="J5833" s="4">
        <v>0.3</v>
      </c>
      <c r="K5833" s="6" t="b">
        <f t="shared" ref="K5833:L5833" si="5580">FALSE()</f>
        <v>0</v>
      </c>
      <c r="L5833" s="6" t="b">
        <f t="shared" si="5580"/>
        <v>0</v>
      </c>
      <c r="M5833" s="6" t="b">
        <f t="shared" si="5581"/>
        <v>1</v>
      </c>
      <c r="N5833" s="4">
        <v>0.350656871613169</v>
      </c>
      <c r="P5833" s="4">
        <v>0.916290731874155</v>
      </c>
      <c r="T5833" s="4">
        <f t="shared" si="3"/>
        <v>1003</v>
      </c>
      <c r="U5833" s="4">
        <f t="shared" si="4"/>
        <v>120</v>
      </c>
    </row>
    <row r="5834" ht="15.75" customHeight="1">
      <c r="A5834" s="4" t="s">
        <v>1785</v>
      </c>
      <c r="B5834" s="4" t="s">
        <v>13</v>
      </c>
      <c r="C5834" s="4">
        <v>0.561</v>
      </c>
      <c r="D5834" s="4">
        <v>0.06</v>
      </c>
      <c r="E5834" s="4">
        <v>0.06</v>
      </c>
      <c r="I5834" s="4">
        <v>1.304</v>
      </c>
      <c r="J5834" s="4">
        <v>0.073</v>
      </c>
      <c r="K5834" s="6" t="b">
        <f t="shared" ref="K5834:L5834" si="5582">FALSE()</f>
        <v>0</v>
      </c>
      <c r="L5834" s="6" t="b">
        <f t="shared" si="5582"/>
        <v>0</v>
      </c>
      <c r="M5834" s="6" t="b">
        <f t="shared" si="5581"/>
        <v>1</v>
      </c>
      <c r="N5834" s="4">
        <v>0.445326641533295</v>
      </c>
      <c r="P5834" s="4">
        <v>0.834646742833645</v>
      </c>
      <c r="T5834" s="4">
        <f t="shared" si="3"/>
        <v>917</v>
      </c>
      <c r="U5834" s="4">
        <f t="shared" si="4"/>
        <v>246</v>
      </c>
    </row>
    <row r="5835" ht="15.75" customHeight="1">
      <c r="A5835" s="4" t="s">
        <v>1786</v>
      </c>
      <c r="B5835" s="4" t="s">
        <v>13</v>
      </c>
      <c r="C5835" s="4">
        <v>0.855</v>
      </c>
      <c r="D5835" s="4">
        <v>0.059</v>
      </c>
      <c r="E5835" s="4">
        <v>0.059</v>
      </c>
      <c r="I5835" s="4">
        <v>1.008</v>
      </c>
      <c r="J5835" s="4">
        <v>0.071</v>
      </c>
      <c r="K5835" s="6" t="b">
        <f t="shared" ref="K5835:L5835" si="5583">FALSE()</f>
        <v>0</v>
      </c>
      <c r="L5835" s="6" t="b">
        <f t="shared" si="5583"/>
        <v>0</v>
      </c>
      <c r="M5835" s="6" t="b">
        <f t="shared" si="5581"/>
        <v>1</v>
      </c>
      <c r="N5835" s="4">
        <v>0.617884696059398</v>
      </c>
      <c r="P5835" s="4">
        <v>0.697139201829483</v>
      </c>
      <c r="T5835" s="4">
        <f t="shared" si="3"/>
        <v>735</v>
      </c>
      <c r="U5835" s="4">
        <f t="shared" si="4"/>
        <v>658</v>
      </c>
    </row>
    <row r="5836" ht="15.75" customHeight="1">
      <c r="A5836" s="4" t="s">
        <v>6069</v>
      </c>
      <c r="B5836" s="4" t="s">
        <v>13</v>
      </c>
      <c r="I5836" s="4">
        <v>0.196</v>
      </c>
      <c r="J5836" s="4">
        <v>0.0205</v>
      </c>
      <c r="K5836" s="6" t="b">
        <f t="shared" ref="K5836:M5836" si="5584">FALSE()</f>
        <v>0</v>
      </c>
      <c r="L5836" s="6" t="b">
        <f t="shared" si="5584"/>
        <v>0</v>
      </c>
      <c r="M5836" s="6" t="b">
        <f t="shared" si="5584"/>
        <v>0</v>
      </c>
      <c r="P5836" s="4">
        <v>0.17898265552844</v>
      </c>
      <c r="T5836" s="4" t="str">
        <f t="shared" si="3"/>
        <v/>
      </c>
      <c r="U5836" s="4">
        <f t="shared" si="4"/>
        <v>2660</v>
      </c>
    </row>
    <row r="5837" ht="15.75" customHeight="1">
      <c r="A5837" s="4" t="s">
        <v>1787</v>
      </c>
      <c r="B5837" s="4" t="s">
        <v>13</v>
      </c>
      <c r="C5837" s="4">
        <v>1.6</v>
      </c>
      <c r="D5837" s="4">
        <v>0.2</v>
      </c>
      <c r="E5837" s="4">
        <v>0.2</v>
      </c>
      <c r="I5837" s="4">
        <v>1.096</v>
      </c>
      <c r="J5837" s="4">
        <v>0.085</v>
      </c>
      <c r="K5837" s="6" t="b">
        <f t="shared" ref="K5837:L5837" si="5585">FALSE()</f>
        <v>0</v>
      </c>
      <c r="L5837" s="6" t="b">
        <f t="shared" si="5585"/>
        <v>0</v>
      </c>
      <c r="M5837" s="6" t="b">
        <f t="shared" ref="M5837:M5856" si="5587">TRUE()</f>
        <v>1</v>
      </c>
      <c r="N5837" s="4">
        <v>0.955511445027436</v>
      </c>
      <c r="P5837" s="4">
        <v>0.740030766458796</v>
      </c>
      <c r="T5837" s="4">
        <f t="shared" si="3"/>
        <v>501</v>
      </c>
      <c r="U5837" s="4">
        <f t="shared" si="4"/>
        <v>524</v>
      </c>
    </row>
    <row r="5838" ht="15.75" customHeight="1">
      <c r="A5838" s="4" t="s">
        <v>1788</v>
      </c>
      <c r="B5838" s="4" t="s">
        <v>13</v>
      </c>
      <c r="C5838" s="4">
        <v>1.084</v>
      </c>
      <c r="D5838" s="4">
        <v>0.094</v>
      </c>
      <c r="E5838" s="4">
        <v>0.094</v>
      </c>
      <c r="I5838" s="4">
        <v>0.988</v>
      </c>
      <c r="J5838" s="4">
        <v>0.04</v>
      </c>
      <c r="K5838" s="6" t="b">
        <f t="shared" ref="K5838:L5838" si="5586">FALSE()</f>
        <v>0</v>
      </c>
      <c r="L5838" s="6" t="b">
        <f t="shared" si="5586"/>
        <v>0</v>
      </c>
      <c r="M5838" s="6" t="b">
        <f t="shared" si="5587"/>
        <v>1</v>
      </c>
      <c r="N5838" s="4">
        <v>0.734289123891121</v>
      </c>
      <c r="P5838" s="4">
        <v>0.687129108234382</v>
      </c>
      <c r="T5838" s="4">
        <f t="shared" si="3"/>
        <v>632</v>
      </c>
      <c r="U5838" s="4">
        <f t="shared" si="4"/>
        <v>692</v>
      </c>
    </row>
    <row r="5839" ht="15.75" customHeight="1">
      <c r="A5839" s="4" t="s">
        <v>1789</v>
      </c>
      <c r="B5839" s="4" t="s">
        <v>13</v>
      </c>
      <c r="C5839" s="4">
        <v>0.47</v>
      </c>
      <c r="D5839" s="4">
        <v>0.1</v>
      </c>
      <c r="E5839" s="4">
        <v>0.1</v>
      </c>
      <c r="I5839" s="4">
        <v>1.57</v>
      </c>
      <c r="J5839" s="4">
        <v>0.1</v>
      </c>
      <c r="K5839" s="6" t="b">
        <f t="shared" ref="K5839:L5839" si="5588">FALSE()</f>
        <v>0</v>
      </c>
      <c r="L5839" s="6" t="b">
        <f t="shared" si="5588"/>
        <v>0</v>
      </c>
      <c r="M5839" s="6" t="b">
        <f t="shared" si="5587"/>
        <v>1</v>
      </c>
      <c r="N5839" s="4">
        <v>0.385262400790645</v>
      </c>
      <c r="P5839" s="4">
        <v>0.943905898907128</v>
      </c>
      <c r="T5839" s="4">
        <f t="shared" si="3"/>
        <v>970</v>
      </c>
      <c r="U5839" s="4">
        <f t="shared" si="4"/>
        <v>89</v>
      </c>
    </row>
    <row r="5840" ht="15.75" customHeight="1">
      <c r="A5840" s="4" t="s">
        <v>1790</v>
      </c>
      <c r="B5840" s="4" t="s">
        <v>13</v>
      </c>
      <c r="C5840" s="4">
        <v>0.33</v>
      </c>
      <c r="D5840" s="4">
        <v>0.091</v>
      </c>
      <c r="E5840" s="4">
        <v>0.091</v>
      </c>
      <c r="I5840" s="4">
        <v>1.437</v>
      </c>
      <c r="J5840" s="4">
        <v>0.05</v>
      </c>
      <c r="K5840" s="6" t="b">
        <f t="shared" ref="K5840:L5840" si="5589">FALSE()</f>
        <v>0</v>
      </c>
      <c r="L5840" s="6" t="b">
        <f t="shared" si="5589"/>
        <v>0</v>
      </c>
      <c r="M5840" s="6" t="b">
        <f t="shared" si="5587"/>
        <v>1</v>
      </c>
      <c r="N5840" s="4">
        <v>0.285178942233662</v>
      </c>
      <c r="P5840" s="4">
        <v>0.890767774643069</v>
      </c>
      <c r="T5840" s="4">
        <f t="shared" si="3"/>
        <v>1056</v>
      </c>
      <c r="U5840" s="4">
        <f t="shared" si="4"/>
        <v>155</v>
      </c>
    </row>
    <row r="5841" ht="15.75" customHeight="1">
      <c r="A5841" s="4" t="s">
        <v>1791</v>
      </c>
      <c r="B5841" s="4" t="s">
        <v>13</v>
      </c>
      <c r="C5841" s="4">
        <v>0.99</v>
      </c>
      <c r="D5841" s="4">
        <v>0.13</v>
      </c>
      <c r="E5841" s="4">
        <v>0.13</v>
      </c>
      <c r="I5841" s="4">
        <v>1.208</v>
      </c>
      <c r="J5841" s="4">
        <v>0.081</v>
      </c>
      <c r="K5841" s="6" t="b">
        <f t="shared" ref="K5841:L5841" si="5590">FALSE()</f>
        <v>0</v>
      </c>
      <c r="L5841" s="6" t="b">
        <f t="shared" si="5590"/>
        <v>0</v>
      </c>
      <c r="M5841" s="6" t="b">
        <f t="shared" si="5587"/>
        <v>1</v>
      </c>
      <c r="N5841" s="4">
        <v>0.688134638736401</v>
      </c>
      <c r="P5841" s="4">
        <v>0.792087128414849</v>
      </c>
      <c r="T5841" s="4">
        <f t="shared" si="3"/>
        <v>667</v>
      </c>
      <c r="U5841" s="4">
        <f t="shared" si="4"/>
        <v>371</v>
      </c>
    </row>
    <row r="5842" ht="15.75" customHeight="1">
      <c r="A5842" s="4" t="s">
        <v>1792</v>
      </c>
      <c r="B5842" s="4" t="s">
        <v>13</v>
      </c>
      <c r="C5842" s="4">
        <v>0.855</v>
      </c>
      <c r="D5842" s="4">
        <v>0.07</v>
      </c>
      <c r="E5842" s="4">
        <v>0.07</v>
      </c>
      <c r="I5842" s="4">
        <v>1.505</v>
      </c>
      <c r="J5842" s="4">
        <v>0.045</v>
      </c>
      <c r="K5842" s="6" t="b">
        <f t="shared" ref="K5842:L5842" si="5591">FALSE()</f>
        <v>0</v>
      </c>
      <c r="L5842" s="6" t="b">
        <f t="shared" si="5591"/>
        <v>0</v>
      </c>
      <c r="M5842" s="6" t="b">
        <f t="shared" si="5587"/>
        <v>1</v>
      </c>
      <c r="N5842" s="4">
        <v>0.617884696059398</v>
      </c>
      <c r="P5842" s="4">
        <v>0.918288734536828</v>
      </c>
      <c r="T5842" s="4">
        <f t="shared" si="3"/>
        <v>736</v>
      </c>
      <c r="U5842" s="4">
        <f t="shared" si="4"/>
        <v>111</v>
      </c>
    </row>
    <row r="5843" ht="15.75" customHeight="1">
      <c r="A5843" s="4" t="s">
        <v>1793</v>
      </c>
      <c r="B5843" s="4" t="s">
        <v>13</v>
      </c>
      <c r="C5843" s="4">
        <v>0.508</v>
      </c>
      <c r="D5843" s="4">
        <v>0.038</v>
      </c>
      <c r="E5843" s="4">
        <v>0.038</v>
      </c>
      <c r="I5843" s="4">
        <v>1.58</v>
      </c>
      <c r="J5843" s="4">
        <v>0.36</v>
      </c>
      <c r="K5843" s="6" t="b">
        <f t="shared" ref="K5843:L5843" si="5592">FALSE()</f>
        <v>0</v>
      </c>
      <c r="L5843" s="6" t="b">
        <f t="shared" si="5592"/>
        <v>0</v>
      </c>
      <c r="M5843" s="6" t="b">
        <f t="shared" si="5587"/>
        <v>1</v>
      </c>
      <c r="N5843" s="4">
        <v>0.410784269585764</v>
      </c>
      <c r="P5843" s="4">
        <v>0.947789398933526</v>
      </c>
      <c r="T5843" s="4">
        <f t="shared" si="3"/>
        <v>951</v>
      </c>
      <c r="U5843" s="4">
        <f t="shared" si="4"/>
        <v>85</v>
      </c>
    </row>
    <row r="5844" ht="15.75" customHeight="1">
      <c r="A5844" s="4" t="s">
        <v>1794</v>
      </c>
      <c r="B5844" s="4" t="s">
        <v>13</v>
      </c>
      <c r="C5844" s="4">
        <v>1.41</v>
      </c>
      <c r="D5844" s="4">
        <v>0.51</v>
      </c>
      <c r="E5844" s="4">
        <v>0.43</v>
      </c>
      <c r="I5844" s="4">
        <v>1.94</v>
      </c>
      <c r="J5844" s="4">
        <v>0.058</v>
      </c>
      <c r="K5844" s="6" t="b">
        <f t="shared" ref="K5844:L5844" si="5593">FALSE()</f>
        <v>0</v>
      </c>
      <c r="L5844" s="6" t="b">
        <f t="shared" si="5593"/>
        <v>0</v>
      </c>
      <c r="M5844" s="6" t="b">
        <f t="shared" si="5587"/>
        <v>1</v>
      </c>
      <c r="N5844" s="4">
        <v>0.879626747502564</v>
      </c>
      <c r="P5844" s="4">
        <v>1.07840958135059</v>
      </c>
      <c r="T5844" s="4">
        <f t="shared" si="3"/>
        <v>535</v>
      </c>
      <c r="U5844" s="4">
        <f t="shared" si="4"/>
        <v>14</v>
      </c>
    </row>
    <row r="5845" ht="15.75" customHeight="1">
      <c r="A5845" s="4" t="s">
        <v>1795</v>
      </c>
      <c r="B5845" s="4" t="s">
        <v>13</v>
      </c>
      <c r="C5845" s="4">
        <v>0.486</v>
      </c>
      <c r="D5845" s="4">
        <v>0.032</v>
      </c>
      <c r="E5845" s="4">
        <v>0.032</v>
      </c>
      <c r="I5845" s="4">
        <v>1.991</v>
      </c>
      <c r="J5845" s="4">
        <v>0.081</v>
      </c>
      <c r="K5845" s="6" t="b">
        <f t="shared" ref="K5845:L5845" si="5594">FALSE()</f>
        <v>0</v>
      </c>
      <c r="L5845" s="6" t="b">
        <f t="shared" si="5594"/>
        <v>0</v>
      </c>
      <c r="M5845" s="6" t="b">
        <f t="shared" si="5587"/>
        <v>1</v>
      </c>
      <c r="N5845" s="4">
        <v>0.396087946295567</v>
      </c>
      <c r="P5845" s="4">
        <v>1.09560777964781</v>
      </c>
      <c r="T5845" s="4">
        <f t="shared" si="3"/>
        <v>964</v>
      </c>
      <c r="U5845" s="4">
        <f t="shared" si="4"/>
        <v>11</v>
      </c>
    </row>
    <row r="5846" ht="15.75" customHeight="1">
      <c r="A5846" s="4" t="s">
        <v>1796</v>
      </c>
      <c r="B5846" s="4" t="s">
        <v>13</v>
      </c>
      <c r="C5846" s="4">
        <v>0.8</v>
      </c>
      <c r="D5846" s="4">
        <v>0.1</v>
      </c>
      <c r="E5846" s="4">
        <v>0.1</v>
      </c>
      <c r="I5846" s="4">
        <v>1.29</v>
      </c>
      <c r="J5846" s="4">
        <v>0.07</v>
      </c>
      <c r="K5846" s="6" t="b">
        <f t="shared" ref="K5846:L5846" si="5595">FALSE()</f>
        <v>0</v>
      </c>
      <c r="L5846" s="6" t="b">
        <f t="shared" si="5595"/>
        <v>0</v>
      </c>
      <c r="M5846" s="6" t="b">
        <f t="shared" si="5587"/>
        <v>1</v>
      </c>
      <c r="N5846" s="4">
        <v>0.587786664902119</v>
      </c>
      <c r="P5846" s="4">
        <v>0.828551817566148</v>
      </c>
      <c r="T5846" s="4">
        <f t="shared" si="3"/>
        <v>772</v>
      </c>
      <c r="U5846" s="4">
        <f t="shared" si="4"/>
        <v>269</v>
      </c>
    </row>
    <row r="5847" ht="15.75" customHeight="1">
      <c r="A5847" s="4" t="s">
        <v>1797</v>
      </c>
      <c r="B5847" s="4" t="s">
        <v>13</v>
      </c>
      <c r="C5847" s="4">
        <v>0.299</v>
      </c>
      <c r="D5847" s="4">
        <v>0.034</v>
      </c>
      <c r="E5847" s="4">
        <v>0.034</v>
      </c>
      <c r="I5847" s="4">
        <v>1.184</v>
      </c>
      <c r="J5847" s="4">
        <v>0.059</v>
      </c>
      <c r="K5847" s="6" t="b">
        <f t="shared" ref="K5847:L5847" si="5596">FALSE()</f>
        <v>0</v>
      </c>
      <c r="L5847" s="6" t="b">
        <f t="shared" si="5596"/>
        <v>0</v>
      </c>
      <c r="M5847" s="6" t="b">
        <f t="shared" si="5587"/>
        <v>1</v>
      </c>
      <c r="N5847" s="4">
        <v>0.261594737688463</v>
      </c>
      <c r="P5847" s="4">
        <v>0.781158057882659</v>
      </c>
      <c r="T5847" s="4">
        <f t="shared" si="3"/>
        <v>1073</v>
      </c>
      <c r="U5847" s="4">
        <f t="shared" si="4"/>
        <v>407</v>
      </c>
    </row>
    <row r="5848" ht="15.75" customHeight="1">
      <c r="A5848" s="4" t="s">
        <v>1798</v>
      </c>
      <c r="B5848" s="4" t="s">
        <v>13</v>
      </c>
      <c r="C5848" s="4">
        <v>0.148</v>
      </c>
      <c r="D5848" s="4">
        <v>0.011</v>
      </c>
      <c r="E5848" s="4">
        <v>0.011</v>
      </c>
      <c r="I5848" s="4">
        <v>0.85</v>
      </c>
      <c r="J5848" s="4">
        <v>0.03</v>
      </c>
      <c r="K5848" s="6" t="b">
        <f t="shared" ref="K5848:L5848" si="5597">FALSE()</f>
        <v>0</v>
      </c>
      <c r="L5848" s="6" t="b">
        <f t="shared" si="5597"/>
        <v>0</v>
      </c>
      <c r="M5848" s="6" t="b">
        <f t="shared" si="5587"/>
        <v>1</v>
      </c>
      <c r="N5848" s="4">
        <v>0.138021297897375</v>
      </c>
      <c r="P5848" s="4">
        <v>0.615185639090234</v>
      </c>
      <c r="T5848" s="4">
        <f t="shared" si="3"/>
        <v>1200</v>
      </c>
      <c r="U5848" s="4">
        <f t="shared" si="4"/>
        <v>805</v>
      </c>
    </row>
    <row r="5849" ht="15.75" customHeight="1">
      <c r="A5849" s="4" t="s">
        <v>1799</v>
      </c>
      <c r="B5849" s="4" t="s">
        <v>13</v>
      </c>
      <c r="C5849" s="4">
        <v>0.502</v>
      </c>
      <c r="D5849" s="4">
        <v>0.047</v>
      </c>
      <c r="E5849" s="4">
        <v>0.047</v>
      </c>
      <c r="I5849" s="4">
        <v>1.47</v>
      </c>
      <c r="J5849" s="4">
        <v>0.33</v>
      </c>
      <c r="K5849" s="6" t="b">
        <f t="shared" ref="K5849:L5849" si="5598">FALSE()</f>
        <v>0</v>
      </c>
      <c r="L5849" s="6" t="b">
        <f t="shared" si="5598"/>
        <v>0</v>
      </c>
      <c r="M5849" s="6" t="b">
        <f t="shared" si="5587"/>
        <v>1</v>
      </c>
      <c r="N5849" s="4">
        <v>0.406797553341943</v>
      </c>
      <c r="P5849" s="4">
        <v>0.904218150639886</v>
      </c>
      <c r="T5849" s="4">
        <f t="shared" si="3"/>
        <v>954</v>
      </c>
      <c r="U5849" s="4">
        <f t="shared" si="4"/>
        <v>132</v>
      </c>
    </row>
    <row r="5850" ht="15.75" customHeight="1">
      <c r="A5850" s="4" t="s">
        <v>1801</v>
      </c>
      <c r="B5850" s="4" t="s">
        <v>13</v>
      </c>
      <c r="C5850" s="4">
        <v>0.57</v>
      </c>
      <c r="D5850" s="4">
        <v>0.1</v>
      </c>
      <c r="E5850" s="4">
        <v>0.1</v>
      </c>
      <c r="I5850" s="4">
        <v>1.33</v>
      </c>
      <c r="J5850" s="4">
        <v>0.09</v>
      </c>
      <c r="K5850" s="6" t="b">
        <f t="shared" ref="K5850:L5850" si="5599">FALSE()</f>
        <v>0</v>
      </c>
      <c r="L5850" s="6" t="b">
        <f t="shared" si="5599"/>
        <v>0</v>
      </c>
      <c r="M5850" s="6" t="b">
        <f t="shared" si="5587"/>
        <v>1</v>
      </c>
      <c r="N5850" s="4">
        <v>0.451075619360217</v>
      </c>
      <c r="P5850" s="4">
        <v>0.845868267577609</v>
      </c>
      <c r="T5850" s="4">
        <f t="shared" si="3"/>
        <v>915</v>
      </c>
      <c r="U5850" s="4">
        <f t="shared" si="4"/>
        <v>227</v>
      </c>
    </row>
    <row r="5851" ht="15.75" customHeight="1">
      <c r="A5851" s="4" t="s">
        <v>1802</v>
      </c>
      <c r="B5851" s="4" t="s">
        <v>13</v>
      </c>
      <c r="C5851" s="4">
        <v>0.98</v>
      </c>
      <c r="D5851" s="4">
        <v>0.06</v>
      </c>
      <c r="E5851" s="4">
        <v>0.06</v>
      </c>
      <c r="I5851" s="4">
        <v>1.25</v>
      </c>
      <c r="J5851" s="4">
        <v>0.08</v>
      </c>
      <c r="K5851" s="6" t="b">
        <f t="shared" ref="K5851:L5851" si="5600">FALSE()</f>
        <v>0</v>
      </c>
      <c r="L5851" s="6" t="b">
        <f t="shared" si="5600"/>
        <v>0</v>
      </c>
      <c r="M5851" s="6" t="b">
        <f t="shared" si="5587"/>
        <v>1</v>
      </c>
      <c r="N5851" s="4">
        <v>0.683096844706444</v>
      </c>
      <c r="P5851" s="4">
        <v>0.810930216216329</v>
      </c>
      <c r="T5851" s="4">
        <f t="shared" si="3"/>
        <v>671</v>
      </c>
      <c r="U5851" s="4">
        <f t="shared" si="4"/>
        <v>318</v>
      </c>
    </row>
    <row r="5852" ht="15.75" customHeight="1">
      <c r="A5852" s="4" t="s">
        <v>1803</v>
      </c>
      <c r="B5852" s="4" t="s">
        <v>13</v>
      </c>
      <c r="C5852" s="4">
        <v>4.22</v>
      </c>
      <c r="D5852" s="4">
        <v>0.18</v>
      </c>
      <c r="E5852" s="4">
        <v>0.18</v>
      </c>
      <c r="I5852" s="4">
        <v>1.11</v>
      </c>
      <c r="J5852" s="4">
        <v>0.03</v>
      </c>
      <c r="K5852" s="6" t="b">
        <f>TRUE()</f>
        <v>1</v>
      </c>
      <c r="L5852" s="6" t="b">
        <f>FALSE()</f>
        <v>0</v>
      </c>
      <c r="M5852" s="6" t="b">
        <f t="shared" si="5587"/>
        <v>1</v>
      </c>
      <c r="N5852" s="4">
        <v>1.65249740189455</v>
      </c>
      <c r="P5852" s="4">
        <v>0.746687947487975</v>
      </c>
      <c r="T5852" s="4">
        <f t="shared" si="3"/>
        <v>245</v>
      </c>
      <c r="U5852" s="4">
        <f t="shared" si="4"/>
        <v>505</v>
      </c>
    </row>
    <row r="5853" ht="15.75" customHeight="1">
      <c r="A5853" s="4" t="s">
        <v>1804</v>
      </c>
      <c r="B5853" s="4" t="s">
        <v>13</v>
      </c>
      <c r="C5853" s="4">
        <v>0.8</v>
      </c>
      <c r="D5853" s="4">
        <v>0.08</v>
      </c>
      <c r="E5853" s="4">
        <v>0.08</v>
      </c>
      <c r="I5853" s="4">
        <v>1.766</v>
      </c>
      <c r="J5853" s="4">
        <v>0.04</v>
      </c>
      <c r="K5853" s="6" t="b">
        <f t="shared" ref="K5853:L5853" si="5601">FALSE()</f>
        <v>0</v>
      </c>
      <c r="L5853" s="6" t="b">
        <f t="shared" si="5601"/>
        <v>0</v>
      </c>
      <c r="M5853" s="6" t="b">
        <f t="shared" si="5587"/>
        <v>1</v>
      </c>
      <c r="N5853" s="4">
        <v>0.587786664902119</v>
      </c>
      <c r="P5853" s="4">
        <v>1.01740223324257</v>
      </c>
      <c r="T5853" s="4">
        <f t="shared" si="3"/>
        <v>773</v>
      </c>
      <c r="U5853" s="4">
        <f t="shared" si="4"/>
        <v>35</v>
      </c>
    </row>
    <row r="5854" ht="15.75" customHeight="1">
      <c r="A5854" s="4" t="s">
        <v>1805</v>
      </c>
      <c r="B5854" s="4" t="s">
        <v>13</v>
      </c>
      <c r="C5854" s="4">
        <v>1.443</v>
      </c>
      <c r="D5854" s="4">
        <v>0.298</v>
      </c>
      <c r="E5854" s="4">
        <v>0.296</v>
      </c>
      <c r="I5854" s="4">
        <v>1.322</v>
      </c>
      <c r="J5854" s="4">
        <v>0.051</v>
      </c>
      <c r="K5854" s="6" t="b">
        <f t="shared" ref="K5854:L5854" si="5602">FALSE()</f>
        <v>0</v>
      </c>
      <c r="L5854" s="6" t="b">
        <f t="shared" si="5602"/>
        <v>0</v>
      </c>
      <c r="M5854" s="6" t="b">
        <f t="shared" si="5587"/>
        <v>1</v>
      </c>
      <c r="N5854" s="4">
        <v>0.893226792275603</v>
      </c>
      <c r="P5854" s="4">
        <v>0.8424288832757</v>
      </c>
      <c r="T5854" s="4">
        <f t="shared" si="3"/>
        <v>529</v>
      </c>
      <c r="U5854" s="4">
        <f t="shared" si="4"/>
        <v>232</v>
      </c>
    </row>
    <row r="5855" ht="15.75" customHeight="1">
      <c r="A5855" s="4" t="s">
        <v>1806</v>
      </c>
      <c r="B5855" s="4" t="s">
        <v>13</v>
      </c>
      <c r="C5855" s="4">
        <v>1.99</v>
      </c>
      <c r="D5855" s="4">
        <v>0.14</v>
      </c>
      <c r="E5855" s="4">
        <v>0.16</v>
      </c>
      <c r="I5855" s="4">
        <v>1.619</v>
      </c>
      <c r="J5855" s="4">
        <v>0.021</v>
      </c>
      <c r="K5855" s="6" t="b">
        <f t="shared" ref="K5855:L5855" si="5603">FALSE()</f>
        <v>0</v>
      </c>
      <c r="L5855" s="6" t="b">
        <f t="shared" si="5603"/>
        <v>0</v>
      </c>
      <c r="M5855" s="6" t="b">
        <f t="shared" si="5587"/>
        <v>1</v>
      </c>
      <c r="N5855" s="4">
        <v>1.0952733874026</v>
      </c>
      <c r="P5855" s="4">
        <v>0.962792565525575</v>
      </c>
      <c r="T5855" s="4">
        <f t="shared" si="3"/>
        <v>443</v>
      </c>
      <c r="U5855" s="4">
        <f t="shared" si="4"/>
        <v>71</v>
      </c>
    </row>
    <row r="5856" ht="15.75" customHeight="1">
      <c r="A5856" s="4" t="s">
        <v>1807</v>
      </c>
      <c r="B5856" s="4" t="s">
        <v>13</v>
      </c>
      <c r="C5856" s="4">
        <v>10.4296</v>
      </c>
      <c r="I5856" s="4">
        <v>1.165</v>
      </c>
      <c r="J5856" s="4">
        <v>0.077</v>
      </c>
      <c r="K5856" s="6" t="b">
        <f>TRUE()</f>
        <v>1</v>
      </c>
      <c r="L5856" s="6" t="b">
        <f>FALSE()</f>
        <v>0</v>
      </c>
      <c r="M5856" s="6" t="b">
        <f t="shared" si="5587"/>
        <v>1</v>
      </c>
      <c r="N5856" s="4">
        <v>2.43620648156881</v>
      </c>
      <c r="P5856" s="4">
        <v>0.772420361454453</v>
      </c>
      <c r="T5856" s="4">
        <f t="shared" si="3"/>
        <v>44</v>
      </c>
      <c r="U5856" s="4">
        <f t="shared" si="4"/>
        <v>436</v>
      </c>
    </row>
    <row r="5857" ht="15.75" customHeight="1">
      <c r="A5857" s="4" t="s">
        <v>6070</v>
      </c>
      <c r="B5857" s="4" t="s">
        <v>13</v>
      </c>
      <c r="C5857" s="4">
        <v>0.1737</v>
      </c>
      <c r="D5857" s="4">
        <v>0.0387</v>
      </c>
      <c r="E5857" s="4">
        <v>0.0387</v>
      </c>
      <c r="K5857" s="6" t="b">
        <f t="shared" ref="K5857:M5857" si="5604">FALSE()</f>
        <v>0</v>
      </c>
      <c r="L5857" s="6" t="b">
        <f t="shared" si="5604"/>
        <v>0</v>
      </c>
      <c r="M5857" s="6" t="b">
        <f t="shared" si="5604"/>
        <v>0</v>
      </c>
      <c r="N5857" s="4">
        <v>0.160161152123941</v>
      </c>
      <c r="T5857" s="4">
        <f t="shared" si="3"/>
        <v>1181</v>
      </c>
      <c r="U5857" s="4" t="str">
        <f t="shared" si="4"/>
        <v/>
      </c>
    </row>
    <row r="5858" ht="15.75" customHeight="1">
      <c r="A5858" s="4" t="s">
        <v>1808</v>
      </c>
      <c r="B5858" s="4" t="s">
        <v>13</v>
      </c>
      <c r="C5858" s="4">
        <v>1.0</v>
      </c>
      <c r="D5858" s="4">
        <v>0.1</v>
      </c>
      <c r="E5858" s="4">
        <v>0.1</v>
      </c>
      <c r="I5858" s="4">
        <v>1.15</v>
      </c>
      <c r="J5858" s="4">
        <v>0.09</v>
      </c>
      <c r="K5858" s="6" t="b">
        <f t="shared" ref="K5858:L5858" si="5605">FALSE()</f>
        <v>0</v>
      </c>
      <c r="L5858" s="6" t="b">
        <f t="shared" si="5605"/>
        <v>0</v>
      </c>
      <c r="M5858" s="6" t="b">
        <f t="shared" ref="M5858:M5886" si="5607">TRUE()</f>
        <v>1</v>
      </c>
      <c r="N5858" s="4">
        <v>0.693147180559945</v>
      </c>
      <c r="P5858" s="4">
        <v>0.765467842139571</v>
      </c>
      <c r="T5858" s="4">
        <f t="shared" si="3"/>
        <v>664</v>
      </c>
      <c r="U5858" s="4">
        <f t="shared" si="4"/>
        <v>449</v>
      </c>
    </row>
    <row r="5859" ht="15.75" customHeight="1">
      <c r="A5859" s="4" t="s">
        <v>1809</v>
      </c>
      <c r="B5859" s="4" t="s">
        <v>13</v>
      </c>
      <c r="C5859" s="4">
        <v>2.3</v>
      </c>
      <c r="I5859" s="4">
        <v>1.23</v>
      </c>
      <c r="J5859" s="4">
        <v>0.08</v>
      </c>
      <c r="K5859" s="6" t="b">
        <f t="shared" ref="K5859:L5859" si="5606">FALSE()</f>
        <v>0</v>
      </c>
      <c r="L5859" s="6" t="b">
        <f t="shared" si="5606"/>
        <v>0</v>
      </c>
      <c r="M5859" s="6" t="b">
        <f t="shared" si="5607"/>
        <v>1</v>
      </c>
      <c r="N5859" s="4">
        <v>1.19392246847244</v>
      </c>
      <c r="P5859" s="4">
        <v>0.802001585472027</v>
      </c>
      <c r="T5859" s="4">
        <f t="shared" si="3"/>
        <v>403</v>
      </c>
      <c r="U5859" s="4">
        <f t="shared" si="4"/>
        <v>342</v>
      </c>
    </row>
    <row r="5860" ht="15.75" customHeight="1">
      <c r="A5860" s="4" t="s">
        <v>1810</v>
      </c>
      <c r="B5860" s="4" t="s">
        <v>13</v>
      </c>
      <c r="C5860" s="4">
        <v>0.139</v>
      </c>
      <c r="D5860" s="4">
        <v>0.03</v>
      </c>
      <c r="E5860" s="4">
        <v>0.03</v>
      </c>
      <c r="I5860" s="4">
        <v>1.464</v>
      </c>
      <c r="J5860" s="4">
        <v>0.059</v>
      </c>
      <c r="K5860" s="6" t="b">
        <f t="shared" ref="K5860:L5860" si="5608">FALSE()</f>
        <v>0</v>
      </c>
      <c r="L5860" s="6" t="b">
        <f t="shared" si="5608"/>
        <v>0</v>
      </c>
      <c r="M5860" s="6" t="b">
        <f t="shared" si="5607"/>
        <v>1</v>
      </c>
      <c r="N5860" s="4">
        <v>0.130150684465045</v>
      </c>
      <c r="P5860" s="4">
        <v>0.901786045671273</v>
      </c>
      <c r="T5860" s="4">
        <f t="shared" si="3"/>
        <v>1206</v>
      </c>
      <c r="U5860" s="4">
        <f t="shared" si="4"/>
        <v>136</v>
      </c>
    </row>
    <row r="5861" ht="15.75" customHeight="1">
      <c r="A5861" s="4" t="s">
        <v>1811</v>
      </c>
      <c r="B5861" s="4" t="s">
        <v>13</v>
      </c>
      <c r="C5861" s="4">
        <v>1.174</v>
      </c>
      <c r="D5861" s="4">
        <v>0.265</v>
      </c>
      <c r="E5861" s="4">
        <v>0.265</v>
      </c>
      <c r="I5861" s="4">
        <v>1.381</v>
      </c>
      <c r="J5861" s="4">
        <v>0.088</v>
      </c>
      <c r="K5861" s="6" t="b">
        <f t="shared" ref="K5861:L5861" si="5609">FALSE()</f>
        <v>0</v>
      </c>
      <c r="L5861" s="6" t="b">
        <f t="shared" si="5609"/>
        <v>0</v>
      </c>
      <c r="M5861" s="6" t="b">
        <f t="shared" si="5607"/>
        <v>1</v>
      </c>
      <c r="N5861" s="4">
        <v>0.776568788699018</v>
      </c>
      <c r="P5861" s="4">
        <v>0.867520567504726</v>
      </c>
      <c r="T5861" s="4">
        <f t="shared" si="3"/>
        <v>601</v>
      </c>
      <c r="U5861" s="4">
        <f t="shared" si="4"/>
        <v>193</v>
      </c>
    </row>
    <row r="5862" ht="15.75" customHeight="1">
      <c r="A5862" s="4" t="s">
        <v>1812</v>
      </c>
      <c r="B5862" s="4" t="s">
        <v>13</v>
      </c>
      <c r="C5862" s="4">
        <v>0.104</v>
      </c>
      <c r="D5862" s="4">
        <v>0.031</v>
      </c>
      <c r="E5862" s="4">
        <v>0.03</v>
      </c>
      <c r="I5862" s="4">
        <v>0.92</v>
      </c>
      <c r="J5862" s="4">
        <v>0.05</v>
      </c>
      <c r="K5862" s="6" t="b">
        <f t="shared" ref="K5862:L5862" si="5610">FALSE()</f>
        <v>0</v>
      </c>
      <c r="L5862" s="6" t="b">
        <f t="shared" si="5610"/>
        <v>0</v>
      </c>
      <c r="M5862" s="6" t="b">
        <f t="shared" si="5607"/>
        <v>1</v>
      </c>
      <c r="N5862" s="4">
        <v>0.0989399478549035</v>
      </c>
      <c r="P5862" s="4">
        <v>0.65232518603969</v>
      </c>
      <c r="T5862" s="4">
        <f t="shared" si="3"/>
        <v>1254</v>
      </c>
      <c r="U5862" s="4">
        <f t="shared" si="4"/>
        <v>751</v>
      </c>
    </row>
    <row r="5863" ht="15.75" customHeight="1">
      <c r="A5863" s="4" t="s">
        <v>1813</v>
      </c>
      <c r="B5863" s="4" t="s">
        <v>13</v>
      </c>
      <c r="C5863" s="4">
        <v>1.269</v>
      </c>
      <c r="D5863" s="4">
        <v>0.254</v>
      </c>
      <c r="E5863" s="4">
        <v>0.254</v>
      </c>
      <c r="I5863" s="4">
        <v>1.289</v>
      </c>
      <c r="J5863" s="4">
        <v>0.049</v>
      </c>
      <c r="K5863" s="6" t="b">
        <f t="shared" ref="K5863:L5863" si="5611">FALSE()</f>
        <v>0</v>
      </c>
      <c r="L5863" s="6" t="b">
        <f t="shared" si="5611"/>
        <v>0</v>
      </c>
      <c r="M5863" s="6" t="b">
        <f t="shared" si="5607"/>
        <v>1</v>
      </c>
      <c r="N5863" s="4">
        <v>0.819339205797705</v>
      </c>
      <c r="P5863" s="4">
        <v>0.82811504097043</v>
      </c>
      <c r="T5863" s="4">
        <f t="shared" si="3"/>
        <v>570</v>
      </c>
      <c r="U5863" s="4">
        <f t="shared" si="4"/>
        <v>271</v>
      </c>
    </row>
    <row r="5864" ht="15.75" customHeight="1">
      <c r="A5864" s="4" t="s">
        <v>1815</v>
      </c>
      <c r="B5864" s="4" t="s">
        <v>13</v>
      </c>
      <c r="C5864" s="4">
        <v>1.139</v>
      </c>
      <c r="D5864" s="4">
        <v>0.03</v>
      </c>
      <c r="E5864" s="4">
        <v>0.03</v>
      </c>
      <c r="I5864" s="4">
        <v>1.41</v>
      </c>
      <c r="J5864" s="4">
        <v>0.017</v>
      </c>
      <c r="K5864" s="6" t="b">
        <f t="shared" ref="K5864:L5864" si="5612">FALSE()</f>
        <v>0</v>
      </c>
      <c r="L5864" s="6" t="b">
        <f t="shared" si="5612"/>
        <v>0</v>
      </c>
      <c r="M5864" s="6" t="b">
        <f t="shared" si="5607"/>
        <v>1</v>
      </c>
      <c r="N5864" s="4">
        <v>0.760338430100269</v>
      </c>
      <c r="P5864" s="4">
        <v>0.879626747502564</v>
      </c>
      <c r="T5864" s="4">
        <f t="shared" si="3"/>
        <v>612</v>
      </c>
      <c r="U5864" s="4">
        <f t="shared" si="4"/>
        <v>173</v>
      </c>
    </row>
    <row r="5865" ht="15.75" customHeight="1">
      <c r="A5865" s="4" t="s">
        <v>1816</v>
      </c>
      <c r="B5865" s="4" t="s">
        <v>13</v>
      </c>
      <c r="C5865" s="4">
        <v>0.947</v>
      </c>
      <c r="D5865" s="4">
        <v>0.028</v>
      </c>
      <c r="E5865" s="4">
        <v>0.028</v>
      </c>
      <c r="I5865" s="4">
        <v>1.514</v>
      </c>
      <c r="J5865" s="4">
        <v>0.0473</v>
      </c>
      <c r="K5865" s="6" t="b">
        <f t="shared" ref="K5865:L5865" si="5613">FALSE()</f>
        <v>0</v>
      </c>
      <c r="L5865" s="6" t="b">
        <f t="shared" si="5613"/>
        <v>0</v>
      </c>
      <c r="M5865" s="6" t="b">
        <f t="shared" si="5607"/>
        <v>1</v>
      </c>
      <c r="N5865" s="4">
        <v>0.666289726390063</v>
      </c>
      <c r="P5865" s="4">
        <v>0.921875110168056</v>
      </c>
      <c r="T5865" s="4">
        <f t="shared" si="3"/>
        <v>689</v>
      </c>
      <c r="U5865" s="4">
        <f t="shared" si="4"/>
        <v>106</v>
      </c>
    </row>
    <row r="5866" ht="15.75" customHeight="1">
      <c r="A5866" s="4" t="s">
        <v>1817</v>
      </c>
      <c r="B5866" s="4" t="s">
        <v>13</v>
      </c>
      <c r="C5866" s="4">
        <v>0.313</v>
      </c>
      <c r="D5866" s="4">
        <v>0.018</v>
      </c>
      <c r="E5866" s="4">
        <v>0.018</v>
      </c>
      <c r="I5866" s="4">
        <v>1.459</v>
      </c>
      <c r="J5866" s="4">
        <v>0.057</v>
      </c>
      <c r="K5866" s="6" t="b">
        <f t="shared" ref="K5866:L5866" si="5614">FALSE()</f>
        <v>0</v>
      </c>
      <c r="L5866" s="6" t="b">
        <f t="shared" si="5614"/>
        <v>0</v>
      </c>
      <c r="M5866" s="6" t="b">
        <f t="shared" si="5607"/>
        <v>1</v>
      </c>
      <c r="N5866" s="4">
        <v>0.272314595320659</v>
      </c>
      <c r="P5866" s="4">
        <v>0.899754763234056</v>
      </c>
      <c r="T5866" s="4">
        <f t="shared" si="3"/>
        <v>1061</v>
      </c>
      <c r="U5866" s="4">
        <f t="shared" si="4"/>
        <v>140</v>
      </c>
    </row>
    <row r="5867" ht="15.75" customHeight="1">
      <c r="A5867" s="4" t="s">
        <v>1818</v>
      </c>
      <c r="B5867" s="4" t="s">
        <v>13</v>
      </c>
      <c r="C5867" s="4">
        <v>0.3</v>
      </c>
      <c r="D5867" s="4">
        <v>0.01</v>
      </c>
      <c r="E5867" s="4">
        <v>0.01</v>
      </c>
      <c r="I5867" s="4">
        <v>1.21</v>
      </c>
      <c r="J5867" s="4">
        <v>0.032</v>
      </c>
      <c r="K5867" s="6" t="b">
        <f t="shared" ref="K5867:L5867" si="5615">FALSE()</f>
        <v>0</v>
      </c>
      <c r="L5867" s="6" t="b">
        <f t="shared" si="5615"/>
        <v>0</v>
      </c>
      <c r="M5867" s="6" t="b">
        <f t="shared" si="5607"/>
        <v>1</v>
      </c>
      <c r="N5867" s="4">
        <v>0.262364264467491</v>
      </c>
      <c r="P5867" s="4">
        <v>0.792992515529661</v>
      </c>
      <c r="T5867" s="4">
        <f t="shared" si="3"/>
        <v>1071</v>
      </c>
      <c r="U5867" s="4">
        <f t="shared" si="4"/>
        <v>368</v>
      </c>
    </row>
    <row r="5868" ht="15.75" customHeight="1">
      <c r="A5868" s="4" t="s">
        <v>1819</v>
      </c>
      <c r="B5868" s="4" t="s">
        <v>13</v>
      </c>
      <c r="C5868" s="4">
        <v>0.617</v>
      </c>
      <c r="D5868" s="4">
        <v>0.0172</v>
      </c>
      <c r="E5868" s="4">
        <v>0.0032</v>
      </c>
      <c r="F5868" s="4">
        <v>0.617</v>
      </c>
      <c r="G5868" s="4">
        <v>0.017</v>
      </c>
      <c r="H5868" s="4">
        <v>0.0028</v>
      </c>
      <c r="I5868" s="4">
        <v>1.199</v>
      </c>
      <c r="J5868" s="4">
        <v>0.027</v>
      </c>
      <c r="K5868" s="6" t="b">
        <f t="shared" ref="K5868:L5868" si="5616">FALSE()</f>
        <v>0</v>
      </c>
      <c r="L5868" s="6" t="b">
        <f t="shared" si="5616"/>
        <v>0</v>
      </c>
      <c r="M5868" s="6" t="b">
        <f t="shared" si="5607"/>
        <v>1</v>
      </c>
      <c r="N5868" s="4">
        <v>0.48057258059497</v>
      </c>
      <c r="O5868" s="4">
        <v>0.48057258059497</v>
      </c>
      <c r="P5868" s="4">
        <v>0.788002711572624</v>
      </c>
      <c r="Q5868" s="4">
        <v>-0.249072089476334</v>
      </c>
      <c r="R5868" s="4">
        <v>-0.261018338775751</v>
      </c>
      <c r="S5868" s="4">
        <v>0.699245937534117</v>
      </c>
      <c r="T5868" s="4">
        <f t="shared" si="3"/>
        <v>878</v>
      </c>
      <c r="U5868" s="4">
        <f t="shared" si="4"/>
        <v>390</v>
      </c>
    </row>
    <row r="5869" ht="15.75" customHeight="1">
      <c r="A5869" s="4" t="s">
        <v>1820</v>
      </c>
      <c r="B5869" s="4" t="s">
        <v>13</v>
      </c>
      <c r="C5869" s="4">
        <v>0.884</v>
      </c>
      <c r="D5869" s="4">
        <v>0.099</v>
      </c>
      <c r="E5869" s="4">
        <v>0.088</v>
      </c>
      <c r="I5869" s="4">
        <v>0.962</v>
      </c>
      <c r="J5869" s="4">
        <v>0.056</v>
      </c>
      <c r="K5869" s="6" t="b">
        <f t="shared" ref="K5869:L5869" si="5617">FALSE()</f>
        <v>0</v>
      </c>
      <c r="L5869" s="6" t="b">
        <f t="shared" si="5617"/>
        <v>0</v>
      </c>
      <c r="M5869" s="6" t="b">
        <f t="shared" si="5607"/>
        <v>1</v>
      </c>
      <c r="N5869" s="4">
        <v>0.633397176154171</v>
      </c>
      <c r="P5869" s="4">
        <v>0.673964361143171</v>
      </c>
      <c r="T5869" s="4">
        <f t="shared" si="3"/>
        <v>722</v>
      </c>
      <c r="U5869" s="4">
        <f t="shared" si="4"/>
        <v>707</v>
      </c>
    </row>
    <row r="5870" ht="15.75" customHeight="1">
      <c r="A5870" s="4" t="s">
        <v>1821</v>
      </c>
      <c r="B5870" s="4" t="s">
        <v>13</v>
      </c>
      <c r="C5870" s="4">
        <v>1.071</v>
      </c>
      <c r="D5870" s="4">
        <v>0.038</v>
      </c>
      <c r="E5870" s="4">
        <v>0.036</v>
      </c>
      <c r="I5870" s="4">
        <v>1.3</v>
      </c>
      <c r="J5870" s="4">
        <v>0.038</v>
      </c>
      <c r="K5870" s="6" t="b">
        <f t="shared" ref="K5870:L5870" si="5618">FALSE()</f>
        <v>0</v>
      </c>
      <c r="L5870" s="6" t="b">
        <f t="shared" si="5618"/>
        <v>0</v>
      </c>
      <c r="M5870" s="6" t="b">
        <f t="shared" si="5607"/>
        <v>1</v>
      </c>
      <c r="N5870" s="4">
        <v>0.728031582413447</v>
      </c>
      <c r="P5870" s="4">
        <v>0.832909122935104</v>
      </c>
      <c r="T5870" s="4">
        <f t="shared" si="3"/>
        <v>638</v>
      </c>
      <c r="U5870" s="4">
        <f t="shared" si="4"/>
        <v>260</v>
      </c>
    </row>
    <row r="5871" ht="15.75" customHeight="1">
      <c r="A5871" s="4" t="s">
        <v>1822</v>
      </c>
      <c r="B5871" s="4" t="s">
        <v>13</v>
      </c>
      <c r="C5871" s="4">
        <v>0.58</v>
      </c>
      <c r="D5871" s="4">
        <v>0.04</v>
      </c>
      <c r="E5871" s="4">
        <v>0.04</v>
      </c>
      <c r="I5871" s="4">
        <v>1.26</v>
      </c>
      <c r="J5871" s="4">
        <v>0.06</v>
      </c>
      <c r="K5871" s="6" t="b">
        <f t="shared" ref="K5871:L5871" si="5619">FALSE()</f>
        <v>0</v>
      </c>
      <c r="L5871" s="6" t="b">
        <f t="shared" si="5619"/>
        <v>0</v>
      </c>
      <c r="M5871" s="6" t="b">
        <f t="shared" si="5607"/>
        <v>1</v>
      </c>
      <c r="N5871" s="4">
        <v>0.457424847038875</v>
      </c>
      <c r="P5871" s="4">
        <v>0.815364813284195</v>
      </c>
      <c r="T5871" s="4">
        <f t="shared" si="3"/>
        <v>902</v>
      </c>
      <c r="U5871" s="4">
        <f t="shared" si="4"/>
        <v>308</v>
      </c>
    </row>
    <row r="5872" ht="15.75" customHeight="1">
      <c r="A5872" s="4" t="s">
        <v>1823</v>
      </c>
      <c r="B5872" s="4" t="s">
        <v>13</v>
      </c>
      <c r="C5872" s="4">
        <v>1.028</v>
      </c>
      <c r="D5872" s="4">
        <v>0.021</v>
      </c>
      <c r="E5872" s="4">
        <v>0.021</v>
      </c>
      <c r="I5872" s="4">
        <v>1.281</v>
      </c>
      <c r="J5872" s="4">
        <v>0.075</v>
      </c>
      <c r="K5872" s="6" t="b">
        <f t="shared" ref="K5872:L5872" si="5620">FALSE()</f>
        <v>0</v>
      </c>
      <c r="L5872" s="6" t="b">
        <f t="shared" si="5620"/>
        <v>0</v>
      </c>
      <c r="M5872" s="6" t="b">
        <f t="shared" si="5607"/>
        <v>1</v>
      </c>
      <c r="N5872" s="4">
        <v>0.707050085728937</v>
      </c>
      <c r="P5872" s="4">
        <v>0.824613943302251</v>
      </c>
      <c r="T5872" s="4">
        <f t="shared" si="3"/>
        <v>653</v>
      </c>
      <c r="U5872" s="4">
        <f t="shared" si="4"/>
        <v>283</v>
      </c>
    </row>
    <row r="5873" ht="15.75" customHeight="1">
      <c r="A5873" s="4" t="s">
        <v>1824</v>
      </c>
      <c r="B5873" s="4" t="s">
        <v>13</v>
      </c>
      <c r="C5873" s="4">
        <v>0.907</v>
      </c>
      <c r="D5873" s="4">
        <v>0.043</v>
      </c>
      <c r="E5873" s="4">
        <v>0.043</v>
      </c>
      <c r="I5873" s="4">
        <v>1.213</v>
      </c>
      <c r="J5873" s="4">
        <v>0.042</v>
      </c>
      <c r="K5873" s="6" t="b">
        <f t="shared" ref="K5873:L5873" si="5621">FALSE()</f>
        <v>0</v>
      </c>
      <c r="L5873" s="6" t="b">
        <f t="shared" si="5621"/>
        <v>0</v>
      </c>
      <c r="M5873" s="6" t="b">
        <f t="shared" si="5607"/>
        <v>1</v>
      </c>
      <c r="N5873" s="4">
        <v>0.645531326618282</v>
      </c>
      <c r="P5873" s="4">
        <v>0.794349061068913</v>
      </c>
      <c r="T5873" s="4">
        <f t="shared" si="3"/>
        <v>712</v>
      </c>
      <c r="U5873" s="4">
        <f t="shared" si="4"/>
        <v>360</v>
      </c>
    </row>
    <row r="5874" ht="15.75" customHeight="1">
      <c r="A5874" s="4" t="s">
        <v>1825</v>
      </c>
      <c r="B5874" s="4" t="s">
        <v>13</v>
      </c>
      <c r="C5874" s="4">
        <v>0.243</v>
      </c>
      <c r="D5874" s="4">
        <v>0.02</v>
      </c>
      <c r="E5874" s="4">
        <v>0.02</v>
      </c>
      <c r="I5874" s="4">
        <v>0.775</v>
      </c>
      <c r="J5874" s="4">
        <v>0.031</v>
      </c>
      <c r="K5874" s="6" t="b">
        <f t="shared" ref="K5874:L5874" si="5622">FALSE()</f>
        <v>0</v>
      </c>
      <c r="L5874" s="6" t="b">
        <f t="shared" si="5622"/>
        <v>0</v>
      </c>
      <c r="M5874" s="6" t="b">
        <f t="shared" si="5607"/>
        <v>1</v>
      </c>
      <c r="N5874" s="4">
        <v>0.217527812528574</v>
      </c>
      <c r="P5874" s="4">
        <v>0.573800422927379</v>
      </c>
      <c r="T5874" s="4">
        <f t="shared" si="3"/>
        <v>1118</v>
      </c>
      <c r="U5874" s="4">
        <f t="shared" si="4"/>
        <v>855</v>
      </c>
    </row>
    <row r="5875" ht="15.75" customHeight="1">
      <c r="A5875" s="4" t="s">
        <v>1826</v>
      </c>
      <c r="B5875" s="4" t="s">
        <v>13</v>
      </c>
      <c r="C5875" s="4">
        <v>0.847</v>
      </c>
      <c r="D5875" s="4">
        <v>0.045</v>
      </c>
      <c r="E5875" s="4">
        <v>0.045</v>
      </c>
      <c r="I5875" s="4">
        <v>1.079</v>
      </c>
      <c r="J5875" s="4">
        <v>0.033</v>
      </c>
      <c r="K5875" s="6" t="b">
        <f t="shared" ref="K5875:L5875" si="5623">FALSE()</f>
        <v>0</v>
      </c>
      <c r="L5875" s="6" t="b">
        <f t="shared" si="5623"/>
        <v>0</v>
      </c>
      <c r="M5875" s="6" t="b">
        <f t="shared" si="5607"/>
        <v>1</v>
      </c>
      <c r="N5875" s="4">
        <v>0.613562701217103</v>
      </c>
      <c r="P5875" s="4">
        <v>0.731887008875876</v>
      </c>
      <c r="T5875" s="4">
        <f t="shared" si="3"/>
        <v>742</v>
      </c>
      <c r="U5875" s="4">
        <f t="shared" si="4"/>
        <v>559</v>
      </c>
    </row>
    <row r="5876" ht="15.75" customHeight="1">
      <c r="A5876" s="4" t="s">
        <v>1827</v>
      </c>
      <c r="B5876" s="4" t="s">
        <v>13</v>
      </c>
      <c r="C5876" s="4">
        <v>0.478</v>
      </c>
      <c r="D5876" s="4">
        <v>0.03</v>
      </c>
      <c r="E5876" s="4">
        <v>0.03</v>
      </c>
      <c r="I5876" s="4">
        <v>1.537</v>
      </c>
      <c r="J5876" s="4">
        <v>0.06</v>
      </c>
      <c r="K5876" s="6" t="b">
        <f t="shared" ref="K5876:L5876" si="5624">FALSE()</f>
        <v>0</v>
      </c>
      <c r="L5876" s="6" t="b">
        <f t="shared" si="5624"/>
        <v>0</v>
      </c>
      <c r="M5876" s="6" t="b">
        <f t="shared" si="5607"/>
        <v>1</v>
      </c>
      <c r="N5876" s="4">
        <v>0.39068982252601</v>
      </c>
      <c r="P5876" s="4">
        <v>0.930982280617145</v>
      </c>
      <c r="T5876" s="4">
        <f t="shared" si="3"/>
        <v>966</v>
      </c>
      <c r="U5876" s="4">
        <f t="shared" si="4"/>
        <v>98</v>
      </c>
    </row>
    <row r="5877" ht="15.75" customHeight="1">
      <c r="A5877" s="4" t="s">
        <v>1828</v>
      </c>
      <c r="B5877" s="4" t="s">
        <v>13</v>
      </c>
      <c r="C5877" s="4">
        <v>3.6</v>
      </c>
      <c r="D5877" s="4">
        <v>0.07</v>
      </c>
      <c r="E5877" s="4">
        <v>0.07</v>
      </c>
      <c r="I5877" s="4">
        <v>1.18</v>
      </c>
      <c r="J5877" s="4">
        <v>0.07</v>
      </c>
      <c r="K5877" s="6" t="b">
        <f t="shared" ref="K5877:L5877" si="5625">FALSE()</f>
        <v>0</v>
      </c>
      <c r="L5877" s="6" t="b">
        <f t="shared" si="5625"/>
        <v>0</v>
      </c>
      <c r="M5877" s="6" t="b">
        <f t="shared" si="5607"/>
        <v>1</v>
      </c>
      <c r="N5877" s="4">
        <v>1.52605630349505</v>
      </c>
      <c r="P5877" s="4">
        <v>0.779324876800998</v>
      </c>
      <c r="T5877" s="4">
        <f t="shared" si="3"/>
        <v>286</v>
      </c>
      <c r="U5877" s="4">
        <f t="shared" si="4"/>
        <v>415</v>
      </c>
    </row>
    <row r="5878" ht="15.75" customHeight="1">
      <c r="A5878" s="4" t="s">
        <v>1829</v>
      </c>
      <c r="B5878" s="4" t="s">
        <v>13</v>
      </c>
      <c r="C5878" s="4">
        <v>2.8</v>
      </c>
      <c r="D5878" s="4">
        <v>0.53</v>
      </c>
      <c r="E5878" s="4">
        <v>0.53</v>
      </c>
      <c r="I5878" s="4">
        <v>1.603</v>
      </c>
      <c r="J5878" s="4">
        <v>0.014</v>
      </c>
      <c r="K5878" s="6" t="b">
        <f t="shared" ref="K5878:L5878" si="5626">FALSE()</f>
        <v>0</v>
      </c>
      <c r="L5878" s="6" t="b">
        <f t="shared" si="5626"/>
        <v>0</v>
      </c>
      <c r="M5878" s="6" t="b">
        <f t="shared" si="5607"/>
        <v>1</v>
      </c>
      <c r="N5878" s="4">
        <v>1.33500106673234</v>
      </c>
      <c r="P5878" s="4">
        <v>0.956664626012428</v>
      </c>
      <c r="T5878" s="4">
        <f t="shared" si="3"/>
        <v>341</v>
      </c>
      <c r="U5878" s="4">
        <f t="shared" si="4"/>
        <v>79</v>
      </c>
    </row>
    <row r="5879" ht="15.75" customHeight="1">
      <c r="A5879" s="4" t="s">
        <v>1830</v>
      </c>
      <c r="B5879" s="4" t="s">
        <v>13</v>
      </c>
      <c r="C5879" s="4">
        <v>0.58</v>
      </c>
      <c r="D5879" s="4">
        <v>0.9</v>
      </c>
      <c r="E5879" s="4">
        <v>0.9</v>
      </c>
      <c r="I5879" s="4">
        <v>1.26</v>
      </c>
      <c r="J5879" s="4">
        <v>0.09</v>
      </c>
      <c r="K5879" s="6" t="b">
        <f t="shared" ref="K5879:L5879" si="5627">FALSE()</f>
        <v>0</v>
      </c>
      <c r="L5879" s="6" t="b">
        <f t="shared" si="5627"/>
        <v>0</v>
      </c>
      <c r="M5879" s="6" t="b">
        <f t="shared" si="5607"/>
        <v>1</v>
      </c>
      <c r="N5879" s="4">
        <v>0.457424847038875</v>
      </c>
      <c r="P5879" s="4">
        <v>0.815364813284195</v>
      </c>
      <c r="T5879" s="4">
        <f t="shared" si="3"/>
        <v>903</v>
      </c>
      <c r="U5879" s="4">
        <f t="shared" si="4"/>
        <v>309</v>
      </c>
    </row>
    <row r="5880" ht="15.75" customHeight="1">
      <c r="A5880" s="4" t="s">
        <v>1831</v>
      </c>
      <c r="B5880" s="4" t="s">
        <v>13</v>
      </c>
      <c r="C5880" s="4">
        <v>0.72</v>
      </c>
      <c r="D5880" s="4">
        <v>0.06</v>
      </c>
      <c r="E5880" s="4">
        <v>0.06</v>
      </c>
      <c r="I5880" s="4">
        <v>1.32</v>
      </c>
      <c r="J5880" s="4">
        <v>0.03</v>
      </c>
      <c r="K5880" s="6" t="b">
        <f t="shared" ref="K5880:L5880" si="5628">FALSE()</f>
        <v>0</v>
      </c>
      <c r="L5880" s="6" t="b">
        <f t="shared" si="5628"/>
        <v>0</v>
      </c>
      <c r="M5880" s="6" t="b">
        <f t="shared" si="5607"/>
        <v>1</v>
      </c>
      <c r="N5880" s="4">
        <v>0.542324290825362</v>
      </c>
      <c r="P5880" s="4">
        <v>0.841567185678219</v>
      </c>
      <c r="T5880" s="4">
        <f t="shared" si="3"/>
        <v>811</v>
      </c>
      <c r="U5880" s="4">
        <f t="shared" si="4"/>
        <v>235</v>
      </c>
    </row>
    <row r="5881" ht="15.75" customHeight="1">
      <c r="A5881" s="4" t="s">
        <v>1832</v>
      </c>
      <c r="B5881" s="4" t="s">
        <v>13</v>
      </c>
      <c r="C5881" s="4">
        <v>2.279</v>
      </c>
      <c r="D5881" s="4">
        <v>0.068</v>
      </c>
      <c r="E5881" s="4">
        <v>0.068</v>
      </c>
      <c r="I5881" s="4">
        <v>1.269</v>
      </c>
      <c r="J5881" s="4">
        <v>0.03</v>
      </c>
      <c r="K5881" s="6" t="b">
        <f t="shared" ref="K5881:L5881" si="5629">FALSE()</f>
        <v>0</v>
      </c>
      <c r="L5881" s="6" t="b">
        <f t="shared" si="5629"/>
        <v>0</v>
      </c>
      <c r="M5881" s="6" t="b">
        <f t="shared" si="5607"/>
        <v>1</v>
      </c>
      <c r="N5881" s="4">
        <v>1.18753849786251</v>
      </c>
      <c r="P5881" s="4">
        <v>0.819339205797705</v>
      </c>
      <c r="T5881" s="4">
        <f t="shared" si="3"/>
        <v>405</v>
      </c>
      <c r="U5881" s="4">
        <f t="shared" si="4"/>
        <v>301</v>
      </c>
    </row>
    <row r="5882" ht="15.75" customHeight="1">
      <c r="A5882" s="4" t="s">
        <v>1833</v>
      </c>
      <c r="B5882" s="4" t="s">
        <v>13</v>
      </c>
      <c r="C5882" s="4">
        <v>1.8</v>
      </c>
      <c r="D5882" s="4">
        <v>0.17</v>
      </c>
      <c r="E5882" s="4">
        <v>0.17</v>
      </c>
      <c r="I5882" s="4">
        <v>1.16</v>
      </c>
      <c r="J5882" s="4">
        <v>0.06</v>
      </c>
      <c r="K5882" s="6" t="b">
        <f t="shared" ref="K5882:L5882" si="5630">FALSE()</f>
        <v>0</v>
      </c>
      <c r="L5882" s="6" t="b">
        <f t="shared" si="5630"/>
        <v>0</v>
      </c>
      <c r="M5882" s="6" t="b">
        <f t="shared" si="5607"/>
        <v>1</v>
      </c>
      <c r="N5882" s="4">
        <v>1.02961941718116</v>
      </c>
      <c r="P5882" s="4">
        <v>0.770108221696074</v>
      </c>
      <c r="T5882" s="4">
        <f t="shared" si="3"/>
        <v>471</v>
      </c>
      <c r="U5882" s="4">
        <f t="shared" si="4"/>
        <v>442</v>
      </c>
    </row>
    <row r="5883" ht="15.75" customHeight="1">
      <c r="A5883" s="4" t="s">
        <v>1834</v>
      </c>
      <c r="B5883" s="4" t="s">
        <v>13</v>
      </c>
      <c r="C5883" s="4">
        <v>2.712</v>
      </c>
      <c r="D5883" s="4">
        <v>0.065</v>
      </c>
      <c r="E5883" s="4">
        <v>0.065</v>
      </c>
      <c r="I5883" s="4">
        <v>1.079</v>
      </c>
      <c r="J5883" s="4">
        <v>0.044</v>
      </c>
      <c r="K5883" s="6" t="b">
        <f t="shared" ref="K5883:L5883" si="5631">FALSE()</f>
        <v>0</v>
      </c>
      <c r="L5883" s="6" t="b">
        <f t="shared" si="5631"/>
        <v>0</v>
      </c>
      <c r="M5883" s="6" t="b">
        <f t="shared" si="5607"/>
        <v>1</v>
      </c>
      <c r="N5883" s="4">
        <v>1.31157081492395</v>
      </c>
      <c r="P5883" s="4">
        <v>0.731887008875876</v>
      </c>
      <c r="T5883" s="4">
        <f t="shared" si="3"/>
        <v>352</v>
      </c>
      <c r="U5883" s="4">
        <f t="shared" si="4"/>
        <v>560</v>
      </c>
    </row>
    <row r="5884" ht="15.75" customHeight="1">
      <c r="A5884" s="4" t="s">
        <v>1835</v>
      </c>
      <c r="B5884" s="4" t="s">
        <v>13</v>
      </c>
      <c r="C5884" s="4">
        <v>0.28</v>
      </c>
      <c r="D5884" s="4">
        <v>0.03</v>
      </c>
      <c r="E5884" s="4">
        <v>0.03</v>
      </c>
      <c r="I5884" s="4">
        <v>1.27</v>
      </c>
      <c r="J5884" s="4">
        <v>0.04</v>
      </c>
      <c r="K5884" s="6" t="b">
        <f t="shared" ref="K5884:L5884" si="5632">FALSE()</f>
        <v>0</v>
      </c>
      <c r="L5884" s="6" t="b">
        <f t="shared" si="5632"/>
        <v>0</v>
      </c>
      <c r="M5884" s="6" t="b">
        <f t="shared" si="5607"/>
        <v>1</v>
      </c>
      <c r="N5884" s="4">
        <v>0.246860077931526</v>
      </c>
      <c r="P5884" s="4">
        <v>0.819779831493311</v>
      </c>
      <c r="T5884" s="4">
        <f t="shared" si="3"/>
        <v>1085</v>
      </c>
      <c r="U5884" s="4">
        <f t="shared" si="4"/>
        <v>295</v>
      </c>
    </row>
    <row r="5885" ht="15.75" customHeight="1">
      <c r="A5885" s="4" t="s">
        <v>1836</v>
      </c>
      <c r="B5885" s="4" t="s">
        <v>13</v>
      </c>
      <c r="C5885" s="4">
        <v>1.81</v>
      </c>
      <c r="D5885" s="4">
        <v>0.063</v>
      </c>
      <c r="E5885" s="4">
        <v>0.063</v>
      </c>
      <c r="I5885" s="4">
        <v>1.392</v>
      </c>
      <c r="J5885" s="4">
        <v>0.019</v>
      </c>
      <c r="K5885" s="6" t="b">
        <f t="shared" ref="K5885:L5885" si="5633">FALSE()</f>
        <v>0</v>
      </c>
      <c r="L5885" s="6" t="b">
        <f t="shared" si="5633"/>
        <v>0</v>
      </c>
      <c r="M5885" s="6" t="b">
        <f t="shared" si="5607"/>
        <v>1</v>
      </c>
      <c r="N5885" s="4">
        <v>1.03318448334565</v>
      </c>
      <c r="P5885" s="4">
        <v>0.872129836088385</v>
      </c>
      <c r="T5885" s="4">
        <f t="shared" si="3"/>
        <v>468</v>
      </c>
      <c r="U5885" s="4">
        <f t="shared" si="4"/>
        <v>184</v>
      </c>
    </row>
    <row r="5886" ht="15.75" customHeight="1">
      <c r="A5886" s="4" t="s">
        <v>1837</v>
      </c>
      <c r="B5886" s="4" t="s">
        <v>13</v>
      </c>
      <c r="C5886" s="4">
        <v>0.94</v>
      </c>
      <c r="D5886" s="4">
        <v>0.05</v>
      </c>
      <c r="E5886" s="4">
        <v>0.05</v>
      </c>
      <c r="F5886" s="4">
        <v>0.94</v>
      </c>
      <c r="G5886" s="4">
        <v>0.05</v>
      </c>
      <c r="H5886" s="4">
        <v>0.05</v>
      </c>
      <c r="I5886" s="4">
        <v>1.18</v>
      </c>
      <c r="J5886" s="4">
        <v>0.03</v>
      </c>
      <c r="K5886" s="6" t="b">
        <f t="shared" ref="K5886:L5886" si="5634">FALSE()</f>
        <v>0</v>
      </c>
      <c r="L5886" s="6" t="b">
        <f t="shared" si="5634"/>
        <v>0</v>
      </c>
      <c r="M5886" s="6" t="b">
        <f t="shared" si="5607"/>
        <v>1</v>
      </c>
      <c r="N5886" s="4">
        <v>0.662687973075237</v>
      </c>
      <c r="O5886" s="4">
        <v>0.662687973075237</v>
      </c>
      <c r="P5886" s="4">
        <v>0.779324876800998</v>
      </c>
      <c r="Q5886" s="4">
        <v>-0.0506796052861856</v>
      </c>
      <c r="R5886" s="4">
        <v>-0.0560951677358797</v>
      </c>
      <c r="S5886" s="4">
        <v>0.663696578784612</v>
      </c>
      <c r="T5886" s="4">
        <f t="shared" si="3"/>
        <v>693</v>
      </c>
      <c r="U5886" s="4">
        <f t="shared" si="4"/>
        <v>416</v>
      </c>
    </row>
    <row r="5887" ht="15.75" customHeight="1">
      <c r="A5887" s="4" t="s">
        <v>6071</v>
      </c>
      <c r="B5887" s="4" t="s">
        <v>13</v>
      </c>
      <c r="D5887" s="4">
        <v>0.2</v>
      </c>
      <c r="E5887" s="4">
        <v>0.2</v>
      </c>
      <c r="F5887" s="4">
        <v>3.18</v>
      </c>
      <c r="G5887" s="4">
        <v>0.2</v>
      </c>
      <c r="H5887" s="4">
        <v>0.2</v>
      </c>
      <c r="K5887" s="6" t="b">
        <f t="shared" ref="K5887:M5887" si="5635">FALSE()</f>
        <v>0</v>
      </c>
      <c r="L5887" s="6" t="b">
        <f t="shared" si="5635"/>
        <v>0</v>
      </c>
      <c r="M5887" s="6" t="b">
        <f t="shared" si="5635"/>
        <v>0</v>
      </c>
      <c r="O5887" s="4">
        <v>1.43031124653667</v>
      </c>
      <c r="T5887" s="4" t="str">
        <f t="shared" si="3"/>
        <v/>
      </c>
      <c r="U5887" s="4" t="str">
        <f t="shared" si="4"/>
        <v/>
      </c>
    </row>
    <row r="5888" ht="15.75" customHeight="1">
      <c r="A5888" s="4" t="s">
        <v>1838</v>
      </c>
      <c r="B5888" s="4" t="s">
        <v>13</v>
      </c>
      <c r="C5888" s="4">
        <v>0.5</v>
      </c>
      <c r="D5888" s="4">
        <v>0.035</v>
      </c>
      <c r="E5888" s="4">
        <v>0.035</v>
      </c>
      <c r="I5888" s="4">
        <v>1.08</v>
      </c>
      <c r="J5888" s="4">
        <v>0.057</v>
      </c>
      <c r="K5888" s="6" t="b">
        <f t="shared" ref="K5888:L5888" si="5636">FALSE()</f>
        <v>0</v>
      </c>
      <c r="L5888" s="6" t="b">
        <f t="shared" si="5636"/>
        <v>0</v>
      </c>
      <c r="M5888" s="6" t="b">
        <f t="shared" ref="M5888:M5893" si="5638">TRUE()</f>
        <v>1</v>
      </c>
      <c r="N5888" s="4">
        <v>0.405465108108164</v>
      </c>
      <c r="P5888" s="4">
        <v>0.732367893713227</v>
      </c>
      <c r="T5888" s="4">
        <f t="shared" si="3"/>
        <v>960</v>
      </c>
      <c r="U5888" s="4">
        <f t="shared" si="4"/>
        <v>557</v>
      </c>
    </row>
    <row r="5889" ht="15.75" customHeight="1">
      <c r="A5889" s="4" t="s">
        <v>1839</v>
      </c>
      <c r="B5889" s="4" t="s">
        <v>13</v>
      </c>
      <c r="C5889" s="4">
        <v>2.052</v>
      </c>
      <c r="D5889" s="4">
        <v>0.053</v>
      </c>
      <c r="E5889" s="4">
        <v>0.053</v>
      </c>
      <c r="F5889" s="4">
        <v>2.034</v>
      </c>
      <c r="G5889" s="4">
        <v>0.052</v>
      </c>
      <c r="H5889" s="4">
        <v>0.052</v>
      </c>
      <c r="I5889" s="4">
        <v>1.036</v>
      </c>
      <c r="J5889" s="4">
        <v>0.019</v>
      </c>
      <c r="K5889" s="6" t="b">
        <f t="shared" ref="K5889:L5889" si="5637">FALSE()</f>
        <v>0</v>
      </c>
      <c r="L5889" s="6" t="b">
        <f t="shared" si="5637"/>
        <v>0</v>
      </c>
      <c r="M5889" s="6" t="b">
        <f t="shared" si="5638"/>
        <v>1</v>
      </c>
      <c r="N5889" s="4">
        <v>1.11579711342221</v>
      </c>
      <c r="O5889" s="4">
        <v>1.10988188092634</v>
      </c>
      <c r="P5889" s="4">
        <v>0.710987098688276</v>
      </c>
      <c r="Q5889" s="4">
        <v>0.632331052359155</v>
      </c>
      <c r="R5889" s="4">
        <v>0.637978978139103</v>
      </c>
      <c r="S5889" s="4">
        <v>0.394269859840991</v>
      </c>
      <c r="T5889" s="4">
        <f t="shared" si="3"/>
        <v>433</v>
      </c>
      <c r="U5889" s="4">
        <f t="shared" si="4"/>
        <v>621</v>
      </c>
    </row>
    <row r="5890" ht="15.75" customHeight="1">
      <c r="A5890" s="4" t="s">
        <v>1840</v>
      </c>
      <c r="B5890" s="4" t="s">
        <v>13</v>
      </c>
      <c r="C5890" s="4">
        <v>0.889</v>
      </c>
      <c r="D5890" s="4">
        <v>0.062</v>
      </c>
      <c r="E5890" s="4">
        <v>0.062</v>
      </c>
      <c r="I5890" s="4">
        <v>1.14</v>
      </c>
      <c r="J5890" s="4">
        <v>0.11</v>
      </c>
      <c r="K5890" s="6" t="b">
        <f t="shared" ref="K5890:L5890" si="5639">FALSE()</f>
        <v>0</v>
      </c>
      <c r="L5890" s="6" t="b">
        <f t="shared" si="5639"/>
        <v>0</v>
      </c>
      <c r="M5890" s="6" t="b">
        <f t="shared" si="5638"/>
        <v>1</v>
      </c>
      <c r="N5890" s="4">
        <v>0.636047588519373</v>
      </c>
      <c r="P5890" s="4">
        <v>0.76080582903376</v>
      </c>
      <c r="T5890" s="4">
        <f t="shared" si="3"/>
        <v>721</v>
      </c>
      <c r="U5890" s="4">
        <f t="shared" si="4"/>
        <v>461</v>
      </c>
    </row>
    <row r="5891" ht="15.75" customHeight="1">
      <c r="A5891" s="4" t="s">
        <v>1841</v>
      </c>
      <c r="B5891" s="4" t="s">
        <v>13</v>
      </c>
      <c r="C5891" s="4">
        <v>1.007</v>
      </c>
      <c r="D5891" s="4">
        <v>0.053</v>
      </c>
      <c r="E5891" s="4">
        <v>0.053</v>
      </c>
      <c r="I5891" s="4">
        <v>1.16</v>
      </c>
      <c r="J5891" s="4">
        <v>0.14</v>
      </c>
      <c r="K5891" s="6" t="b">
        <f t="shared" ref="K5891:L5891" si="5640">FALSE()</f>
        <v>0</v>
      </c>
      <c r="L5891" s="6" t="b">
        <f t="shared" si="5640"/>
        <v>0</v>
      </c>
      <c r="M5891" s="6" t="b">
        <f t="shared" si="5638"/>
        <v>1</v>
      </c>
      <c r="N5891" s="4">
        <v>0.696641069814201</v>
      </c>
      <c r="P5891" s="4">
        <v>0.770108221696074</v>
      </c>
      <c r="T5891" s="4">
        <f t="shared" si="3"/>
        <v>658</v>
      </c>
      <c r="U5891" s="4">
        <f t="shared" si="4"/>
        <v>443</v>
      </c>
    </row>
    <row r="5892" ht="15.75" customHeight="1">
      <c r="A5892" s="4" t="s">
        <v>1842</v>
      </c>
      <c r="B5892" s="4" t="s">
        <v>13</v>
      </c>
      <c r="C5892" s="4">
        <v>2.101</v>
      </c>
      <c r="D5892" s="4">
        <v>0.073</v>
      </c>
      <c r="E5892" s="4">
        <v>0.073</v>
      </c>
      <c r="I5892" s="4">
        <v>1.31</v>
      </c>
      <c r="J5892" s="4">
        <v>0.051</v>
      </c>
      <c r="K5892" s="6" t="b">
        <f t="shared" ref="K5892:L5892" si="5641">FALSE()</f>
        <v>0</v>
      </c>
      <c r="L5892" s="6" t="b">
        <f t="shared" si="5641"/>
        <v>0</v>
      </c>
      <c r="M5892" s="6" t="b">
        <f t="shared" si="5638"/>
        <v>1</v>
      </c>
      <c r="N5892" s="4">
        <v>1.13172464011831</v>
      </c>
      <c r="P5892" s="4">
        <v>0.837247524533702</v>
      </c>
      <c r="T5892" s="4">
        <f t="shared" si="3"/>
        <v>427</v>
      </c>
      <c r="U5892" s="4">
        <f t="shared" si="4"/>
        <v>242</v>
      </c>
    </row>
    <row r="5893" ht="15.75" customHeight="1">
      <c r="A5893" s="4" t="s">
        <v>1843</v>
      </c>
      <c r="B5893" s="4" t="s">
        <v>13</v>
      </c>
      <c r="C5893" s="4">
        <v>1.14243</v>
      </c>
      <c r="D5893" s="4">
        <v>0.02297</v>
      </c>
      <c r="E5893" s="4">
        <v>0.02297</v>
      </c>
      <c r="I5893" s="4">
        <v>1.127</v>
      </c>
      <c r="J5893" s="4">
        <v>0.013</v>
      </c>
      <c r="K5893" s="6" t="b">
        <f t="shared" ref="K5893:L5893" si="5642">FALSE()</f>
        <v>0</v>
      </c>
      <c r="L5893" s="6" t="b">
        <f t="shared" si="5642"/>
        <v>0</v>
      </c>
      <c r="M5893" s="6" t="b">
        <f t="shared" si="5638"/>
        <v>1</v>
      </c>
      <c r="N5893" s="4">
        <v>0.761940698844034</v>
      </c>
      <c r="P5893" s="4">
        <v>0.7547125362181</v>
      </c>
      <c r="T5893" s="4">
        <f t="shared" si="3"/>
        <v>611</v>
      </c>
      <c r="U5893" s="4">
        <f t="shared" si="4"/>
        <v>483</v>
      </c>
    </row>
    <row r="5894" ht="15.75" customHeight="1">
      <c r="A5894" s="4" t="s">
        <v>6072</v>
      </c>
      <c r="B5894" s="4" t="s">
        <v>13</v>
      </c>
      <c r="C5894" s="4">
        <v>1.31</v>
      </c>
      <c r="D5894" s="4">
        <v>0.05</v>
      </c>
      <c r="E5894" s="4">
        <v>0.72</v>
      </c>
      <c r="F5894" s="4">
        <v>1.31</v>
      </c>
      <c r="G5894" s="4">
        <v>0.05</v>
      </c>
      <c r="H5894" s="4">
        <v>0.05</v>
      </c>
      <c r="K5894" s="6" t="b">
        <f t="shared" ref="K5894:M5894" si="5643">FALSE()</f>
        <v>0</v>
      </c>
      <c r="L5894" s="6" t="b">
        <f t="shared" si="5643"/>
        <v>0</v>
      </c>
      <c r="M5894" s="6" t="b">
        <f t="shared" si="5643"/>
        <v>0</v>
      </c>
      <c r="N5894" s="4">
        <v>0.837247524533702</v>
      </c>
      <c r="O5894" s="4">
        <v>0.837247524533702</v>
      </c>
      <c r="T5894" s="4">
        <f t="shared" si="3"/>
        <v>557</v>
      </c>
      <c r="U5894" s="4" t="str">
        <f t="shared" si="4"/>
        <v/>
      </c>
    </row>
    <row r="5895" ht="15.75" customHeight="1">
      <c r="A5895" s="4" t="s">
        <v>1844</v>
      </c>
      <c r="B5895" s="4" t="s">
        <v>13</v>
      </c>
      <c r="C5895" s="4">
        <v>0.04122</v>
      </c>
      <c r="D5895" s="4">
        <v>0.00472</v>
      </c>
      <c r="E5895" s="4">
        <v>0.00472</v>
      </c>
      <c r="I5895" s="4">
        <v>0.319</v>
      </c>
      <c r="J5895" s="4">
        <v>0.004</v>
      </c>
      <c r="K5895" s="6" t="b">
        <f t="shared" ref="K5895:M5895" si="5644">FALSE()</f>
        <v>0</v>
      </c>
      <c r="L5895" s="6" t="b">
        <f t="shared" si="5644"/>
        <v>0</v>
      </c>
      <c r="M5895" s="6" t="b">
        <f t="shared" si="5644"/>
        <v>0</v>
      </c>
      <c r="N5895" s="4">
        <v>0.0403931025592456</v>
      </c>
      <c r="P5895" s="4">
        <v>0.276873873735178</v>
      </c>
      <c r="T5895" s="4">
        <f t="shared" si="3"/>
        <v>1449</v>
      </c>
      <c r="U5895" s="4">
        <f t="shared" si="4"/>
        <v>1306</v>
      </c>
    </row>
    <row r="5896" ht="15.75" customHeight="1">
      <c r="A5896" s="4" t="s">
        <v>1846</v>
      </c>
      <c r="B5896" s="4" t="s">
        <v>13</v>
      </c>
      <c r="C5896" s="4">
        <v>0.02149</v>
      </c>
      <c r="D5896" s="4">
        <v>0.00208</v>
      </c>
      <c r="E5896" s="4">
        <v>0.00208</v>
      </c>
      <c r="I5896" s="4">
        <v>0.161</v>
      </c>
      <c r="J5896" s="4">
        <v>0.002</v>
      </c>
      <c r="K5896" s="6" t="b">
        <f t="shared" ref="K5896:M5896" si="5645">FALSE()</f>
        <v>0</v>
      </c>
      <c r="L5896" s="6" t="b">
        <f t="shared" si="5645"/>
        <v>0</v>
      </c>
      <c r="M5896" s="6" t="b">
        <f t="shared" si="5645"/>
        <v>0</v>
      </c>
      <c r="N5896" s="4">
        <v>0.0212623457024139</v>
      </c>
      <c r="P5896" s="4">
        <v>0.149281702715754</v>
      </c>
      <c r="T5896" s="4">
        <f t="shared" si="3"/>
        <v>1692</v>
      </c>
      <c r="U5896" s="4">
        <f t="shared" si="4"/>
        <v>3172</v>
      </c>
    </row>
    <row r="5897" ht="15.75" customHeight="1">
      <c r="A5897" s="4" t="s">
        <v>1847</v>
      </c>
      <c r="B5897" s="4" t="s">
        <v>13</v>
      </c>
      <c r="C5897" s="4">
        <v>0.98</v>
      </c>
      <c r="D5897" s="4">
        <v>0.09</v>
      </c>
      <c r="E5897" s="4">
        <v>0.09</v>
      </c>
      <c r="I5897" s="4">
        <v>1.67</v>
      </c>
      <c r="J5897" s="4">
        <v>0.08</v>
      </c>
      <c r="K5897" s="6" t="b">
        <f t="shared" ref="K5897:L5897" si="5646">FALSE()</f>
        <v>0</v>
      </c>
      <c r="L5897" s="6" t="b">
        <f t="shared" si="5646"/>
        <v>0</v>
      </c>
      <c r="M5897" s="6" t="b">
        <f t="shared" ref="M5897:M5936" si="5648">TRUE()</f>
        <v>1</v>
      </c>
      <c r="N5897" s="4">
        <v>0.683096844706444</v>
      </c>
      <c r="P5897" s="4">
        <v>0.982078472412158</v>
      </c>
      <c r="T5897" s="4">
        <f t="shared" si="3"/>
        <v>672</v>
      </c>
      <c r="U5897" s="4">
        <f t="shared" si="4"/>
        <v>56</v>
      </c>
    </row>
    <row r="5898" ht="15.75" customHeight="1">
      <c r="A5898" s="4" t="s">
        <v>1848</v>
      </c>
      <c r="B5898" s="4" t="s">
        <v>13</v>
      </c>
      <c r="C5898" s="4">
        <v>0.399</v>
      </c>
      <c r="D5898" s="4">
        <v>0.03</v>
      </c>
      <c r="E5898" s="4">
        <v>0.03</v>
      </c>
      <c r="I5898" s="4">
        <v>1.198</v>
      </c>
      <c r="J5898" s="4">
        <v>0.047</v>
      </c>
      <c r="K5898" s="6" t="b">
        <f t="shared" ref="K5898:L5898" si="5647">FALSE()</f>
        <v>0</v>
      </c>
      <c r="L5898" s="6" t="b">
        <f t="shared" si="5647"/>
        <v>0</v>
      </c>
      <c r="M5898" s="6" t="b">
        <f t="shared" si="5648"/>
        <v>1</v>
      </c>
      <c r="N5898" s="4">
        <v>0.335757695683344</v>
      </c>
      <c r="P5898" s="4">
        <v>0.78754785598143</v>
      </c>
      <c r="T5898" s="4">
        <f t="shared" si="3"/>
        <v>1016</v>
      </c>
      <c r="U5898" s="4">
        <f t="shared" si="4"/>
        <v>391</v>
      </c>
    </row>
    <row r="5899" ht="15.75" customHeight="1">
      <c r="A5899" s="4" t="s">
        <v>1849</v>
      </c>
      <c r="B5899" s="4" t="s">
        <v>13</v>
      </c>
      <c r="C5899" s="4">
        <v>1.1974</v>
      </c>
      <c r="D5899" s="4">
        <v>0.0068</v>
      </c>
      <c r="E5899" s="4">
        <v>0.0068</v>
      </c>
      <c r="I5899" s="4">
        <v>1.3846</v>
      </c>
      <c r="J5899" s="4">
        <v>0.0088</v>
      </c>
      <c r="K5899" s="6" t="b">
        <f t="shared" ref="K5899:L5899" si="5649">FALSE()</f>
        <v>0</v>
      </c>
      <c r="L5899" s="6" t="b">
        <f t="shared" si="5649"/>
        <v>0</v>
      </c>
      <c r="M5899" s="6" t="b">
        <f t="shared" si="5648"/>
        <v>1</v>
      </c>
      <c r="N5899" s="4">
        <v>0.787274843284644</v>
      </c>
      <c r="P5899" s="4">
        <v>0.869031395389895</v>
      </c>
      <c r="T5899" s="4">
        <f t="shared" si="3"/>
        <v>589</v>
      </c>
      <c r="U5899" s="4">
        <f t="shared" si="4"/>
        <v>189</v>
      </c>
    </row>
    <row r="5900" ht="15.75" customHeight="1">
      <c r="A5900" s="4" t="s">
        <v>1850</v>
      </c>
      <c r="B5900" s="4" t="s">
        <v>13</v>
      </c>
      <c r="C5900" s="4">
        <v>1.437</v>
      </c>
      <c r="D5900" s="4">
        <v>0.068</v>
      </c>
      <c r="E5900" s="4">
        <v>0.068</v>
      </c>
      <c r="I5900" s="4">
        <v>1.138</v>
      </c>
      <c r="J5900" s="4">
        <v>0.026</v>
      </c>
      <c r="K5900" s="6" t="b">
        <f t="shared" ref="K5900:L5900" si="5650">FALSE()</f>
        <v>0</v>
      </c>
      <c r="L5900" s="6" t="b">
        <f t="shared" si="5650"/>
        <v>0</v>
      </c>
      <c r="M5900" s="6" t="b">
        <f t="shared" si="5648"/>
        <v>1</v>
      </c>
      <c r="N5900" s="4">
        <v>0.890767774643069</v>
      </c>
      <c r="P5900" s="4">
        <v>0.759870812602853</v>
      </c>
      <c r="T5900" s="4">
        <f t="shared" si="3"/>
        <v>530</v>
      </c>
      <c r="U5900" s="4">
        <f t="shared" si="4"/>
        <v>463</v>
      </c>
    </row>
    <row r="5901" ht="15.75" customHeight="1">
      <c r="A5901" s="4" t="s">
        <v>1851</v>
      </c>
      <c r="B5901" s="4" t="s">
        <v>13</v>
      </c>
      <c r="C5901" s="4">
        <v>0.46</v>
      </c>
      <c r="D5901" s="4">
        <v>0.02</v>
      </c>
      <c r="E5901" s="4">
        <v>0.02</v>
      </c>
      <c r="I5901" s="4">
        <v>1.27</v>
      </c>
      <c r="J5901" s="4">
        <v>0.03</v>
      </c>
      <c r="K5901" s="6" t="b">
        <f t="shared" ref="K5901:L5901" si="5651">FALSE()</f>
        <v>0</v>
      </c>
      <c r="L5901" s="6" t="b">
        <f t="shared" si="5651"/>
        <v>0</v>
      </c>
      <c r="M5901" s="6" t="b">
        <f t="shared" si="5648"/>
        <v>1</v>
      </c>
      <c r="N5901" s="4">
        <v>0.378436435720245</v>
      </c>
      <c r="P5901" s="4">
        <v>0.819779831493311</v>
      </c>
      <c r="T5901" s="4">
        <f t="shared" si="3"/>
        <v>977</v>
      </c>
      <c r="U5901" s="4">
        <f t="shared" si="4"/>
        <v>296</v>
      </c>
    </row>
    <row r="5902" ht="15.75" customHeight="1">
      <c r="A5902" s="4" t="s">
        <v>1852</v>
      </c>
      <c r="B5902" s="4" t="s">
        <v>13</v>
      </c>
      <c r="C5902" s="4">
        <v>2.132</v>
      </c>
      <c r="D5902" s="4">
        <v>0.094</v>
      </c>
      <c r="E5902" s="4">
        <v>0.092</v>
      </c>
      <c r="I5902" s="4">
        <v>1.074</v>
      </c>
      <c r="J5902" s="4">
        <v>0.037</v>
      </c>
      <c r="K5902" s="6" t="b">
        <f t="shared" ref="K5902:L5902" si="5652">FALSE()</f>
        <v>0</v>
      </c>
      <c r="L5902" s="6" t="b">
        <f t="shared" si="5652"/>
        <v>0</v>
      </c>
      <c r="M5902" s="6" t="b">
        <f t="shared" si="5648"/>
        <v>1</v>
      </c>
      <c r="N5902" s="4">
        <v>1.14167177812856</v>
      </c>
      <c r="P5902" s="4">
        <v>0.729479109807336</v>
      </c>
      <c r="T5902" s="4">
        <f t="shared" si="3"/>
        <v>422</v>
      </c>
      <c r="U5902" s="4">
        <f t="shared" si="4"/>
        <v>563</v>
      </c>
    </row>
    <row r="5903" ht="15.75" customHeight="1">
      <c r="A5903" s="4" t="s">
        <v>1853</v>
      </c>
      <c r="B5903" s="4" t="s">
        <v>13</v>
      </c>
      <c r="C5903" s="4">
        <v>0.63</v>
      </c>
      <c r="D5903" s="4">
        <v>0.02</v>
      </c>
      <c r="E5903" s="4">
        <v>0.02</v>
      </c>
      <c r="I5903" s="4">
        <v>1.57</v>
      </c>
      <c r="J5903" s="4">
        <v>0.07</v>
      </c>
      <c r="K5903" s="6" t="b">
        <f t="shared" ref="K5903:L5903" si="5653">FALSE()</f>
        <v>0</v>
      </c>
      <c r="L5903" s="6" t="b">
        <f t="shared" si="5653"/>
        <v>0</v>
      </c>
      <c r="M5903" s="6" t="b">
        <f t="shared" si="5648"/>
        <v>1</v>
      </c>
      <c r="N5903" s="4">
        <v>0.488580014818671</v>
      </c>
      <c r="P5903" s="4">
        <v>0.943905898907128</v>
      </c>
      <c r="T5903" s="4">
        <f t="shared" si="3"/>
        <v>868</v>
      </c>
      <c r="U5903" s="4">
        <f t="shared" si="4"/>
        <v>90</v>
      </c>
    </row>
    <row r="5904" ht="15.75" customHeight="1">
      <c r="A5904" s="4" t="s">
        <v>1854</v>
      </c>
      <c r="B5904" s="4" t="s">
        <v>13</v>
      </c>
      <c r="C5904" s="4">
        <v>0.61</v>
      </c>
      <c r="D5904" s="4">
        <v>0.13</v>
      </c>
      <c r="E5904" s="4">
        <v>0.13</v>
      </c>
      <c r="F5904" s="4">
        <v>0.57</v>
      </c>
      <c r="G5904" s="4">
        <v>0.04</v>
      </c>
      <c r="H5904" s="4">
        <v>0.04</v>
      </c>
      <c r="I5904" s="4">
        <v>1.33</v>
      </c>
      <c r="J5904" s="4">
        <v>0.13</v>
      </c>
      <c r="K5904" s="6" t="b">
        <f t="shared" ref="K5904:L5904" si="5654">FALSE()</f>
        <v>0</v>
      </c>
      <c r="L5904" s="6" t="b">
        <f t="shared" si="5654"/>
        <v>0</v>
      </c>
      <c r="M5904" s="6" t="b">
        <f t="shared" si="5648"/>
        <v>1</v>
      </c>
      <c r="N5904" s="4">
        <v>0.476234178996372</v>
      </c>
      <c r="O5904" s="4">
        <v>0.451075619360217</v>
      </c>
      <c r="P5904" s="4">
        <v>0.845868267577609</v>
      </c>
      <c r="Q5904" s="4">
        <v>-0.253371616997483</v>
      </c>
      <c r="R5904" s="4">
        <v>-0.29083688069177</v>
      </c>
      <c r="S5904" s="4">
        <v>0.94434941101755</v>
      </c>
      <c r="T5904" s="4">
        <f t="shared" si="3"/>
        <v>884</v>
      </c>
      <c r="U5904" s="4">
        <f t="shared" si="4"/>
        <v>228</v>
      </c>
    </row>
    <row r="5905" ht="15.75" customHeight="1">
      <c r="A5905" s="4" t="s">
        <v>1855</v>
      </c>
      <c r="B5905" s="4" t="s">
        <v>13</v>
      </c>
      <c r="C5905" s="4">
        <v>0.599</v>
      </c>
      <c r="D5905" s="4">
        <v>0.039</v>
      </c>
      <c r="E5905" s="4">
        <v>0.04</v>
      </c>
      <c r="I5905" s="4">
        <v>1.092</v>
      </c>
      <c r="J5905" s="4">
        <v>0.033</v>
      </c>
      <c r="K5905" s="6" t="b">
        <f t="shared" ref="K5905:L5905" si="5655">FALSE()</f>
        <v>0</v>
      </c>
      <c r="L5905" s="6" t="b">
        <f t="shared" si="5655"/>
        <v>0</v>
      </c>
      <c r="M5905" s="6" t="b">
        <f t="shared" si="5648"/>
        <v>1</v>
      </c>
      <c r="N5905" s="4">
        <v>0.469378433851817</v>
      </c>
      <c r="P5905" s="4">
        <v>0.738120546202677</v>
      </c>
      <c r="T5905" s="4">
        <f t="shared" si="3"/>
        <v>889</v>
      </c>
      <c r="U5905" s="4">
        <f t="shared" si="4"/>
        <v>530</v>
      </c>
    </row>
    <row r="5906" ht="15.75" customHeight="1">
      <c r="A5906" s="4" t="s">
        <v>1856</v>
      </c>
      <c r="B5906" s="4" t="s">
        <v>13</v>
      </c>
      <c r="C5906" s="4">
        <v>0.8</v>
      </c>
      <c r="I5906" s="4">
        <v>1.1</v>
      </c>
      <c r="K5906" s="6" t="b">
        <f t="shared" ref="K5906:L5906" si="5656">FALSE()</f>
        <v>0</v>
      </c>
      <c r="L5906" s="6" t="b">
        <f t="shared" si="5656"/>
        <v>0</v>
      </c>
      <c r="M5906" s="6" t="b">
        <f t="shared" si="5648"/>
        <v>1</v>
      </c>
      <c r="N5906" s="4">
        <v>0.587786664902119</v>
      </c>
      <c r="P5906" s="4">
        <v>0.741937344729377</v>
      </c>
      <c r="T5906" s="4">
        <f t="shared" si="3"/>
        <v>774</v>
      </c>
      <c r="U5906" s="4">
        <f t="shared" si="4"/>
        <v>515</v>
      </c>
    </row>
    <row r="5907" ht="15.75" customHeight="1">
      <c r="A5907" s="4" t="s">
        <v>1857</v>
      </c>
      <c r="B5907" s="4" t="s">
        <v>13</v>
      </c>
      <c r="C5907" s="4">
        <v>0.89</v>
      </c>
      <c r="D5907" s="4">
        <v>0.07</v>
      </c>
      <c r="E5907" s="4">
        <v>0.07</v>
      </c>
      <c r="I5907" s="4">
        <v>1.37</v>
      </c>
      <c r="J5907" s="4">
        <v>0.2</v>
      </c>
      <c r="K5907" s="6" t="b">
        <f t="shared" ref="K5907:L5907" si="5657">FALSE()</f>
        <v>0</v>
      </c>
      <c r="L5907" s="6" t="b">
        <f t="shared" si="5657"/>
        <v>0</v>
      </c>
      <c r="M5907" s="6" t="b">
        <f t="shared" si="5648"/>
        <v>1</v>
      </c>
      <c r="N5907" s="4">
        <v>0.636576829071551</v>
      </c>
      <c r="P5907" s="4">
        <v>0.86288995514704</v>
      </c>
      <c r="T5907" s="4">
        <f t="shared" si="3"/>
        <v>719</v>
      </c>
      <c r="U5907" s="4">
        <f t="shared" si="4"/>
        <v>198</v>
      </c>
    </row>
    <row r="5908" ht="15.75" customHeight="1">
      <c r="A5908" s="4" t="s">
        <v>1858</v>
      </c>
      <c r="B5908" s="4" t="s">
        <v>13</v>
      </c>
      <c r="C5908" s="4">
        <v>0.863</v>
      </c>
      <c r="D5908" s="4">
        <v>0.045</v>
      </c>
      <c r="E5908" s="4">
        <v>0.045</v>
      </c>
      <c r="I5908" s="4">
        <v>0.775</v>
      </c>
      <c r="J5908" s="4">
        <v>0.068</v>
      </c>
      <c r="K5908" s="6" t="b">
        <f t="shared" ref="K5908:L5908" si="5658">FALSE()</f>
        <v>0</v>
      </c>
      <c r="L5908" s="6" t="b">
        <f t="shared" si="5658"/>
        <v>0</v>
      </c>
      <c r="M5908" s="6" t="b">
        <f t="shared" si="5648"/>
        <v>1</v>
      </c>
      <c r="N5908" s="4">
        <v>0.622188091619451</v>
      </c>
      <c r="P5908" s="4">
        <v>0.573800422927379</v>
      </c>
      <c r="T5908" s="4">
        <f t="shared" si="3"/>
        <v>733</v>
      </c>
      <c r="U5908" s="4">
        <f t="shared" si="4"/>
        <v>856</v>
      </c>
    </row>
    <row r="5909" ht="15.75" customHeight="1">
      <c r="A5909" s="4" t="s">
        <v>1859</v>
      </c>
      <c r="B5909" s="4" t="s">
        <v>13</v>
      </c>
      <c r="C5909" s="4">
        <v>1.637</v>
      </c>
      <c r="D5909" s="4">
        <v>0.082</v>
      </c>
      <c r="E5909" s="4">
        <v>0.082</v>
      </c>
      <c r="I5909" s="4">
        <v>1.171</v>
      </c>
      <c r="J5909" s="4">
        <v>0.057</v>
      </c>
      <c r="K5909" s="6" t="b">
        <f t="shared" ref="K5909:L5909" si="5659">FALSE()</f>
        <v>0</v>
      </c>
      <c r="L5909" s="6" t="b">
        <f t="shared" si="5659"/>
        <v>0</v>
      </c>
      <c r="M5909" s="6" t="b">
        <f t="shared" si="5648"/>
        <v>1</v>
      </c>
      <c r="N5909" s="4">
        <v>0.96964190737115</v>
      </c>
      <c r="P5909" s="4">
        <v>0.775187890896155</v>
      </c>
      <c r="T5909" s="4">
        <f t="shared" si="3"/>
        <v>491</v>
      </c>
      <c r="U5909" s="4">
        <f t="shared" si="4"/>
        <v>423</v>
      </c>
    </row>
    <row r="5910" ht="15.75" customHeight="1">
      <c r="A5910" s="4" t="s">
        <v>1860</v>
      </c>
      <c r="B5910" s="4" t="s">
        <v>13</v>
      </c>
      <c r="C5910" s="4">
        <v>0.514</v>
      </c>
      <c r="D5910" s="4">
        <v>0.034</v>
      </c>
      <c r="E5910" s="4">
        <v>0.034</v>
      </c>
      <c r="I5910" s="4">
        <v>0.86</v>
      </c>
      <c r="J5910" s="4">
        <v>0.12</v>
      </c>
      <c r="K5910" s="6" t="b">
        <f t="shared" ref="K5910:L5910" si="5660">FALSE()</f>
        <v>0</v>
      </c>
      <c r="L5910" s="6" t="b">
        <f t="shared" si="5660"/>
        <v>0</v>
      </c>
      <c r="M5910" s="6" t="b">
        <f t="shared" si="5648"/>
        <v>1</v>
      </c>
      <c r="N5910" s="4">
        <v>0.414755155015257</v>
      </c>
      <c r="P5910" s="4">
        <v>0.62057648772511</v>
      </c>
      <c r="T5910" s="4">
        <f t="shared" si="3"/>
        <v>946</v>
      </c>
      <c r="U5910" s="4">
        <f t="shared" si="4"/>
        <v>795</v>
      </c>
    </row>
    <row r="5911" ht="15.75" customHeight="1">
      <c r="A5911" s="4" t="s">
        <v>1861</v>
      </c>
      <c r="B5911" s="4" t="s">
        <v>13</v>
      </c>
      <c r="C5911" s="4">
        <v>2.06</v>
      </c>
      <c r="D5911" s="4">
        <v>0.17</v>
      </c>
      <c r="E5911" s="4">
        <v>0.17</v>
      </c>
      <c r="I5911" s="4">
        <v>1.24</v>
      </c>
      <c r="J5911" s="4">
        <v>0.03</v>
      </c>
      <c r="K5911" s="6" t="b">
        <f t="shared" ref="K5911:L5911" si="5661">FALSE()</f>
        <v>0</v>
      </c>
      <c r="L5911" s="6" t="b">
        <f t="shared" si="5661"/>
        <v>0</v>
      </c>
      <c r="M5911" s="6" t="b">
        <f t="shared" si="5648"/>
        <v>1</v>
      </c>
      <c r="N5911" s="4">
        <v>1.11841491596429</v>
      </c>
      <c r="P5911" s="4">
        <v>0.806475865866949</v>
      </c>
      <c r="T5911" s="4">
        <f t="shared" si="3"/>
        <v>432</v>
      </c>
      <c r="U5911" s="4">
        <f t="shared" si="4"/>
        <v>327</v>
      </c>
    </row>
    <row r="5912" ht="15.75" customHeight="1">
      <c r="A5912" s="4" t="s">
        <v>1862</v>
      </c>
      <c r="B5912" s="4" t="s">
        <v>13</v>
      </c>
      <c r="C5912" s="4">
        <v>0.58</v>
      </c>
      <c r="D5912" s="4">
        <v>0.03</v>
      </c>
      <c r="E5912" s="4">
        <v>0.03</v>
      </c>
      <c r="I5912" s="4">
        <v>1.39</v>
      </c>
      <c r="J5912" s="4">
        <v>0.03</v>
      </c>
      <c r="K5912" s="6" t="b">
        <f t="shared" ref="K5912:L5912" si="5662">FALSE()</f>
        <v>0</v>
      </c>
      <c r="L5912" s="6" t="b">
        <f t="shared" si="5662"/>
        <v>0</v>
      </c>
      <c r="M5912" s="6" t="b">
        <f t="shared" si="5648"/>
        <v>1</v>
      </c>
      <c r="N5912" s="4">
        <v>0.457424847038875</v>
      </c>
      <c r="P5912" s="4">
        <v>0.871293365943419</v>
      </c>
      <c r="T5912" s="4">
        <f t="shared" si="3"/>
        <v>904</v>
      </c>
      <c r="U5912" s="4">
        <f t="shared" si="4"/>
        <v>186</v>
      </c>
    </row>
    <row r="5913" ht="15.75" customHeight="1">
      <c r="A5913" s="4" t="s">
        <v>1863</v>
      </c>
      <c r="B5913" s="4" t="s">
        <v>13</v>
      </c>
      <c r="C5913" s="4">
        <v>0.38</v>
      </c>
      <c r="D5913" s="4">
        <v>0.03</v>
      </c>
      <c r="E5913" s="4">
        <v>0.03</v>
      </c>
      <c r="I5913" s="4">
        <v>1.43</v>
      </c>
      <c r="J5913" s="4">
        <v>0.06</v>
      </c>
      <c r="K5913" s="6" t="b">
        <f t="shared" ref="K5913:L5913" si="5663">FALSE()</f>
        <v>0</v>
      </c>
      <c r="L5913" s="6" t="b">
        <f t="shared" si="5663"/>
        <v>0</v>
      </c>
      <c r="M5913" s="6" t="b">
        <f t="shared" si="5648"/>
        <v>1</v>
      </c>
      <c r="N5913" s="4">
        <v>0.322083499169113</v>
      </c>
      <c r="P5913" s="4">
        <v>0.887891257352457</v>
      </c>
      <c r="T5913" s="4">
        <f t="shared" si="3"/>
        <v>1030</v>
      </c>
      <c r="U5913" s="4">
        <f t="shared" si="4"/>
        <v>158</v>
      </c>
    </row>
    <row r="5914" ht="15.75" customHeight="1">
      <c r="A5914" s="4" t="s">
        <v>1864</v>
      </c>
      <c r="B5914" s="4" t="s">
        <v>13</v>
      </c>
      <c r="C5914" s="4">
        <v>1.221</v>
      </c>
      <c r="D5914" s="4">
        <v>0.071</v>
      </c>
      <c r="E5914" s="4">
        <v>0.073</v>
      </c>
      <c r="I5914" s="4">
        <v>1.271</v>
      </c>
      <c r="J5914" s="4">
        <v>0.039</v>
      </c>
      <c r="K5914" s="6" t="b">
        <f t="shared" ref="K5914:L5914" si="5664">FALSE()</f>
        <v>0</v>
      </c>
      <c r="L5914" s="6" t="b">
        <f t="shared" si="5664"/>
        <v>0</v>
      </c>
      <c r="M5914" s="6" t="b">
        <f t="shared" si="5648"/>
        <v>1</v>
      </c>
      <c r="N5914" s="4">
        <v>0.79795754491229</v>
      </c>
      <c r="P5914" s="4">
        <v>0.820220263123421</v>
      </c>
      <c r="T5914" s="4">
        <f t="shared" si="3"/>
        <v>582</v>
      </c>
      <c r="U5914" s="4">
        <f t="shared" si="4"/>
        <v>292</v>
      </c>
    </row>
    <row r="5915" ht="15.75" customHeight="1">
      <c r="A5915" s="4" t="s">
        <v>1865</v>
      </c>
      <c r="B5915" s="4" t="s">
        <v>13</v>
      </c>
      <c r="C5915" s="4">
        <v>1.55</v>
      </c>
      <c r="D5915" s="4">
        <v>0.16</v>
      </c>
      <c r="E5915" s="4">
        <v>0.16</v>
      </c>
      <c r="I5915" s="4">
        <v>1.112</v>
      </c>
      <c r="J5915" s="4">
        <v>0.059</v>
      </c>
      <c r="K5915" s="6" t="b">
        <f t="shared" ref="K5915:L5915" si="5665">FALSE()</f>
        <v>0</v>
      </c>
      <c r="L5915" s="6" t="b">
        <f t="shared" si="5665"/>
        <v>0</v>
      </c>
      <c r="M5915" s="6" t="b">
        <f t="shared" si="5648"/>
        <v>1</v>
      </c>
      <c r="N5915" s="4">
        <v>0.936093359170335</v>
      </c>
      <c r="P5915" s="4">
        <v>0.747635365844015</v>
      </c>
      <c r="T5915" s="4">
        <f t="shared" si="3"/>
        <v>504</v>
      </c>
      <c r="U5915" s="4">
        <f t="shared" si="4"/>
        <v>498</v>
      </c>
    </row>
    <row r="5916" ht="15.75" customHeight="1">
      <c r="A5916" s="4" t="s">
        <v>1866</v>
      </c>
      <c r="B5916" s="4" t="s">
        <v>13</v>
      </c>
      <c r="C5916" s="4">
        <v>2.32</v>
      </c>
      <c r="D5916" s="4">
        <v>0.13</v>
      </c>
      <c r="E5916" s="4">
        <v>0.13</v>
      </c>
      <c r="I5916" s="4">
        <v>1.39</v>
      </c>
      <c r="J5916" s="4">
        <v>0.09</v>
      </c>
      <c r="K5916" s="6" t="b">
        <f t="shared" ref="K5916:L5916" si="5666">FALSE()</f>
        <v>0</v>
      </c>
      <c r="L5916" s="6" t="b">
        <f t="shared" si="5666"/>
        <v>0</v>
      </c>
      <c r="M5916" s="6" t="b">
        <f t="shared" si="5648"/>
        <v>1</v>
      </c>
      <c r="N5916" s="4">
        <v>1.1999647829284</v>
      </c>
      <c r="P5916" s="4">
        <v>0.871293365943419</v>
      </c>
      <c r="T5916" s="4">
        <f t="shared" si="3"/>
        <v>394</v>
      </c>
      <c r="U5916" s="4">
        <f t="shared" si="4"/>
        <v>187</v>
      </c>
    </row>
    <row r="5917" ht="15.75" customHeight="1">
      <c r="A5917" s="4" t="s">
        <v>1867</v>
      </c>
      <c r="B5917" s="4" t="s">
        <v>13</v>
      </c>
      <c r="C5917" s="4">
        <v>0.42</v>
      </c>
      <c r="D5917" s="4">
        <v>0.04</v>
      </c>
      <c r="E5917" s="4">
        <v>0.04</v>
      </c>
      <c r="I5917" s="4">
        <v>1.4</v>
      </c>
      <c r="J5917" s="4">
        <v>0.2</v>
      </c>
      <c r="K5917" s="6" t="b">
        <f t="shared" ref="K5917:L5917" si="5667">FALSE()</f>
        <v>0</v>
      </c>
      <c r="L5917" s="6" t="b">
        <f t="shared" si="5667"/>
        <v>0</v>
      </c>
      <c r="M5917" s="6" t="b">
        <f t="shared" si="5648"/>
        <v>1</v>
      </c>
      <c r="N5917" s="4">
        <v>0.350656871613169</v>
      </c>
      <c r="P5917" s="4">
        <v>0.8754687373539</v>
      </c>
      <c r="T5917" s="4">
        <f t="shared" si="3"/>
        <v>1004</v>
      </c>
      <c r="U5917" s="4">
        <f t="shared" si="4"/>
        <v>180</v>
      </c>
    </row>
    <row r="5918" ht="15.75" customHeight="1">
      <c r="A5918" s="4" t="s">
        <v>1868</v>
      </c>
      <c r="B5918" s="4" t="s">
        <v>13</v>
      </c>
      <c r="C5918" s="4">
        <v>0.95</v>
      </c>
      <c r="D5918" s="4">
        <v>0.03</v>
      </c>
      <c r="E5918" s="4">
        <v>0.03</v>
      </c>
      <c r="I5918" s="4">
        <v>1.24</v>
      </c>
      <c r="J5918" s="4">
        <v>0.06</v>
      </c>
      <c r="K5918" s="6" t="b">
        <f t="shared" ref="K5918:L5918" si="5668">FALSE()</f>
        <v>0</v>
      </c>
      <c r="L5918" s="6" t="b">
        <f t="shared" si="5668"/>
        <v>0</v>
      </c>
      <c r="M5918" s="6" t="b">
        <f t="shared" si="5648"/>
        <v>1</v>
      </c>
      <c r="N5918" s="4">
        <v>0.667829372575655</v>
      </c>
      <c r="P5918" s="4">
        <v>0.806475865866949</v>
      </c>
      <c r="T5918" s="4">
        <f t="shared" si="3"/>
        <v>688</v>
      </c>
      <c r="U5918" s="4">
        <f t="shared" si="4"/>
        <v>328</v>
      </c>
    </row>
    <row r="5919" ht="15.75" customHeight="1">
      <c r="A5919" s="4" t="s">
        <v>1869</v>
      </c>
      <c r="B5919" s="4" t="s">
        <v>13</v>
      </c>
      <c r="C5919" s="4">
        <v>0.26</v>
      </c>
      <c r="D5919" s="4">
        <v>0.017</v>
      </c>
      <c r="E5919" s="4">
        <v>0.017</v>
      </c>
      <c r="F5919" s="4">
        <v>0.26</v>
      </c>
      <c r="G5919" s="4">
        <v>0.017</v>
      </c>
      <c r="H5919" s="4">
        <v>0.017</v>
      </c>
      <c r="I5919" s="4">
        <v>1.057</v>
      </c>
      <c r="J5919" s="4">
        <v>0.047</v>
      </c>
      <c r="K5919" s="6" t="b">
        <f t="shared" ref="K5919:L5919" si="5669">FALSE()</f>
        <v>0</v>
      </c>
      <c r="L5919" s="6" t="b">
        <f t="shared" si="5669"/>
        <v>0</v>
      </c>
      <c r="M5919" s="6" t="b">
        <f t="shared" si="5648"/>
        <v>1</v>
      </c>
      <c r="N5919" s="4">
        <v>0.231111720963387</v>
      </c>
      <c r="O5919" s="4">
        <v>0.231111720963387</v>
      </c>
      <c r="P5919" s="4">
        <v>0.72124861067082</v>
      </c>
      <c r="Q5919" s="4">
        <v>-0.468347993054919</v>
      </c>
      <c r="R5919" s="4">
        <v>-0.487512369925083</v>
      </c>
      <c r="S5919" s="4">
        <v>0.433561256353602</v>
      </c>
      <c r="T5919" s="4">
        <f t="shared" si="3"/>
        <v>1104</v>
      </c>
      <c r="U5919" s="4">
        <f t="shared" si="4"/>
        <v>598</v>
      </c>
    </row>
    <row r="5920" ht="15.75" customHeight="1">
      <c r="A5920" s="4" t="s">
        <v>1870</v>
      </c>
      <c r="B5920" s="4" t="s">
        <v>13</v>
      </c>
      <c r="C5920" s="4">
        <v>0.503</v>
      </c>
      <c r="D5920" s="4">
        <v>0.038</v>
      </c>
      <c r="E5920" s="4">
        <v>0.019</v>
      </c>
      <c r="I5920" s="4">
        <v>1.224</v>
      </c>
      <c r="J5920" s="4">
        <v>0.052</v>
      </c>
      <c r="K5920" s="6" t="b">
        <f t="shared" ref="K5920:L5920" si="5670">FALSE()</f>
        <v>0</v>
      </c>
      <c r="L5920" s="6" t="b">
        <f t="shared" si="5670"/>
        <v>0</v>
      </c>
      <c r="M5920" s="6" t="b">
        <f t="shared" si="5648"/>
        <v>1</v>
      </c>
      <c r="N5920" s="4">
        <v>0.407463110770837</v>
      </c>
      <c r="P5920" s="4">
        <v>0.799307376388336</v>
      </c>
      <c r="T5920" s="4">
        <f t="shared" si="3"/>
        <v>953</v>
      </c>
      <c r="U5920" s="4">
        <f t="shared" si="4"/>
        <v>347</v>
      </c>
    </row>
    <row r="5921" ht="15.75" customHeight="1">
      <c r="A5921" s="4" t="s">
        <v>1871</v>
      </c>
      <c r="B5921" s="4" t="s">
        <v>13</v>
      </c>
      <c r="C5921" s="4">
        <v>0.59</v>
      </c>
      <c r="D5921" s="4">
        <v>0.022</v>
      </c>
      <c r="E5921" s="4">
        <v>0.023</v>
      </c>
      <c r="F5921" s="4">
        <v>0.59</v>
      </c>
      <c r="G5921" s="4">
        <v>0.022</v>
      </c>
      <c r="H5921" s="4">
        <v>0.022</v>
      </c>
      <c r="I5921" s="4">
        <v>1.164</v>
      </c>
      <c r="J5921" s="4">
        <v>0.073</v>
      </c>
      <c r="K5921" s="6" t="b">
        <f t="shared" ref="K5921:L5921" si="5671">FALSE()</f>
        <v>0</v>
      </c>
      <c r="L5921" s="6" t="b">
        <f t="shared" si="5671"/>
        <v>0</v>
      </c>
      <c r="M5921" s="6" t="b">
        <f t="shared" si="5648"/>
        <v>1</v>
      </c>
      <c r="N5921" s="4">
        <v>0.46373401623214</v>
      </c>
      <c r="O5921" s="4">
        <v>0.46373401623214</v>
      </c>
      <c r="P5921" s="4">
        <v>0.771958360984235</v>
      </c>
      <c r="Q5921" s="4">
        <v>-0.265655981343622</v>
      </c>
      <c r="R5921" s="4">
        <v>-0.278148139450911</v>
      </c>
      <c r="S5921" s="4">
        <v>0.633760276679765</v>
      </c>
      <c r="T5921" s="4">
        <f t="shared" si="3"/>
        <v>897</v>
      </c>
      <c r="U5921" s="4">
        <f t="shared" si="4"/>
        <v>438</v>
      </c>
    </row>
    <row r="5922" ht="15.75" customHeight="1">
      <c r="A5922" s="4" t="s">
        <v>1872</v>
      </c>
      <c r="B5922" s="4" t="s">
        <v>13</v>
      </c>
      <c r="C5922" s="4">
        <v>2.258</v>
      </c>
      <c r="D5922" s="4">
        <v>0.072</v>
      </c>
      <c r="E5922" s="4">
        <v>0.072</v>
      </c>
      <c r="I5922" s="4">
        <v>1.5</v>
      </c>
      <c r="J5922" s="4">
        <v>0.11</v>
      </c>
      <c r="K5922" s="6" t="b">
        <f t="shared" ref="K5922:L5922" si="5672">FALSE()</f>
        <v>0</v>
      </c>
      <c r="L5922" s="6" t="b">
        <f t="shared" si="5672"/>
        <v>0</v>
      </c>
      <c r="M5922" s="6" t="b">
        <f t="shared" si="5648"/>
        <v>1</v>
      </c>
      <c r="N5922" s="4">
        <v>1.18111351017985</v>
      </c>
      <c r="P5922" s="4">
        <v>0.916290731874155</v>
      </c>
      <c r="T5922" s="4">
        <f t="shared" si="3"/>
        <v>409</v>
      </c>
      <c r="U5922" s="4">
        <f t="shared" si="4"/>
        <v>121</v>
      </c>
    </row>
    <row r="5923" ht="15.75" customHeight="1">
      <c r="A5923" s="4" t="s">
        <v>1873</v>
      </c>
      <c r="B5923" s="4" t="s">
        <v>13</v>
      </c>
      <c r="C5923" s="4">
        <v>1.446</v>
      </c>
      <c r="D5923" s="4">
        <v>0.053</v>
      </c>
      <c r="E5923" s="4">
        <v>0.054</v>
      </c>
      <c r="I5923" s="4">
        <v>1.27</v>
      </c>
      <c r="J5923" s="4">
        <v>0.2</v>
      </c>
      <c r="K5923" s="6" t="b">
        <f t="shared" ref="K5923:L5923" si="5673">FALSE()</f>
        <v>0</v>
      </c>
      <c r="L5923" s="6" t="b">
        <f t="shared" si="5673"/>
        <v>0</v>
      </c>
      <c r="M5923" s="6" t="b">
        <f t="shared" si="5648"/>
        <v>1</v>
      </c>
      <c r="N5923" s="4">
        <v>0.894454037264981</v>
      </c>
      <c r="P5923" s="4">
        <v>0.819779831493311</v>
      </c>
      <c r="T5923" s="4">
        <f t="shared" si="3"/>
        <v>528</v>
      </c>
      <c r="U5923" s="4">
        <f t="shared" si="4"/>
        <v>297</v>
      </c>
    </row>
    <row r="5924" ht="15.75" customHeight="1">
      <c r="A5924" s="4" t="s">
        <v>1874</v>
      </c>
      <c r="B5924" s="4" t="s">
        <v>13</v>
      </c>
      <c r="C5924" s="4">
        <v>1.89</v>
      </c>
      <c r="D5924" s="4">
        <v>0.05</v>
      </c>
      <c r="E5924" s="4">
        <v>0.05</v>
      </c>
      <c r="I5924" s="4">
        <v>1.17</v>
      </c>
      <c r="J5924" s="4">
        <v>0.05</v>
      </c>
      <c r="K5924" s="6" t="b">
        <f t="shared" ref="K5924:L5924" si="5674">FALSE()</f>
        <v>0</v>
      </c>
      <c r="L5924" s="6" t="b">
        <f t="shared" si="5674"/>
        <v>0</v>
      </c>
      <c r="M5924" s="6" t="b">
        <f t="shared" si="5648"/>
        <v>1</v>
      </c>
      <c r="N5924" s="4">
        <v>1.06125650212434</v>
      </c>
      <c r="P5924" s="4">
        <v>0.774727167552368</v>
      </c>
      <c r="T5924" s="4">
        <f t="shared" si="3"/>
        <v>456</v>
      </c>
      <c r="U5924" s="4">
        <f t="shared" si="4"/>
        <v>429</v>
      </c>
    </row>
    <row r="5925" ht="15.75" customHeight="1">
      <c r="A5925" s="4" t="s">
        <v>1875</v>
      </c>
      <c r="B5925" s="4" t="s">
        <v>13</v>
      </c>
      <c r="C5925" s="4">
        <v>0.826</v>
      </c>
      <c r="D5925" s="4">
        <v>0.014</v>
      </c>
      <c r="E5925" s="4">
        <v>0.014</v>
      </c>
      <c r="I5925" s="4">
        <v>1.248</v>
      </c>
      <c r="J5925" s="4">
        <v>0.036</v>
      </c>
      <c r="K5925" s="6" t="b">
        <f t="shared" ref="K5925:L5925" si="5675">FALSE()</f>
        <v>0</v>
      </c>
      <c r="L5925" s="6" t="b">
        <f t="shared" si="5675"/>
        <v>0</v>
      </c>
      <c r="M5925" s="6" t="b">
        <f t="shared" si="5648"/>
        <v>1</v>
      </c>
      <c r="N5925" s="4">
        <v>0.602127782172777</v>
      </c>
      <c r="P5925" s="4">
        <v>0.810040932031445</v>
      </c>
      <c r="T5925" s="4">
        <f t="shared" si="3"/>
        <v>754</v>
      </c>
      <c r="U5925" s="4">
        <f t="shared" si="4"/>
        <v>320</v>
      </c>
    </row>
    <row r="5926" ht="15.75" customHeight="1">
      <c r="A5926" s="4" t="s">
        <v>1876</v>
      </c>
      <c r="B5926" s="4" t="s">
        <v>13</v>
      </c>
      <c r="C5926" s="4">
        <v>1.07</v>
      </c>
      <c r="D5926" s="4">
        <v>0.05</v>
      </c>
      <c r="E5926" s="4">
        <v>0.05</v>
      </c>
      <c r="I5926" s="4">
        <v>1.27</v>
      </c>
      <c r="J5926" s="4">
        <v>0.048</v>
      </c>
      <c r="K5926" s="6" t="b">
        <f t="shared" ref="K5926:L5926" si="5676">FALSE()</f>
        <v>0</v>
      </c>
      <c r="L5926" s="6" t="b">
        <f t="shared" si="5676"/>
        <v>0</v>
      </c>
      <c r="M5926" s="6" t="b">
        <f t="shared" si="5648"/>
        <v>1</v>
      </c>
      <c r="N5926" s="4">
        <v>0.727548607277278</v>
      </c>
      <c r="P5926" s="4">
        <v>0.819779831493311</v>
      </c>
      <c r="T5926" s="4">
        <f t="shared" si="3"/>
        <v>640</v>
      </c>
      <c r="U5926" s="4">
        <f t="shared" si="4"/>
        <v>298</v>
      </c>
    </row>
    <row r="5927" ht="15.75" customHeight="1">
      <c r="A5927" s="4" t="s">
        <v>1877</v>
      </c>
      <c r="B5927" s="4" t="s">
        <v>13</v>
      </c>
      <c r="C5927" s="4">
        <v>0.92</v>
      </c>
      <c r="D5927" s="4">
        <v>0.03</v>
      </c>
      <c r="E5927" s="4">
        <v>0.03</v>
      </c>
      <c r="I5927" s="4">
        <v>1.83</v>
      </c>
      <c r="J5927" s="4">
        <v>0.06</v>
      </c>
      <c r="K5927" s="6" t="b">
        <f t="shared" ref="K5927:L5927" si="5677">FALSE()</f>
        <v>0</v>
      </c>
      <c r="L5927" s="6" t="b">
        <f t="shared" si="5677"/>
        <v>0</v>
      </c>
      <c r="M5927" s="6" t="b">
        <f t="shared" si="5648"/>
        <v>1</v>
      </c>
      <c r="N5927" s="4">
        <v>0.65232518603969</v>
      </c>
      <c r="P5927" s="4">
        <v>1.04027671165515</v>
      </c>
      <c r="T5927" s="4">
        <f t="shared" si="3"/>
        <v>707</v>
      </c>
      <c r="U5927" s="4">
        <f t="shared" si="4"/>
        <v>28</v>
      </c>
    </row>
    <row r="5928" ht="15.75" customHeight="1">
      <c r="A5928" s="4" t="s">
        <v>1878</v>
      </c>
      <c r="B5928" s="4" t="s">
        <v>13</v>
      </c>
      <c r="C5928" s="4">
        <v>1.759</v>
      </c>
      <c r="D5928" s="4">
        <v>0.005</v>
      </c>
      <c r="E5928" s="4">
        <v>0.005</v>
      </c>
      <c r="I5928" s="4">
        <v>1.21</v>
      </c>
      <c r="J5928" s="4">
        <v>0.02</v>
      </c>
      <c r="K5928" s="6" t="b">
        <f t="shared" ref="K5928:L5928" si="5678">FALSE()</f>
        <v>0</v>
      </c>
      <c r="L5928" s="6" t="b">
        <f t="shared" si="5678"/>
        <v>0</v>
      </c>
      <c r="M5928" s="6" t="b">
        <f t="shared" si="5648"/>
        <v>1</v>
      </c>
      <c r="N5928" s="4">
        <v>1.01486829523515</v>
      </c>
      <c r="P5928" s="4">
        <v>0.792992515529661</v>
      </c>
      <c r="T5928" s="4">
        <f t="shared" si="3"/>
        <v>477</v>
      </c>
      <c r="U5928" s="4">
        <f t="shared" si="4"/>
        <v>369</v>
      </c>
    </row>
    <row r="5929" ht="15.75" customHeight="1">
      <c r="A5929" s="4" t="s">
        <v>1879</v>
      </c>
      <c r="B5929" s="4" t="s">
        <v>13</v>
      </c>
      <c r="C5929" s="4">
        <v>0.89</v>
      </c>
      <c r="D5929" s="4">
        <v>0.08</v>
      </c>
      <c r="E5929" s="4">
        <v>0.08</v>
      </c>
      <c r="I5929" s="4">
        <v>1.7</v>
      </c>
      <c r="J5929" s="4">
        <v>0.11</v>
      </c>
      <c r="K5929" s="6" t="b">
        <f t="shared" ref="K5929:L5929" si="5679">FALSE()</f>
        <v>0</v>
      </c>
      <c r="L5929" s="6" t="b">
        <f t="shared" si="5679"/>
        <v>0</v>
      </c>
      <c r="M5929" s="6" t="b">
        <f t="shared" si="5648"/>
        <v>1</v>
      </c>
      <c r="N5929" s="4">
        <v>0.636576829071551</v>
      </c>
      <c r="P5929" s="4">
        <v>0.993251773010283</v>
      </c>
      <c r="T5929" s="4">
        <f t="shared" si="3"/>
        <v>720</v>
      </c>
      <c r="U5929" s="4">
        <f t="shared" si="4"/>
        <v>45</v>
      </c>
    </row>
    <row r="5930" ht="15.75" customHeight="1">
      <c r="A5930" s="4" t="s">
        <v>1880</v>
      </c>
      <c r="B5930" s="4" t="s">
        <v>13</v>
      </c>
      <c r="C5930" s="4">
        <v>0.835</v>
      </c>
      <c r="D5930" s="4">
        <v>0.08</v>
      </c>
      <c r="E5930" s="4">
        <v>0.08</v>
      </c>
      <c r="I5930" s="4">
        <v>1.58</v>
      </c>
      <c r="J5930" s="4">
        <v>0.005</v>
      </c>
      <c r="K5930" s="6" t="b">
        <f t="shared" ref="K5930:L5930" si="5680">FALSE()</f>
        <v>0</v>
      </c>
      <c r="L5930" s="6" t="b">
        <f t="shared" si="5680"/>
        <v>0</v>
      </c>
      <c r="M5930" s="6" t="b">
        <f t="shared" si="5648"/>
        <v>1</v>
      </c>
      <c r="N5930" s="4">
        <v>0.607044481506534</v>
      </c>
      <c r="P5930" s="4">
        <v>0.947789398933526</v>
      </c>
      <c r="T5930" s="4">
        <f t="shared" si="3"/>
        <v>751</v>
      </c>
      <c r="U5930" s="4">
        <f t="shared" si="4"/>
        <v>86</v>
      </c>
    </row>
    <row r="5931" ht="15.75" customHeight="1">
      <c r="A5931" s="4" t="s">
        <v>1881</v>
      </c>
      <c r="B5931" s="4" t="s">
        <v>13</v>
      </c>
      <c r="C5931" s="4">
        <v>0.96</v>
      </c>
      <c r="D5931" s="4">
        <v>0.13</v>
      </c>
      <c r="E5931" s="4">
        <v>0.13</v>
      </c>
      <c r="I5931" s="4">
        <v>1.33</v>
      </c>
      <c r="J5931" s="4">
        <v>0.093</v>
      </c>
      <c r="K5931" s="6" t="b">
        <f t="shared" ref="K5931:L5931" si="5681">FALSE()</f>
        <v>0</v>
      </c>
      <c r="L5931" s="6" t="b">
        <f t="shared" si="5681"/>
        <v>0</v>
      </c>
      <c r="M5931" s="6" t="b">
        <f t="shared" si="5648"/>
        <v>1</v>
      </c>
      <c r="N5931" s="4">
        <v>0.672944473242426</v>
      </c>
      <c r="P5931" s="4">
        <v>0.845868267577609</v>
      </c>
      <c r="T5931" s="4">
        <f t="shared" si="3"/>
        <v>683</v>
      </c>
      <c r="U5931" s="4">
        <f t="shared" si="4"/>
        <v>229</v>
      </c>
    </row>
    <row r="5932" ht="15.75" customHeight="1">
      <c r="A5932" s="4" t="s">
        <v>1882</v>
      </c>
      <c r="B5932" s="4" t="s">
        <v>13</v>
      </c>
      <c r="C5932" s="4">
        <v>0.554</v>
      </c>
      <c r="D5932" s="4">
        <v>0.039</v>
      </c>
      <c r="E5932" s="4">
        <v>0.03</v>
      </c>
      <c r="I5932" s="4">
        <v>0.952</v>
      </c>
      <c r="J5932" s="4">
        <v>0.027</v>
      </c>
      <c r="K5932" s="6" t="b">
        <f t="shared" ref="K5932:L5932" si="5682">FALSE()</f>
        <v>0</v>
      </c>
      <c r="L5932" s="6" t="b">
        <f t="shared" si="5682"/>
        <v>0</v>
      </c>
      <c r="M5932" s="6" t="b">
        <f t="shared" si="5648"/>
        <v>1</v>
      </c>
      <c r="N5932" s="4">
        <v>0.440832251945456</v>
      </c>
      <c r="P5932" s="4">
        <v>0.668854487990901</v>
      </c>
      <c r="T5932" s="4">
        <f t="shared" si="3"/>
        <v>922</v>
      </c>
      <c r="U5932" s="4">
        <f t="shared" si="4"/>
        <v>726</v>
      </c>
    </row>
    <row r="5933" ht="15.75" customHeight="1">
      <c r="A5933" s="4" t="s">
        <v>1883</v>
      </c>
      <c r="B5933" s="4" t="s">
        <v>13</v>
      </c>
      <c r="C5933" s="4">
        <v>0.729</v>
      </c>
      <c r="D5933" s="4">
        <v>0.035</v>
      </c>
      <c r="E5933" s="4">
        <v>0.036</v>
      </c>
      <c r="I5933" s="4">
        <v>1.429</v>
      </c>
      <c r="J5933" s="4">
        <v>0.046</v>
      </c>
      <c r="K5933" s="6" t="b">
        <f t="shared" ref="K5933:L5933" si="5683">FALSE()</f>
        <v>0</v>
      </c>
      <c r="L5933" s="6" t="b">
        <f t="shared" si="5683"/>
        <v>0</v>
      </c>
      <c r="M5933" s="6" t="b">
        <f t="shared" si="5648"/>
        <v>1</v>
      </c>
      <c r="N5933" s="4">
        <v>0.547543206701153</v>
      </c>
      <c r="P5933" s="4">
        <v>0.887479650020036</v>
      </c>
      <c r="T5933" s="4">
        <f t="shared" si="3"/>
        <v>802</v>
      </c>
      <c r="U5933" s="4">
        <f t="shared" si="4"/>
        <v>159</v>
      </c>
    </row>
    <row r="5934" ht="15.75" customHeight="1">
      <c r="A5934" s="4" t="s">
        <v>1884</v>
      </c>
      <c r="B5934" s="4" t="s">
        <v>13</v>
      </c>
      <c r="C5934" s="4">
        <v>1.24</v>
      </c>
      <c r="D5934" s="4">
        <v>0.04</v>
      </c>
      <c r="E5934" s="4">
        <v>0.04</v>
      </c>
      <c r="I5934" s="4">
        <v>1.63</v>
      </c>
      <c r="J5934" s="4">
        <v>0.04</v>
      </c>
      <c r="K5934" s="6" t="b">
        <f t="shared" ref="K5934:L5934" si="5684">FALSE()</f>
        <v>0</v>
      </c>
      <c r="L5934" s="6" t="b">
        <f t="shared" si="5684"/>
        <v>0</v>
      </c>
      <c r="M5934" s="6" t="b">
        <f t="shared" si="5648"/>
        <v>1</v>
      </c>
      <c r="N5934" s="4">
        <v>0.806475865866949</v>
      </c>
      <c r="P5934" s="4">
        <v>0.966983846189673</v>
      </c>
      <c r="T5934" s="4">
        <f t="shared" si="3"/>
        <v>576</v>
      </c>
      <c r="U5934" s="4">
        <f t="shared" si="4"/>
        <v>67</v>
      </c>
    </row>
    <row r="5935" ht="15.75" customHeight="1">
      <c r="A5935" s="4" t="s">
        <v>1885</v>
      </c>
      <c r="B5935" s="4" t="s">
        <v>13</v>
      </c>
      <c r="C5935" s="4">
        <v>0.3</v>
      </c>
      <c r="D5935" s="4">
        <v>0.03</v>
      </c>
      <c r="E5935" s="4">
        <v>0.03</v>
      </c>
      <c r="F5935" s="4">
        <v>0.3</v>
      </c>
      <c r="G5935" s="4">
        <v>0.03</v>
      </c>
      <c r="H5935" s="4">
        <v>0.03</v>
      </c>
      <c r="I5935" s="4">
        <v>1.04</v>
      </c>
      <c r="J5935" s="4">
        <v>0.05</v>
      </c>
      <c r="K5935" s="6" t="b">
        <f t="shared" ref="K5935:L5935" si="5685">FALSE()</f>
        <v>0</v>
      </c>
      <c r="L5935" s="6" t="b">
        <f t="shared" si="5685"/>
        <v>0</v>
      </c>
      <c r="M5935" s="6" t="b">
        <f t="shared" si="5648"/>
        <v>1</v>
      </c>
      <c r="N5935" s="4">
        <v>0.262364264467491</v>
      </c>
      <c r="O5935" s="4">
        <v>0.262364264467491</v>
      </c>
      <c r="P5935" s="4">
        <v>0.712949807856125</v>
      </c>
      <c r="Q5935" s="4">
        <v>-0.443779264362641</v>
      </c>
      <c r="R5935" s="4">
        <v>-0.462134887443365</v>
      </c>
      <c r="S5935" s="4">
        <v>0.401753935367203</v>
      </c>
      <c r="T5935" s="4">
        <f t="shared" si="3"/>
        <v>1072</v>
      </c>
      <c r="U5935" s="4">
        <f t="shared" si="4"/>
        <v>615</v>
      </c>
    </row>
    <row r="5936" ht="15.75" customHeight="1">
      <c r="A5936" s="4" t="s">
        <v>1886</v>
      </c>
      <c r="B5936" s="4" t="s">
        <v>13</v>
      </c>
      <c r="C5936" s="4">
        <v>0.692</v>
      </c>
      <c r="D5936" s="4">
        <v>0.058</v>
      </c>
      <c r="E5936" s="4">
        <v>0.058</v>
      </c>
      <c r="I5936" s="4">
        <v>0.9564</v>
      </c>
      <c r="J5936" s="4">
        <v>0.0241</v>
      </c>
      <c r="K5936" s="6" t="b">
        <f t="shared" ref="K5936:L5936" si="5686">FALSE()</f>
        <v>0</v>
      </c>
      <c r="L5936" s="6" t="b">
        <f t="shared" si="5686"/>
        <v>0</v>
      </c>
      <c r="M5936" s="6" t="b">
        <f t="shared" si="5648"/>
        <v>1</v>
      </c>
      <c r="N5936" s="4">
        <v>0.525911261184032</v>
      </c>
      <c r="P5936" s="4">
        <v>0.671106049683065</v>
      </c>
      <c r="T5936" s="4">
        <f t="shared" si="3"/>
        <v>823</v>
      </c>
      <c r="U5936" s="4">
        <f t="shared" si="4"/>
        <v>721</v>
      </c>
    </row>
    <row r="5937" ht="15.75" customHeight="1">
      <c r="A5937" s="4" t="s">
        <v>1887</v>
      </c>
      <c r="B5937" s="4" t="s">
        <v>13</v>
      </c>
      <c r="C5937" s="4">
        <v>0.0478</v>
      </c>
      <c r="D5937" s="4">
        <v>0.0142</v>
      </c>
      <c r="E5937" s="4">
        <v>0.0142</v>
      </c>
      <c r="I5937" s="4">
        <v>0.174</v>
      </c>
      <c r="J5937" s="4">
        <v>0.0107</v>
      </c>
      <c r="K5937" s="6" t="b">
        <f t="shared" ref="K5937:M5937" si="5687">FALSE()</f>
        <v>0</v>
      </c>
      <c r="L5937" s="6" t="b">
        <f t="shared" si="5687"/>
        <v>0</v>
      </c>
      <c r="M5937" s="6" t="b">
        <f t="shared" si="5687"/>
        <v>0</v>
      </c>
      <c r="N5937" s="4">
        <v>0.0466927279919822</v>
      </c>
      <c r="P5937" s="4">
        <v>0.160416721405905</v>
      </c>
      <c r="T5937" s="4">
        <f t="shared" si="3"/>
        <v>1413</v>
      </c>
      <c r="U5937" s="4">
        <f t="shared" si="4"/>
        <v>2997</v>
      </c>
    </row>
    <row r="5938" ht="15.75" customHeight="1">
      <c r="A5938" s="4" t="s">
        <v>1888</v>
      </c>
      <c r="B5938" s="4" t="s">
        <v>13</v>
      </c>
      <c r="C5938" s="4">
        <v>1.265</v>
      </c>
      <c r="D5938" s="4">
        <v>0.065</v>
      </c>
      <c r="E5938" s="4">
        <v>0.065</v>
      </c>
      <c r="F5938" s="4">
        <v>1.265</v>
      </c>
      <c r="G5938" s="4">
        <v>0.065</v>
      </c>
      <c r="H5938" s="4">
        <v>0.065</v>
      </c>
      <c r="I5938" s="4">
        <v>1.24</v>
      </c>
      <c r="J5938" s="4">
        <v>0.03</v>
      </c>
      <c r="K5938" s="6" t="b">
        <f t="shared" ref="K5938:L5938" si="5688">FALSE()</f>
        <v>0</v>
      </c>
      <c r="L5938" s="6" t="b">
        <f t="shared" si="5688"/>
        <v>0</v>
      </c>
      <c r="M5938" s="6" t="b">
        <f t="shared" ref="M5938:M5947" si="5690">TRUE()</f>
        <v>1</v>
      </c>
      <c r="N5938" s="4">
        <v>0.817574758934997</v>
      </c>
      <c r="O5938" s="4">
        <v>0.817574758934997</v>
      </c>
      <c r="P5938" s="4">
        <v>0.806475865866949</v>
      </c>
      <c r="Q5938" s="4">
        <v>0.148941315338577</v>
      </c>
      <c r="R5938" s="4">
        <v>0.150096877428078</v>
      </c>
      <c r="S5938" s="4">
        <v>0.775957711677787</v>
      </c>
      <c r="T5938" s="4">
        <f t="shared" si="3"/>
        <v>571</v>
      </c>
      <c r="U5938" s="4">
        <f t="shared" si="4"/>
        <v>329</v>
      </c>
    </row>
    <row r="5939" ht="15.75" customHeight="1">
      <c r="A5939" s="4" t="s">
        <v>1889</v>
      </c>
      <c r="B5939" s="4" t="s">
        <v>13</v>
      </c>
      <c r="C5939" s="4">
        <v>2.21</v>
      </c>
      <c r="D5939" s="4">
        <v>0.16</v>
      </c>
      <c r="E5939" s="4">
        <v>0.16</v>
      </c>
      <c r="F5939" s="4">
        <v>2.18</v>
      </c>
      <c r="G5939" s="4">
        <v>0.15</v>
      </c>
      <c r="H5939" s="4">
        <v>0.15</v>
      </c>
      <c r="I5939" s="4">
        <v>1.385</v>
      </c>
      <c r="J5939" s="4">
        <v>0.06</v>
      </c>
      <c r="K5939" s="6" t="b">
        <f t="shared" ref="K5939:L5939" si="5689">FALSE()</f>
        <v>0</v>
      </c>
      <c r="L5939" s="6" t="b">
        <f t="shared" si="5689"/>
        <v>0</v>
      </c>
      <c r="M5939" s="6" t="b">
        <f t="shared" si="5690"/>
        <v>1</v>
      </c>
      <c r="N5939" s="4">
        <v>1.16627093714192</v>
      </c>
      <c r="O5939" s="4">
        <v>1.15688119679209</v>
      </c>
      <c r="P5939" s="4">
        <v>0.869199124340305</v>
      </c>
      <c r="Q5939" s="4">
        <v>0.729377530693655</v>
      </c>
      <c r="R5939" s="4">
        <v>0.730606789197373</v>
      </c>
      <c r="S5939" s="4">
        <v>1.04725544950296</v>
      </c>
      <c r="T5939" s="4">
        <f t="shared" si="3"/>
        <v>412</v>
      </c>
      <c r="U5939" s="4">
        <f t="shared" si="4"/>
        <v>188</v>
      </c>
    </row>
    <row r="5940" ht="15.75" customHeight="1">
      <c r="A5940" s="4" t="s">
        <v>1890</v>
      </c>
      <c r="B5940" s="4" t="s">
        <v>13</v>
      </c>
      <c r="C5940" s="4">
        <v>0.56</v>
      </c>
      <c r="D5940" s="4">
        <v>0.08</v>
      </c>
      <c r="E5940" s="4">
        <v>0.08</v>
      </c>
      <c r="I5940" s="4">
        <v>1.7</v>
      </c>
      <c r="J5940" s="4">
        <v>0.07</v>
      </c>
      <c r="K5940" s="6" t="b">
        <f t="shared" ref="K5940:L5940" si="5691">FALSE()</f>
        <v>0</v>
      </c>
      <c r="L5940" s="6" t="b">
        <f t="shared" si="5691"/>
        <v>0</v>
      </c>
      <c r="M5940" s="6" t="b">
        <f t="shared" si="5690"/>
        <v>1</v>
      </c>
      <c r="N5940" s="4">
        <v>0.444685821261446</v>
      </c>
      <c r="P5940" s="4">
        <v>0.993251773010283</v>
      </c>
      <c r="T5940" s="4">
        <f t="shared" si="3"/>
        <v>920</v>
      </c>
      <c r="U5940" s="4">
        <f t="shared" si="4"/>
        <v>46</v>
      </c>
    </row>
    <row r="5941" ht="15.75" customHeight="1">
      <c r="A5941" s="4" t="s">
        <v>1891</v>
      </c>
      <c r="B5941" s="4" t="s">
        <v>13</v>
      </c>
      <c r="C5941" s="4">
        <v>5.9</v>
      </c>
      <c r="D5941" s="4">
        <v>0.4</v>
      </c>
      <c r="E5941" s="4">
        <v>0.4</v>
      </c>
      <c r="F5941" s="4">
        <v>5.9</v>
      </c>
      <c r="G5941" s="4">
        <v>0.4</v>
      </c>
      <c r="H5941" s="4">
        <v>0.4</v>
      </c>
      <c r="I5941" s="4">
        <v>1.04</v>
      </c>
      <c r="J5941" s="4">
        <v>0.04</v>
      </c>
      <c r="K5941" s="6" t="b">
        <f>TRUE()</f>
        <v>1</v>
      </c>
      <c r="L5941" s="6" t="b">
        <f>FALSE()</f>
        <v>0</v>
      </c>
      <c r="M5941" s="6" t="b">
        <f t="shared" si="5690"/>
        <v>1</v>
      </c>
      <c r="N5941" s="4">
        <v>1.93152141160321</v>
      </c>
      <c r="O5941" s="4">
        <v>1.93152141160321</v>
      </c>
      <c r="P5941" s="4">
        <v>0.712949807856125</v>
      </c>
      <c r="Q5941" s="4">
        <v>2.99584275255634</v>
      </c>
      <c r="R5941" s="4">
        <v>3.09071265999713</v>
      </c>
      <c r="S5941" s="4">
        <v>0.401753935367203</v>
      </c>
      <c r="T5941" s="4">
        <f t="shared" si="3"/>
        <v>176</v>
      </c>
      <c r="U5941" s="4">
        <f t="shared" si="4"/>
        <v>616</v>
      </c>
    </row>
    <row r="5942" ht="15.75" customHeight="1">
      <c r="A5942" s="4" t="s">
        <v>1892</v>
      </c>
      <c r="B5942" s="4" t="s">
        <v>13</v>
      </c>
      <c r="C5942" s="4">
        <v>2.244</v>
      </c>
      <c r="D5942" s="4">
        <v>0.093</v>
      </c>
      <c r="E5942" s="4">
        <v>0.079</v>
      </c>
      <c r="I5942" s="4">
        <v>1.038</v>
      </c>
      <c r="J5942" s="4">
        <v>0.047</v>
      </c>
      <c r="K5942" s="6" t="b">
        <f t="shared" ref="K5942:L5942" si="5692">FALSE()</f>
        <v>0</v>
      </c>
      <c r="L5942" s="6" t="b">
        <f t="shared" si="5692"/>
        <v>0</v>
      </c>
      <c r="M5942" s="6" t="b">
        <f t="shared" si="5690"/>
        <v>1</v>
      </c>
      <c r="N5942" s="4">
        <v>1.17680713625317</v>
      </c>
      <c r="P5942" s="4">
        <v>0.711968934800533</v>
      </c>
      <c r="T5942" s="4">
        <f t="shared" si="3"/>
        <v>410</v>
      </c>
      <c r="U5942" s="4">
        <f t="shared" si="4"/>
        <v>620</v>
      </c>
    </row>
    <row r="5943" ht="15.75" customHeight="1">
      <c r="A5943" s="4" t="s">
        <v>1893</v>
      </c>
      <c r="B5943" s="4" t="s">
        <v>13</v>
      </c>
      <c r="C5943" s="4">
        <v>0.63</v>
      </c>
      <c r="D5943" s="4">
        <v>0.07</v>
      </c>
      <c r="E5943" s="4">
        <v>0.07</v>
      </c>
      <c r="I5943" s="4">
        <v>1.63</v>
      </c>
      <c r="J5943" s="4">
        <v>0.09</v>
      </c>
      <c r="K5943" s="6" t="b">
        <f t="shared" ref="K5943:L5943" si="5693">FALSE()</f>
        <v>0</v>
      </c>
      <c r="L5943" s="6" t="b">
        <f t="shared" si="5693"/>
        <v>0</v>
      </c>
      <c r="M5943" s="6" t="b">
        <f t="shared" si="5690"/>
        <v>1</v>
      </c>
      <c r="N5943" s="4">
        <v>0.488580014818671</v>
      </c>
      <c r="P5943" s="4">
        <v>0.966983846189673</v>
      </c>
      <c r="T5943" s="4">
        <f t="shared" si="3"/>
        <v>869</v>
      </c>
      <c r="U5943" s="4">
        <f t="shared" si="4"/>
        <v>68</v>
      </c>
    </row>
    <row r="5944" ht="15.75" customHeight="1">
      <c r="A5944" s="4" t="s">
        <v>1894</v>
      </c>
      <c r="B5944" s="4" t="s">
        <v>13</v>
      </c>
      <c r="C5944" s="4">
        <v>1.34</v>
      </c>
      <c r="D5944" s="4">
        <v>0.08</v>
      </c>
      <c r="E5944" s="4">
        <v>0.08</v>
      </c>
      <c r="I5944" s="4">
        <v>1.03</v>
      </c>
      <c r="J5944" s="4">
        <v>0.04</v>
      </c>
      <c r="K5944" s="6" t="b">
        <f t="shared" ref="K5944:L5944" si="5694">FALSE()</f>
        <v>0</v>
      </c>
      <c r="L5944" s="6" t="b">
        <f t="shared" si="5694"/>
        <v>0</v>
      </c>
      <c r="M5944" s="6" t="b">
        <f t="shared" si="5690"/>
        <v>1</v>
      </c>
      <c r="N5944" s="4">
        <v>0.85015092936961</v>
      </c>
      <c r="P5944" s="4">
        <v>0.708035793053696</v>
      </c>
      <c r="T5944" s="4">
        <f t="shared" si="3"/>
        <v>550</v>
      </c>
      <c r="U5944" s="4">
        <f t="shared" si="4"/>
        <v>631</v>
      </c>
    </row>
    <row r="5945" ht="15.75" customHeight="1">
      <c r="A5945" s="4" t="s">
        <v>1895</v>
      </c>
      <c r="B5945" s="4" t="s">
        <v>13</v>
      </c>
      <c r="C5945" s="4">
        <v>0.805</v>
      </c>
      <c r="D5945" s="4">
        <v>0.068</v>
      </c>
      <c r="E5945" s="4">
        <v>0.068</v>
      </c>
      <c r="I5945" s="4">
        <v>1.461</v>
      </c>
      <c r="J5945" s="4">
        <v>0.077</v>
      </c>
      <c r="K5945" s="6" t="b">
        <f t="shared" ref="K5945:L5945" si="5695">FALSE()</f>
        <v>0</v>
      </c>
      <c r="L5945" s="6" t="b">
        <f t="shared" si="5695"/>
        <v>0</v>
      </c>
      <c r="M5945" s="6" t="b">
        <f t="shared" si="5690"/>
        <v>1</v>
      </c>
      <c r="N5945" s="4">
        <v>0.590560591784844</v>
      </c>
      <c r="P5945" s="4">
        <v>0.900567771408919</v>
      </c>
      <c r="T5945" s="4">
        <f t="shared" si="3"/>
        <v>764</v>
      </c>
      <c r="U5945" s="4">
        <f t="shared" si="4"/>
        <v>137</v>
      </c>
    </row>
    <row r="5946" ht="15.75" customHeight="1">
      <c r="A5946" s="4" t="s">
        <v>1896</v>
      </c>
      <c r="B5946" s="4" t="s">
        <v>13</v>
      </c>
      <c r="C5946" s="4">
        <v>1.47</v>
      </c>
      <c r="D5946" s="4">
        <v>0.029</v>
      </c>
      <c r="E5946" s="4">
        <v>0.029</v>
      </c>
      <c r="I5946" s="4">
        <v>1.597</v>
      </c>
      <c r="J5946" s="4">
        <v>0.077</v>
      </c>
      <c r="K5946" s="6" t="b">
        <f t="shared" ref="K5946:L5946" si="5696">FALSE()</f>
        <v>0</v>
      </c>
      <c r="L5946" s="6" t="b">
        <f t="shared" si="5696"/>
        <v>0</v>
      </c>
      <c r="M5946" s="6" t="b">
        <f t="shared" si="5690"/>
        <v>1</v>
      </c>
      <c r="N5946" s="4">
        <v>0.904218150639886</v>
      </c>
      <c r="P5946" s="4">
        <v>0.954356932680611</v>
      </c>
      <c r="T5946" s="4">
        <f t="shared" si="3"/>
        <v>520</v>
      </c>
      <c r="U5946" s="4">
        <f t="shared" si="4"/>
        <v>80</v>
      </c>
    </row>
    <row r="5947" ht="15.75" customHeight="1">
      <c r="A5947" s="4" t="s">
        <v>1897</v>
      </c>
      <c r="B5947" s="4" t="s">
        <v>13</v>
      </c>
      <c r="C5947" s="4">
        <v>0.452</v>
      </c>
      <c r="D5947" s="4">
        <v>0.032</v>
      </c>
      <c r="E5947" s="4">
        <v>0.035</v>
      </c>
      <c r="I5947" s="4">
        <v>1.665</v>
      </c>
      <c r="J5947" s="4">
        <v>0.05</v>
      </c>
      <c r="K5947" s="6" t="b">
        <f t="shared" ref="K5947:L5947" si="5697">FALSE()</f>
        <v>0</v>
      </c>
      <c r="L5947" s="6" t="b">
        <f t="shared" si="5697"/>
        <v>0</v>
      </c>
      <c r="M5947" s="6" t="b">
        <f t="shared" si="5690"/>
        <v>1</v>
      </c>
      <c r="N5947" s="4">
        <v>0.372941916402604</v>
      </c>
      <c r="P5947" s="4">
        <v>0.980204057617808</v>
      </c>
      <c r="T5947" s="4">
        <f t="shared" si="3"/>
        <v>980</v>
      </c>
      <c r="U5947" s="4">
        <f t="shared" si="4"/>
        <v>57</v>
      </c>
    </row>
    <row r="5948" ht="15.75" customHeight="1">
      <c r="A5948" s="4" t="s">
        <v>6073</v>
      </c>
      <c r="B5948" s="4" t="s">
        <v>13</v>
      </c>
      <c r="D5948" s="4">
        <v>0.029</v>
      </c>
      <c r="E5948" s="4">
        <v>0.028</v>
      </c>
      <c r="F5948" s="4">
        <v>0.618</v>
      </c>
      <c r="G5948" s="4">
        <v>0.029</v>
      </c>
      <c r="H5948" s="4">
        <v>0.028</v>
      </c>
      <c r="K5948" s="6" t="b">
        <f t="shared" ref="K5948:M5948" si="5698">FALSE()</f>
        <v>0</v>
      </c>
      <c r="L5948" s="6" t="b">
        <f t="shared" si="5698"/>
        <v>0</v>
      </c>
      <c r="M5948" s="6" t="b">
        <f t="shared" si="5698"/>
        <v>0</v>
      </c>
      <c r="O5948" s="4">
        <v>0.4811908186363</v>
      </c>
      <c r="T5948" s="4" t="str">
        <f t="shared" si="3"/>
        <v/>
      </c>
      <c r="U5948" s="4" t="str">
        <f t="shared" si="4"/>
        <v/>
      </c>
    </row>
    <row r="5949" ht="15.75" customHeight="1">
      <c r="A5949" s="4" t="s">
        <v>1898</v>
      </c>
      <c r="B5949" s="4" t="s">
        <v>13</v>
      </c>
      <c r="C5949" s="4">
        <v>1.206</v>
      </c>
      <c r="D5949" s="4">
        <v>0.067</v>
      </c>
      <c r="E5949" s="4">
        <v>0.067</v>
      </c>
      <c r="I5949" s="4">
        <v>1.098</v>
      </c>
      <c r="J5949" s="4">
        <v>0.088</v>
      </c>
      <c r="K5949" s="6" t="b">
        <f t="shared" ref="K5949:L5949" si="5699">FALSE()</f>
        <v>0</v>
      </c>
      <c r="L5949" s="6" t="b">
        <f t="shared" si="5699"/>
        <v>0</v>
      </c>
      <c r="M5949" s="6" t="b">
        <f t="shared" ref="M5949:M5954" si="5701">TRUE()</f>
        <v>1</v>
      </c>
      <c r="N5949" s="4">
        <v>0.791180920831311</v>
      </c>
      <c r="P5949" s="4">
        <v>0.740984509974106</v>
      </c>
      <c r="T5949" s="4">
        <f t="shared" si="3"/>
        <v>586</v>
      </c>
      <c r="U5949" s="4">
        <f t="shared" si="4"/>
        <v>520</v>
      </c>
    </row>
    <row r="5950" ht="15.75" customHeight="1">
      <c r="A5950" s="4" t="s">
        <v>1899</v>
      </c>
      <c r="B5950" s="4" t="s">
        <v>13</v>
      </c>
      <c r="C5950" s="4">
        <v>0.48</v>
      </c>
      <c r="D5950" s="4">
        <v>0.03</v>
      </c>
      <c r="E5950" s="4">
        <v>0.03</v>
      </c>
      <c r="I5950" s="4">
        <v>1.2</v>
      </c>
      <c r="J5950" s="4">
        <v>0.06</v>
      </c>
      <c r="K5950" s="6" t="b">
        <f t="shared" ref="K5950:L5950" si="5700">FALSE()</f>
        <v>0</v>
      </c>
      <c r="L5950" s="6" t="b">
        <f t="shared" si="5700"/>
        <v>0</v>
      </c>
      <c r="M5950" s="6" t="b">
        <f t="shared" si="5701"/>
        <v>1</v>
      </c>
      <c r="N5950" s="4">
        <v>0.392042087776024</v>
      </c>
      <c r="P5950" s="4">
        <v>0.78845736036427</v>
      </c>
      <c r="T5950" s="4">
        <f t="shared" si="3"/>
        <v>965</v>
      </c>
      <c r="U5950" s="4">
        <f t="shared" si="4"/>
        <v>389</v>
      </c>
    </row>
    <row r="5951" ht="15.75" customHeight="1">
      <c r="A5951" s="4" t="s">
        <v>1900</v>
      </c>
      <c r="B5951" s="4" t="s">
        <v>13</v>
      </c>
      <c r="C5951" s="4">
        <v>1.32</v>
      </c>
      <c r="D5951" s="4">
        <v>0.05</v>
      </c>
      <c r="E5951" s="4">
        <v>0.05</v>
      </c>
      <c r="I5951" s="4">
        <v>1.13</v>
      </c>
      <c r="J5951" s="4">
        <v>0.06</v>
      </c>
      <c r="K5951" s="6" t="b">
        <f t="shared" ref="K5951:L5951" si="5702">FALSE()</f>
        <v>0</v>
      </c>
      <c r="L5951" s="6" t="b">
        <f t="shared" si="5702"/>
        <v>0</v>
      </c>
      <c r="M5951" s="6" t="b">
        <f t="shared" si="5701"/>
        <v>1</v>
      </c>
      <c r="N5951" s="4">
        <v>0.841567185678219</v>
      </c>
      <c r="P5951" s="4">
        <v>0.756121979721334</v>
      </c>
      <c r="T5951" s="4">
        <f t="shared" si="3"/>
        <v>555</v>
      </c>
      <c r="U5951" s="4">
        <f t="shared" si="4"/>
        <v>481</v>
      </c>
    </row>
    <row r="5952" ht="15.75" customHeight="1">
      <c r="A5952" s="4" t="s">
        <v>1901</v>
      </c>
      <c r="B5952" s="4" t="s">
        <v>13</v>
      </c>
      <c r="C5952" s="4">
        <v>0.83</v>
      </c>
      <c r="D5952" s="4">
        <v>0.07</v>
      </c>
      <c r="E5952" s="4">
        <v>0.07</v>
      </c>
      <c r="I5952" s="4">
        <v>1.1</v>
      </c>
      <c r="J5952" s="4">
        <v>0.04</v>
      </c>
      <c r="K5952" s="6" t="b">
        <f t="shared" ref="K5952:L5952" si="5703">FALSE()</f>
        <v>0</v>
      </c>
      <c r="L5952" s="6" t="b">
        <f t="shared" si="5703"/>
        <v>0</v>
      </c>
      <c r="M5952" s="6" t="b">
        <f t="shared" si="5701"/>
        <v>1</v>
      </c>
      <c r="N5952" s="4">
        <v>0.60431596685333</v>
      </c>
      <c r="P5952" s="4">
        <v>0.741937344729377</v>
      </c>
      <c r="T5952" s="4">
        <f t="shared" si="3"/>
        <v>753</v>
      </c>
      <c r="U5952" s="4">
        <f t="shared" si="4"/>
        <v>516</v>
      </c>
    </row>
    <row r="5953" ht="15.75" customHeight="1">
      <c r="A5953" s="4" t="s">
        <v>1902</v>
      </c>
      <c r="B5953" s="4" t="s">
        <v>13</v>
      </c>
      <c r="C5953" s="4">
        <v>2.78</v>
      </c>
      <c r="D5953" s="4">
        <v>0.13</v>
      </c>
      <c r="E5953" s="4">
        <v>0.13</v>
      </c>
      <c r="I5953" s="4">
        <v>1.1</v>
      </c>
      <c r="J5953" s="4">
        <v>0.05</v>
      </c>
      <c r="K5953" s="6" t="b">
        <f t="shared" ref="K5953:L5953" si="5704">FALSE()</f>
        <v>0</v>
      </c>
      <c r="L5953" s="6" t="b">
        <f t="shared" si="5704"/>
        <v>0</v>
      </c>
      <c r="M5953" s="6" t="b">
        <f t="shared" si="5701"/>
        <v>1</v>
      </c>
      <c r="N5953" s="4">
        <v>1.3297240096315</v>
      </c>
      <c r="P5953" s="4">
        <v>0.741937344729377</v>
      </c>
      <c r="T5953" s="4">
        <f t="shared" si="3"/>
        <v>345</v>
      </c>
      <c r="U5953" s="4">
        <f t="shared" si="4"/>
        <v>517</v>
      </c>
    </row>
    <row r="5954" ht="15.75" customHeight="1">
      <c r="A5954" s="4" t="s">
        <v>1903</v>
      </c>
      <c r="B5954" s="4" t="s">
        <v>13</v>
      </c>
      <c r="C5954" s="4">
        <v>3.0</v>
      </c>
      <c r="D5954" s="4">
        <v>1.9</v>
      </c>
      <c r="E5954" s="4">
        <v>5.5</v>
      </c>
      <c r="I5954" s="4">
        <v>1.03</v>
      </c>
      <c r="J5954" s="4">
        <v>0.35</v>
      </c>
      <c r="K5954" s="6" t="b">
        <f t="shared" ref="K5954:L5954" si="5705">FALSE()</f>
        <v>0</v>
      </c>
      <c r="L5954" s="6" t="b">
        <f t="shared" si="5705"/>
        <v>0</v>
      </c>
      <c r="M5954" s="6" t="b">
        <f t="shared" si="5701"/>
        <v>1</v>
      </c>
      <c r="N5954" s="4">
        <v>1.38629436111989</v>
      </c>
      <c r="P5954" s="4">
        <v>0.708035793053696</v>
      </c>
      <c r="T5954" s="4">
        <f t="shared" si="3"/>
        <v>323</v>
      </c>
      <c r="U5954" s="4">
        <f t="shared" si="4"/>
        <v>632</v>
      </c>
    </row>
    <row r="5955" ht="15.75" customHeight="1">
      <c r="A5955" s="4" t="s">
        <v>6074</v>
      </c>
      <c r="B5955" s="4" t="s">
        <v>13</v>
      </c>
      <c r="C5955" s="4">
        <v>8.0</v>
      </c>
      <c r="D5955" s="4">
        <v>2.0</v>
      </c>
      <c r="E5955" s="4">
        <v>2.0</v>
      </c>
      <c r="K5955" s="6" t="b">
        <f>TRUE()</f>
        <v>1</v>
      </c>
      <c r="L5955" s="6" t="b">
        <f t="shared" ref="L5955:M5955" si="5706">FALSE()</f>
        <v>0</v>
      </c>
      <c r="M5955" s="6" t="b">
        <f t="shared" si="5706"/>
        <v>0</v>
      </c>
      <c r="N5955" s="4">
        <v>2.19722457733622</v>
      </c>
      <c r="T5955" s="4">
        <f t="shared" si="3"/>
        <v>109</v>
      </c>
      <c r="U5955" s="4" t="str">
        <f t="shared" si="4"/>
        <v/>
      </c>
    </row>
    <row r="5956" ht="15.75" customHeight="1">
      <c r="A5956" s="4" t="s">
        <v>6075</v>
      </c>
      <c r="B5956" s="4" t="s">
        <v>13</v>
      </c>
      <c r="I5956" s="4">
        <v>0.928</v>
      </c>
      <c r="J5956" s="4">
        <v>0.09</v>
      </c>
      <c r="K5956" s="6" t="b">
        <f t="shared" ref="K5956:L5956" si="5707">FALSE()</f>
        <v>0</v>
      </c>
      <c r="L5956" s="6" t="b">
        <f t="shared" si="5707"/>
        <v>0</v>
      </c>
      <c r="M5956" s="6" t="b">
        <f t="shared" ref="M5956:M5958" si="5709">TRUE()</f>
        <v>1</v>
      </c>
      <c r="P5956" s="4">
        <v>0.656483196188354</v>
      </c>
      <c r="T5956" s="4" t="str">
        <f t="shared" si="3"/>
        <v/>
      </c>
      <c r="U5956" s="4">
        <f t="shared" si="4"/>
        <v>747</v>
      </c>
    </row>
    <row r="5957" ht="15.75" customHeight="1">
      <c r="A5957" s="4" t="s">
        <v>1904</v>
      </c>
      <c r="B5957" s="4" t="s">
        <v>13</v>
      </c>
      <c r="C5957" s="4">
        <v>0.59</v>
      </c>
      <c r="D5957" s="4">
        <v>0.09</v>
      </c>
      <c r="E5957" s="4">
        <v>0.1</v>
      </c>
      <c r="I5957" s="4">
        <v>1.0</v>
      </c>
      <c r="J5957" s="4">
        <v>0.1</v>
      </c>
      <c r="K5957" s="6" t="b">
        <f t="shared" ref="K5957:L5957" si="5708">FALSE()</f>
        <v>0</v>
      </c>
      <c r="L5957" s="6" t="b">
        <f t="shared" si="5708"/>
        <v>0</v>
      </c>
      <c r="M5957" s="6" t="b">
        <f t="shared" si="5709"/>
        <v>1</v>
      </c>
      <c r="N5957" s="4">
        <v>0.46373401623214</v>
      </c>
      <c r="P5957" s="4">
        <v>0.693147180559945</v>
      </c>
      <c r="T5957" s="4">
        <f t="shared" si="3"/>
        <v>898</v>
      </c>
      <c r="U5957" s="4">
        <f t="shared" si="4"/>
        <v>676</v>
      </c>
    </row>
    <row r="5958" ht="15.75" customHeight="1">
      <c r="A5958" s="4" t="s">
        <v>1905</v>
      </c>
      <c r="B5958" s="4" t="s">
        <v>13</v>
      </c>
      <c r="C5958" s="4">
        <v>0.73</v>
      </c>
      <c r="D5958" s="4">
        <v>0.32</v>
      </c>
      <c r="E5958" s="4">
        <v>0.55</v>
      </c>
      <c r="I5958" s="4">
        <v>1.0</v>
      </c>
      <c r="J5958" s="4">
        <v>0.003</v>
      </c>
      <c r="K5958" s="6" t="b">
        <f t="shared" ref="K5958:L5958" si="5710">FALSE()</f>
        <v>0</v>
      </c>
      <c r="L5958" s="6" t="b">
        <f t="shared" si="5710"/>
        <v>0</v>
      </c>
      <c r="M5958" s="6" t="b">
        <f t="shared" si="5709"/>
        <v>1</v>
      </c>
      <c r="N5958" s="4">
        <v>0.548121408509688</v>
      </c>
      <c r="P5958" s="4">
        <v>0.693147180559945</v>
      </c>
      <c r="T5958" s="4">
        <f t="shared" si="3"/>
        <v>801</v>
      </c>
      <c r="U5958" s="4">
        <f t="shared" si="4"/>
        <v>677</v>
      </c>
    </row>
    <row r="5959" ht="15.75" customHeight="1">
      <c r="A5959" s="4" t="s">
        <v>6076</v>
      </c>
      <c r="B5959" s="4" t="s">
        <v>13</v>
      </c>
      <c r="C5959" s="4">
        <v>11.9</v>
      </c>
      <c r="D5959" s="4">
        <v>0.2</v>
      </c>
      <c r="E5959" s="4">
        <v>0.4</v>
      </c>
      <c r="K5959" s="6" t="b">
        <f t="shared" ref="K5959:K5960" si="5712">TRUE()</f>
        <v>1</v>
      </c>
      <c r="L5959" s="6" t="b">
        <f t="shared" ref="L5959:M5959" si="5711">FALSE()</f>
        <v>0</v>
      </c>
      <c r="M5959" s="6" t="b">
        <f t="shared" si="5711"/>
        <v>0</v>
      </c>
      <c r="N5959" s="4">
        <v>2.55722731136763</v>
      </c>
      <c r="T5959" s="4">
        <f t="shared" si="3"/>
        <v>22</v>
      </c>
      <c r="U5959" s="4" t="str">
        <f t="shared" si="4"/>
        <v/>
      </c>
    </row>
    <row r="5960" ht="15.75" customHeight="1">
      <c r="A5960" s="4" t="s">
        <v>6077</v>
      </c>
      <c r="B5960" s="4" t="s">
        <v>13</v>
      </c>
      <c r="C5960" s="4">
        <v>9.0</v>
      </c>
      <c r="K5960" s="6" t="b">
        <f t="shared" si="5712"/>
        <v>1</v>
      </c>
      <c r="L5960" s="6" t="b">
        <f t="shared" ref="L5960:M5960" si="5713">FALSE()</f>
        <v>0</v>
      </c>
      <c r="M5960" s="6" t="b">
        <f t="shared" si="5713"/>
        <v>0</v>
      </c>
      <c r="N5960" s="4">
        <v>2.30258509299405</v>
      </c>
      <c r="T5960" s="4">
        <f t="shared" si="3"/>
        <v>83</v>
      </c>
      <c r="U5960" s="4" t="str">
        <f t="shared" si="4"/>
        <v/>
      </c>
    </row>
    <row r="5961" ht="15.75" customHeight="1">
      <c r="A5961" s="4" t="s">
        <v>6078</v>
      </c>
      <c r="B5961" s="4" t="s">
        <v>13</v>
      </c>
      <c r="D5961" s="4">
        <v>7.9E-4</v>
      </c>
      <c r="E5961" s="4">
        <v>8.2E-4</v>
      </c>
      <c r="F5961" s="4">
        <v>0.00601</v>
      </c>
      <c r="G5961" s="4">
        <v>7.9E-4</v>
      </c>
      <c r="H5961" s="4">
        <v>8.2E-4</v>
      </c>
      <c r="K5961" s="6" t="b">
        <f t="shared" ref="K5961:M5961" si="5714">FALSE()</f>
        <v>0</v>
      </c>
      <c r="L5961" s="6" t="b">
        <f t="shared" si="5714"/>
        <v>0</v>
      </c>
      <c r="M5961" s="6" t="b">
        <f t="shared" si="5714"/>
        <v>0</v>
      </c>
      <c r="O5961" s="4">
        <v>0.0059920119859953</v>
      </c>
      <c r="T5961" s="4" t="str">
        <f t="shared" si="3"/>
        <v/>
      </c>
      <c r="U5961" s="4" t="str">
        <f t="shared" si="4"/>
        <v/>
      </c>
    </row>
    <row r="5962" ht="15.75" customHeight="1">
      <c r="A5962" s="4" t="s">
        <v>6079</v>
      </c>
      <c r="B5962" s="4" t="s">
        <v>13</v>
      </c>
      <c r="D5962" s="4">
        <v>0.0013</v>
      </c>
      <c r="E5962" s="4">
        <v>0.0014</v>
      </c>
      <c r="F5962" s="4">
        <v>0.0107</v>
      </c>
      <c r="G5962" s="4">
        <v>0.0013</v>
      </c>
      <c r="H5962" s="4">
        <v>0.0014</v>
      </c>
      <c r="K5962" s="6" t="b">
        <f t="shared" ref="K5962:M5962" si="5715">FALSE()</f>
        <v>0</v>
      </c>
      <c r="L5962" s="6" t="b">
        <f t="shared" si="5715"/>
        <v>0</v>
      </c>
      <c r="M5962" s="6" t="b">
        <f t="shared" si="5715"/>
        <v>0</v>
      </c>
      <c r="O5962" s="4">
        <v>0.0106431600984798</v>
      </c>
      <c r="T5962" s="4" t="str">
        <f t="shared" si="3"/>
        <v/>
      </c>
      <c r="U5962" s="4" t="str">
        <f t="shared" si="4"/>
        <v/>
      </c>
    </row>
    <row r="5963" ht="15.75" customHeight="1">
      <c r="A5963" s="4" t="s">
        <v>6080</v>
      </c>
      <c r="B5963" s="4" t="s">
        <v>13</v>
      </c>
      <c r="D5963" s="4">
        <v>0.00334</v>
      </c>
      <c r="E5963" s="4">
        <v>0.00352</v>
      </c>
      <c r="F5963" s="4">
        <v>0.0242</v>
      </c>
      <c r="G5963" s="4">
        <v>0.00334</v>
      </c>
      <c r="H5963" s="4">
        <v>0.00352</v>
      </c>
      <c r="K5963" s="6" t="b">
        <f t="shared" ref="K5963:M5963" si="5716">FALSE()</f>
        <v>0</v>
      </c>
      <c r="L5963" s="6" t="b">
        <f t="shared" si="5716"/>
        <v>0</v>
      </c>
      <c r="M5963" s="6" t="b">
        <f t="shared" si="5716"/>
        <v>0</v>
      </c>
      <c r="O5963" s="4">
        <v>0.0239118200463128</v>
      </c>
      <c r="T5963" s="4" t="str">
        <f t="shared" si="3"/>
        <v/>
      </c>
      <c r="U5963" s="4" t="str">
        <f t="shared" si="4"/>
        <v/>
      </c>
    </row>
    <row r="5964" ht="15.75" customHeight="1">
      <c r="A5964" s="4" t="s">
        <v>6081</v>
      </c>
      <c r="B5964" s="4" t="s">
        <v>13</v>
      </c>
      <c r="D5964" s="4">
        <v>6.6E-4</v>
      </c>
      <c r="E5964" s="4">
        <v>6.6E-4</v>
      </c>
      <c r="F5964" s="4">
        <v>0.00396</v>
      </c>
      <c r="G5964" s="4">
        <v>6.6E-4</v>
      </c>
      <c r="H5964" s="4">
        <v>6.6E-4</v>
      </c>
      <c r="K5964" s="6" t="b">
        <f t="shared" ref="K5964:M5964" si="5717">FALSE()</f>
        <v>0</v>
      </c>
      <c r="L5964" s="6" t="b">
        <f t="shared" si="5717"/>
        <v>0</v>
      </c>
      <c r="M5964" s="6" t="b">
        <f t="shared" si="5717"/>
        <v>0</v>
      </c>
      <c r="O5964" s="4">
        <v>0.0039521798384279</v>
      </c>
      <c r="T5964" s="4" t="str">
        <f t="shared" si="3"/>
        <v/>
      </c>
      <c r="U5964" s="4" t="str">
        <f t="shared" si="4"/>
        <v/>
      </c>
    </row>
    <row r="5965" ht="15.75" customHeight="1">
      <c r="A5965" s="4" t="s">
        <v>1906</v>
      </c>
      <c r="B5965" s="4" t="s">
        <v>13</v>
      </c>
      <c r="C5965" s="4">
        <v>2.53</v>
      </c>
      <c r="D5965" s="4">
        <v>0.46</v>
      </c>
      <c r="E5965" s="4">
        <v>0.46</v>
      </c>
      <c r="I5965" s="4">
        <v>0.1106</v>
      </c>
      <c r="J5965" s="4">
        <v>0.0054</v>
      </c>
      <c r="K5965" s="6" t="b">
        <f t="shared" ref="K5965:M5965" si="5718">FALSE()</f>
        <v>0</v>
      </c>
      <c r="L5965" s="6" t="b">
        <f t="shared" si="5718"/>
        <v>0</v>
      </c>
      <c r="M5965" s="6" t="b">
        <f t="shared" si="5718"/>
        <v>0</v>
      </c>
      <c r="N5965" s="4">
        <v>1.26129787094521</v>
      </c>
      <c r="P5965" s="4">
        <v>0.10490040982537</v>
      </c>
      <c r="T5965" s="4">
        <f t="shared" si="3"/>
        <v>366</v>
      </c>
      <c r="U5965" s="4">
        <f t="shared" si="4"/>
        <v>4037</v>
      </c>
    </row>
    <row r="5966" ht="15.75" customHeight="1">
      <c r="A5966" s="4" t="s">
        <v>6082</v>
      </c>
      <c r="B5966" s="4" t="s">
        <v>13</v>
      </c>
      <c r="D5966" s="4">
        <v>0.005</v>
      </c>
      <c r="E5966" s="4">
        <v>0.006</v>
      </c>
      <c r="F5966" s="4">
        <v>0.012</v>
      </c>
      <c r="G5966" s="4">
        <v>0.005</v>
      </c>
      <c r="H5966" s="4">
        <v>0.006</v>
      </c>
      <c r="K5966" s="6" t="b">
        <f t="shared" ref="K5966:M5966" si="5719">FALSE()</f>
        <v>0</v>
      </c>
      <c r="L5966" s="6" t="b">
        <f t="shared" si="5719"/>
        <v>0</v>
      </c>
      <c r="M5966" s="6" t="b">
        <f t="shared" si="5719"/>
        <v>0</v>
      </c>
      <c r="O5966" s="4">
        <v>0.0119285708652738</v>
      </c>
      <c r="T5966" s="4" t="str">
        <f t="shared" si="3"/>
        <v/>
      </c>
      <c r="U5966" s="4" t="str">
        <f t="shared" si="4"/>
        <v/>
      </c>
    </row>
    <row r="5967" ht="15.75" customHeight="1">
      <c r="A5967" s="4" t="s">
        <v>1907</v>
      </c>
      <c r="B5967" s="4" t="s">
        <v>13</v>
      </c>
      <c r="C5967" s="4">
        <v>0.0197</v>
      </c>
      <c r="D5967" s="4">
        <v>0.0019</v>
      </c>
      <c r="E5967" s="4">
        <v>0.0019</v>
      </c>
      <c r="I5967" s="4">
        <v>0.18227</v>
      </c>
      <c r="J5967" s="4">
        <v>0.0062</v>
      </c>
      <c r="K5967" s="6" t="b">
        <f t="shared" ref="K5967:M5967" si="5720">FALSE()</f>
        <v>0</v>
      </c>
      <c r="L5967" s="6" t="b">
        <f t="shared" si="5720"/>
        <v>0</v>
      </c>
      <c r="M5967" s="6" t="b">
        <f t="shared" si="5720"/>
        <v>0</v>
      </c>
      <c r="N5967" s="4">
        <v>0.0195084663880429</v>
      </c>
      <c r="P5967" s="4">
        <v>0.167436319294509</v>
      </c>
      <c r="T5967" s="4">
        <f t="shared" si="3"/>
        <v>1741</v>
      </c>
      <c r="U5967" s="4">
        <f t="shared" si="4"/>
        <v>2862</v>
      </c>
    </row>
    <row r="5968" ht="15.75" customHeight="1">
      <c r="A5968" s="4" t="s">
        <v>1908</v>
      </c>
      <c r="B5968" s="4" t="s">
        <v>13</v>
      </c>
      <c r="C5968" s="4">
        <v>4.01</v>
      </c>
      <c r="D5968" s="4">
        <v>0.35</v>
      </c>
      <c r="E5968" s="4">
        <v>0.35</v>
      </c>
      <c r="I5968" s="4">
        <v>1.49</v>
      </c>
      <c r="J5968" s="4">
        <v>0.18</v>
      </c>
      <c r="K5968" s="6" t="b">
        <f>TRUE()</f>
        <v>1</v>
      </c>
      <c r="L5968" s="6" t="b">
        <f>FALSE()</f>
        <v>0</v>
      </c>
      <c r="M5968" s="6" t="b">
        <f t="shared" ref="M5968:M5971" si="5722">TRUE()</f>
        <v>1</v>
      </c>
      <c r="N5968" s="4">
        <v>1.61143591509677</v>
      </c>
      <c r="P5968" s="4">
        <v>0.912282710476616</v>
      </c>
      <c r="T5968" s="4">
        <f t="shared" si="3"/>
        <v>257</v>
      </c>
      <c r="U5968" s="4">
        <f t="shared" si="4"/>
        <v>124</v>
      </c>
    </row>
    <row r="5969" ht="15.75" customHeight="1">
      <c r="A5969" s="4" t="s">
        <v>1909</v>
      </c>
      <c r="B5969" s="4" t="s">
        <v>13</v>
      </c>
      <c r="C5969" s="4">
        <v>1.12</v>
      </c>
      <c r="D5969" s="4">
        <v>0.13</v>
      </c>
      <c r="E5969" s="4">
        <v>0.13</v>
      </c>
      <c r="I5969" s="4">
        <v>1.3</v>
      </c>
      <c r="J5969" s="4">
        <v>0.058</v>
      </c>
      <c r="K5969" s="6" t="b">
        <f t="shared" ref="K5969:L5969" si="5721">FALSE()</f>
        <v>0</v>
      </c>
      <c r="L5969" s="6" t="b">
        <f t="shared" si="5721"/>
        <v>0</v>
      </c>
      <c r="M5969" s="6" t="b">
        <f t="shared" si="5722"/>
        <v>1</v>
      </c>
      <c r="N5969" s="4">
        <v>0.751416088683921</v>
      </c>
      <c r="P5969" s="4">
        <v>0.832909122935104</v>
      </c>
      <c r="T5969" s="4">
        <f t="shared" si="3"/>
        <v>617</v>
      </c>
      <c r="U5969" s="4">
        <f t="shared" si="4"/>
        <v>261</v>
      </c>
    </row>
    <row r="5970" ht="15.75" customHeight="1">
      <c r="A5970" s="4" t="s">
        <v>1910</v>
      </c>
      <c r="B5970" s="4" t="s">
        <v>13</v>
      </c>
      <c r="C5970" s="4">
        <v>0.9</v>
      </c>
      <c r="D5970" s="4">
        <v>0.07</v>
      </c>
      <c r="E5970" s="4">
        <v>0.07</v>
      </c>
      <c r="I5970" s="4">
        <v>1.184</v>
      </c>
      <c r="J5970" s="4">
        <v>0.04</v>
      </c>
      <c r="K5970" s="6" t="b">
        <f t="shared" ref="K5970:L5970" si="5723">FALSE()</f>
        <v>0</v>
      </c>
      <c r="L5970" s="6" t="b">
        <f t="shared" si="5723"/>
        <v>0</v>
      </c>
      <c r="M5970" s="6" t="b">
        <f t="shared" si="5722"/>
        <v>1</v>
      </c>
      <c r="N5970" s="4">
        <v>0.641853886172395</v>
      </c>
      <c r="P5970" s="4">
        <v>0.781158057882659</v>
      </c>
      <c r="T5970" s="4">
        <f t="shared" si="3"/>
        <v>715</v>
      </c>
      <c r="U5970" s="4">
        <f t="shared" si="4"/>
        <v>408</v>
      </c>
    </row>
    <row r="5971" ht="15.75" customHeight="1">
      <c r="A5971" s="4" t="s">
        <v>1911</v>
      </c>
      <c r="B5971" s="4" t="s">
        <v>13</v>
      </c>
      <c r="C5971" s="4">
        <v>0.62</v>
      </c>
      <c r="D5971" s="4">
        <v>0.02</v>
      </c>
      <c r="E5971" s="4">
        <v>0.02</v>
      </c>
      <c r="I5971" s="4">
        <v>0.973</v>
      </c>
      <c r="J5971" s="4">
        <v>0.03</v>
      </c>
      <c r="K5971" s="6" t="b">
        <f t="shared" ref="K5971:L5971" si="5724">FALSE()</f>
        <v>0</v>
      </c>
      <c r="L5971" s="6" t="b">
        <f t="shared" si="5724"/>
        <v>0</v>
      </c>
      <c r="M5971" s="6" t="b">
        <f t="shared" si="5722"/>
        <v>1</v>
      </c>
      <c r="N5971" s="4">
        <v>0.482426149244293</v>
      </c>
      <c r="P5971" s="4">
        <v>0.679555227040478</v>
      </c>
      <c r="T5971" s="4">
        <f t="shared" si="3"/>
        <v>876</v>
      </c>
      <c r="U5971" s="4">
        <f t="shared" si="4"/>
        <v>700</v>
      </c>
    </row>
    <row r="5972" ht="15.75" customHeight="1">
      <c r="A5972" s="4" t="s">
        <v>6083</v>
      </c>
      <c r="B5972" s="4" t="s">
        <v>13</v>
      </c>
      <c r="D5972" s="4">
        <v>0.01</v>
      </c>
      <c r="E5972" s="4">
        <v>0.01</v>
      </c>
      <c r="F5972" s="4">
        <v>0.26</v>
      </c>
      <c r="G5972" s="4">
        <v>0.01</v>
      </c>
      <c r="H5972" s="4">
        <v>0.01</v>
      </c>
      <c r="K5972" s="6" t="b">
        <f t="shared" ref="K5972:M5972" si="5725">FALSE()</f>
        <v>0</v>
      </c>
      <c r="L5972" s="6" t="b">
        <f t="shared" si="5725"/>
        <v>0</v>
      </c>
      <c r="M5972" s="6" t="b">
        <f t="shared" si="5725"/>
        <v>0</v>
      </c>
      <c r="O5972" s="4">
        <v>0.231111720963387</v>
      </c>
      <c r="T5972" s="4" t="str">
        <f t="shared" si="3"/>
        <v/>
      </c>
      <c r="U5972" s="4" t="str">
        <f t="shared" si="4"/>
        <v/>
      </c>
    </row>
    <row r="5973" ht="15.75" customHeight="1">
      <c r="A5973" s="4" t="s">
        <v>6084</v>
      </c>
      <c r="B5973" s="4" t="s">
        <v>13</v>
      </c>
      <c r="D5973" s="4">
        <v>0.05</v>
      </c>
      <c r="E5973" s="4">
        <v>0.05</v>
      </c>
      <c r="F5973" s="4">
        <v>1.38</v>
      </c>
      <c r="G5973" s="4">
        <v>0.05</v>
      </c>
      <c r="H5973" s="4">
        <v>0.05</v>
      </c>
      <c r="K5973" s="6" t="b">
        <f t="shared" ref="K5973:M5973" si="5726">FALSE()</f>
        <v>0</v>
      </c>
      <c r="L5973" s="6" t="b">
        <f t="shared" si="5726"/>
        <v>0</v>
      </c>
      <c r="M5973" s="6" t="b">
        <f t="shared" si="5726"/>
        <v>0</v>
      </c>
      <c r="O5973" s="4">
        <v>0.867100487683383</v>
      </c>
      <c r="T5973" s="4" t="str">
        <f t="shared" si="3"/>
        <v/>
      </c>
      <c r="U5973" s="4" t="str">
        <f t="shared" si="4"/>
        <v/>
      </c>
    </row>
    <row r="5974" ht="15.75" customHeight="1">
      <c r="A5974" s="4" t="s">
        <v>6085</v>
      </c>
      <c r="B5974" s="4" t="s">
        <v>13</v>
      </c>
      <c r="D5974" s="4">
        <v>0.51</v>
      </c>
      <c r="E5974" s="4">
        <v>1.2</v>
      </c>
      <c r="F5974" s="4">
        <v>3.71</v>
      </c>
      <c r="G5974" s="4">
        <v>0.51</v>
      </c>
      <c r="H5974" s="4">
        <v>1.2</v>
      </c>
      <c r="K5974" s="6" t="b">
        <f t="shared" ref="K5974:M5974" si="5727">FALSE()</f>
        <v>0</v>
      </c>
      <c r="L5974" s="6" t="b">
        <f t="shared" si="5727"/>
        <v>0</v>
      </c>
      <c r="M5974" s="6" t="b">
        <f t="shared" si="5727"/>
        <v>0</v>
      </c>
      <c r="O5974" s="4">
        <v>1.54968790802833</v>
      </c>
      <c r="T5974" s="4" t="str">
        <f t="shared" si="3"/>
        <v/>
      </c>
      <c r="U5974" s="4" t="str">
        <f t="shared" si="4"/>
        <v/>
      </c>
    </row>
    <row r="5975" ht="15.75" customHeight="1">
      <c r="A5975" s="4" t="s">
        <v>175</v>
      </c>
      <c r="B5975" s="4" t="s">
        <v>13</v>
      </c>
      <c r="C5975" s="4">
        <v>11.79</v>
      </c>
      <c r="D5975" s="4">
        <v>0.59</v>
      </c>
      <c r="E5975" s="4">
        <v>0.59</v>
      </c>
      <c r="I5975" s="4">
        <v>1.217</v>
      </c>
      <c r="J5975" s="4">
        <v>0.073</v>
      </c>
      <c r="K5975" s="6" t="b">
        <f>TRUE()</f>
        <v>1</v>
      </c>
      <c r="L5975" s="6" t="b">
        <f>FALSE()</f>
        <v>0</v>
      </c>
      <c r="M5975" s="6" t="b">
        <f t="shared" ref="M5975:M5979" si="5729">TRUE()</f>
        <v>1</v>
      </c>
      <c r="N5975" s="4">
        <v>2.54866361559075</v>
      </c>
      <c r="P5975" s="4">
        <v>0.796154930634174</v>
      </c>
      <c r="T5975" s="4">
        <f t="shared" si="3"/>
        <v>24</v>
      </c>
      <c r="U5975" s="4">
        <f t="shared" si="4"/>
        <v>356</v>
      </c>
    </row>
    <row r="5976" ht="15.75" customHeight="1">
      <c r="A5976" s="4" t="s">
        <v>1912</v>
      </c>
      <c r="B5976" s="4" t="s">
        <v>13</v>
      </c>
      <c r="C5976" s="4">
        <v>1.616</v>
      </c>
      <c r="D5976" s="4">
        <v>0.1</v>
      </c>
      <c r="E5976" s="4">
        <v>0.101</v>
      </c>
      <c r="F5976" s="4">
        <v>1.615</v>
      </c>
      <c r="G5976" s="4">
        <v>0.1</v>
      </c>
      <c r="H5976" s="4">
        <v>0.1</v>
      </c>
      <c r="I5976" s="4">
        <v>1.317</v>
      </c>
      <c r="J5976" s="4">
        <v>0.029</v>
      </c>
      <c r="K5976" s="6" t="b">
        <f t="shared" ref="K5976:L5976" si="5728">FALSE()</f>
        <v>0</v>
      </c>
      <c r="L5976" s="6" t="b">
        <f t="shared" si="5728"/>
        <v>0</v>
      </c>
      <c r="M5976" s="6" t="b">
        <f t="shared" si="5729"/>
        <v>1</v>
      </c>
      <c r="N5976" s="4">
        <v>0.961646433594952</v>
      </c>
      <c r="O5976" s="4">
        <v>0.961264097516886</v>
      </c>
      <c r="P5976" s="4">
        <v>0.840273245450239</v>
      </c>
      <c r="Q5976" s="4">
        <v>0.36453190961332</v>
      </c>
      <c r="R5976" s="4">
        <v>0.372149849143109</v>
      </c>
      <c r="S5976" s="4">
        <v>0.920026165557362</v>
      </c>
      <c r="T5976" s="4">
        <f t="shared" si="3"/>
        <v>496</v>
      </c>
      <c r="U5976" s="4">
        <f t="shared" si="4"/>
        <v>238</v>
      </c>
    </row>
    <row r="5977" ht="15.75" customHeight="1">
      <c r="A5977" s="4" t="s">
        <v>1913</v>
      </c>
      <c r="B5977" s="4" t="s">
        <v>13</v>
      </c>
      <c r="C5977" s="4">
        <v>1.077</v>
      </c>
      <c r="D5977" s="4">
        <v>0.037</v>
      </c>
      <c r="E5977" s="4">
        <v>0.037</v>
      </c>
      <c r="I5977" s="4">
        <v>1.03</v>
      </c>
      <c r="J5977" s="4">
        <v>0.05</v>
      </c>
      <c r="K5977" s="6" t="b">
        <f t="shared" ref="K5977:L5977" si="5730">FALSE()</f>
        <v>0</v>
      </c>
      <c r="L5977" s="6" t="b">
        <f t="shared" si="5730"/>
        <v>0</v>
      </c>
      <c r="M5977" s="6" t="b">
        <f t="shared" si="5729"/>
        <v>1</v>
      </c>
      <c r="N5977" s="4">
        <v>0.730924544893975</v>
      </c>
      <c r="P5977" s="4">
        <v>0.708035793053696</v>
      </c>
      <c r="T5977" s="4">
        <f t="shared" si="3"/>
        <v>635</v>
      </c>
      <c r="U5977" s="4">
        <f t="shared" si="4"/>
        <v>633</v>
      </c>
    </row>
    <row r="5978" ht="15.75" customHeight="1">
      <c r="A5978" s="4" t="s">
        <v>1914</v>
      </c>
      <c r="B5978" s="4" t="s">
        <v>13</v>
      </c>
      <c r="C5978" s="4">
        <v>4.47</v>
      </c>
      <c r="D5978" s="4">
        <v>0.12</v>
      </c>
      <c r="E5978" s="4">
        <v>0.12</v>
      </c>
      <c r="I5978" s="4">
        <v>2.17</v>
      </c>
      <c r="J5978" s="4">
        <v>0.2</v>
      </c>
      <c r="K5978" s="6" t="b">
        <f>TRUE()</f>
        <v>1</v>
      </c>
      <c r="L5978" s="6" t="b">
        <f>FALSE()</f>
        <v>0</v>
      </c>
      <c r="M5978" s="6" t="b">
        <f t="shared" si="5729"/>
        <v>1</v>
      </c>
      <c r="N5978" s="4">
        <v>1.69927861643389</v>
      </c>
      <c r="P5978" s="4">
        <v>1.15373158788919</v>
      </c>
      <c r="T5978" s="4">
        <f t="shared" si="3"/>
        <v>231</v>
      </c>
      <c r="U5978" s="4">
        <f t="shared" si="4"/>
        <v>6</v>
      </c>
    </row>
    <row r="5979" ht="15.75" customHeight="1">
      <c r="A5979" s="4" t="s">
        <v>1915</v>
      </c>
      <c r="B5979" s="4" t="s">
        <v>13</v>
      </c>
      <c r="C5979" s="4">
        <v>0.726</v>
      </c>
      <c r="D5979" s="4">
        <v>0.038</v>
      </c>
      <c r="E5979" s="4">
        <v>0.038</v>
      </c>
      <c r="I5979" s="4">
        <v>1.346</v>
      </c>
      <c r="J5979" s="4">
        <v>0.02</v>
      </c>
      <c r="K5979" s="6" t="b">
        <f t="shared" ref="K5979:L5979" si="5731">FALSE()</f>
        <v>0</v>
      </c>
      <c r="L5979" s="6" t="b">
        <f t="shared" si="5731"/>
        <v>0</v>
      </c>
      <c r="M5979" s="6" t="b">
        <f t="shared" si="5729"/>
        <v>1</v>
      </c>
      <c r="N5979" s="4">
        <v>0.545806592661236</v>
      </c>
      <c r="P5979" s="4">
        <v>0.852711750231284</v>
      </c>
      <c r="T5979" s="4">
        <f t="shared" si="3"/>
        <v>804</v>
      </c>
      <c r="U5979" s="4">
        <f t="shared" si="4"/>
        <v>212</v>
      </c>
    </row>
    <row r="5980" ht="15.75" customHeight="1">
      <c r="A5980" s="4" t="s">
        <v>6086</v>
      </c>
      <c r="B5980" s="4" t="s">
        <v>13</v>
      </c>
      <c r="D5980" s="4">
        <v>2.1</v>
      </c>
      <c r="E5980" s="4">
        <v>20.9</v>
      </c>
      <c r="F5980" s="4">
        <v>10.5</v>
      </c>
      <c r="G5980" s="4">
        <v>2.1</v>
      </c>
      <c r="H5980" s="4">
        <v>20.9</v>
      </c>
      <c r="I5980" s="4">
        <v>0.389</v>
      </c>
      <c r="J5980" s="4">
        <v>0.0292</v>
      </c>
      <c r="K5980" s="6" t="b">
        <f t="shared" ref="K5980:K5983" si="5732">FALSE()</f>
        <v>0</v>
      </c>
      <c r="L5980" s="6" t="b">
        <f>TRUE()</f>
        <v>1</v>
      </c>
      <c r="M5980" s="6" t="b">
        <f>FALSE()</f>
        <v>0</v>
      </c>
      <c r="O5980" s="4">
        <v>2.4423470353692</v>
      </c>
      <c r="P5980" s="4">
        <v>0.328584063772207</v>
      </c>
      <c r="T5980" s="4" t="str">
        <f t="shared" si="3"/>
        <v/>
      </c>
      <c r="U5980" s="4">
        <f t="shared" si="4"/>
        <v>1131</v>
      </c>
    </row>
    <row r="5981" ht="15.75" customHeight="1">
      <c r="A5981" s="4" t="s">
        <v>6087</v>
      </c>
      <c r="B5981" s="4" t="s">
        <v>13</v>
      </c>
      <c r="D5981" s="4">
        <v>0.05</v>
      </c>
      <c r="E5981" s="4">
        <v>0.05</v>
      </c>
      <c r="F5981" s="4">
        <v>0.34</v>
      </c>
      <c r="G5981" s="4">
        <v>0.05</v>
      </c>
      <c r="H5981" s="4">
        <v>0.05</v>
      </c>
      <c r="K5981" s="6" t="b">
        <f t="shared" si="5732"/>
        <v>0</v>
      </c>
      <c r="L5981" s="6" t="b">
        <f t="shared" ref="L5981:M5981" si="5733">FALSE()</f>
        <v>0</v>
      </c>
      <c r="M5981" s="6" t="b">
        <f t="shared" si="5733"/>
        <v>0</v>
      </c>
      <c r="O5981" s="4">
        <v>0.29266961396282</v>
      </c>
      <c r="T5981" s="4" t="str">
        <f t="shared" si="3"/>
        <v/>
      </c>
      <c r="U5981" s="4" t="str">
        <f t="shared" si="4"/>
        <v/>
      </c>
    </row>
    <row r="5982" ht="15.75" customHeight="1">
      <c r="A5982" s="4" t="s">
        <v>6088</v>
      </c>
      <c r="B5982" s="4" t="s">
        <v>13</v>
      </c>
      <c r="D5982" s="4">
        <v>0.11</v>
      </c>
      <c r="E5982" s="4">
        <v>0.11</v>
      </c>
      <c r="F5982" s="4">
        <v>0.4</v>
      </c>
      <c r="G5982" s="4">
        <v>0.11</v>
      </c>
      <c r="H5982" s="4">
        <v>0.11</v>
      </c>
      <c r="K5982" s="6" t="b">
        <f t="shared" si="5732"/>
        <v>0</v>
      </c>
      <c r="L5982" s="6" t="b">
        <f t="shared" ref="L5982:M5982" si="5734">FALSE()</f>
        <v>0</v>
      </c>
      <c r="M5982" s="6" t="b">
        <f t="shared" si="5734"/>
        <v>0</v>
      </c>
      <c r="O5982" s="4">
        <v>0.336472236621213</v>
      </c>
      <c r="T5982" s="4" t="str">
        <f t="shared" si="3"/>
        <v/>
      </c>
      <c r="U5982" s="4" t="str">
        <f t="shared" si="4"/>
        <v/>
      </c>
    </row>
    <row r="5983" ht="15.75" customHeight="1">
      <c r="A5983" s="4" t="s">
        <v>6089</v>
      </c>
      <c r="B5983" s="4" t="s">
        <v>13</v>
      </c>
      <c r="D5983" s="4">
        <v>0.05</v>
      </c>
      <c r="E5983" s="4">
        <v>0.05</v>
      </c>
      <c r="F5983" s="4">
        <v>0.46</v>
      </c>
      <c r="G5983" s="4">
        <v>0.05</v>
      </c>
      <c r="H5983" s="4">
        <v>0.05</v>
      </c>
      <c r="K5983" s="6" t="b">
        <f t="shared" si="5732"/>
        <v>0</v>
      </c>
      <c r="L5983" s="6" t="b">
        <f t="shared" ref="L5983:M5983" si="5735">FALSE()</f>
        <v>0</v>
      </c>
      <c r="M5983" s="6" t="b">
        <f t="shared" si="5735"/>
        <v>0</v>
      </c>
      <c r="O5983" s="4">
        <v>0.378436435720245</v>
      </c>
      <c r="T5983" s="4" t="str">
        <f t="shared" si="3"/>
        <v/>
      </c>
      <c r="U5983" s="4" t="str">
        <f t="shared" si="4"/>
        <v/>
      </c>
    </row>
    <row r="5984" ht="15.75" customHeight="1">
      <c r="A5984" s="4" t="s">
        <v>6090</v>
      </c>
      <c r="B5984" s="4" t="s">
        <v>13</v>
      </c>
      <c r="C5984" s="4">
        <v>6.3</v>
      </c>
      <c r="D5984" s="4">
        <v>0.9</v>
      </c>
      <c r="E5984" s="4">
        <v>1.6</v>
      </c>
      <c r="K5984" s="6" t="b">
        <f>TRUE()</f>
        <v>1</v>
      </c>
      <c r="L5984" s="6" t="b">
        <f t="shared" ref="L5984:M5984" si="5736">FALSE()</f>
        <v>0</v>
      </c>
      <c r="M5984" s="6" t="b">
        <f t="shared" si="5736"/>
        <v>0</v>
      </c>
      <c r="N5984" s="4">
        <v>1.98787434815435</v>
      </c>
      <c r="T5984" s="4">
        <f t="shared" si="3"/>
        <v>155</v>
      </c>
      <c r="U5984" s="4" t="str">
        <f t="shared" si="4"/>
        <v/>
      </c>
    </row>
    <row r="5985" ht="15.75" customHeight="1">
      <c r="A5985" s="4" t="s">
        <v>6091</v>
      </c>
      <c r="B5985" s="4" t="s">
        <v>13</v>
      </c>
      <c r="D5985" s="4">
        <v>2.8E-4</v>
      </c>
      <c r="E5985" s="4">
        <v>2.8E-4</v>
      </c>
      <c r="F5985" s="4">
        <v>0.0022</v>
      </c>
      <c r="G5985" s="4">
        <v>2.8E-4</v>
      </c>
      <c r="H5985" s="4">
        <v>2.8E-4</v>
      </c>
      <c r="K5985" s="6" t="b">
        <f t="shared" ref="K5985:M5985" si="5737">FALSE()</f>
        <v>0</v>
      </c>
      <c r="L5985" s="6" t="b">
        <f t="shared" si="5737"/>
        <v>0</v>
      </c>
      <c r="M5985" s="6" t="b">
        <f t="shared" si="5737"/>
        <v>0</v>
      </c>
      <c r="O5985" s="4">
        <v>0.0021975835434872</v>
      </c>
      <c r="T5985" s="4" t="str">
        <f t="shared" si="3"/>
        <v/>
      </c>
      <c r="U5985" s="4" t="str">
        <f t="shared" si="4"/>
        <v/>
      </c>
    </row>
    <row r="5986" ht="15.75" customHeight="1">
      <c r="A5986" s="4" t="s">
        <v>6092</v>
      </c>
      <c r="B5986" s="4" t="s">
        <v>13</v>
      </c>
      <c r="D5986" s="4">
        <v>3.5E-4</v>
      </c>
      <c r="E5986" s="4">
        <v>3.5E-4</v>
      </c>
      <c r="F5986" s="4">
        <v>0.00359</v>
      </c>
      <c r="G5986" s="4">
        <v>3.5E-4</v>
      </c>
      <c r="H5986" s="4">
        <v>3.5E-4</v>
      </c>
      <c r="K5986" s="6" t="b">
        <f t="shared" ref="K5986:M5986" si="5738">FALSE()</f>
        <v>0</v>
      </c>
      <c r="L5986" s="6" t="b">
        <f t="shared" si="5738"/>
        <v>0</v>
      </c>
      <c r="M5986" s="6" t="b">
        <f t="shared" si="5738"/>
        <v>0</v>
      </c>
      <c r="O5986" s="4">
        <v>0.0035835713313527</v>
      </c>
      <c r="T5986" s="4" t="str">
        <f t="shared" si="3"/>
        <v/>
      </c>
      <c r="U5986" s="4" t="str">
        <f t="shared" si="4"/>
        <v/>
      </c>
    </row>
    <row r="5987" ht="15.75" customHeight="1">
      <c r="A5987" s="4" t="s">
        <v>6093</v>
      </c>
      <c r="B5987" s="4" t="s">
        <v>13</v>
      </c>
      <c r="D5987" s="4">
        <v>3.8E-4</v>
      </c>
      <c r="E5987" s="4">
        <v>3.8E-4</v>
      </c>
      <c r="F5987" s="4">
        <v>0.00343</v>
      </c>
      <c r="G5987" s="4">
        <v>3.8E-4</v>
      </c>
      <c r="H5987" s="4">
        <v>3.8E-4</v>
      </c>
      <c r="K5987" s="6" t="b">
        <f t="shared" ref="K5987:M5987" si="5739">FALSE()</f>
        <v>0</v>
      </c>
      <c r="L5987" s="6" t="b">
        <f t="shared" si="5739"/>
        <v>0</v>
      </c>
      <c r="M5987" s="6" t="b">
        <f t="shared" si="5739"/>
        <v>0</v>
      </c>
      <c r="O5987" s="4">
        <v>0.0034241309666937</v>
      </c>
      <c r="T5987" s="4" t="str">
        <f t="shared" si="3"/>
        <v/>
      </c>
      <c r="U5987" s="4" t="str">
        <f t="shared" si="4"/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4" width="18.0"/>
    <col customWidth="1" min="5" max="26" width="8.71"/>
  </cols>
  <sheetData>
    <row r="1" ht="25.5" customHeight="1">
      <c r="A1" s="2" t="s">
        <v>6</v>
      </c>
    </row>
    <row r="3">
      <c r="A3" s="1" t="s">
        <v>23</v>
      </c>
      <c r="B3" s="1" t="s">
        <v>25</v>
      </c>
      <c r="C3" s="1" t="s">
        <v>27</v>
      </c>
      <c r="D3" s="1" t="s">
        <v>28</v>
      </c>
    </row>
    <row r="4">
      <c r="A4" s="5" t="s">
        <v>29</v>
      </c>
      <c r="B4" s="7">
        <f>COUNT('Cleaned Data'!$C$2:$C$5987)</f>
        <v>2079</v>
      </c>
      <c r="C4" s="7">
        <f>COUNT('Cleaned Data'!$F$2:$F$5987)</f>
        <v>1202</v>
      </c>
      <c r="D4" s="7">
        <f>COUNT('Cleaned Data'!$I$2:$I$5987)</f>
        <v>4568</v>
      </c>
    </row>
    <row r="5">
      <c r="A5" s="8" t="s">
        <v>31</v>
      </c>
      <c r="B5" s="9">
        <f>AVERAGE('Cleaned Data'!$C$2:$C$5987)</f>
        <v>1.492538475</v>
      </c>
      <c r="C5" s="9">
        <f>AVERAGE('Cleaned Data'!$F$2:$F$5987)</f>
        <v>1.983528789</v>
      </c>
      <c r="D5" s="9">
        <f>AVERAGE('Cleaned Data'!$I$2:$I$5987)</f>
        <v>0.4015150366</v>
      </c>
    </row>
    <row r="6">
      <c r="A6" s="5" t="s">
        <v>33</v>
      </c>
      <c r="B6" s="10">
        <f>MEDIAN('Cleaned Data'!$C$2:$C$5987)</f>
        <v>0.37</v>
      </c>
      <c r="C6" s="10">
        <f>MEDIAN('Cleaned Data'!$F$2:$F$5987)</f>
        <v>0.7315</v>
      </c>
      <c r="D6" s="10">
        <f>MEDIAN('Cleaned Data'!$I$2:$I$5987)</f>
        <v>0.219</v>
      </c>
    </row>
    <row r="7">
      <c r="A7" s="8" t="s">
        <v>39</v>
      </c>
      <c r="B7" s="9">
        <f>STDEV('Cleaned Data'!$C$2:$C$5987)</f>
        <v>2.602285677</v>
      </c>
      <c r="C7" s="9">
        <f>STDEV('Cleaned Data'!$F$2:$F$5987)</f>
        <v>3.199717165</v>
      </c>
      <c r="D7" s="9">
        <f>STDEV('Cleaned Data'!$I$2:$I$5987)</f>
        <v>0.4306012921</v>
      </c>
    </row>
    <row r="8">
      <c r="A8" s="5" t="s">
        <v>42</v>
      </c>
      <c r="B8" s="10">
        <f>VAR('Cleaned Data'!$C$2:$C$5987)</f>
        <v>6.771890743</v>
      </c>
      <c r="C8" s="10">
        <f>VAR('Cleaned Data'!$F$2:$F$5987)</f>
        <v>10.23818994</v>
      </c>
      <c r="D8" s="10">
        <f>VAR('Cleaned Data'!$I$2:$I$5987)</f>
        <v>0.1854174727</v>
      </c>
    </row>
    <row r="9">
      <c r="A9" s="8" t="s">
        <v>45</v>
      </c>
      <c r="B9" s="9">
        <f>MIN('Cleaned Data'!$C$2:$C$5987)</f>
        <v>0.00019</v>
      </c>
      <c r="C9" s="9">
        <f>MIN('Cleaned Data'!$F$2:$F$5987)</f>
        <v>0.00047</v>
      </c>
      <c r="D9" s="9">
        <f>MIN('Cleaned Data'!$I$2:$I$5987)</f>
        <v>0.02543</v>
      </c>
    </row>
    <row r="10">
      <c r="A10" s="5" t="s">
        <v>47</v>
      </c>
      <c r="B10" s="10">
        <f>QUARTILE('Cleaned Data'!$C$2:$C$5987,1)</f>
        <v>0.029655</v>
      </c>
      <c r="C10" s="10">
        <f>QUARTILE('Cleaned Data'!$F$2:$F$5987,1)</f>
        <v>0.045</v>
      </c>
      <c r="D10" s="10">
        <f>QUARTILE('Cleaned Data'!$I$2:$I$5987,1)</f>
        <v>0.145</v>
      </c>
    </row>
    <row r="11">
      <c r="A11" s="8" t="s">
        <v>49</v>
      </c>
      <c r="B11" s="9">
        <f>QUARTILE('Cleaned Data'!$C$2:$C$5987,3)</f>
        <v>1.4665</v>
      </c>
      <c r="C11" s="9">
        <f>QUARTILE('Cleaned Data'!$F$2:$F$5987,3)</f>
        <v>2.4</v>
      </c>
      <c r="D11" s="9">
        <f>QUARTILE('Cleaned Data'!$I$2:$I$5987,3)</f>
        <v>0.384</v>
      </c>
    </row>
    <row r="12">
      <c r="A12" s="5" t="s">
        <v>52</v>
      </c>
      <c r="B12" s="10">
        <f>MAX('Cleaned Data'!$C$2:$C$5987)</f>
        <v>12.934</v>
      </c>
      <c r="C12" s="10">
        <f>MAX('Cleaned Data'!$F$2:$F$5987)</f>
        <v>50</v>
      </c>
      <c r="D12" s="10">
        <f>MAX('Cleaned Data'!$I$2:$I$5987)</f>
        <v>6.9</v>
      </c>
    </row>
    <row r="13">
      <c r="A13" s="8" t="s">
        <v>53</v>
      </c>
      <c r="B13" s="9">
        <f>MAX('Cleaned Data'!$C$2:$C$5987)-MIN('Cleaned Data'!$C$2:$C$5987)</f>
        <v>12.93381</v>
      </c>
      <c r="C13" s="9">
        <f>MAX('Cleaned Data'!$F$2:$F$5987)-MIN('Cleaned Data'!$F$2:$F$5987)</f>
        <v>49.99953</v>
      </c>
      <c r="D13" s="9">
        <f>MAX('Cleaned Data'!$I$2:$I$5987)-MIN('Cleaned Data'!$I$2:$I$5987)</f>
        <v>6.87457</v>
      </c>
    </row>
    <row r="14">
      <c r="A14" s="5" t="s">
        <v>56</v>
      </c>
      <c r="B14" s="10">
        <f>QUARTILE('Cleaned Data'!$C$2:$C$5987,3)-QUARTILE('Cleaned Data'!$C$2:$C$5987,1)</f>
        <v>1.436845</v>
      </c>
      <c r="C14" s="10">
        <f>QUARTILE('Cleaned Data'!$F$2:$F$5987,3)-QUARTILE('Cleaned Data'!$F$2:$F$5987,1)</f>
        <v>2.355</v>
      </c>
      <c r="D14" s="10">
        <f>QUARTILE('Cleaned Data'!$I$2:$I$5987,3)-QUARTILE('Cleaned Data'!$I$2:$I$5987,1)</f>
        <v>0.239</v>
      </c>
    </row>
    <row r="15">
      <c r="A15" s="8" t="s">
        <v>61</v>
      </c>
      <c r="B15" s="9">
        <f>STDEV('Cleaned Data'!$C$2:$C$5987)/AVERAGE('Cleaned Data'!$C$2:$C$5987)*100</f>
        <v>174.3530046</v>
      </c>
      <c r="C15" s="9">
        <f>STDEV('Cleaned Data'!$F$2:$F$5987)/AVERAGE('Cleaned Data'!$F$2:$F$5987)*100</f>
        <v>161.3143798</v>
      </c>
      <c r="D15" s="9">
        <f>STDEV('Cleaned Data'!$I$2:$I$5987)/AVERAGE('Cleaned Data'!$I$2:$I$5987)*100</f>
        <v>107.2441261</v>
      </c>
    </row>
    <row r="18">
      <c r="A18" s="14" t="s">
        <v>65</v>
      </c>
    </row>
    <row r="19">
      <c r="A19" s="1" t="s">
        <v>67</v>
      </c>
      <c r="B19" s="1" t="s">
        <v>68</v>
      </c>
      <c r="C19" s="1" t="s">
        <v>70</v>
      </c>
      <c r="D19" s="1" t="s">
        <v>71</v>
      </c>
    </row>
    <row r="20">
      <c r="A20" s="15" t="s">
        <v>72</v>
      </c>
      <c r="B20" s="15">
        <f>COUNT('Cleaned Data'!$C$2:$C$5987)</f>
        <v>2079</v>
      </c>
      <c r="C20" s="15">
        <f>COUNTA('Cleaned Data'!$A$2:$A$5987)</f>
        <v>5986</v>
      </c>
      <c r="D20" s="16">
        <f t="shared" ref="D20:D22" si="1">B20/C20</f>
        <v>0.3473103909</v>
      </c>
    </row>
    <row r="21" ht="15.75" customHeight="1">
      <c r="A21" s="17" t="s">
        <v>76</v>
      </c>
      <c r="B21" s="17">
        <f>COUNT('Cleaned Data'!$F$2:$F$5987)</f>
        <v>1202</v>
      </c>
      <c r="C21" s="17">
        <f>COUNTA('Cleaned Data'!$A$2:$A$5987)</f>
        <v>5986</v>
      </c>
      <c r="D21" s="18">
        <f t="shared" si="1"/>
        <v>0.200801871</v>
      </c>
    </row>
    <row r="22" ht="15.75" customHeight="1">
      <c r="A22" s="15" t="s">
        <v>79</v>
      </c>
      <c r="B22" s="15">
        <f>COUNT('Cleaned Data'!$I$2:$I$5987)</f>
        <v>4568</v>
      </c>
      <c r="C22" s="15">
        <f>COUNTA('Cleaned Data'!$A$2:$A$5987)</f>
        <v>5986</v>
      </c>
      <c r="D22" s="16">
        <f t="shared" si="1"/>
        <v>0.7631139325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26" width="8.71"/>
  </cols>
  <sheetData>
    <row r="1">
      <c r="A1" s="1" t="s">
        <v>1</v>
      </c>
      <c r="B1" s="1" t="s">
        <v>11</v>
      </c>
    </row>
    <row r="2">
      <c r="A2" s="3" t="s">
        <v>13</v>
      </c>
      <c r="B2" s="3">
        <f>COUNTIF('Cleaned Data'!$B$2:$B$5987,A2)</f>
        <v>5986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12.0"/>
    <col customWidth="1" min="4" max="4" width="3.0"/>
    <col customWidth="1" min="5" max="5" width="6.0"/>
    <col customWidth="1" min="6" max="6" width="20.0"/>
    <col customWidth="1" min="7" max="7" width="12.0"/>
    <col customWidth="1" min="8" max="26" width="8.71"/>
  </cols>
  <sheetData>
    <row r="1" ht="25.5" customHeight="1">
      <c r="A1" s="2" t="s">
        <v>36</v>
      </c>
    </row>
    <row r="3">
      <c r="A3" s="1" t="s">
        <v>37</v>
      </c>
      <c r="B3" s="1" t="s">
        <v>40</v>
      </c>
      <c r="C3" s="1" t="s">
        <v>25</v>
      </c>
      <c r="E3" s="1" t="s">
        <v>37</v>
      </c>
      <c r="F3" s="1" t="s">
        <v>40</v>
      </c>
      <c r="G3" s="1" t="s">
        <v>28</v>
      </c>
    </row>
    <row r="4">
      <c r="A4" s="3">
        <v>1.0</v>
      </c>
      <c r="B4" s="3" t="str">
        <f t="array" ref="B4">INDEX('Cleaned Data'!$A$2:$A$5987,MATCH(1,'Cleaned Data'!$T$2:$T$5987,0))</f>
        <v>GJ 2030 Ac</v>
      </c>
      <c r="C4" s="11">
        <f t="array" ref="C4">INDEX('Cleaned Data'!$C$2:$C$5987,MATCH(1,'Cleaned Data'!$T$2:$T$5987,0))</f>
        <v>12.934</v>
      </c>
      <c r="E4" s="3">
        <v>1.0</v>
      </c>
      <c r="F4" s="3" t="str">
        <f t="array" ref="F4">INDEX('Cleaned Data'!$A$2:$A$5987,MATCH(1,'Cleaned Data'!$U$2:$U$5987,0))</f>
        <v>HD 100546 b</v>
      </c>
      <c r="G4" s="11">
        <f t="array" ref="G4">INDEX('Cleaned Data'!$I$2:$I$5987,MATCH(1,'Cleaned Data'!$U$2:$U$5987,0))</f>
        <v>6.9</v>
      </c>
    </row>
    <row r="5">
      <c r="A5" s="12">
        <v>2.0</v>
      </c>
      <c r="B5" s="12" t="str">
        <f t="array" ref="B5">INDEX('Cleaned Data'!$A$2:$A$5987,MATCH(2,'Cleaned Data'!$T$2:$T$5987,0))</f>
        <v>HATS-70 b</v>
      </c>
      <c r="C5" s="13">
        <f t="array" ref="C5">INDEX('Cleaned Data'!$C$2:$C$5987,MATCH(2,'Cleaned Data'!$T$2:$T$5987,0))</f>
        <v>12.9</v>
      </c>
      <c r="E5" s="12">
        <v>2.0</v>
      </c>
      <c r="F5" s="12" t="str">
        <f t="array" ref="F5">INDEX('Cleaned Data'!$A$2:$A$5987,MATCH(2,'Cleaned Data'!$U$2:$U$5987,0))</f>
        <v>KOI-7073 b</v>
      </c>
      <c r="G5" s="13">
        <f t="array" ref="G5">INDEX('Cleaned Data'!$I$2:$I$5987,MATCH(2,'Cleaned Data'!$U$2:$U$5987,0))</f>
        <v>2.6987</v>
      </c>
    </row>
    <row r="6">
      <c r="A6" s="3">
        <v>3.0</v>
      </c>
      <c r="B6" s="3" t="str">
        <f t="array" ref="B6">INDEX('Cleaned Data'!$A$2:$A$5987,MATCH(3,'Cleaned Data'!$T$2:$T$5987,0))</f>
        <v>TOI-4603 b</v>
      </c>
      <c r="C6" s="11">
        <f t="array" ref="C6">INDEX('Cleaned Data'!$C$2:$C$5987,MATCH(3,'Cleaned Data'!$T$2:$T$5987,0))</f>
        <v>12.89</v>
      </c>
      <c r="E6" s="3">
        <v>3.0</v>
      </c>
      <c r="F6" s="3" t="str">
        <f t="array" ref="F6">INDEX('Cleaned Data'!$A$2:$A$5987,MATCH(3,'Cleaned Data'!$U$2:$U$5987,0))</f>
        <v>Kepler-450 Ac</v>
      </c>
      <c r="G6" s="11">
        <f t="array" ref="G6">INDEX('Cleaned Data'!$I$2:$I$5987,MATCH(3,'Cleaned Data'!$U$2:$U$5987,0))</f>
        <v>2.59</v>
      </c>
    </row>
    <row r="7">
      <c r="A7" s="12">
        <v>4.0</v>
      </c>
      <c r="B7" s="12" t="str">
        <f t="array" ref="B7">INDEX('Cleaned Data'!$A$2:$A$5987,MATCH(4,'Cleaned Data'!$T$2:$T$5987,0))</f>
        <v>HD 11506 d</v>
      </c>
      <c r="C7" s="13">
        <f t="array" ref="C7">INDEX('Cleaned Data'!$C$2:$C$5987,MATCH(4,'Cleaned Data'!$T$2:$T$5987,0))</f>
        <v>12.8</v>
      </c>
      <c r="E7" s="12">
        <v>4.0</v>
      </c>
      <c r="F7" s="12" t="str">
        <f t="array" ref="F7">INDEX('Cleaned Data'!$A$2:$A$5987,MATCH(4,'Cleaned Data'!$U$2:$U$5987,0))</f>
        <v>ROXs 42B (AB)b</v>
      </c>
      <c r="G7" s="13">
        <f t="array" ref="G7">INDEX('Cleaned Data'!$I$2:$I$5987,MATCH(4,'Cleaned Data'!$U$2:$U$5987,0))</f>
        <v>2.5</v>
      </c>
    </row>
    <row r="8">
      <c r="A8" s="3">
        <v>5.0</v>
      </c>
      <c r="B8" s="3" t="str">
        <f t="array" ref="B8">INDEX('Cleaned Data'!$A$2:$A$5987,MATCH(5,'Cleaned Data'!$T$2:$T$5987,0))</f>
        <v>HD 128717 b</v>
      </c>
      <c r="C8" s="11">
        <f t="array" ref="C8">INDEX('Cleaned Data'!$C$2:$C$5987,MATCH(5,'Cleaned Data'!$T$2:$T$5987,0))</f>
        <v>12.8</v>
      </c>
      <c r="E8" s="3">
        <v>5.0</v>
      </c>
      <c r="F8" s="3" t="str">
        <f t="array" ref="F8">INDEX('Cleaned Data'!$A$2:$A$5987,MATCH(5,'Cleaned Data'!$U$2:$U$5987,0))</f>
        <v>SOI-2 b</v>
      </c>
      <c r="G8" s="11">
        <f t="array" ref="G8">INDEX('Cleaned Data'!$I$2:$I$5987,MATCH(5,'Cleaned Data'!$U$2:$U$5987,0))</f>
        <v>2.22</v>
      </c>
    </row>
    <row r="9">
      <c r="A9" s="12">
        <v>6.0</v>
      </c>
      <c r="B9" s="12" t="str">
        <f t="array" ref="B9">INDEX('Cleaned Data'!$A$2:$A$5987,MATCH(6,'Cleaned Data'!$T$2:$T$5987,0))</f>
        <v>TIC 4672985</v>
      </c>
      <c r="C9" s="13">
        <f t="array" ref="C9">INDEX('Cleaned Data'!$C$2:$C$5987,MATCH(6,'Cleaned Data'!$T$2:$T$5987,0))</f>
        <v>12.74</v>
      </c>
      <c r="E9" s="12">
        <v>6.0</v>
      </c>
      <c r="F9" s="12" t="str">
        <f t="array" ref="F9">INDEX('Cleaned Data'!$A$2:$A$5987,MATCH(6,'Cleaned Data'!$U$2:$U$5987,0))</f>
        <v>XO-6 b</v>
      </c>
      <c r="G9" s="13">
        <f t="array" ref="G9">INDEX('Cleaned Data'!$I$2:$I$5987,MATCH(6,'Cleaned Data'!$U$2:$U$5987,0))</f>
        <v>2.17</v>
      </c>
    </row>
    <row r="10">
      <c r="A10" s="3">
        <v>7.0</v>
      </c>
      <c r="B10" s="3" t="str">
        <f t="array" ref="B10">INDEX('Cleaned Data'!$A$2:$A$5987,MATCH(7,'Cleaned Data'!$T$2:$T$5987,0))</f>
        <v>pi Men b</v>
      </c>
      <c r="C10" s="11">
        <f t="array" ref="C10">INDEX('Cleaned Data'!$C$2:$C$5987,MATCH(7,'Cleaned Data'!$T$2:$T$5987,0))</f>
        <v>12.6</v>
      </c>
      <c r="E10" s="3">
        <v>7.0</v>
      </c>
      <c r="F10" s="3" t="str">
        <f t="array" ref="F10">INDEX('Cleaned Data'!$A$2:$A$5987,MATCH(7,'Cleaned Data'!$U$2:$U$5987,0))</f>
        <v>HAT-P-67 Ab</v>
      </c>
      <c r="G10" s="11">
        <f t="array" ref="G10">INDEX('Cleaned Data'!$I$2:$I$5987,MATCH(7,'Cleaned Data'!$U$2:$U$5987,0))</f>
        <v>2.14</v>
      </c>
    </row>
    <row r="11">
      <c r="A11" s="12">
        <v>8.0</v>
      </c>
      <c r="B11" s="12" t="str">
        <f t="array" ref="B11">INDEX('Cleaned Data'!$A$2:$A$5987,MATCH(8,'Cleaned Data'!$T$2:$T$5987,0))</f>
        <v>HD 149806 Ab</v>
      </c>
      <c r="C11" s="13">
        <f t="array" ref="C11">INDEX('Cleaned Data'!$C$2:$C$5987,MATCH(8,'Cleaned Data'!$T$2:$T$5987,0))</f>
        <v>12.597</v>
      </c>
      <c r="E11" s="12">
        <v>8.0</v>
      </c>
      <c r="F11" s="12" t="str">
        <f t="array" ref="F11">INDEX('Cleaned Data'!$A$2:$A$5987,MATCH(8,'Cleaned Data'!$U$2:$U$5987,0))</f>
        <v>TOI-3540 b</v>
      </c>
      <c r="G11" s="13">
        <f t="array" ref="G11">INDEX('Cleaned Data'!$I$2:$I$5987,MATCH(8,'Cleaned Data'!$U$2:$U$5987,0))</f>
        <v>2.1</v>
      </c>
    </row>
    <row r="12">
      <c r="A12" s="3">
        <v>9.0</v>
      </c>
      <c r="B12" s="3" t="str">
        <f t="array" ref="B12">INDEX('Cleaned Data'!$A$2:$A$5987,MATCH(9,'Cleaned Data'!$T$2:$T$5987,0))</f>
        <v>2MASS J2236+4751 b</v>
      </c>
      <c r="C12" s="11">
        <f t="array" ref="C12">INDEX('Cleaned Data'!$C$2:$C$5987,MATCH(9,'Cleaned Data'!$T$2:$T$5987,0))</f>
        <v>12.5</v>
      </c>
      <c r="E12" s="3">
        <v>9.0</v>
      </c>
      <c r="F12" s="3" t="str">
        <f t="array" ref="F12">INDEX('Cleaned Data'!$A$2:$A$5987,MATCH(9,'Cleaned Data'!$U$2:$U$5987,0))</f>
        <v>HIP 65 Ab</v>
      </c>
      <c r="G12" s="11">
        <f t="array" ref="G12">INDEX('Cleaned Data'!$I$2:$I$5987,MATCH(9,'Cleaned Data'!$U$2:$U$5987,0))</f>
        <v>2.03</v>
      </c>
    </row>
    <row r="13">
      <c r="A13" s="12">
        <v>10.0</v>
      </c>
      <c r="B13" s="12" t="str">
        <f t="array" ref="B13">INDEX('Cleaned Data'!$A$2:$A$5987,MATCH(10,'Cleaned Data'!$T$2:$T$5987,0))</f>
        <v>TOI-4987 b</v>
      </c>
      <c r="C13" s="13">
        <f t="array" ref="C13">INDEX('Cleaned Data'!$C$2:$C$5987,MATCH(10,'Cleaned Data'!$T$2:$T$5987,0))</f>
        <v>12.37</v>
      </c>
      <c r="E13" s="12">
        <v>10.0</v>
      </c>
      <c r="F13" s="12" t="str">
        <f t="array" ref="F13">INDEX('Cleaned Data'!$A$2:$A$5987,MATCH(10,'Cleaned Data'!$U$2:$U$5987,0))</f>
        <v>TOI-3807 b</v>
      </c>
      <c r="G13" s="13">
        <f t="array" ref="G13">INDEX('Cleaned Data'!$I$2:$I$5987,MATCH(10,'Cleaned Data'!$U$2:$U$5987,0))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20.0"/>
    <col customWidth="1" min="4" max="26" width="8.71"/>
  </cols>
  <sheetData>
    <row r="1" ht="25.5" customHeight="1">
      <c r="A1" s="2" t="s">
        <v>100</v>
      </c>
    </row>
    <row r="3">
      <c r="A3" s="1" t="s">
        <v>101</v>
      </c>
      <c r="B3" s="1" t="s">
        <v>102</v>
      </c>
      <c r="C3" s="1" t="s">
        <v>103</v>
      </c>
    </row>
    <row r="4">
      <c r="A4" s="3" t="s">
        <v>104</v>
      </c>
      <c r="B4" s="3">
        <f>COUNTIF('Cleaned Data'!$C$2:$C$5987,"&lt;0.1")</f>
        <v>817</v>
      </c>
      <c r="C4" s="19">
        <f t="shared" ref="C4:C8" si="1">B4/$B$9</f>
        <v>0.392977393</v>
      </c>
    </row>
    <row r="5">
      <c r="A5" s="12" t="s">
        <v>107</v>
      </c>
      <c r="B5" s="12">
        <f>COUNTIFS('Cleaned Data'!$C$2:$C$5987,"&gt;=0.1",'Cleaned Data'!$C$2:$C$5987,"&lt;0.5")</f>
        <v>302</v>
      </c>
      <c r="C5" s="20">
        <f t="shared" si="1"/>
        <v>0.1452621453</v>
      </c>
    </row>
    <row r="6">
      <c r="A6" s="3" t="s">
        <v>110</v>
      </c>
      <c r="B6" s="3">
        <f>COUNTIFS('Cleaned Data'!$C$2:$C$5987,"&gt;=0.5",'Cleaned Data'!$C$2:$C$5987,"&lt;1")</f>
        <v>296</v>
      </c>
      <c r="C6" s="19">
        <f t="shared" si="1"/>
        <v>0.1423761424</v>
      </c>
    </row>
    <row r="7">
      <c r="A7" s="12" t="s">
        <v>112</v>
      </c>
      <c r="B7" s="12">
        <f>COUNTIFS('Cleaned Data'!$C$2:$C$5987,"&gt;=1",'Cleaned Data'!$C$2:$C$5987,"&lt;2")</f>
        <v>222</v>
      </c>
      <c r="C7" s="20">
        <f t="shared" si="1"/>
        <v>0.1067821068</v>
      </c>
    </row>
    <row r="8">
      <c r="A8" s="3" t="s">
        <v>113</v>
      </c>
      <c r="B8" s="3">
        <f>COUNTIF('Cleaned Data'!$C$2:$C$5987,"&gt;=2")</f>
        <v>442</v>
      </c>
      <c r="C8" s="19">
        <f t="shared" si="1"/>
        <v>0.2126022126</v>
      </c>
    </row>
    <row r="9">
      <c r="A9" s="21" t="s">
        <v>115</v>
      </c>
      <c r="B9" s="21">
        <f>SUM(B4:B8)</f>
        <v>2079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20.0"/>
    <col customWidth="1" min="4" max="26" width="8.71"/>
  </cols>
  <sheetData>
    <row r="1" ht="25.5" customHeight="1">
      <c r="A1" s="2" t="s">
        <v>119</v>
      </c>
    </row>
    <row r="3">
      <c r="A3" s="1" t="s">
        <v>120</v>
      </c>
      <c r="B3" s="1" t="s">
        <v>102</v>
      </c>
      <c r="C3" s="1" t="s">
        <v>103</v>
      </c>
    </row>
    <row r="4">
      <c r="A4" s="3" t="s">
        <v>122</v>
      </c>
      <c r="B4" s="3">
        <f>COUNTIF('Cleaned Data'!$I$2:$I$5987,"&lt;0.15")</f>
        <v>1236</v>
      </c>
      <c r="C4" s="19">
        <f t="shared" ref="C4:C8" si="1">B4/$B$9</f>
        <v>0.2705779335</v>
      </c>
    </row>
    <row r="5">
      <c r="A5" s="12" t="s">
        <v>126</v>
      </c>
      <c r="B5" s="12">
        <f>COUNTIFS('Cleaned Data'!$I$2:$I$5987,"&gt;=0.15",'Cleaned Data'!$I$2:$I$5987,"&lt;0.5")</f>
        <v>2316</v>
      </c>
      <c r="C5" s="20">
        <f t="shared" si="1"/>
        <v>0.5070052539</v>
      </c>
    </row>
    <row r="6">
      <c r="A6" s="3" t="s">
        <v>129</v>
      </c>
      <c r="B6" s="3">
        <f>COUNTIFS('Cleaned Data'!$I$2:$I$5987,"&gt;=0.5",'Cleaned Data'!$I$2:$I$5987,"&lt;0.9")</f>
        <v>250</v>
      </c>
      <c r="C6" s="19">
        <f t="shared" si="1"/>
        <v>0.05472854641</v>
      </c>
    </row>
    <row r="7">
      <c r="A7" s="12" t="s">
        <v>131</v>
      </c>
      <c r="B7" s="12">
        <f>COUNTIFS('Cleaned Data'!$I$2:$I$5987,"&gt;=0.9",'Cleaned Data'!$I$2:$I$5987,"&lt;1.3")</f>
        <v>505</v>
      </c>
      <c r="C7" s="20">
        <f t="shared" si="1"/>
        <v>0.1105516637</v>
      </c>
    </row>
    <row r="8">
      <c r="A8" s="3" t="s">
        <v>133</v>
      </c>
      <c r="B8" s="3">
        <f>COUNTIF('Cleaned Data'!$I$2:$I$5987,"&gt;=1.3")</f>
        <v>261</v>
      </c>
      <c r="C8" s="19">
        <f t="shared" si="1"/>
        <v>0.05713660245</v>
      </c>
    </row>
    <row r="9">
      <c r="A9" s="21" t="s">
        <v>115</v>
      </c>
      <c r="B9" s="21">
        <f>SUM(B4:B8)</f>
        <v>4568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6.0"/>
    <col customWidth="1" min="5" max="26" width="8.71"/>
  </cols>
  <sheetData>
    <row r="1" ht="25.5" customHeight="1">
      <c r="A1" s="2" t="s">
        <v>135</v>
      </c>
    </row>
    <row r="3">
      <c r="A3" s="1" t="s">
        <v>67</v>
      </c>
      <c r="B3" s="1" t="s">
        <v>137</v>
      </c>
      <c r="C3" s="1" t="s">
        <v>138</v>
      </c>
      <c r="D3" s="1" t="s">
        <v>139</v>
      </c>
    </row>
    <row r="4">
      <c r="A4" s="3" t="s">
        <v>72</v>
      </c>
      <c r="B4" s="3">
        <f>COUNTIF('Cleaned Data'!$K$2:$K$5987,TRUE())</f>
        <v>281</v>
      </c>
      <c r="C4" s="3">
        <f>COUNT('Cleaned Data'!$C$2:$C$5987)</f>
        <v>2079</v>
      </c>
      <c r="D4" s="22">
        <f t="shared" ref="D4:D6" si="1">B4/C4</f>
        <v>0.1351611352</v>
      </c>
    </row>
    <row r="5">
      <c r="A5" s="12" t="s">
        <v>76</v>
      </c>
      <c r="B5" s="12">
        <f>COUNTIF('Cleaned Data'!$L$2:$L$5987,TRUE())</f>
        <v>126</v>
      </c>
      <c r="C5" s="12">
        <f>COUNT('Cleaned Data'!$F$2:$F$5987)</f>
        <v>1202</v>
      </c>
      <c r="D5" s="23">
        <f t="shared" si="1"/>
        <v>0.1048252912</v>
      </c>
    </row>
    <row r="6">
      <c r="A6" s="3" t="s">
        <v>79</v>
      </c>
      <c r="B6" s="3">
        <f>COUNTIF('Cleaned Data'!$M$2:$M$5987,TRUE())</f>
        <v>876</v>
      </c>
      <c r="C6" s="3">
        <f>COUNT('Cleaned Data'!$I$2:$I$5987)</f>
        <v>4568</v>
      </c>
      <c r="D6" s="22">
        <f t="shared" si="1"/>
        <v>0.1917688266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156</v>
      </c>
      <c r="B1" s="24" t="s">
        <v>11</v>
      </c>
      <c r="C1" s="24" t="s">
        <v>159</v>
      </c>
      <c r="D1" s="25"/>
      <c r="E1" s="24" t="s">
        <v>37</v>
      </c>
      <c r="F1" s="24" t="s">
        <v>40</v>
      </c>
      <c r="G1" s="24" t="s">
        <v>72</v>
      </c>
    </row>
    <row r="2">
      <c r="A2" s="26" t="s">
        <v>13</v>
      </c>
      <c r="B2" s="27">
        <v>1588.0</v>
      </c>
      <c r="C2" s="28">
        <v>1.0</v>
      </c>
      <c r="D2" s="26"/>
      <c r="E2" s="27">
        <v>1.0</v>
      </c>
      <c r="F2" s="26" t="s">
        <v>165</v>
      </c>
      <c r="G2" s="27">
        <v>12.9</v>
      </c>
    </row>
    <row r="3">
      <c r="A3" s="26"/>
      <c r="B3" s="26"/>
      <c r="C3" s="26"/>
      <c r="D3" s="26"/>
      <c r="E3" s="27">
        <v>2.0</v>
      </c>
      <c r="F3" s="26" t="s">
        <v>166</v>
      </c>
      <c r="G3" s="27">
        <v>12.89</v>
      </c>
    </row>
    <row r="4">
      <c r="A4" s="26"/>
      <c r="B4" s="26"/>
      <c r="C4" s="26"/>
      <c r="D4" s="26"/>
      <c r="E4" s="27">
        <v>3.0</v>
      </c>
      <c r="F4" s="26" t="s">
        <v>167</v>
      </c>
      <c r="G4" s="27">
        <v>12.74</v>
      </c>
    </row>
    <row r="5">
      <c r="A5" s="26"/>
      <c r="B5" s="26"/>
      <c r="C5" s="26"/>
      <c r="D5" s="26"/>
      <c r="E5" s="27">
        <v>4.0</v>
      </c>
      <c r="F5" s="26" t="s">
        <v>168</v>
      </c>
      <c r="G5" s="27">
        <v>12.37</v>
      </c>
    </row>
    <row r="6">
      <c r="A6" s="26"/>
      <c r="B6" s="26"/>
      <c r="C6" s="26"/>
      <c r="D6" s="26"/>
      <c r="E6" s="27">
        <v>5.0</v>
      </c>
      <c r="F6" s="26" t="s">
        <v>171</v>
      </c>
      <c r="G6" s="27">
        <v>12.0</v>
      </c>
    </row>
    <row r="7">
      <c r="A7" s="26"/>
      <c r="B7" s="26"/>
      <c r="C7" s="26"/>
      <c r="D7" s="26"/>
      <c r="E7" s="27">
        <v>6.0</v>
      </c>
      <c r="F7" s="26" t="s">
        <v>163</v>
      </c>
      <c r="G7" s="27">
        <v>11.9</v>
      </c>
    </row>
    <row r="8">
      <c r="A8" s="26"/>
      <c r="B8" s="26"/>
      <c r="C8" s="26"/>
      <c r="D8" s="26"/>
      <c r="E8" s="27">
        <v>7.0</v>
      </c>
      <c r="F8" s="26" t="s">
        <v>175</v>
      </c>
      <c r="G8" s="27">
        <v>11.79</v>
      </c>
    </row>
    <row r="9">
      <c r="A9" s="26"/>
      <c r="B9" s="26"/>
      <c r="C9" s="26"/>
      <c r="D9" s="26"/>
      <c r="E9" s="27">
        <v>8.0</v>
      </c>
      <c r="F9" s="26" t="s">
        <v>178</v>
      </c>
      <c r="G9" s="27">
        <v>11.6</v>
      </c>
    </row>
    <row r="10">
      <c r="A10" s="26"/>
      <c r="B10" s="26"/>
      <c r="C10" s="26"/>
      <c r="D10" s="26"/>
      <c r="E10" s="27">
        <v>9.0</v>
      </c>
      <c r="F10" s="26" t="s">
        <v>181</v>
      </c>
      <c r="G10" s="27">
        <v>11.3</v>
      </c>
    </row>
    <row r="11">
      <c r="A11" s="26"/>
      <c r="B11" s="26"/>
      <c r="C11" s="26"/>
      <c r="D11" s="26"/>
      <c r="E11" s="27">
        <v>10.0</v>
      </c>
      <c r="F11" s="26" t="s">
        <v>183</v>
      </c>
      <c r="G11" s="27">
        <v>11.0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40</v>
      </c>
      <c r="B1" s="24" t="s">
        <v>72</v>
      </c>
      <c r="C1" s="24" t="s">
        <v>79</v>
      </c>
    </row>
    <row r="2">
      <c r="A2" s="26" t="s">
        <v>26</v>
      </c>
      <c r="B2" s="27">
        <v>5.743</v>
      </c>
      <c r="C2" s="27">
        <v>1.152</v>
      </c>
    </row>
    <row r="3">
      <c r="A3" s="26" t="s">
        <v>78</v>
      </c>
      <c r="B3" s="27">
        <v>4.1</v>
      </c>
      <c r="C3" s="27">
        <v>1.11</v>
      </c>
    </row>
    <row r="4">
      <c r="A4" s="26" t="s">
        <v>80</v>
      </c>
      <c r="B4" s="27">
        <v>0.47</v>
      </c>
      <c r="C4" s="27">
        <v>1.9</v>
      </c>
    </row>
    <row r="5">
      <c r="A5" s="26" t="s">
        <v>85</v>
      </c>
      <c r="B5" s="27">
        <v>0.02703</v>
      </c>
      <c r="C5" s="27">
        <v>0.1737</v>
      </c>
    </row>
    <row r="6">
      <c r="A6" s="26" t="s">
        <v>111</v>
      </c>
      <c r="B6" s="27">
        <v>3.75</v>
      </c>
      <c r="C6" s="27">
        <v>1.3</v>
      </c>
    </row>
    <row r="7">
      <c r="A7" s="26" t="s">
        <v>117</v>
      </c>
      <c r="B7" s="27">
        <v>0.028</v>
      </c>
      <c r="C7" s="27">
        <v>0.4273</v>
      </c>
    </row>
    <row r="8">
      <c r="A8" s="26" t="s">
        <v>118</v>
      </c>
      <c r="B8" s="27">
        <v>0.0456</v>
      </c>
      <c r="C8" s="27">
        <v>0.2248</v>
      </c>
    </row>
    <row r="9">
      <c r="A9" s="26" t="s">
        <v>151</v>
      </c>
      <c r="B9" s="27">
        <v>0.07</v>
      </c>
      <c r="C9" s="27">
        <v>0.23</v>
      </c>
    </row>
    <row r="10">
      <c r="A10" s="26" t="s">
        <v>163</v>
      </c>
      <c r="B10" s="27">
        <v>11.9</v>
      </c>
      <c r="C10" s="27">
        <v>1.65</v>
      </c>
    </row>
    <row r="11">
      <c r="A11" s="26" t="s">
        <v>164</v>
      </c>
      <c r="B11" s="27">
        <v>8.89</v>
      </c>
      <c r="C11" s="27">
        <v>1.2</v>
      </c>
    </row>
    <row r="12">
      <c r="A12" s="26" t="s">
        <v>170</v>
      </c>
      <c r="B12" s="27">
        <v>7.8</v>
      </c>
      <c r="C12" s="27">
        <v>1.86</v>
      </c>
    </row>
    <row r="13">
      <c r="A13" s="26" t="s">
        <v>172</v>
      </c>
      <c r="B13" s="27">
        <v>6.4</v>
      </c>
      <c r="C13" s="27">
        <v>1.12</v>
      </c>
    </row>
    <row r="14">
      <c r="A14" s="26" t="s">
        <v>173</v>
      </c>
      <c r="B14" s="27">
        <v>2.75</v>
      </c>
      <c r="C14" s="27">
        <v>0.97</v>
      </c>
    </row>
    <row r="15">
      <c r="A15" s="26" t="s">
        <v>174</v>
      </c>
      <c r="B15" s="27">
        <v>2.33</v>
      </c>
      <c r="C15" s="27">
        <v>1.43</v>
      </c>
    </row>
    <row r="16">
      <c r="A16" s="26" t="s">
        <v>176</v>
      </c>
      <c r="B16" s="27">
        <v>0.917</v>
      </c>
      <c r="C16" s="27">
        <v>1.44</v>
      </c>
    </row>
    <row r="17">
      <c r="A17" s="26" t="s">
        <v>179</v>
      </c>
      <c r="B17" s="27">
        <v>1.308</v>
      </c>
      <c r="C17" s="27">
        <v>0.885</v>
      </c>
    </row>
    <row r="18">
      <c r="A18" s="26" t="s">
        <v>180</v>
      </c>
      <c r="B18" s="27">
        <v>7.6</v>
      </c>
      <c r="C18" s="27">
        <v>1.09</v>
      </c>
    </row>
    <row r="19">
      <c r="A19" s="26" t="s">
        <v>182</v>
      </c>
      <c r="B19" s="27">
        <v>0.535</v>
      </c>
      <c r="C19" s="27">
        <v>1.17</v>
      </c>
    </row>
    <row r="20">
      <c r="A20" s="26" t="s">
        <v>184</v>
      </c>
      <c r="B20" s="27">
        <v>2.43</v>
      </c>
      <c r="C20" s="27">
        <v>1.02</v>
      </c>
    </row>
    <row r="21">
      <c r="A21" s="26" t="s">
        <v>185</v>
      </c>
      <c r="B21" s="27">
        <v>3.47</v>
      </c>
      <c r="C21" s="27">
        <v>1.31</v>
      </c>
    </row>
    <row r="22">
      <c r="A22" s="26" t="s">
        <v>186</v>
      </c>
      <c r="B22" s="27">
        <v>1.11</v>
      </c>
      <c r="C22" s="27">
        <v>1.29</v>
      </c>
    </row>
    <row r="23">
      <c r="A23" s="26" t="s">
        <v>187</v>
      </c>
      <c r="B23" s="27">
        <v>1.03</v>
      </c>
      <c r="C23" s="27">
        <v>1.49</v>
      </c>
    </row>
    <row r="24">
      <c r="A24" s="26" t="s">
        <v>188</v>
      </c>
      <c r="B24" s="27">
        <v>4.24</v>
      </c>
      <c r="C24" s="27">
        <v>0.84</v>
      </c>
    </row>
    <row r="25">
      <c r="A25" s="26" t="s">
        <v>189</v>
      </c>
      <c r="B25" s="27">
        <v>2.26</v>
      </c>
      <c r="C25" s="27">
        <v>1.3</v>
      </c>
    </row>
    <row r="26">
      <c r="A26" s="26" t="s">
        <v>190</v>
      </c>
      <c r="B26" s="27">
        <v>0.06</v>
      </c>
      <c r="C26" s="27">
        <v>0.4354</v>
      </c>
    </row>
    <row r="27">
      <c r="A27" s="26" t="s">
        <v>192</v>
      </c>
      <c r="B27" s="27">
        <v>2.8</v>
      </c>
      <c r="C27" s="27">
        <v>1.08</v>
      </c>
    </row>
    <row r="28">
      <c r="A28" s="26" t="s">
        <v>193</v>
      </c>
      <c r="B28" s="27">
        <v>0.018</v>
      </c>
      <c r="C28" s="27">
        <v>0.33</v>
      </c>
    </row>
    <row r="29">
      <c r="A29" s="26" t="s">
        <v>194</v>
      </c>
      <c r="B29" s="27">
        <v>0.088</v>
      </c>
      <c r="C29" s="27">
        <v>0.44</v>
      </c>
    </row>
    <row r="30">
      <c r="A30" s="26" t="s">
        <v>195</v>
      </c>
      <c r="B30" s="27">
        <v>0.27</v>
      </c>
      <c r="C30" s="27">
        <v>1.08</v>
      </c>
    </row>
    <row r="31">
      <c r="A31" s="26" t="s">
        <v>197</v>
      </c>
      <c r="B31" s="27">
        <v>0.52</v>
      </c>
      <c r="C31" s="27">
        <v>1.26</v>
      </c>
    </row>
    <row r="32">
      <c r="A32" s="26" t="s">
        <v>198</v>
      </c>
      <c r="B32" s="27">
        <v>10.39</v>
      </c>
      <c r="C32" s="27">
        <v>1.007</v>
      </c>
    </row>
    <row r="33">
      <c r="A33" s="26" t="s">
        <v>199</v>
      </c>
      <c r="B33" s="27">
        <v>0.85</v>
      </c>
      <c r="C33" s="27">
        <v>0.9</v>
      </c>
    </row>
    <row r="34">
      <c r="A34" s="26" t="s">
        <v>200</v>
      </c>
      <c r="B34" s="27">
        <v>3.31</v>
      </c>
      <c r="C34" s="27">
        <v>1.465</v>
      </c>
    </row>
    <row r="35">
      <c r="A35" s="26" t="s">
        <v>201</v>
      </c>
      <c r="B35" s="27">
        <v>2.9</v>
      </c>
      <c r="C35" s="27">
        <v>1.009</v>
      </c>
    </row>
    <row r="36">
      <c r="A36" s="26" t="s">
        <v>202</v>
      </c>
      <c r="B36" s="27">
        <v>0.84</v>
      </c>
      <c r="C36" s="27">
        <v>1.46</v>
      </c>
    </row>
    <row r="37">
      <c r="A37" s="26" t="s">
        <v>204</v>
      </c>
      <c r="B37" s="27">
        <v>0.15</v>
      </c>
      <c r="C37" s="27">
        <v>0.57</v>
      </c>
    </row>
    <row r="38">
      <c r="A38" s="26" t="s">
        <v>205</v>
      </c>
      <c r="B38" s="27">
        <v>1.1</v>
      </c>
      <c r="C38" s="27">
        <v>1.68</v>
      </c>
    </row>
    <row r="39">
      <c r="A39" s="26" t="s">
        <v>206</v>
      </c>
      <c r="B39" s="27">
        <v>0.68</v>
      </c>
      <c r="C39" s="27">
        <v>1.41</v>
      </c>
    </row>
    <row r="40">
      <c r="A40" s="26" t="s">
        <v>207</v>
      </c>
      <c r="B40" s="27">
        <v>0.72</v>
      </c>
      <c r="C40" s="27">
        <v>1.19</v>
      </c>
    </row>
    <row r="41">
      <c r="A41" s="26" t="s">
        <v>208</v>
      </c>
      <c r="B41" s="27">
        <v>0.467</v>
      </c>
      <c r="C41" s="27">
        <v>1.33</v>
      </c>
    </row>
    <row r="42">
      <c r="A42" s="26" t="s">
        <v>210</v>
      </c>
      <c r="B42" s="27">
        <v>2.96</v>
      </c>
      <c r="C42" s="27">
        <v>1.166</v>
      </c>
    </row>
    <row r="43">
      <c r="A43" s="26" t="s">
        <v>211</v>
      </c>
      <c r="B43" s="27">
        <v>0.01907</v>
      </c>
      <c r="C43" s="27">
        <v>0.136</v>
      </c>
    </row>
    <row r="44">
      <c r="A44" s="26" t="s">
        <v>212</v>
      </c>
      <c r="B44" s="27">
        <v>0.2158</v>
      </c>
      <c r="C44" s="27">
        <v>0.5692</v>
      </c>
    </row>
    <row r="45">
      <c r="A45" s="26" t="s">
        <v>213</v>
      </c>
      <c r="B45" s="27">
        <v>0.84</v>
      </c>
      <c r="C45" s="27">
        <v>0.94</v>
      </c>
    </row>
    <row r="46">
      <c r="A46" s="26" t="s">
        <v>214</v>
      </c>
      <c r="B46" s="27">
        <v>0.0453</v>
      </c>
      <c r="C46" s="27">
        <v>0.5085</v>
      </c>
    </row>
    <row r="47">
      <c r="A47" s="26" t="s">
        <v>215</v>
      </c>
      <c r="B47" s="27">
        <v>0.3883</v>
      </c>
      <c r="C47" s="27">
        <v>1.561</v>
      </c>
    </row>
    <row r="48">
      <c r="A48" s="26" t="s">
        <v>217</v>
      </c>
      <c r="B48" s="27">
        <v>0.013</v>
      </c>
      <c r="C48" s="27">
        <v>0.17</v>
      </c>
    </row>
    <row r="49">
      <c r="A49" s="26" t="s">
        <v>218</v>
      </c>
      <c r="B49" s="27">
        <v>1.68</v>
      </c>
      <c r="C49" s="27">
        <v>1.229</v>
      </c>
    </row>
    <row r="50">
      <c r="A50" s="26" t="s">
        <v>219</v>
      </c>
      <c r="B50" s="27">
        <v>0.773</v>
      </c>
      <c r="C50" s="27">
        <v>1.327</v>
      </c>
    </row>
    <row r="51">
      <c r="A51" s="26" t="s">
        <v>220</v>
      </c>
      <c r="B51" s="27">
        <v>0.00843</v>
      </c>
      <c r="C51" s="27">
        <v>0.1356</v>
      </c>
    </row>
    <row r="52">
      <c r="A52" s="26" t="s">
        <v>221</v>
      </c>
      <c r="B52" s="27">
        <v>0.00522</v>
      </c>
      <c r="C52" s="27">
        <v>0.1035</v>
      </c>
    </row>
    <row r="53">
      <c r="A53" s="26" t="s">
        <v>222</v>
      </c>
      <c r="B53" s="27">
        <v>0.02571</v>
      </c>
      <c r="C53" s="27">
        <v>0.24463</v>
      </c>
    </row>
    <row r="54">
      <c r="A54" s="26" t="s">
        <v>223</v>
      </c>
      <c r="B54" s="27">
        <v>0.00415</v>
      </c>
      <c r="C54" s="27">
        <v>0.1053</v>
      </c>
    </row>
    <row r="55">
      <c r="A55" s="26" t="s">
        <v>224</v>
      </c>
      <c r="B55" s="27">
        <v>0.0714</v>
      </c>
      <c r="C55" s="27">
        <v>0.2329</v>
      </c>
    </row>
    <row r="56">
      <c r="A56" s="26" t="s">
        <v>225</v>
      </c>
      <c r="B56" s="27">
        <v>0.01164</v>
      </c>
      <c r="C56" s="27">
        <v>0.07958</v>
      </c>
    </row>
    <row r="57">
      <c r="A57" s="26" t="s">
        <v>226</v>
      </c>
      <c r="B57" s="27">
        <v>0.01051</v>
      </c>
      <c r="C57" s="27">
        <v>0.19</v>
      </c>
    </row>
    <row r="58">
      <c r="A58" s="26" t="s">
        <v>227</v>
      </c>
      <c r="B58" s="27">
        <v>0.00227</v>
      </c>
      <c r="C58" s="27">
        <v>0.0821</v>
      </c>
    </row>
    <row r="59">
      <c r="A59" s="26" t="s">
        <v>228</v>
      </c>
      <c r="B59" s="27">
        <v>0.0437</v>
      </c>
      <c r="C59" s="27">
        <v>0.38826</v>
      </c>
    </row>
    <row r="60">
      <c r="A60" s="26" t="s">
        <v>229</v>
      </c>
      <c r="B60" s="27">
        <v>0.00585</v>
      </c>
      <c r="C60" s="27">
        <v>0.11277</v>
      </c>
    </row>
    <row r="61">
      <c r="A61" s="26" t="s">
        <v>230</v>
      </c>
      <c r="B61" s="27">
        <v>0.006566</v>
      </c>
      <c r="C61" s="27">
        <v>0.10411</v>
      </c>
    </row>
    <row r="62">
      <c r="A62" s="26" t="s">
        <v>231</v>
      </c>
      <c r="B62" s="27">
        <v>0.001718</v>
      </c>
      <c r="C62" s="27">
        <v>0.0526</v>
      </c>
    </row>
    <row r="63">
      <c r="A63" s="26" t="s">
        <v>232</v>
      </c>
      <c r="B63" s="27">
        <v>0.00381</v>
      </c>
      <c r="C63" s="27">
        <v>0.1026</v>
      </c>
    </row>
    <row r="64">
      <c r="A64" s="26" t="s">
        <v>233</v>
      </c>
      <c r="B64" s="27">
        <v>0.05836</v>
      </c>
      <c r="C64" s="27">
        <v>0.32519</v>
      </c>
    </row>
    <row r="65">
      <c r="A65" s="26" t="s">
        <v>234</v>
      </c>
      <c r="B65" s="27">
        <v>0.00887</v>
      </c>
      <c r="C65" s="27">
        <v>0.11643</v>
      </c>
    </row>
    <row r="66">
      <c r="A66" s="26" t="s">
        <v>235</v>
      </c>
      <c r="B66" s="27">
        <v>4.0</v>
      </c>
      <c r="C66" s="27">
        <v>0.96</v>
      </c>
    </row>
    <row r="67">
      <c r="A67" s="26" t="s">
        <v>236</v>
      </c>
      <c r="B67" s="27">
        <v>0.01532</v>
      </c>
      <c r="C67" s="27">
        <v>0.13641</v>
      </c>
    </row>
    <row r="68">
      <c r="A68" s="26" t="s">
        <v>237</v>
      </c>
      <c r="B68" s="27">
        <v>0.00604</v>
      </c>
      <c r="C68" s="27">
        <v>0.107</v>
      </c>
    </row>
    <row r="69">
      <c r="A69" s="26" t="s">
        <v>238</v>
      </c>
      <c r="B69" s="27">
        <v>0.01076</v>
      </c>
      <c r="C69" s="27">
        <v>0.17441</v>
      </c>
    </row>
    <row r="70">
      <c r="A70" s="26" t="s">
        <v>239</v>
      </c>
      <c r="B70" s="27">
        <v>0.00494</v>
      </c>
      <c r="C70" s="27">
        <v>0.0919</v>
      </c>
    </row>
    <row r="71">
      <c r="A71" s="26" t="s">
        <v>183</v>
      </c>
      <c r="B71" s="27">
        <v>11.0</v>
      </c>
      <c r="C71" s="27">
        <v>1.35</v>
      </c>
    </row>
    <row r="72">
      <c r="A72" s="26" t="s">
        <v>240</v>
      </c>
      <c r="B72" s="27">
        <v>0.46</v>
      </c>
      <c r="C72" s="27">
        <v>1.045</v>
      </c>
    </row>
    <row r="73">
      <c r="A73" s="26" t="s">
        <v>241</v>
      </c>
      <c r="B73" s="27">
        <v>0.0736</v>
      </c>
      <c r="C73" s="27">
        <v>0.389</v>
      </c>
    </row>
    <row r="74">
      <c r="A74" s="26" t="s">
        <v>242</v>
      </c>
      <c r="B74" s="27">
        <v>0.210489885</v>
      </c>
      <c r="C74" s="27">
        <v>0.949</v>
      </c>
    </row>
    <row r="75">
      <c r="A75" s="26" t="s">
        <v>243</v>
      </c>
      <c r="B75" s="27">
        <v>0.9</v>
      </c>
      <c r="C75" s="27">
        <v>1.44</v>
      </c>
    </row>
    <row r="76">
      <c r="A76" s="26" t="s">
        <v>244</v>
      </c>
      <c r="B76" s="27">
        <v>2.444</v>
      </c>
      <c r="C76" s="27">
        <v>1.01</v>
      </c>
    </row>
    <row r="77">
      <c r="A77" s="26" t="s">
        <v>245</v>
      </c>
      <c r="B77" s="27">
        <v>1.946</v>
      </c>
      <c r="C77" s="27">
        <v>1.072</v>
      </c>
    </row>
    <row r="78">
      <c r="A78" s="26" t="s">
        <v>246</v>
      </c>
      <c r="B78" s="27">
        <v>4.193</v>
      </c>
      <c r="C78" s="27">
        <v>1.289</v>
      </c>
    </row>
    <row r="79">
      <c r="A79" s="26" t="s">
        <v>247</v>
      </c>
      <c r="B79" s="27">
        <v>0.571</v>
      </c>
      <c r="C79" s="27">
        <v>0.98</v>
      </c>
    </row>
    <row r="80">
      <c r="A80" s="26" t="s">
        <v>248</v>
      </c>
      <c r="B80" s="27">
        <v>0.183</v>
      </c>
      <c r="C80" s="27">
        <v>0.947</v>
      </c>
    </row>
    <row r="81">
      <c r="A81" s="26" t="s">
        <v>249</v>
      </c>
      <c r="B81" s="27">
        <v>0.292</v>
      </c>
      <c r="C81" s="27">
        <v>1.132</v>
      </c>
    </row>
    <row r="82">
      <c r="A82" s="26" t="s">
        <v>250</v>
      </c>
      <c r="B82" s="27">
        <v>0.525</v>
      </c>
      <c r="C82" s="27">
        <v>1.319</v>
      </c>
    </row>
    <row r="83">
      <c r="A83" s="26" t="s">
        <v>251</v>
      </c>
      <c r="B83" s="27">
        <v>7.246</v>
      </c>
      <c r="C83" s="27">
        <v>0.867</v>
      </c>
    </row>
    <row r="84">
      <c r="A84" s="26" t="s">
        <v>252</v>
      </c>
      <c r="B84" s="27">
        <v>4.063</v>
      </c>
      <c r="C84" s="27">
        <v>1.024</v>
      </c>
    </row>
    <row r="85">
      <c r="A85" s="26" t="s">
        <v>253</v>
      </c>
      <c r="B85" s="27">
        <v>2.147</v>
      </c>
      <c r="C85" s="27">
        <v>1.08</v>
      </c>
    </row>
    <row r="86">
      <c r="A86" s="26" t="s">
        <v>254</v>
      </c>
      <c r="B86" s="27">
        <v>2.09</v>
      </c>
      <c r="C86" s="27">
        <v>1.368</v>
      </c>
    </row>
    <row r="87">
      <c r="A87" s="26" t="s">
        <v>255</v>
      </c>
      <c r="B87" s="27">
        <v>0.685</v>
      </c>
      <c r="C87" s="27">
        <v>1.242</v>
      </c>
    </row>
    <row r="88">
      <c r="A88" s="26" t="s">
        <v>256</v>
      </c>
      <c r="B88" s="27">
        <v>0.567</v>
      </c>
      <c r="C88" s="27">
        <v>1.19</v>
      </c>
    </row>
    <row r="89">
      <c r="A89" s="26" t="s">
        <v>257</v>
      </c>
      <c r="B89" s="27">
        <v>0.0585</v>
      </c>
      <c r="C89" s="27">
        <v>0.57</v>
      </c>
    </row>
    <row r="90">
      <c r="A90" s="26" t="s">
        <v>258</v>
      </c>
      <c r="B90" s="27">
        <v>0.66</v>
      </c>
      <c r="C90" s="27">
        <v>1.055</v>
      </c>
    </row>
    <row r="91">
      <c r="A91" s="26" t="s">
        <v>259</v>
      </c>
      <c r="B91" s="27">
        <v>0.626</v>
      </c>
      <c r="C91" s="27">
        <v>1.212</v>
      </c>
    </row>
    <row r="92">
      <c r="A92" s="26" t="s">
        <v>260</v>
      </c>
      <c r="B92" s="27">
        <v>0.778</v>
      </c>
      <c r="C92" s="27">
        <v>1.107</v>
      </c>
    </row>
    <row r="93">
      <c r="A93" s="26" t="s">
        <v>261</v>
      </c>
      <c r="B93" s="27">
        <v>8.74</v>
      </c>
      <c r="C93" s="27">
        <v>0.951</v>
      </c>
    </row>
    <row r="94">
      <c r="A94" s="26" t="s">
        <v>262</v>
      </c>
      <c r="B94" s="27">
        <v>0.723</v>
      </c>
      <c r="C94" s="27">
        <v>1.41</v>
      </c>
    </row>
    <row r="95">
      <c r="A95" s="26" t="s">
        <v>263</v>
      </c>
      <c r="B95" s="27">
        <v>2.171</v>
      </c>
      <c r="C95" s="27">
        <v>1.07</v>
      </c>
    </row>
    <row r="96">
      <c r="A96" s="26" t="s">
        <v>264</v>
      </c>
      <c r="B96" s="27">
        <v>0.75</v>
      </c>
      <c r="C96" s="27">
        <v>1.789</v>
      </c>
    </row>
    <row r="97">
      <c r="A97" s="26" t="s">
        <v>265</v>
      </c>
      <c r="B97" s="27">
        <v>0.763</v>
      </c>
      <c r="C97" s="27">
        <v>1.827</v>
      </c>
    </row>
    <row r="98">
      <c r="A98" s="26" t="s">
        <v>266</v>
      </c>
      <c r="B98" s="27">
        <v>3.64</v>
      </c>
      <c r="C98" s="27">
        <v>1.142</v>
      </c>
    </row>
    <row r="99">
      <c r="A99" s="26" t="s">
        <v>267</v>
      </c>
      <c r="B99" s="27">
        <v>1.054</v>
      </c>
      <c r="C99" s="27">
        <v>1.332</v>
      </c>
    </row>
    <row r="100">
      <c r="A100" s="26" t="s">
        <v>268</v>
      </c>
      <c r="B100" s="27">
        <v>1.832</v>
      </c>
      <c r="C100" s="27">
        <v>1.264</v>
      </c>
    </row>
    <row r="101">
      <c r="A101" s="26" t="s">
        <v>269</v>
      </c>
      <c r="B101" s="27">
        <v>1.169</v>
      </c>
      <c r="C101" s="27">
        <v>1.178</v>
      </c>
    </row>
    <row r="102">
      <c r="A102" s="26" t="s">
        <v>270</v>
      </c>
      <c r="B102" s="27">
        <v>0.267</v>
      </c>
      <c r="C102" s="27">
        <v>0.825</v>
      </c>
    </row>
    <row r="103">
      <c r="A103" s="26" t="s">
        <v>271</v>
      </c>
      <c r="B103" s="27">
        <v>0.599</v>
      </c>
      <c r="C103" s="27">
        <v>1.571</v>
      </c>
    </row>
    <row r="104">
      <c r="A104" s="26" t="s">
        <v>272</v>
      </c>
      <c r="B104" s="27">
        <v>0.591</v>
      </c>
      <c r="C104" s="27">
        <v>0.827</v>
      </c>
    </row>
    <row r="105">
      <c r="A105" s="26" t="s">
        <v>273</v>
      </c>
      <c r="B105" s="27">
        <v>0.615</v>
      </c>
      <c r="C105" s="27">
        <v>1.73</v>
      </c>
    </row>
    <row r="106">
      <c r="A106" s="26" t="s">
        <v>274</v>
      </c>
      <c r="B106" s="27">
        <v>0.8</v>
      </c>
      <c r="C106" s="27">
        <v>1.685</v>
      </c>
    </row>
    <row r="107">
      <c r="A107" s="26" t="s">
        <v>275</v>
      </c>
      <c r="B107" s="27">
        <v>0.975</v>
      </c>
      <c r="C107" s="27">
        <v>1.277</v>
      </c>
    </row>
    <row r="108">
      <c r="A108" s="26" t="s">
        <v>276</v>
      </c>
      <c r="B108" s="27">
        <v>0.66</v>
      </c>
      <c r="C108" s="27">
        <v>1.283</v>
      </c>
    </row>
    <row r="109">
      <c r="A109" s="26" t="s">
        <v>277</v>
      </c>
      <c r="B109" s="27">
        <v>0.392</v>
      </c>
      <c r="C109" s="27">
        <v>1.28</v>
      </c>
    </row>
    <row r="110">
      <c r="A110" s="26" t="s">
        <v>278</v>
      </c>
      <c r="B110" s="27">
        <v>0.892</v>
      </c>
      <c r="C110" s="27">
        <v>1.426</v>
      </c>
    </row>
    <row r="111">
      <c r="A111" s="26" t="s">
        <v>279</v>
      </c>
      <c r="B111" s="27">
        <v>0.493</v>
      </c>
      <c r="C111" s="27">
        <v>1.284</v>
      </c>
    </row>
    <row r="112">
      <c r="A112" s="26" t="s">
        <v>280</v>
      </c>
      <c r="B112" s="27">
        <v>0.206</v>
      </c>
      <c r="C112" s="27">
        <v>1.313</v>
      </c>
    </row>
    <row r="113">
      <c r="A113" s="26" t="s">
        <v>281</v>
      </c>
      <c r="B113" s="27">
        <v>0.168</v>
      </c>
      <c r="C113" s="27">
        <v>1.131</v>
      </c>
    </row>
    <row r="114">
      <c r="A114" s="26" t="s">
        <v>282</v>
      </c>
      <c r="B114" s="27">
        <v>1.73</v>
      </c>
      <c r="C114" s="27">
        <v>1.448</v>
      </c>
    </row>
    <row r="115">
      <c r="A115" s="26" t="s">
        <v>283</v>
      </c>
      <c r="B115" s="27">
        <v>0.68</v>
      </c>
      <c r="C115" s="27">
        <v>1.27</v>
      </c>
    </row>
    <row r="116">
      <c r="A116" s="26" t="s">
        <v>284</v>
      </c>
      <c r="B116" s="27">
        <v>1.36</v>
      </c>
      <c r="C116" s="27">
        <v>1.288</v>
      </c>
    </row>
    <row r="117">
      <c r="A117" s="26" t="s">
        <v>285</v>
      </c>
      <c r="B117" s="27">
        <v>0.309</v>
      </c>
      <c r="C117" s="27">
        <v>1.293</v>
      </c>
    </row>
    <row r="118">
      <c r="A118" s="26" t="s">
        <v>286</v>
      </c>
      <c r="B118" s="27">
        <v>0.819</v>
      </c>
      <c r="C118" s="27">
        <v>1.009</v>
      </c>
    </row>
    <row r="119">
      <c r="A119" s="26" t="s">
        <v>287</v>
      </c>
      <c r="B119" s="27">
        <v>1.487</v>
      </c>
      <c r="C119" s="27">
        <v>1.318</v>
      </c>
    </row>
    <row r="120">
      <c r="A120" s="26" t="s">
        <v>288</v>
      </c>
      <c r="B120" s="27">
        <v>0.76</v>
      </c>
      <c r="C120" s="27">
        <v>0.944</v>
      </c>
    </row>
    <row r="121">
      <c r="A121" s="26" t="s">
        <v>289</v>
      </c>
      <c r="B121" s="27">
        <v>0.582</v>
      </c>
      <c r="C121" s="27">
        <v>1.182</v>
      </c>
    </row>
    <row r="122">
      <c r="A122" s="26" t="s">
        <v>290</v>
      </c>
      <c r="B122" s="27">
        <v>2.31</v>
      </c>
      <c r="C122" s="27">
        <v>1.51</v>
      </c>
    </row>
    <row r="123">
      <c r="A123" s="26" t="s">
        <v>291</v>
      </c>
      <c r="B123" s="27">
        <v>1.85</v>
      </c>
      <c r="C123" s="27">
        <v>1.413</v>
      </c>
    </row>
    <row r="124">
      <c r="A124" s="26" t="s">
        <v>292</v>
      </c>
      <c r="B124" s="27">
        <v>0.372</v>
      </c>
      <c r="C124" s="27">
        <v>1.332</v>
      </c>
    </row>
    <row r="125">
      <c r="A125" s="26" t="s">
        <v>293</v>
      </c>
      <c r="B125" s="27">
        <v>1.54</v>
      </c>
      <c r="C125" s="27">
        <v>1.123</v>
      </c>
    </row>
    <row r="126">
      <c r="A126" s="26" t="s">
        <v>294</v>
      </c>
      <c r="B126" s="27">
        <v>1.06</v>
      </c>
      <c r="C126" s="27">
        <v>1.252</v>
      </c>
    </row>
    <row r="127">
      <c r="A127" s="26" t="s">
        <v>295</v>
      </c>
      <c r="B127" s="27">
        <v>0.574</v>
      </c>
      <c r="C127" s="27">
        <v>1.631</v>
      </c>
    </row>
    <row r="128">
      <c r="A128" s="26" t="s">
        <v>296</v>
      </c>
      <c r="B128" s="27">
        <v>1.057</v>
      </c>
      <c r="C128" s="27">
        <v>0.899</v>
      </c>
    </row>
    <row r="129">
      <c r="A129" s="26" t="s">
        <v>297</v>
      </c>
      <c r="B129" s="27">
        <v>0.761</v>
      </c>
      <c r="C129" s="27">
        <v>1.073</v>
      </c>
    </row>
    <row r="130">
      <c r="A130" s="26" t="s">
        <v>298</v>
      </c>
      <c r="B130" s="27">
        <v>0.614</v>
      </c>
      <c r="C130" s="27">
        <v>1.119</v>
      </c>
    </row>
    <row r="131">
      <c r="A131" s="26" t="s">
        <v>299</v>
      </c>
      <c r="B131" s="27">
        <v>0.58</v>
      </c>
      <c r="C131" s="27">
        <v>1.703</v>
      </c>
    </row>
    <row r="132">
      <c r="A132" s="26" t="s">
        <v>300</v>
      </c>
      <c r="B132" s="27">
        <v>0.527</v>
      </c>
      <c r="C132" s="27">
        <v>1.89</v>
      </c>
    </row>
    <row r="133">
      <c r="A133" s="26" t="s">
        <v>301</v>
      </c>
      <c r="B133" s="27">
        <v>0.783</v>
      </c>
      <c r="C133" s="27">
        <v>1.59</v>
      </c>
    </row>
    <row r="134">
      <c r="A134" s="26" t="s">
        <v>302</v>
      </c>
      <c r="B134" s="27">
        <v>0.45</v>
      </c>
      <c r="C134" s="27">
        <v>2.14</v>
      </c>
    </row>
    <row r="135">
      <c r="A135" s="26" t="s">
        <v>303</v>
      </c>
      <c r="B135" s="27">
        <v>0.724</v>
      </c>
      <c r="C135" s="27">
        <v>1.072</v>
      </c>
    </row>
    <row r="136">
      <c r="A136" s="26" t="s">
        <v>304</v>
      </c>
      <c r="B136" s="27">
        <v>3.58</v>
      </c>
      <c r="C136" s="27">
        <v>1.676</v>
      </c>
    </row>
    <row r="137">
      <c r="A137" s="26" t="s">
        <v>305</v>
      </c>
      <c r="B137" s="27">
        <v>1.11</v>
      </c>
      <c r="C137" s="27">
        <v>1.275</v>
      </c>
    </row>
    <row r="138">
      <c r="A138" s="26" t="s">
        <v>306</v>
      </c>
      <c r="B138" s="27">
        <v>6.78</v>
      </c>
      <c r="C138" s="27">
        <v>1.87</v>
      </c>
    </row>
    <row r="139">
      <c r="A139" s="26" t="s">
        <v>307</v>
      </c>
      <c r="B139" s="27">
        <v>1.79</v>
      </c>
      <c r="C139" s="27">
        <v>1.51</v>
      </c>
    </row>
    <row r="140">
      <c r="A140" s="26" t="s">
        <v>308</v>
      </c>
      <c r="B140" s="27">
        <v>1.35</v>
      </c>
      <c r="C140" s="27">
        <v>1.42</v>
      </c>
    </row>
    <row r="141">
      <c r="A141" s="26" t="s">
        <v>309</v>
      </c>
      <c r="B141" s="27">
        <v>0.67</v>
      </c>
      <c r="C141" s="27">
        <v>1.4</v>
      </c>
    </row>
    <row r="142">
      <c r="A142" s="26" t="s">
        <v>310</v>
      </c>
      <c r="B142" s="27">
        <v>0.526</v>
      </c>
      <c r="C142" s="27">
        <v>0.969</v>
      </c>
    </row>
    <row r="143">
      <c r="A143" s="26" t="s">
        <v>311</v>
      </c>
      <c r="B143" s="27">
        <v>0.85</v>
      </c>
      <c r="C143" s="27">
        <v>1.609</v>
      </c>
    </row>
    <row r="144">
      <c r="A144" s="26" t="s">
        <v>312</v>
      </c>
      <c r="B144" s="27">
        <v>2.38</v>
      </c>
      <c r="C144" s="27">
        <v>0.692</v>
      </c>
    </row>
    <row r="145">
      <c r="A145" s="26" t="s">
        <v>313</v>
      </c>
      <c r="B145" s="27">
        <v>0.543</v>
      </c>
      <c r="C145" s="27">
        <v>1.212</v>
      </c>
    </row>
    <row r="146">
      <c r="A146" s="26" t="s">
        <v>314</v>
      </c>
      <c r="B146" s="27">
        <v>1.071</v>
      </c>
      <c r="C146" s="27">
        <v>1.039</v>
      </c>
    </row>
    <row r="147">
      <c r="A147" s="26" t="s">
        <v>315</v>
      </c>
      <c r="B147" s="27">
        <v>2.17</v>
      </c>
      <c r="C147" s="27">
        <v>1.105</v>
      </c>
    </row>
    <row r="148">
      <c r="A148" s="26" t="s">
        <v>316</v>
      </c>
      <c r="B148" s="27">
        <v>3.27</v>
      </c>
      <c r="C148" s="27">
        <v>1.3</v>
      </c>
    </row>
    <row r="149">
      <c r="A149" s="26" t="s">
        <v>317</v>
      </c>
      <c r="B149" s="27">
        <v>1.338</v>
      </c>
      <c r="C149" s="27">
        <v>0.777</v>
      </c>
    </row>
    <row r="150">
      <c r="A150" s="26" t="s">
        <v>318</v>
      </c>
      <c r="B150" s="27">
        <v>1.98</v>
      </c>
      <c r="C150" s="27">
        <v>1.337</v>
      </c>
    </row>
    <row r="151">
      <c r="A151" s="26" t="s">
        <v>319</v>
      </c>
      <c r="B151" s="27">
        <v>0.427</v>
      </c>
      <c r="C151" s="27">
        <v>1.66</v>
      </c>
    </row>
    <row r="152">
      <c r="A152" s="26" t="s">
        <v>320</v>
      </c>
      <c r="B152" s="27">
        <v>1.855</v>
      </c>
      <c r="C152" s="27">
        <v>1.302</v>
      </c>
    </row>
    <row r="153">
      <c r="A153" s="26" t="s">
        <v>321</v>
      </c>
      <c r="B153" s="27">
        <v>0.273</v>
      </c>
      <c r="C153" s="27">
        <v>0.776</v>
      </c>
    </row>
    <row r="154">
      <c r="A154" s="26" t="s">
        <v>322</v>
      </c>
      <c r="B154" s="27">
        <v>0.332</v>
      </c>
      <c r="C154" s="27">
        <v>1.123</v>
      </c>
    </row>
    <row r="155">
      <c r="A155" s="26" t="s">
        <v>323</v>
      </c>
      <c r="B155" s="27">
        <v>2.74</v>
      </c>
      <c r="C155" s="27">
        <v>0.953</v>
      </c>
    </row>
    <row r="156">
      <c r="A156" s="26" t="s">
        <v>324</v>
      </c>
      <c r="B156" s="27">
        <v>1.47</v>
      </c>
      <c r="C156" s="27">
        <v>1.86</v>
      </c>
    </row>
    <row r="157">
      <c r="A157" s="26" t="s">
        <v>325</v>
      </c>
      <c r="B157" s="27">
        <v>2.44</v>
      </c>
      <c r="C157" s="27">
        <v>1.487</v>
      </c>
    </row>
    <row r="158">
      <c r="A158" s="26" t="s">
        <v>326</v>
      </c>
      <c r="B158" s="27">
        <v>0.613</v>
      </c>
      <c r="C158" s="27">
        <v>1.26</v>
      </c>
    </row>
    <row r="159">
      <c r="A159" s="26" t="s">
        <v>327</v>
      </c>
      <c r="B159" s="27">
        <v>0.65</v>
      </c>
      <c r="C159" s="27">
        <v>1.75</v>
      </c>
    </row>
    <row r="160">
      <c r="A160" s="26" t="s">
        <v>329</v>
      </c>
      <c r="B160" s="27">
        <v>0.53</v>
      </c>
      <c r="C160" s="27">
        <v>1.5</v>
      </c>
    </row>
    <row r="161">
      <c r="A161" s="26" t="s">
        <v>330</v>
      </c>
      <c r="B161" s="27">
        <v>0.672</v>
      </c>
      <c r="C161" s="27">
        <v>1.194</v>
      </c>
    </row>
    <row r="162">
      <c r="A162" s="26" t="s">
        <v>331</v>
      </c>
      <c r="B162" s="27">
        <v>0.653</v>
      </c>
      <c r="C162" s="27">
        <v>1.251</v>
      </c>
    </row>
    <row r="163">
      <c r="A163" s="26" t="s">
        <v>332</v>
      </c>
      <c r="B163" s="27">
        <v>1.345</v>
      </c>
      <c r="C163" s="27">
        <v>1.168</v>
      </c>
    </row>
    <row r="164">
      <c r="A164" s="26" t="s">
        <v>333</v>
      </c>
      <c r="B164" s="27">
        <v>0.706</v>
      </c>
      <c r="C164" s="27">
        <v>1.175</v>
      </c>
    </row>
    <row r="165">
      <c r="A165" s="26" t="s">
        <v>334</v>
      </c>
      <c r="B165" s="27">
        <v>0.88</v>
      </c>
      <c r="C165" s="27">
        <v>1.64</v>
      </c>
    </row>
    <row r="166">
      <c r="A166" s="26" t="s">
        <v>335</v>
      </c>
      <c r="B166" s="27">
        <v>0.92</v>
      </c>
      <c r="C166" s="27">
        <v>1.249</v>
      </c>
    </row>
    <row r="167">
      <c r="A167" s="26" t="s">
        <v>336</v>
      </c>
      <c r="B167" s="27">
        <v>1.192</v>
      </c>
      <c r="C167" s="27">
        <v>1.23</v>
      </c>
    </row>
    <row r="168">
      <c r="A168" s="26" t="s">
        <v>337</v>
      </c>
      <c r="B168" s="27">
        <v>0.941</v>
      </c>
      <c r="C168" s="27">
        <v>1.43</v>
      </c>
    </row>
    <row r="169">
      <c r="A169" s="26" t="s">
        <v>338</v>
      </c>
      <c r="B169" s="27">
        <v>1.222</v>
      </c>
      <c r="C169" s="27">
        <v>1.464</v>
      </c>
    </row>
    <row r="170">
      <c r="A170" s="26" t="s">
        <v>339</v>
      </c>
      <c r="B170" s="27">
        <v>2.79</v>
      </c>
      <c r="C170" s="27">
        <v>1.153</v>
      </c>
    </row>
    <row r="171">
      <c r="A171" s="26" t="s">
        <v>340</v>
      </c>
      <c r="B171" s="27">
        <v>0.099</v>
      </c>
      <c r="C171" s="27">
        <v>0.606</v>
      </c>
    </row>
    <row r="172">
      <c r="A172" s="26" t="s">
        <v>341</v>
      </c>
      <c r="B172" s="27">
        <v>0.074</v>
      </c>
      <c r="C172" s="27">
        <v>0.614</v>
      </c>
    </row>
    <row r="173">
      <c r="A173" s="26" t="s">
        <v>342</v>
      </c>
      <c r="B173" s="27">
        <v>0.63</v>
      </c>
      <c r="C173" s="27">
        <v>1.57</v>
      </c>
    </row>
    <row r="174">
      <c r="A174" s="26" t="s">
        <v>343</v>
      </c>
      <c r="B174" s="27">
        <v>1.071</v>
      </c>
      <c r="C174" s="27">
        <v>1.381</v>
      </c>
    </row>
    <row r="175">
      <c r="A175" s="26" t="s">
        <v>344</v>
      </c>
      <c r="B175" s="27">
        <v>1.59</v>
      </c>
      <c r="C175" s="27">
        <v>1.58</v>
      </c>
    </row>
    <row r="176">
      <c r="A176" s="26" t="s">
        <v>345</v>
      </c>
      <c r="B176" s="27">
        <v>9.7</v>
      </c>
      <c r="C176" s="27">
        <v>1.33</v>
      </c>
    </row>
    <row r="177">
      <c r="A177" s="26" t="s">
        <v>346</v>
      </c>
      <c r="B177" s="27">
        <v>1.88</v>
      </c>
      <c r="C177" s="27">
        <v>1.4</v>
      </c>
    </row>
    <row r="178">
      <c r="A178" s="26" t="s">
        <v>347</v>
      </c>
      <c r="B178" s="27">
        <v>0.261</v>
      </c>
      <c r="C178" s="27">
        <v>1.18</v>
      </c>
    </row>
    <row r="179">
      <c r="A179" s="26" t="s">
        <v>348</v>
      </c>
      <c r="B179" s="27">
        <v>0.56</v>
      </c>
      <c r="C179" s="27">
        <v>1.067</v>
      </c>
    </row>
    <row r="180">
      <c r="A180" s="26" t="s">
        <v>349</v>
      </c>
      <c r="B180" s="27">
        <v>0.7</v>
      </c>
      <c r="C180" s="27">
        <v>1.286</v>
      </c>
    </row>
    <row r="181">
      <c r="A181" s="26" t="s">
        <v>350</v>
      </c>
      <c r="B181" s="27">
        <v>0.173</v>
      </c>
      <c r="C181" s="27">
        <v>0.903</v>
      </c>
    </row>
    <row r="182">
      <c r="A182" s="26" t="s">
        <v>351</v>
      </c>
      <c r="B182" s="27">
        <v>0.369</v>
      </c>
      <c r="C182" s="27">
        <v>1.117</v>
      </c>
    </row>
    <row r="183">
      <c r="A183" s="26" t="s">
        <v>352</v>
      </c>
      <c r="B183" s="27">
        <v>0.243</v>
      </c>
      <c r="C183" s="27">
        <v>0.8</v>
      </c>
    </row>
    <row r="184">
      <c r="A184" s="26" t="s">
        <v>353</v>
      </c>
      <c r="B184" s="27">
        <v>0.353</v>
      </c>
      <c r="C184" s="27">
        <v>0.765</v>
      </c>
    </row>
    <row r="185">
      <c r="A185" s="26" t="s">
        <v>354</v>
      </c>
      <c r="B185" s="27">
        <v>1.323</v>
      </c>
      <c r="C185" s="27">
        <v>1.02</v>
      </c>
    </row>
    <row r="186">
      <c r="A186" s="26" t="s">
        <v>355</v>
      </c>
      <c r="B186" s="27">
        <v>0.39</v>
      </c>
      <c r="C186" s="27">
        <v>1.13</v>
      </c>
    </row>
    <row r="187">
      <c r="A187" s="26" t="s">
        <v>356</v>
      </c>
      <c r="B187" s="27">
        <v>0.768</v>
      </c>
      <c r="C187" s="27">
        <v>1.41</v>
      </c>
    </row>
    <row r="188">
      <c r="A188" s="26" t="s">
        <v>357</v>
      </c>
      <c r="B188" s="27">
        <v>2.24</v>
      </c>
      <c r="C188" s="27">
        <v>1.382</v>
      </c>
    </row>
    <row r="189">
      <c r="A189" s="26" t="s">
        <v>358</v>
      </c>
      <c r="B189" s="27">
        <v>0.595</v>
      </c>
      <c r="C189" s="27">
        <v>1.34</v>
      </c>
    </row>
    <row r="190">
      <c r="A190" s="26" t="s">
        <v>359</v>
      </c>
      <c r="B190" s="27">
        <v>0.753</v>
      </c>
      <c r="C190" s="27">
        <v>1.015</v>
      </c>
    </row>
    <row r="191">
      <c r="A191" s="26" t="s">
        <v>360</v>
      </c>
      <c r="B191" s="27">
        <v>0.921</v>
      </c>
      <c r="C191" s="27">
        <v>1.251</v>
      </c>
    </row>
    <row r="192">
      <c r="A192" s="26" t="s">
        <v>361</v>
      </c>
      <c r="B192" s="27">
        <v>0.602</v>
      </c>
      <c r="C192" s="27">
        <v>1.688</v>
      </c>
    </row>
    <row r="193">
      <c r="A193" s="26" t="s">
        <v>362</v>
      </c>
      <c r="B193" s="27">
        <v>3.147</v>
      </c>
      <c r="C193" s="27">
        <v>1.13</v>
      </c>
    </row>
    <row r="194">
      <c r="A194" s="26" t="s">
        <v>363</v>
      </c>
      <c r="B194" s="27">
        <v>1.03</v>
      </c>
      <c r="C194" s="27">
        <v>1.095</v>
      </c>
    </row>
    <row r="195">
      <c r="A195" s="26" t="s">
        <v>364</v>
      </c>
      <c r="B195" s="27">
        <v>0.806</v>
      </c>
      <c r="C195" s="27">
        <v>1.126</v>
      </c>
    </row>
    <row r="196">
      <c r="A196" s="26" t="s">
        <v>365</v>
      </c>
      <c r="B196" s="27">
        <v>0.237</v>
      </c>
      <c r="C196" s="27">
        <v>0.912</v>
      </c>
    </row>
    <row r="197">
      <c r="A197" s="26" t="s">
        <v>366</v>
      </c>
      <c r="B197" s="27">
        <v>0.662</v>
      </c>
      <c r="C197" s="27">
        <v>1.153</v>
      </c>
    </row>
    <row r="198">
      <c r="A198" s="26" t="s">
        <v>367</v>
      </c>
      <c r="B198" s="27">
        <v>3.4</v>
      </c>
      <c r="C198" s="27">
        <v>1.195</v>
      </c>
    </row>
    <row r="199">
      <c r="A199" s="26" t="s">
        <v>368</v>
      </c>
      <c r="B199" s="27">
        <v>0.179</v>
      </c>
      <c r="C199" s="27">
        <v>1.055</v>
      </c>
    </row>
    <row r="200">
      <c r="A200" s="26" t="s">
        <v>369</v>
      </c>
      <c r="B200" s="27">
        <v>0.96</v>
      </c>
      <c r="C200" s="27">
        <v>1.207</v>
      </c>
    </row>
    <row r="201">
      <c r="A201" s="26" t="s">
        <v>370</v>
      </c>
      <c r="B201" s="27">
        <v>0.96</v>
      </c>
      <c r="C201" s="27">
        <v>1.679</v>
      </c>
    </row>
    <row r="202">
      <c r="A202" s="26" t="s">
        <v>371</v>
      </c>
      <c r="B202" s="27">
        <v>0.821</v>
      </c>
      <c r="C202" s="27">
        <v>1.501</v>
      </c>
    </row>
    <row r="203">
      <c r="A203" s="26" t="s">
        <v>372</v>
      </c>
      <c r="B203" s="27">
        <v>5.33</v>
      </c>
      <c r="C203" s="27">
        <v>1.411</v>
      </c>
    </row>
    <row r="204">
      <c r="A204" s="26" t="s">
        <v>373</v>
      </c>
      <c r="B204" s="27">
        <v>1.45</v>
      </c>
      <c r="C204" s="27">
        <v>1.685</v>
      </c>
    </row>
    <row r="205">
      <c r="A205" s="26" t="s">
        <v>374</v>
      </c>
      <c r="B205" s="27">
        <v>1.29</v>
      </c>
      <c r="C205" s="27">
        <v>1.2321</v>
      </c>
    </row>
    <row r="206">
      <c r="A206" s="26" t="s">
        <v>375</v>
      </c>
      <c r="B206" s="27">
        <v>0.577</v>
      </c>
      <c r="C206" s="27">
        <v>0.945</v>
      </c>
    </row>
    <row r="207">
      <c r="A207" s="26" t="s">
        <v>376</v>
      </c>
      <c r="B207" s="27">
        <v>0.319</v>
      </c>
      <c r="C207" s="27">
        <v>0.998</v>
      </c>
    </row>
    <row r="208">
      <c r="A208" s="26" t="s">
        <v>165</v>
      </c>
      <c r="B208" s="27">
        <v>12.9</v>
      </c>
      <c r="C208" s="27">
        <v>1.384</v>
      </c>
    </row>
    <row r="209">
      <c r="A209" s="26" t="s">
        <v>377</v>
      </c>
      <c r="B209" s="27">
        <v>0.45</v>
      </c>
      <c r="C209" s="27">
        <v>1.08</v>
      </c>
    </row>
    <row r="210">
      <c r="A210" s="26" t="s">
        <v>378</v>
      </c>
      <c r="B210" s="27">
        <v>0.1254</v>
      </c>
      <c r="C210" s="27">
        <v>0.7224</v>
      </c>
    </row>
    <row r="211">
      <c r="A211" s="26" t="s">
        <v>379</v>
      </c>
      <c r="B211" s="27">
        <v>1.46</v>
      </c>
      <c r="C211" s="27">
        <v>1.032</v>
      </c>
    </row>
    <row r="212">
      <c r="A212" s="26" t="s">
        <v>380</v>
      </c>
      <c r="B212" s="27">
        <v>0.491</v>
      </c>
      <c r="C212" s="27">
        <v>0.884</v>
      </c>
    </row>
    <row r="213">
      <c r="A213" s="26" t="s">
        <v>381</v>
      </c>
      <c r="B213" s="27">
        <v>2.629</v>
      </c>
      <c r="C213" s="27">
        <v>1.079</v>
      </c>
    </row>
    <row r="214">
      <c r="A214" s="26" t="s">
        <v>382</v>
      </c>
      <c r="B214" s="27">
        <v>1.374</v>
      </c>
      <c r="C214" s="27">
        <v>1.165</v>
      </c>
    </row>
    <row r="215">
      <c r="A215" s="26" t="s">
        <v>383</v>
      </c>
      <c r="B215" s="27">
        <v>0.12</v>
      </c>
      <c r="C215" s="27">
        <v>0.563</v>
      </c>
    </row>
    <row r="216">
      <c r="A216" s="26" t="s">
        <v>384</v>
      </c>
      <c r="B216" s="27">
        <v>0.138</v>
      </c>
      <c r="C216" s="27">
        <v>0.873</v>
      </c>
    </row>
    <row r="217">
      <c r="A217" s="26" t="s">
        <v>385</v>
      </c>
      <c r="B217" s="27">
        <v>0.839</v>
      </c>
      <c r="C217" s="27">
        <v>1.236</v>
      </c>
    </row>
    <row r="218">
      <c r="A218" s="26" t="s">
        <v>386</v>
      </c>
      <c r="B218" s="27">
        <v>1.65</v>
      </c>
      <c r="C218" s="27">
        <v>6.9</v>
      </c>
    </row>
    <row r="219">
      <c r="A219" s="26" t="s">
        <v>387</v>
      </c>
      <c r="B219" s="27">
        <v>0.033</v>
      </c>
      <c r="C219" s="27">
        <v>0.214</v>
      </c>
    </row>
    <row r="220">
      <c r="A220" s="26" t="s">
        <v>388</v>
      </c>
      <c r="B220" s="27">
        <v>0.038</v>
      </c>
      <c r="C220" s="27">
        <v>0.3908</v>
      </c>
    </row>
    <row r="221">
      <c r="A221" s="26" t="s">
        <v>389</v>
      </c>
      <c r="B221" s="27">
        <v>0.0179</v>
      </c>
      <c r="C221" s="27">
        <v>0.19627</v>
      </c>
    </row>
    <row r="222">
      <c r="A222" s="26" t="s">
        <v>390</v>
      </c>
      <c r="B222" s="27">
        <v>0.0198</v>
      </c>
      <c r="C222" s="27">
        <v>0.2132</v>
      </c>
    </row>
    <row r="223">
      <c r="A223" s="26" t="s">
        <v>391</v>
      </c>
      <c r="B223" s="27">
        <v>0.02681</v>
      </c>
      <c r="C223" s="27">
        <v>0.2543</v>
      </c>
    </row>
    <row r="224">
      <c r="A224" s="26" t="s">
        <v>392</v>
      </c>
      <c r="B224" s="27">
        <v>0.0123</v>
      </c>
      <c r="C224" s="27">
        <v>0.1731</v>
      </c>
    </row>
    <row r="225">
      <c r="A225" s="26" t="s">
        <v>393</v>
      </c>
      <c r="B225" s="27">
        <v>0.01586</v>
      </c>
      <c r="C225" s="27">
        <v>0.232</v>
      </c>
    </row>
    <row r="226">
      <c r="A226" s="26" t="s">
        <v>394</v>
      </c>
      <c r="B226" s="27">
        <v>0.0264</v>
      </c>
      <c r="C226" s="27">
        <v>0.23258</v>
      </c>
    </row>
    <row r="227">
      <c r="A227" s="26" t="s">
        <v>395</v>
      </c>
      <c r="B227" s="27">
        <v>0.01432</v>
      </c>
      <c r="C227" s="27">
        <v>0.1829</v>
      </c>
    </row>
    <row r="228">
      <c r="A228" s="26" t="s">
        <v>396</v>
      </c>
      <c r="B228" s="27">
        <v>8.0</v>
      </c>
      <c r="C228" s="27">
        <v>1.0</v>
      </c>
    </row>
    <row r="229">
      <c r="A229" s="26" t="s">
        <v>397</v>
      </c>
      <c r="B229" s="27">
        <v>0.7</v>
      </c>
      <c r="C229" s="27">
        <v>0.49</v>
      </c>
    </row>
    <row r="230">
      <c r="A230" s="26" t="s">
        <v>398</v>
      </c>
      <c r="B230" s="27">
        <v>2.17</v>
      </c>
      <c r="C230" s="27">
        <v>1.14</v>
      </c>
    </row>
    <row r="231">
      <c r="A231" s="26" t="s">
        <v>399</v>
      </c>
      <c r="B231" s="27">
        <v>0.01271</v>
      </c>
      <c r="C231" s="27">
        <v>0.1169</v>
      </c>
    </row>
    <row r="232">
      <c r="A232" s="26" t="s">
        <v>400</v>
      </c>
      <c r="B232" s="27">
        <v>0.415</v>
      </c>
      <c r="C232" s="27">
        <v>1.026</v>
      </c>
    </row>
    <row r="233">
      <c r="A233" s="26" t="s">
        <v>401</v>
      </c>
      <c r="B233" s="27">
        <v>0.28</v>
      </c>
      <c r="C233" s="27">
        <v>0.74</v>
      </c>
    </row>
    <row r="234">
      <c r="A234" s="26" t="s">
        <v>403</v>
      </c>
      <c r="B234" s="27">
        <v>0.0309</v>
      </c>
      <c r="C234" s="27">
        <v>0.2721</v>
      </c>
    </row>
    <row r="235">
      <c r="A235" s="26" t="s">
        <v>404</v>
      </c>
      <c r="B235" s="27">
        <v>0.03043</v>
      </c>
      <c r="C235" s="27">
        <v>0.5299</v>
      </c>
    </row>
    <row r="236">
      <c r="A236" s="26" t="s">
        <v>405</v>
      </c>
      <c r="B236" s="27">
        <v>3.195</v>
      </c>
      <c r="C236" s="27">
        <v>1.095</v>
      </c>
    </row>
    <row r="237">
      <c r="A237" s="26" t="s">
        <v>406</v>
      </c>
      <c r="B237" s="27">
        <v>0.0302</v>
      </c>
      <c r="C237" s="27">
        <v>0.3149</v>
      </c>
    </row>
    <row r="238">
      <c r="A238" s="26" t="s">
        <v>407</v>
      </c>
      <c r="B238" s="27">
        <v>1.138</v>
      </c>
      <c r="C238" s="27">
        <v>1.138</v>
      </c>
    </row>
    <row r="239">
      <c r="A239" s="26" t="s">
        <v>408</v>
      </c>
      <c r="B239" s="27">
        <v>0.0242</v>
      </c>
      <c r="C239" s="27">
        <v>0.27541</v>
      </c>
    </row>
    <row r="240">
      <c r="A240" s="26" t="s">
        <v>410</v>
      </c>
      <c r="B240" s="27">
        <v>0.031</v>
      </c>
      <c r="C240" s="27">
        <v>0.303</v>
      </c>
    </row>
    <row r="241">
      <c r="A241" s="26" t="s">
        <v>411</v>
      </c>
      <c r="B241" s="27">
        <v>0.0227</v>
      </c>
      <c r="C241" s="27">
        <v>0.2748</v>
      </c>
    </row>
    <row r="242">
      <c r="A242" s="26" t="s">
        <v>412</v>
      </c>
      <c r="B242" s="27">
        <v>0.0182</v>
      </c>
      <c r="C242" s="27">
        <v>0.2712</v>
      </c>
    </row>
    <row r="243">
      <c r="A243" s="26" t="s">
        <v>413</v>
      </c>
      <c r="B243" s="27">
        <v>1.008</v>
      </c>
      <c r="C243" s="27">
        <v>1.562</v>
      </c>
    </row>
    <row r="244">
      <c r="A244" s="26" t="s">
        <v>414</v>
      </c>
      <c r="B244" s="27">
        <v>11.0</v>
      </c>
      <c r="C244" s="27">
        <v>1.3</v>
      </c>
    </row>
    <row r="245">
      <c r="A245" s="26" t="s">
        <v>415</v>
      </c>
      <c r="B245" s="27">
        <v>0.02335</v>
      </c>
      <c r="C245" s="27">
        <v>0.1534</v>
      </c>
    </row>
    <row r="246">
      <c r="A246" s="26" t="s">
        <v>416</v>
      </c>
      <c r="B246" s="27">
        <v>10.31</v>
      </c>
      <c r="C246" s="27">
        <v>1.46</v>
      </c>
    </row>
    <row r="247">
      <c r="A247" s="26" t="s">
        <v>417</v>
      </c>
      <c r="B247" s="27">
        <v>0.0192</v>
      </c>
      <c r="C247" s="27">
        <v>0.2007</v>
      </c>
    </row>
    <row r="248">
      <c r="A248" s="26" t="s">
        <v>418</v>
      </c>
      <c r="B248" s="27">
        <v>0.05</v>
      </c>
      <c r="C248" s="27">
        <v>0.22348</v>
      </c>
    </row>
    <row r="249">
      <c r="A249" s="26" t="s">
        <v>419</v>
      </c>
      <c r="B249" s="27">
        <v>0.69</v>
      </c>
      <c r="C249" s="27">
        <v>1.38</v>
      </c>
    </row>
    <row r="250">
      <c r="A250" s="26" t="s">
        <v>420</v>
      </c>
      <c r="B250" s="27">
        <v>0.02778</v>
      </c>
      <c r="C250" s="27">
        <v>0.15568</v>
      </c>
    </row>
    <row r="251">
      <c r="A251" s="26" t="s">
        <v>421</v>
      </c>
      <c r="B251" s="27">
        <v>0.0249</v>
      </c>
      <c r="C251" s="27">
        <v>0.24061</v>
      </c>
    </row>
    <row r="252">
      <c r="A252" s="26" t="s">
        <v>422</v>
      </c>
      <c r="B252" s="27">
        <v>0.01343</v>
      </c>
      <c r="C252" s="27">
        <v>0.134</v>
      </c>
    </row>
    <row r="253">
      <c r="A253" s="26" t="s">
        <v>423</v>
      </c>
      <c r="B253" s="27">
        <v>0.01246</v>
      </c>
      <c r="C253" s="27">
        <v>0.12624</v>
      </c>
    </row>
    <row r="254">
      <c r="A254" s="26" t="s">
        <v>424</v>
      </c>
      <c r="B254" s="27">
        <v>0.0522</v>
      </c>
      <c r="C254" s="27">
        <v>0.4202</v>
      </c>
    </row>
    <row r="255">
      <c r="A255" s="26" t="s">
        <v>425</v>
      </c>
      <c r="B255" s="27">
        <v>0.1904</v>
      </c>
      <c r="C255" s="27">
        <v>0.836</v>
      </c>
    </row>
    <row r="256">
      <c r="A256" s="26" t="s">
        <v>426</v>
      </c>
      <c r="B256" s="27">
        <v>0.00821</v>
      </c>
      <c r="C256" s="27">
        <v>0.12151</v>
      </c>
    </row>
    <row r="257">
      <c r="A257" s="26" t="s">
        <v>427</v>
      </c>
      <c r="B257" s="27">
        <v>0.0208</v>
      </c>
      <c r="C257" s="27">
        <v>0.20769</v>
      </c>
    </row>
    <row r="258">
      <c r="A258" s="26" t="s">
        <v>429</v>
      </c>
      <c r="B258" s="27">
        <v>0.0249</v>
      </c>
      <c r="C258" s="27">
        <v>0.23258</v>
      </c>
    </row>
    <row r="259">
      <c r="A259" s="26" t="s">
        <v>430</v>
      </c>
      <c r="B259" s="27">
        <v>0.02618</v>
      </c>
      <c r="C259" s="27">
        <v>0.16701</v>
      </c>
    </row>
    <row r="260">
      <c r="A260" s="26" t="s">
        <v>431</v>
      </c>
      <c r="B260" s="27">
        <v>0.01073</v>
      </c>
      <c r="C260" s="27">
        <v>0.1668</v>
      </c>
    </row>
    <row r="261">
      <c r="A261" s="26" t="s">
        <v>432</v>
      </c>
      <c r="B261" s="27">
        <v>0.00173</v>
      </c>
      <c r="C261" s="27">
        <v>0.0669</v>
      </c>
    </row>
    <row r="262">
      <c r="A262" s="26" t="s">
        <v>433</v>
      </c>
      <c r="B262" s="27">
        <v>0.00227</v>
      </c>
      <c r="C262" s="27">
        <v>0.07298</v>
      </c>
    </row>
    <row r="263">
      <c r="A263" s="26" t="s">
        <v>434</v>
      </c>
      <c r="B263" s="27">
        <v>0.00242</v>
      </c>
      <c r="C263" s="27">
        <v>0.10144</v>
      </c>
    </row>
    <row r="264">
      <c r="A264" s="26" t="s">
        <v>435</v>
      </c>
      <c r="B264" s="27">
        <v>0.00673</v>
      </c>
      <c r="C264" s="27">
        <v>0.1106</v>
      </c>
    </row>
    <row r="265">
      <c r="A265" s="26" t="s">
        <v>437</v>
      </c>
      <c r="B265" s="27">
        <v>0.00972</v>
      </c>
      <c r="C265" s="27">
        <v>0.13677</v>
      </c>
    </row>
    <row r="266">
      <c r="A266" s="26" t="s">
        <v>438</v>
      </c>
      <c r="B266" s="27">
        <v>1.18</v>
      </c>
      <c r="C266" s="27">
        <v>1.44</v>
      </c>
    </row>
    <row r="267">
      <c r="A267" s="26" t="s">
        <v>439</v>
      </c>
      <c r="B267" s="27">
        <v>0.058195</v>
      </c>
      <c r="C267" s="27">
        <v>0.19618</v>
      </c>
    </row>
    <row r="268">
      <c r="A268" s="26" t="s">
        <v>171</v>
      </c>
      <c r="B268" s="27">
        <v>12.0</v>
      </c>
      <c r="C268" s="27">
        <v>1.32</v>
      </c>
    </row>
    <row r="269">
      <c r="A269" s="26" t="s">
        <v>441</v>
      </c>
      <c r="B269" s="27">
        <v>0.0158</v>
      </c>
      <c r="C269" s="27">
        <v>0.152</v>
      </c>
    </row>
    <row r="270">
      <c r="A270" s="26" t="s">
        <v>442</v>
      </c>
      <c r="B270" s="27">
        <v>0.0308</v>
      </c>
      <c r="C270" s="27">
        <v>0.255</v>
      </c>
    </row>
    <row r="271">
      <c r="A271" s="26" t="s">
        <v>443</v>
      </c>
      <c r="B271" s="27">
        <v>0.244</v>
      </c>
      <c r="C271" s="27">
        <v>0.867</v>
      </c>
    </row>
    <row r="272">
      <c r="A272" s="26" t="s">
        <v>444</v>
      </c>
      <c r="B272" s="27">
        <v>0.03562</v>
      </c>
      <c r="C272" s="27">
        <v>0.2266</v>
      </c>
    </row>
    <row r="273">
      <c r="A273" s="26" t="s">
        <v>445</v>
      </c>
      <c r="B273" s="27">
        <v>0.0245</v>
      </c>
      <c r="C273" s="27">
        <v>0.2186</v>
      </c>
    </row>
    <row r="274">
      <c r="A274" s="26" t="s">
        <v>446</v>
      </c>
      <c r="B274" s="27">
        <v>0.0689</v>
      </c>
      <c r="C274" s="27">
        <v>0.1945</v>
      </c>
    </row>
    <row r="275">
      <c r="A275" s="26" t="s">
        <v>447</v>
      </c>
      <c r="B275" s="27">
        <v>0.0482</v>
      </c>
      <c r="C275" s="27">
        <v>0.2427</v>
      </c>
    </row>
    <row r="276">
      <c r="A276" s="26" t="s">
        <v>448</v>
      </c>
      <c r="B276" s="27">
        <v>0.033</v>
      </c>
      <c r="C276" s="27">
        <v>0.2668</v>
      </c>
    </row>
    <row r="277">
      <c r="A277" s="26" t="s">
        <v>450</v>
      </c>
      <c r="B277" s="27">
        <v>0.0349</v>
      </c>
      <c r="C277" s="27">
        <v>0.259</v>
      </c>
    </row>
    <row r="278">
      <c r="A278" s="26" t="s">
        <v>451</v>
      </c>
      <c r="B278" s="27">
        <v>0.039</v>
      </c>
      <c r="C278" s="27">
        <v>0.256</v>
      </c>
    </row>
    <row r="279">
      <c r="A279" s="26" t="s">
        <v>452</v>
      </c>
      <c r="B279" s="27">
        <v>0.0321</v>
      </c>
      <c r="C279" s="27">
        <v>0.2489</v>
      </c>
    </row>
    <row r="280">
      <c r="A280" s="26" t="s">
        <v>453</v>
      </c>
      <c r="B280" s="27">
        <v>0.0302</v>
      </c>
      <c r="C280" s="27">
        <v>0.2436</v>
      </c>
    </row>
    <row r="281">
      <c r="A281" s="26" t="s">
        <v>454</v>
      </c>
      <c r="B281" s="27">
        <v>4.1641</v>
      </c>
      <c r="C281" s="27">
        <v>1.032</v>
      </c>
    </row>
    <row r="282">
      <c r="A282" s="26" t="s">
        <v>455</v>
      </c>
      <c r="B282" s="27">
        <v>0.01762</v>
      </c>
      <c r="C282" s="27">
        <v>0.144</v>
      </c>
    </row>
    <row r="283">
      <c r="A283" s="26" t="s">
        <v>457</v>
      </c>
      <c r="B283" s="27">
        <v>0.4012</v>
      </c>
      <c r="C283" s="27">
        <v>0.869</v>
      </c>
    </row>
    <row r="284">
      <c r="A284" s="26" t="s">
        <v>458</v>
      </c>
      <c r="B284" s="27">
        <v>0.02281</v>
      </c>
      <c r="C284" s="27">
        <v>0.1927</v>
      </c>
    </row>
    <row r="285">
      <c r="A285" s="26" t="s">
        <v>459</v>
      </c>
      <c r="B285" s="27">
        <v>0.0541</v>
      </c>
      <c r="C285" s="27">
        <v>0.2221</v>
      </c>
    </row>
    <row r="286">
      <c r="A286" s="26" t="s">
        <v>460</v>
      </c>
      <c r="B286" s="27">
        <v>0.1073</v>
      </c>
      <c r="C286" s="27">
        <v>0.642</v>
      </c>
    </row>
    <row r="287">
      <c r="A287" s="26" t="s">
        <v>461</v>
      </c>
      <c r="B287" s="27">
        <v>0.12406</v>
      </c>
      <c r="C287" s="27">
        <v>0.3551</v>
      </c>
    </row>
    <row r="288">
      <c r="A288" s="26" t="s">
        <v>462</v>
      </c>
      <c r="B288" s="27">
        <v>0.02457</v>
      </c>
      <c r="C288" s="27">
        <v>0.20047</v>
      </c>
    </row>
    <row r="289">
      <c r="A289" s="26" t="s">
        <v>463</v>
      </c>
      <c r="B289" s="27">
        <v>0.0186</v>
      </c>
      <c r="C289" s="27">
        <v>0.16317</v>
      </c>
    </row>
    <row r="290">
      <c r="A290" s="26" t="s">
        <v>464</v>
      </c>
      <c r="B290" s="27">
        <v>0.0264</v>
      </c>
      <c r="C290" s="27">
        <v>0.2141</v>
      </c>
    </row>
    <row r="291">
      <c r="A291" s="26" t="s">
        <v>465</v>
      </c>
      <c r="B291" s="27">
        <v>0.0372</v>
      </c>
      <c r="C291" s="27">
        <v>0.226</v>
      </c>
    </row>
    <row r="292">
      <c r="A292" s="26" t="s">
        <v>466</v>
      </c>
      <c r="B292" s="27">
        <v>0.0217</v>
      </c>
      <c r="C292" s="27">
        <v>0.054</v>
      </c>
    </row>
    <row r="293">
      <c r="A293" s="26" t="s">
        <v>468</v>
      </c>
      <c r="B293" s="27">
        <v>0.0138</v>
      </c>
      <c r="C293" s="27">
        <v>0.2436</v>
      </c>
    </row>
    <row r="294">
      <c r="A294" s="26" t="s">
        <v>469</v>
      </c>
      <c r="B294" s="27">
        <v>0.0145</v>
      </c>
      <c r="C294" s="27">
        <v>0.3158</v>
      </c>
    </row>
    <row r="295">
      <c r="A295" s="26" t="s">
        <v>470</v>
      </c>
      <c r="B295" s="27">
        <v>0.038</v>
      </c>
      <c r="C295" s="27">
        <v>0.437</v>
      </c>
    </row>
    <row r="296">
      <c r="A296" s="26" t="s">
        <v>471</v>
      </c>
      <c r="B296" s="27">
        <v>0.038</v>
      </c>
      <c r="C296" s="27">
        <v>0.821</v>
      </c>
    </row>
    <row r="297">
      <c r="A297" s="26" t="s">
        <v>472</v>
      </c>
      <c r="B297" s="27">
        <v>7.1</v>
      </c>
      <c r="C297" s="27">
        <v>1.5</v>
      </c>
    </row>
    <row r="298">
      <c r="A298" s="26" t="s">
        <v>473</v>
      </c>
      <c r="B298" s="27">
        <v>3.213</v>
      </c>
      <c r="C298" s="27">
        <v>2.03</v>
      </c>
    </row>
    <row r="299">
      <c r="A299" s="26" t="s">
        <v>475</v>
      </c>
      <c r="B299" s="27">
        <v>0.0434</v>
      </c>
      <c r="C299" s="27">
        <v>0.897</v>
      </c>
    </row>
    <row r="300">
      <c r="A300" s="26" t="s">
        <v>476</v>
      </c>
      <c r="B300" s="27">
        <v>1.192</v>
      </c>
      <c r="C300" s="27">
        <v>0.2862</v>
      </c>
    </row>
    <row r="301">
      <c r="A301" s="26" t="s">
        <v>477</v>
      </c>
      <c r="B301" s="27">
        <v>0.063</v>
      </c>
      <c r="C301" s="27">
        <v>0.2444</v>
      </c>
    </row>
    <row r="302">
      <c r="A302" s="26" t="s">
        <v>478</v>
      </c>
      <c r="B302" s="27">
        <v>7.0</v>
      </c>
      <c r="C302" s="27">
        <v>1.2</v>
      </c>
    </row>
    <row r="303">
      <c r="A303" s="26" t="s">
        <v>479</v>
      </c>
      <c r="B303" s="27">
        <v>8.3</v>
      </c>
      <c r="C303" s="27">
        <v>1.3</v>
      </c>
    </row>
    <row r="304">
      <c r="A304" s="26" t="s">
        <v>480</v>
      </c>
      <c r="B304" s="27">
        <v>8.3</v>
      </c>
      <c r="C304" s="27">
        <v>1.2</v>
      </c>
    </row>
    <row r="305">
      <c r="A305" s="26" t="s">
        <v>481</v>
      </c>
      <c r="B305" s="27">
        <v>9.6</v>
      </c>
      <c r="C305" s="27">
        <v>1.17</v>
      </c>
    </row>
    <row r="306">
      <c r="A306" s="26" t="s">
        <v>482</v>
      </c>
      <c r="B306" s="27">
        <v>0.3</v>
      </c>
      <c r="C306" s="27">
        <v>0.955</v>
      </c>
    </row>
    <row r="307">
      <c r="A307" s="26" t="s">
        <v>483</v>
      </c>
      <c r="B307" s="27">
        <v>0.094</v>
      </c>
      <c r="C307" s="27">
        <v>0.301</v>
      </c>
    </row>
    <row r="308">
      <c r="A308" s="26" t="s">
        <v>484</v>
      </c>
      <c r="B308" s="27">
        <v>0.0245</v>
      </c>
      <c r="C308" s="27">
        <v>0.14952</v>
      </c>
    </row>
    <row r="309">
      <c r="A309" s="26" t="s">
        <v>485</v>
      </c>
      <c r="B309" s="27">
        <v>0.018</v>
      </c>
      <c r="C309" s="27">
        <v>0.2534</v>
      </c>
    </row>
    <row r="310">
      <c r="A310" s="26" t="s">
        <v>486</v>
      </c>
      <c r="B310" s="27">
        <v>0.84</v>
      </c>
      <c r="C310" s="27">
        <v>1.426</v>
      </c>
    </row>
    <row r="311">
      <c r="A311" s="26" t="s">
        <v>487</v>
      </c>
      <c r="B311" s="27">
        <v>0.187</v>
      </c>
      <c r="C311" s="27">
        <v>0.476</v>
      </c>
    </row>
    <row r="312">
      <c r="A312" s="26" t="s">
        <v>489</v>
      </c>
      <c r="B312" s="27">
        <v>0.08495</v>
      </c>
      <c r="C312" s="27">
        <v>0.343</v>
      </c>
    </row>
    <row r="313">
      <c r="A313" s="26" t="s">
        <v>490</v>
      </c>
      <c r="B313" s="27">
        <v>0.0525</v>
      </c>
      <c r="C313" s="27">
        <v>0.228</v>
      </c>
    </row>
    <row r="314">
      <c r="A314" s="26" t="s">
        <v>491</v>
      </c>
      <c r="B314" s="27">
        <v>0.01664</v>
      </c>
      <c r="C314" s="27">
        <v>0.162</v>
      </c>
    </row>
    <row r="315">
      <c r="A315" s="26" t="s">
        <v>492</v>
      </c>
      <c r="B315" s="27">
        <v>1.28</v>
      </c>
      <c r="C315" s="27">
        <v>1.083</v>
      </c>
    </row>
    <row r="316">
      <c r="A316" s="26" t="s">
        <v>494</v>
      </c>
      <c r="B316" s="27">
        <v>1.85</v>
      </c>
      <c r="C316" s="27">
        <v>0.952</v>
      </c>
    </row>
    <row r="317">
      <c r="A317" s="26" t="s">
        <v>495</v>
      </c>
      <c r="B317" s="27">
        <v>0.84</v>
      </c>
      <c r="C317" s="27">
        <v>1.115</v>
      </c>
    </row>
    <row r="318">
      <c r="A318" s="26" t="s">
        <v>496</v>
      </c>
      <c r="B318" s="27">
        <v>0.033</v>
      </c>
      <c r="C318" s="27">
        <v>0.259</v>
      </c>
    </row>
    <row r="319">
      <c r="A319" s="26" t="s">
        <v>497</v>
      </c>
      <c r="B319" s="27">
        <v>0.49</v>
      </c>
      <c r="C319" s="27">
        <v>1.3</v>
      </c>
    </row>
    <row r="320">
      <c r="A320" s="26" t="s">
        <v>498</v>
      </c>
      <c r="B320" s="27">
        <v>0.0069</v>
      </c>
      <c r="C320" s="27">
        <v>0.12</v>
      </c>
    </row>
    <row r="321">
      <c r="A321" s="26" t="s">
        <v>499</v>
      </c>
      <c r="B321" s="27">
        <v>0.01</v>
      </c>
      <c r="C321" s="27">
        <v>0.143</v>
      </c>
    </row>
    <row r="322">
      <c r="A322" s="26" t="s">
        <v>501</v>
      </c>
      <c r="B322" s="27">
        <v>0.026</v>
      </c>
      <c r="C322" s="27">
        <v>0.179</v>
      </c>
    </row>
    <row r="323">
      <c r="A323" s="26" t="s">
        <v>502</v>
      </c>
      <c r="B323" s="27">
        <v>0.5</v>
      </c>
      <c r="C323" s="27">
        <v>0.079</v>
      </c>
    </row>
    <row r="324">
      <c r="A324" s="26" t="s">
        <v>503</v>
      </c>
      <c r="B324" s="27">
        <v>0.0098</v>
      </c>
      <c r="C324" s="27">
        <v>0.14</v>
      </c>
    </row>
    <row r="325">
      <c r="A325" s="26" t="s">
        <v>504</v>
      </c>
      <c r="B325" s="27">
        <v>0.0198</v>
      </c>
      <c r="C325" s="27">
        <v>0.225</v>
      </c>
    </row>
    <row r="326">
      <c r="A326" s="26" t="s">
        <v>505</v>
      </c>
      <c r="B326" s="27">
        <v>0.0249</v>
      </c>
      <c r="C326" s="27">
        <v>0.237</v>
      </c>
    </row>
    <row r="327">
      <c r="A327" s="26" t="s">
        <v>507</v>
      </c>
      <c r="B327" s="27">
        <v>0.0409</v>
      </c>
      <c r="C327" s="27">
        <v>0.294</v>
      </c>
    </row>
    <row r="328">
      <c r="A328" s="26" t="s">
        <v>508</v>
      </c>
      <c r="B328" s="27">
        <v>0.005</v>
      </c>
      <c r="C328" s="27">
        <v>0.251</v>
      </c>
    </row>
    <row r="329">
      <c r="A329" s="26" t="s">
        <v>509</v>
      </c>
      <c r="B329" s="27">
        <v>0.0135</v>
      </c>
      <c r="C329" s="27">
        <v>0.2688</v>
      </c>
    </row>
    <row r="330">
      <c r="A330" s="26" t="s">
        <v>510</v>
      </c>
      <c r="B330" s="27">
        <v>0.381</v>
      </c>
      <c r="C330" s="27">
        <v>0.813</v>
      </c>
    </row>
    <row r="331">
      <c r="A331" s="26" t="s">
        <v>511</v>
      </c>
      <c r="B331" s="27">
        <v>0.93</v>
      </c>
      <c r="C331" s="27">
        <v>1.093</v>
      </c>
    </row>
    <row r="332">
      <c r="A332" s="26" t="s">
        <v>512</v>
      </c>
      <c r="B332" s="27">
        <v>0.01598</v>
      </c>
      <c r="C332" s="27">
        <v>0.135</v>
      </c>
    </row>
    <row r="333">
      <c r="A333" s="26" t="s">
        <v>513</v>
      </c>
      <c r="B333" s="27">
        <v>0.02328</v>
      </c>
      <c r="C333" s="27">
        <v>0.624</v>
      </c>
    </row>
    <row r="334">
      <c r="A334" s="26" t="s">
        <v>514</v>
      </c>
      <c r="B334" s="27">
        <v>0.01816</v>
      </c>
      <c r="C334" s="27">
        <v>0.183</v>
      </c>
    </row>
    <row r="335">
      <c r="A335" s="26" t="s">
        <v>516</v>
      </c>
      <c r="B335" s="27">
        <v>0.02358</v>
      </c>
      <c r="C335" s="27">
        <v>0.195</v>
      </c>
    </row>
    <row r="336">
      <c r="A336" s="26" t="s">
        <v>517</v>
      </c>
      <c r="B336" s="27">
        <v>0.0148</v>
      </c>
      <c r="C336" s="27">
        <v>0.161</v>
      </c>
    </row>
    <row r="337">
      <c r="A337" s="26" t="s">
        <v>518</v>
      </c>
      <c r="B337" s="27">
        <v>0.0205</v>
      </c>
      <c r="C337" s="27">
        <v>0.232</v>
      </c>
    </row>
    <row r="338">
      <c r="A338" s="26" t="s">
        <v>519</v>
      </c>
      <c r="B338" s="27">
        <v>0.0154</v>
      </c>
      <c r="C338" s="27">
        <v>0.17</v>
      </c>
    </row>
    <row r="339">
      <c r="A339" s="26" t="s">
        <v>520</v>
      </c>
      <c r="B339" s="27">
        <v>0.00359</v>
      </c>
      <c r="C339" s="27">
        <v>0.08342</v>
      </c>
    </row>
    <row r="340">
      <c r="A340" s="26" t="s">
        <v>521</v>
      </c>
      <c r="B340" s="27">
        <v>6.0</v>
      </c>
      <c r="C340" s="27">
        <v>0.109</v>
      </c>
    </row>
    <row r="341">
      <c r="A341" s="26" t="s">
        <v>523</v>
      </c>
      <c r="B341" s="27">
        <v>0.0289</v>
      </c>
      <c r="C341" s="27">
        <v>0.232</v>
      </c>
    </row>
    <row r="342">
      <c r="A342" s="26" t="s">
        <v>524</v>
      </c>
      <c r="B342" s="27">
        <v>0.036</v>
      </c>
      <c r="C342" s="27">
        <v>0.206</v>
      </c>
    </row>
    <row r="343">
      <c r="A343" s="26" t="s">
        <v>525</v>
      </c>
      <c r="B343" s="27">
        <v>0.063</v>
      </c>
      <c r="C343" s="27">
        <v>0.24</v>
      </c>
    </row>
    <row r="344">
      <c r="A344" s="26" t="s">
        <v>527</v>
      </c>
      <c r="B344" s="27">
        <v>0.02807</v>
      </c>
      <c r="C344" s="27">
        <v>0.211</v>
      </c>
    </row>
    <row r="345">
      <c r="A345" s="26" t="s">
        <v>528</v>
      </c>
      <c r="B345" s="27">
        <v>0.0217</v>
      </c>
      <c r="C345" s="27">
        <v>0.1543</v>
      </c>
    </row>
    <row r="346">
      <c r="A346" s="26" t="s">
        <v>529</v>
      </c>
      <c r="B346" s="27">
        <v>0.039</v>
      </c>
      <c r="C346" s="27">
        <v>0.2543</v>
      </c>
    </row>
    <row r="347">
      <c r="A347" s="26" t="s">
        <v>530</v>
      </c>
      <c r="B347" s="27">
        <v>0.1019</v>
      </c>
      <c r="C347" s="27">
        <v>0.691</v>
      </c>
    </row>
    <row r="348">
      <c r="A348" s="26" t="s">
        <v>531</v>
      </c>
      <c r="B348" s="27">
        <v>0.034</v>
      </c>
      <c r="C348" s="27">
        <v>0.434</v>
      </c>
    </row>
    <row r="349">
      <c r="A349" s="26" t="s">
        <v>532</v>
      </c>
      <c r="B349" s="27">
        <v>0.031</v>
      </c>
      <c r="C349" s="27">
        <v>0.102</v>
      </c>
    </row>
    <row r="350">
      <c r="A350" s="26" t="s">
        <v>534</v>
      </c>
      <c r="B350" s="27">
        <v>0.02517</v>
      </c>
      <c r="C350" s="27">
        <v>0.156</v>
      </c>
    </row>
    <row r="351">
      <c r="A351" s="26" t="s">
        <v>535</v>
      </c>
      <c r="B351" s="27">
        <v>0.00623</v>
      </c>
      <c r="C351" s="27">
        <v>0.164</v>
      </c>
    </row>
    <row r="352">
      <c r="A352" s="26" t="s">
        <v>536</v>
      </c>
      <c r="B352" s="27">
        <v>0.01561</v>
      </c>
      <c r="C352" s="27">
        <v>0.222</v>
      </c>
    </row>
    <row r="353">
      <c r="A353" s="26" t="s">
        <v>537</v>
      </c>
      <c r="B353" s="27">
        <v>0.0179</v>
      </c>
      <c r="C353" s="27">
        <v>0.215</v>
      </c>
    </row>
    <row r="354">
      <c r="A354" s="26" t="s">
        <v>538</v>
      </c>
      <c r="B354" s="27">
        <v>0.00815</v>
      </c>
      <c r="C354" s="27">
        <v>0.102</v>
      </c>
    </row>
    <row r="355">
      <c r="A355" s="26" t="s">
        <v>540</v>
      </c>
      <c r="B355" s="27">
        <v>0.067</v>
      </c>
      <c r="C355" s="27">
        <v>0.181</v>
      </c>
    </row>
    <row r="356">
      <c r="A356" s="26" t="s">
        <v>541</v>
      </c>
      <c r="B356" s="27">
        <v>0.079</v>
      </c>
      <c r="C356" s="27">
        <v>0.2364</v>
      </c>
    </row>
    <row r="357">
      <c r="A357" s="26" t="s">
        <v>542</v>
      </c>
      <c r="B357" s="27">
        <v>1.4</v>
      </c>
      <c r="C357" s="27">
        <v>0.223</v>
      </c>
    </row>
    <row r="358">
      <c r="A358" s="26" t="s">
        <v>543</v>
      </c>
      <c r="B358" s="27">
        <v>0.0227</v>
      </c>
      <c r="C358" s="27">
        <v>0.223</v>
      </c>
    </row>
    <row r="359">
      <c r="A359" s="26" t="s">
        <v>544</v>
      </c>
      <c r="B359" s="27">
        <v>0.398</v>
      </c>
      <c r="C359" s="27">
        <v>1.0</v>
      </c>
    </row>
    <row r="360">
      <c r="A360" s="26" t="s">
        <v>546</v>
      </c>
      <c r="B360" s="27">
        <v>0.0104</v>
      </c>
      <c r="C360" s="27">
        <v>0.125</v>
      </c>
    </row>
    <row r="361">
      <c r="A361" s="26" t="s">
        <v>547</v>
      </c>
      <c r="B361" s="27">
        <v>0.0261</v>
      </c>
      <c r="C361" s="27">
        <v>0.236</v>
      </c>
    </row>
    <row r="362">
      <c r="A362" s="26" t="s">
        <v>548</v>
      </c>
      <c r="B362" s="27">
        <v>0.085</v>
      </c>
      <c r="C362" s="27">
        <v>0.514</v>
      </c>
    </row>
    <row r="363">
      <c r="A363" s="26" t="s">
        <v>549</v>
      </c>
      <c r="B363" s="27">
        <v>1.236</v>
      </c>
      <c r="C363" s="27">
        <v>1.642</v>
      </c>
    </row>
    <row r="364">
      <c r="A364" s="26" t="s">
        <v>550</v>
      </c>
      <c r="B364" s="27">
        <v>0.86</v>
      </c>
      <c r="C364" s="27">
        <v>1.3</v>
      </c>
    </row>
    <row r="365">
      <c r="A365" s="26" t="s">
        <v>551</v>
      </c>
      <c r="B365" s="27">
        <v>0.0044</v>
      </c>
      <c r="C365" s="27">
        <v>0.098</v>
      </c>
    </row>
    <row r="366">
      <c r="A366" s="26" t="s">
        <v>552</v>
      </c>
      <c r="B366" s="27">
        <v>0.0028</v>
      </c>
      <c r="C366" s="27">
        <v>0.089</v>
      </c>
    </row>
    <row r="367">
      <c r="A367" s="26" t="s">
        <v>554</v>
      </c>
      <c r="B367" s="27">
        <v>0.0041</v>
      </c>
      <c r="C367" s="27">
        <v>0.098</v>
      </c>
    </row>
    <row r="368">
      <c r="A368" s="26" t="s">
        <v>555</v>
      </c>
      <c r="B368" s="27">
        <v>0.0157</v>
      </c>
      <c r="C368" s="27">
        <v>0.178</v>
      </c>
    </row>
    <row r="369">
      <c r="A369" s="26" t="s">
        <v>556</v>
      </c>
      <c r="B369" s="27">
        <v>0.0145</v>
      </c>
      <c r="C369" s="27">
        <v>0.161</v>
      </c>
    </row>
    <row r="370">
      <c r="A370" s="26" t="s">
        <v>557</v>
      </c>
      <c r="B370" s="27">
        <v>0.05978</v>
      </c>
      <c r="C370" s="27">
        <v>0.50299</v>
      </c>
    </row>
    <row r="371">
      <c r="A371" s="26" t="s">
        <v>558</v>
      </c>
      <c r="B371" s="27">
        <v>0.0516</v>
      </c>
      <c r="C371" s="27">
        <v>0.7075</v>
      </c>
    </row>
    <row r="372">
      <c r="A372" s="26" t="s">
        <v>560</v>
      </c>
      <c r="B372" s="27">
        <v>0.0771</v>
      </c>
      <c r="C372" s="27">
        <v>0.306</v>
      </c>
    </row>
    <row r="373">
      <c r="A373" s="26" t="s">
        <v>561</v>
      </c>
      <c r="B373" s="27">
        <v>1.42</v>
      </c>
      <c r="C373" s="27">
        <v>1.552</v>
      </c>
    </row>
    <row r="374">
      <c r="A374" s="26" t="s">
        <v>562</v>
      </c>
      <c r="B374" s="27">
        <v>0.223</v>
      </c>
      <c r="C374" s="27">
        <v>0.85</v>
      </c>
    </row>
    <row r="375">
      <c r="A375" s="26" t="s">
        <v>563</v>
      </c>
      <c r="B375" s="27">
        <v>0.0466</v>
      </c>
      <c r="C375" s="27">
        <v>0.215</v>
      </c>
    </row>
    <row r="376">
      <c r="A376" s="26" t="s">
        <v>564</v>
      </c>
      <c r="B376" s="27">
        <v>0.02058</v>
      </c>
      <c r="C376" s="27">
        <v>0.153</v>
      </c>
    </row>
    <row r="377">
      <c r="A377" s="26" t="s">
        <v>566</v>
      </c>
      <c r="B377" s="27">
        <v>0.0355</v>
      </c>
      <c r="C377" s="27">
        <v>0.294</v>
      </c>
    </row>
    <row r="378">
      <c r="A378" s="26" t="s">
        <v>567</v>
      </c>
      <c r="B378" s="27">
        <v>9.1E-4</v>
      </c>
      <c r="C378" s="27">
        <v>0.063</v>
      </c>
    </row>
    <row r="379">
      <c r="A379" s="26" t="s">
        <v>568</v>
      </c>
      <c r="B379" s="27">
        <v>0.028</v>
      </c>
      <c r="C379" s="27">
        <v>0.261</v>
      </c>
    </row>
    <row r="380">
      <c r="A380" s="26" t="s">
        <v>569</v>
      </c>
      <c r="B380" s="27">
        <v>0.04499</v>
      </c>
      <c r="C380" s="27">
        <v>0.244</v>
      </c>
    </row>
    <row r="381">
      <c r="A381" s="26" t="s">
        <v>570</v>
      </c>
      <c r="B381" s="27">
        <v>3.0</v>
      </c>
      <c r="C381" s="27">
        <v>1.051</v>
      </c>
    </row>
    <row r="382">
      <c r="A382" s="26" t="s">
        <v>571</v>
      </c>
      <c r="B382" s="27">
        <v>0.09722</v>
      </c>
      <c r="C382" s="27">
        <v>0.4</v>
      </c>
    </row>
    <row r="383">
      <c r="A383" s="26" t="s">
        <v>572</v>
      </c>
      <c r="B383" s="27">
        <v>0.1167</v>
      </c>
      <c r="C383" s="27">
        <v>0.684</v>
      </c>
    </row>
    <row r="384">
      <c r="A384" s="26" t="s">
        <v>574</v>
      </c>
      <c r="B384" s="27">
        <v>0.03046</v>
      </c>
      <c r="C384" s="27">
        <v>0.231</v>
      </c>
    </row>
    <row r="385">
      <c r="A385" s="26" t="s">
        <v>575</v>
      </c>
      <c r="B385" s="27">
        <v>0.04933</v>
      </c>
      <c r="C385" s="27">
        <v>0.315</v>
      </c>
    </row>
    <row r="386">
      <c r="A386" s="26" t="s">
        <v>576</v>
      </c>
      <c r="B386" s="27">
        <v>0.02045</v>
      </c>
      <c r="C386" s="27">
        <v>0.221</v>
      </c>
    </row>
    <row r="387">
      <c r="A387" s="26" t="s">
        <v>577</v>
      </c>
      <c r="B387" s="27">
        <v>0.03367</v>
      </c>
      <c r="C387" s="27">
        <v>0.174</v>
      </c>
    </row>
    <row r="388">
      <c r="A388" s="26" t="s">
        <v>578</v>
      </c>
      <c r="B388" s="27">
        <v>0.0214</v>
      </c>
      <c r="C388" s="27">
        <v>0.187</v>
      </c>
    </row>
    <row r="389">
      <c r="A389" s="26" t="s">
        <v>580</v>
      </c>
      <c r="B389" s="27">
        <v>0.315</v>
      </c>
      <c r="C389" s="27">
        <v>0.833</v>
      </c>
    </row>
    <row r="390">
      <c r="A390" s="26" t="s">
        <v>581</v>
      </c>
      <c r="B390" s="27">
        <v>0.1529</v>
      </c>
      <c r="C390" s="27">
        <v>0.812</v>
      </c>
    </row>
    <row r="391">
      <c r="A391" s="26" t="s">
        <v>582</v>
      </c>
      <c r="B391" s="27">
        <v>0.0343</v>
      </c>
      <c r="C391" s="27">
        <v>0.273</v>
      </c>
    </row>
    <row r="392">
      <c r="A392" s="26" t="s">
        <v>583</v>
      </c>
      <c r="B392" s="27">
        <v>0.774</v>
      </c>
      <c r="C392" s="27">
        <v>1.006</v>
      </c>
    </row>
    <row r="393">
      <c r="A393" s="26" t="s">
        <v>584</v>
      </c>
      <c r="B393" s="27">
        <v>0.02042</v>
      </c>
      <c r="C393" s="27">
        <v>0.142</v>
      </c>
    </row>
    <row r="394">
      <c r="A394" s="26" t="s">
        <v>585</v>
      </c>
      <c r="B394" s="27">
        <v>0.07709</v>
      </c>
      <c r="C394" s="27">
        <v>0.235</v>
      </c>
    </row>
    <row r="395">
      <c r="A395" s="26" t="s">
        <v>586</v>
      </c>
      <c r="B395" s="27">
        <v>0.335</v>
      </c>
      <c r="C395" s="27">
        <v>0.897</v>
      </c>
    </row>
    <row r="396">
      <c r="A396" s="26" t="s">
        <v>587</v>
      </c>
      <c r="B396" s="27">
        <v>0.73</v>
      </c>
      <c r="C396" s="27">
        <v>1.19</v>
      </c>
    </row>
    <row r="397">
      <c r="A397" s="26" t="s">
        <v>588</v>
      </c>
      <c r="B397" s="27">
        <v>0.025</v>
      </c>
      <c r="C397" s="27">
        <v>0.884</v>
      </c>
    </row>
    <row r="398">
      <c r="A398" s="26" t="s">
        <v>589</v>
      </c>
      <c r="B398" s="27">
        <v>0.033</v>
      </c>
      <c r="C398" s="27">
        <v>0.0749</v>
      </c>
    </row>
    <row r="399">
      <c r="A399" s="26" t="s">
        <v>590</v>
      </c>
      <c r="B399" s="27">
        <v>0.053</v>
      </c>
      <c r="C399" s="27">
        <v>0.0428</v>
      </c>
    </row>
    <row r="400">
      <c r="A400" s="26" t="s">
        <v>591</v>
      </c>
      <c r="B400" s="27">
        <v>0.019</v>
      </c>
      <c r="C400" s="27">
        <v>0.5656</v>
      </c>
    </row>
    <row r="401">
      <c r="A401" s="26" t="s">
        <v>592</v>
      </c>
      <c r="B401" s="27">
        <v>0.0334</v>
      </c>
      <c r="C401" s="27">
        <v>0.848</v>
      </c>
    </row>
    <row r="402">
      <c r="A402" s="26" t="s">
        <v>593</v>
      </c>
      <c r="B402" s="27">
        <v>0.579</v>
      </c>
      <c r="C402" s="27">
        <v>1.039</v>
      </c>
    </row>
    <row r="403">
      <c r="A403" s="26" t="s">
        <v>594</v>
      </c>
      <c r="B403" s="27">
        <v>0.02907</v>
      </c>
      <c r="C403" s="27">
        <v>0.231</v>
      </c>
    </row>
    <row r="404">
      <c r="A404" s="26" t="s">
        <v>595</v>
      </c>
      <c r="B404" s="27">
        <v>0.0303</v>
      </c>
      <c r="C404" s="27">
        <v>0.24</v>
      </c>
    </row>
    <row r="405">
      <c r="A405" s="26" t="s">
        <v>596</v>
      </c>
      <c r="B405" s="27">
        <v>0.02753</v>
      </c>
      <c r="C405" s="27">
        <v>0.174</v>
      </c>
    </row>
    <row r="406">
      <c r="A406" s="26" t="s">
        <v>597</v>
      </c>
      <c r="B406" s="27">
        <v>0.04616</v>
      </c>
      <c r="C406" s="27">
        <v>0.3274</v>
      </c>
    </row>
    <row r="407">
      <c r="A407" s="26" t="s">
        <v>599</v>
      </c>
      <c r="B407" s="27">
        <v>0.03203</v>
      </c>
      <c r="C407" s="27">
        <v>0.3515</v>
      </c>
    </row>
    <row r="408">
      <c r="A408" s="26" t="s">
        <v>600</v>
      </c>
      <c r="B408" s="27">
        <v>1.774</v>
      </c>
      <c r="C408" s="27">
        <v>1.06</v>
      </c>
    </row>
    <row r="409">
      <c r="A409" s="26" t="s">
        <v>601</v>
      </c>
      <c r="B409" s="27">
        <v>0.26</v>
      </c>
      <c r="C409" s="27">
        <v>0.774</v>
      </c>
    </row>
    <row r="410">
      <c r="A410" s="26" t="s">
        <v>602</v>
      </c>
      <c r="B410" s="27">
        <v>0.047</v>
      </c>
      <c r="C410" s="27">
        <v>0.443</v>
      </c>
    </row>
    <row r="411">
      <c r="A411" s="26" t="s">
        <v>603</v>
      </c>
      <c r="B411" s="27">
        <v>0.0255</v>
      </c>
      <c r="C411" s="27">
        <v>0.244</v>
      </c>
    </row>
    <row r="412">
      <c r="A412" s="26" t="s">
        <v>604</v>
      </c>
      <c r="B412" s="27">
        <v>0.0211</v>
      </c>
      <c r="C412" s="27">
        <v>0.292</v>
      </c>
    </row>
    <row r="413">
      <c r="A413" s="26" t="s">
        <v>605</v>
      </c>
      <c r="B413" s="27">
        <v>0.0066</v>
      </c>
      <c r="C413" s="27">
        <v>0.09</v>
      </c>
    </row>
    <row r="414">
      <c r="A414" s="26" t="s">
        <v>606</v>
      </c>
      <c r="B414" s="27">
        <v>3.7</v>
      </c>
      <c r="C414" s="27">
        <v>0.45</v>
      </c>
    </row>
    <row r="415">
      <c r="A415" s="26" t="s">
        <v>607</v>
      </c>
      <c r="B415" s="27">
        <v>1.78</v>
      </c>
      <c r="C415" s="27">
        <v>1.245</v>
      </c>
    </row>
    <row r="416">
      <c r="A416" s="26" t="s">
        <v>608</v>
      </c>
      <c r="B416" s="27">
        <v>0.02413</v>
      </c>
      <c r="C416" s="27">
        <v>0.13962</v>
      </c>
    </row>
    <row r="417">
      <c r="A417" s="26" t="s">
        <v>610</v>
      </c>
      <c r="B417" s="27">
        <v>0.02722</v>
      </c>
      <c r="C417" s="27">
        <v>0.25926</v>
      </c>
    </row>
    <row r="418">
      <c r="A418" s="26" t="s">
        <v>611</v>
      </c>
      <c r="B418" s="27">
        <v>0.01995</v>
      </c>
      <c r="C418" s="27">
        <v>0.21046</v>
      </c>
    </row>
    <row r="419">
      <c r="A419" s="26" t="s">
        <v>612</v>
      </c>
      <c r="B419" s="27">
        <v>0.02036</v>
      </c>
      <c r="C419" s="27">
        <v>0.21528</v>
      </c>
    </row>
    <row r="420">
      <c r="A420" s="26" t="s">
        <v>613</v>
      </c>
      <c r="B420" s="27">
        <v>0.0069</v>
      </c>
      <c r="C420" s="27">
        <v>0.11714</v>
      </c>
    </row>
    <row r="421">
      <c r="A421" s="26" t="s">
        <v>614</v>
      </c>
      <c r="B421" s="27">
        <v>0.01227</v>
      </c>
      <c r="C421" s="27">
        <v>0.128</v>
      </c>
    </row>
    <row r="422">
      <c r="A422" s="26" t="s">
        <v>615</v>
      </c>
      <c r="B422" s="27">
        <v>0.02454</v>
      </c>
      <c r="C422" s="27">
        <v>0.2783</v>
      </c>
    </row>
    <row r="423">
      <c r="A423" s="26" t="s">
        <v>616</v>
      </c>
      <c r="B423" s="27">
        <v>0.0349</v>
      </c>
      <c r="C423" s="27">
        <v>0.2248</v>
      </c>
    </row>
    <row r="424">
      <c r="A424" s="26" t="s">
        <v>618</v>
      </c>
      <c r="B424" s="27">
        <v>4.71</v>
      </c>
      <c r="C424" s="27">
        <v>1.16</v>
      </c>
    </row>
    <row r="425">
      <c r="A425" s="26" t="s">
        <v>619</v>
      </c>
      <c r="B425" s="27">
        <v>0.0289</v>
      </c>
      <c r="C425" s="27">
        <v>0.26274</v>
      </c>
    </row>
    <row r="426">
      <c r="A426" s="26" t="s">
        <v>620</v>
      </c>
      <c r="B426" s="27">
        <v>0.0162</v>
      </c>
      <c r="C426" s="27">
        <v>0.18387</v>
      </c>
    </row>
    <row r="427">
      <c r="A427" s="26" t="s">
        <v>621</v>
      </c>
      <c r="B427" s="27">
        <v>0.01139</v>
      </c>
      <c r="C427" s="27">
        <v>0.14212</v>
      </c>
    </row>
    <row r="428">
      <c r="A428" s="26" t="s">
        <v>623</v>
      </c>
      <c r="B428" s="27">
        <v>0.01797</v>
      </c>
      <c r="C428" s="27">
        <v>0.19743</v>
      </c>
    </row>
    <row r="429">
      <c r="A429" s="26" t="s">
        <v>624</v>
      </c>
      <c r="B429" s="27">
        <v>0.01834</v>
      </c>
      <c r="C429" s="27">
        <v>0.20011</v>
      </c>
    </row>
    <row r="430">
      <c r="A430" s="26" t="s">
        <v>625</v>
      </c>
      <c r="B430" s="27">
        <v>0.0129</v>
      </c>
      <c r="C430" s="27">
        <v>0.15488</v>
      </c>
    </row>
    <row r="431">
      <c r="A431" s="26" t="s">
        <v>626</v>
      </c>
      <c r="B431" s="27">
        <v>0.01237</v>
      </c>
      <c r="C431" s="27">
        <v>0.15104</v>
      </c>
    </row>
    <row r="432">
      <c r="A432" s="26" t="s">
        <v>627</v>
      </c>
      <c r="B432" s="27">
        <v>0.02838</v>
      </c>
      <c r="C432" s="27">
        <v>0.2569</v>
      </c>
    </row>
    <row r="433">
      <c r="A433" s="26" t="s">
        <v>628</v>
      </c>
      <c r="B433" s="27">
        <v>0.01759</v>
      </c>
      <c r="C433" s="27">
        <v>0.19458</v>
      </c>
    </row>
    <row r="434">
      <c r="A434" s="26" t="s">
        <v>630</v>
      </c>
      <c r="B434" s="27">
        <v>0.02504</v>
      </c>
      <c r="C434" s="27">
        <v>0.24347</v>
      </c>
    </row>
    <row r="435">
      <c r="A435" s="26" t="s">
        <v>631</v>
      </c>
      <c r="B435" s="27">
        <v>0.0162</v>
      </c>
      <c r="C435" s="27">
        <v>0.18485</v>
      </c>
    </row>
    <row r="436">
      <c r="A436" s="26" t="s">
        <v>632</v>
      </c>
      <c r="B436" s="27">
        <v>0.01026</v>
      </c>
      <c r="C436" s="27">
        <v>0.13953</v>
      </c>
    </row>
    <row r="437">
      <c r="A437" s="26" t="s">
        <v>633</v>
      </c>
      <c r="B437" s="27">
        <v>0.0101</v>
      </c>
      <c r="C437" s="27">
        <v>0.1373</v>
      </c>
    </row>
    <row r="438">
      <c r="A438" s="26" t="s">
        <v>634</v>
      </c>
      <c r="B438" s="27">
        <v>0.01954</v>
      </c>
      <c r="C438" s="27">
        <v>0.207</v>
      </c>
    </row>
    <row r="439">
      <c r="A439" s="26" t="s">
        <v>635</v>
      </c>
      <c r="B439" s="27">
        <v>0.14303</v>
      </c>
      <c r="C439" s="27">
        <v>0.65323</v>
      </c>
    </row>
    <row r="440">
      <c r="A440" s="26" t="s">
        <v>637</v>
      </c>
      <c r="B440" s="27">
        <v>0.0412</v>
      </c>
      <c r="C440" s="27">
        <v>0.3265</v>
      </c>
    </row>
    <row r="441">
      <c r="A441" s="26" t="s">
        <v>638</v>
      </c>
      <c r="B441" s="27">
        <v>0.01778</v>
      </c>
      <c r="C441" s="27">
        <v>0.19484</v>
      </c>
    </row>
    <row r="442">
      <c r="A442" s="26" t="s">
        <v>639</v>
      </c>
      <c r="B442" s="27">
        <v>0.01655</v>
      </c>
      <c r="C442" s="27">
        <v>0.182</v>
      </c>
    </row>
    <row r="443">
      <c r="A443" s="26" t="s">
        <v>640</v>
      </c>
      <c r="B443" s="27">
        <v>0.06</v>
      </c>
      <c r="C443" s="27">
        <v>0.17</v>
      </c>
    </row>
    <row r="444">
      <c r="A444" s="26" t="s">
        <v>642</v>
      </c>
      <c r="B444" s="27">
        <v>0.03115</v>
      </c>
      <c r="C444" s="27">
        <v>0.216</v>
      </c>
    </row>
    <row r="445">
      <c r="A445" s="26" t="s">
        <v>643</v>
      </c>
      <c r="B445" s="27">
        <v>0.06364</v>
      </c>
      <c r="C445" s="27">
        <v>0.41625</v>
      </c>
    </row>
    <row r="446">
      <c r="A446" s="26" t="s">
        <v>644</v>
      </c>
      <c r="B446" s="27">
        <v>0.00783</v>
      </c>
      <c r="C446" s="27">
        <v>0.12231</v>
      </c>
    </row>
    <row r="447">
      <c r="A447" s="26" t="s">
        <v>645</v>
      </c>
      <c r="B447" s="27">
        <v>0.014</v>
      </c>
      <c r="C447" s="27">
        <v>0.165</v>
      </c>
    </row>
    <row r="448">
      <c r="A448" s="26" t="s">
        <v>646</v>
      </c>
      <c r="B448" s="27">
        <v>0.01995</v>
      </c>
      <c r="C448" s="27">
        <v>0.20983</v>
      </c>
    </row>
    <row r="449">
      <c r="A449" s="26" t="s">
        <v>647</v>
      </c>
      <c r="B449" s="27">
        <v>0.01237</v>
      </c>
      <c r="C449" s="27">
        <v>0.15095</v>
      </c>
    </row>
    <row r="450">
      <c r="A450" s="26" t="s">
        <v>649</v>
      </c>
      <c r="B450" s="27">
        <v>0.02404</v>
      </c>
      <c r="C450" s="27">
        <v>0.23169</v>
      </c>
    </row>
    <row r="451">
      <c r="A451" s="26" t="s">
        <v>650</v>
      </c>
      <c r="B451" s="27">
        <v>0.03716</v>
      </c>
      <c r="C451" s="27">
        <v>0.30288</v>
      </c>
    </row>
    <row r="452">
      <c r="A452" s="26" t="s">
        <v>651</v>
      </c>
      <c r="B452" s="27">
        <v>0.0107</v>
      </c>
      <c r="C452" s="27">
        <v>0.14087</v>
      </c>
    </row>
    <row r="453">
      <c r="A453" s="26" t="s">
        <v>652</v>
      </c>
      <c r="B453" s="27">
        <v>0.0315</v>
      </c>
      <c r="C453" s="27">
        <v>0.27871</v>
      </c>
    </row>
    <row r="454">
      <c r="A454" s="26" t="s">
        <v>653</v>
      </c>
      <c r="B454" s="27">
        <v>0.02121</v>
      </c>
      <c r="C454" s="27">
        <v>0.21563</v>
      </c>
    </row>
    <row r="455">
      <c r="A455" s="26" t="s">
        <v>655</v>
      </c>
      <c r="B455" s="27">
        <v>0.01913</v>
      </c>
      <c r="C455" s="27">
        <v>0.20287</v>
      </c>
    </row>
    <row r="456">
      <c r="A456" s="26" t="s">
        <v>656</v>
      </c>
      <c r="B456" s="27">
        <v>0.07366</v>
      </c>
      <c r="C456" s="27">
        <v>0.45482</v>
      </c>
    </row>
    <row r="457">
      <c r="A457" s="26" t="s">
        <v>657</v>
      </c>
      <c r="B457" s="27">
        <v>0.09</v>
      </c>
      <c r="C457" s="27">
        <v>0.56</v>
      </c>
    </row>
    <row r="458">
      <c r="A458" s="26" t="s">
        <v>658</v>
      </c>
      <c r="B458" s="27">
        <v>0.02039</v>
      </c>
      <c r="C458" s="27">
        <v>0.194</v>
      </c>
    </row>
    <row r="459">
      <c r="A459" s="26" t="s">
        <v>660</v>
      </c>
      <c r="B459" s="27">
        <v>0.00673</v>
      </c>
      <c r="C459" s="27">
        <v>0.165</v>
      </c>
    </row>
    <row r="460">
      <c r="A460" s="26" t="s">
        <v>661</v>
      </c>
      <c r="B460" s="27">
        <v>0.00881</v>
      </c>
      <c r="C460" s="27">
        <v>0.135</v>
      </c>
    </row>
    <row r="461">
      <c r="A461" s="26" t="s">
        <v>662</v>
      </c>
      <c r="B461" s="27">
        <v>0.00519</v>
      </c>
      <c r="C461" s="27">
        <v>0.10376</v>
      </c>
    </row>
    <row r="462">
      <c r="A462" s="26" t="s">
        <v>663</v>
      </c>
      <c r="B462" s="27">
        <v>0.01834</v>
      </c>
      <c r="C462" s="27">
        <v>0.2018</v>
      </c>
    </row>
    <row r="463">
      <c r="A463" s="26" t="s">
        <v>664</v>
      </c>
      <c r="B463" s="27">
        <v>0.0245</v>
      </c>
      <c r="C463" s="27">
        <v>0.23892</v>
      </c>
    </row>
    <row r="464">
      <c r="A464" s="26" t="s">
        <v>665</v>
      </c>
      <c r="B464" s="27">
        <v>0.07838</v>
      </c>
      <c r="C464" s="27">
        <v>0.47578</v>
      </c>
    </row>
    <row r="465">
      <c r="A465" s="26" t="s">
        <v>666</v>
      </c>
      <c r="B465" s="27">
        <v>0.02306</v>
      </c>
      <c r="C465" s="27">
        <v>0.2257</v>
      </c>
    </row>
    <row r="466">
      <c r="A466" s="26" t="s">
        <v>667</v>
      </c>
      <c r="B466" s="27">
        <v>0.05862</v>
      </c>
      <c r="C466" s="27">
        <v>0.40762</v>
      </c>
    </row>
    <row r="467">
      <c r="A467" s="26" t="s">
        <v>668</v>
      </c>
      <c r="B467" s="27">
        <v>0.06305</v>
      </c>
      <c r="C467" s="27">
        <v>0.41057</v>
      </c>
    </row>
    <row r="468">
      <c r="A468" s="26" t="s">
        <v>669</v>
      </c>
      <c r="B468" s="27">
        <v>0.00664</v>
      </c>
      <c r="C468" s="27">
        <v>0.11446</v>
      </c>
    </row>
    <row r="469">
      <c r="A469" s="26" t="s">
        <v>670</v>
      </c>
      <c r="B469" s="27">
        <v>0.00783</v>
      </c>
      <c r="C469" s="27">
        <v>0.1213</v>
      </c>
    </row>
    <row r="470">
      <c r="A470" s="26" t="s">
        <v>672</v>
      </c>
      <c r="B470" s="27">
        <v>0.01224</v>
      </c>
      <c r="C470" s="27">
        <v>0.14961</v>
      </c>
    </row>
    <row r="471">
      <c r="A471" s="26" t="s">
        <v>673</v>
      </c>
      <c r="B471" s="27">
        <v>0.02121</v>
      </c>
      <c r="C471" s="27">
        <v>0.22143</v>
      </c>
    </row>
    <row r="472">
      <c r="A472" s="26" t="s">
        <v>674</v>
      </c>
      <c r="B472" s="27">
        <v>0.009</v>
      </c>
      <c r="C472" s="27">
        <v>0.09055</v>
      </c>
    </row>
    <row r="473">
      <c r="A473" s="26" t="s">
        <v>675</v>
      </c>
      <c r="B473" s="27">
        <v>0.023</v>
      </c>
      <c r="C473" s="27">
        <v>0.241</v>
      </c>
    </row>
    <row r="474">
      <c r="A474" s="26" t="s">
        <v>676</v>
      </c>
      <c r="B474" s="27">
        <v>0.0299</v>
      </c>
      <c r="C474" s="27">
        <v>0.2837</v>
      </c>
    </row>
    <row r="475">
      <c r="A475" s="26" t="s">
        <v>677</v>
      </c>
      <c r="B475" s="27">
        <v>0.0327</v>
      </c>
      <c r="C475" s="27">
        <v>0.2079</v>
      </c>
    </row>
    <row r="476">
      <c r="A476" s="26" t="s">
        <v>679</v>
      </c>
      <c r="B476" s="27">
        <v>0.617</v>
      </c>
      <c r="C476" s="27">
        <v>0.941</v>
      </c>
    </row>
    <row r="477">
      <c r="A477" s="26" t="s">
        <v>680</v>
      </c>
      <c r="B477" s="27">
        <v>0.0379</v>
      </c>
      <c r="C477" s="27">
        <v>0.245</v>
      </c>
    </row>
    <row r="478">
      <c r="A478" s="26" t="s">
        <v>681</v>
      </c>
      <c r="B478" s="27">
        <v>0.4046</v>
      </c>
      <c r="C478" s="27">
        <v>1.606</v>
      </c>
    </row>
    <row r="479">
      <c r="A479" s="26" t="s">
        <v>682</v>
      </c>
      <c r="B479" s="27">
        <v>0.0289</v>
      </c>
      <c r="C479" s="27">
        <v>0.232</v>
      </c>
    </row>
    <row r="480">
      <c r="A480" s="26" t="s">
        <v>683</v>
      </c>
      <c r="B480" s="27">
        <v>0.138</v>
      </c>
      <c r="C480" s="27">
        <v>0.341</v>
      </c>
    </row>
    <row r="481">
      <c r="A481" s="26" t="s">
        <v>685</v>
      </c>
      <c r="B481" s="27">
        <v>0.426</v>
      </c>
      <c r="C481" s="27">
        <v>0.683</v>
      </c>
    </row>
    <row r="482">
      <c r="A482" s="26" t="s">
        <v>686</v>
      </c>
      <c r="B482" s="27">
        <v>0.06702</v>
      </c>
      <c r="C482" s="27">
        <v>0.222</v>
      </c>
    </row>
    <row r="483">
      <c r="A483" s="26" t="s">
        <v>687</v>
      </c>
      <c r="B483" s="27">
        <v>1.9</v>
      </c>
      <c r="C483" s="27">
        <v>0.205</v>
      </c>
    </row>
    <row r="484">
      <c r="A484" s="26" t="s">
        <v>688</v>
      </c>
      <c r="B484" s="27">
        <v>0.0371</v>
      </c>
      <c r="C484" s="27">
        <v>0.3649</v>
      </c>
    </row>
    <row r="485">
      <c r="A485" s="26" t="s">
        <v>689</v>
      </c>
      <c r="B485" s="27">
        <v>0.1192</v>
      </c>
      <c r="C485" s="27">
        <v>0.678</v>
      </c>
    </row>
    <row r="486">
      <c r="A486" s="26" t="s">
        <v>690</v>
      </c>
      <c r="B486" s="27">
        <v>0.028</v>
      </c>
      <c r="C486" s="27">
        <v>0.232</v>
      </c>
    </row>
    <row r="487">
      <c r="A487" s="26" t="s">
        <v>691</v>
      </c>
      <c r="B487" s="27">
        <v>1.67</v>
      </c>
      <c r="C487" s="27">
        <v>0.346</v>
      </c>
    </row>
    <row r="488">
      <c r="A488" s="26" t="s">
        <v>692</v>
      </c>
      <c r="B488" s="27">
        <v>1.1</v>
      </c>
      <c r="C488" s="27">
        <v>0.947</v>
      </c>
    </row>
    <row r="489">
      <c r="A489" s="26" t="s">
        <v>693</v>
      </c>
      <c r="B489" s="27">
        <v>0.101</v>
      </c>
      <c r="C489" s="27">
        <v>0.464</v>
      </c>
    </row>
    <row r="490">
      <c r="A490" s="26" t="s">
        <v>694</v>
      </c>
      <c r="B490" s="27">
        <v>0.87</v>
      </c>
      <c r="C490" s="27">
        <v>1.046</v>
      </c>
    </row>
    <row r="491">
      <c r="A491" s="26" t="s">
        <v>695</v>
      </c>
      <c r="B491" s="27">
        <v>0.679</v>
      </c>
      <c r="C491" s="27">
        <v>1.399</v>
      </c>
    </row>
    <row r="492">
      <c r="A492" s="26" t="s">
        <v>697</v>
      </c>
      <c r="B492" s="27">
        <v>0.195</v>
      </c>
      <c r="C492" s="27">
        <v>1.3</v>
      </c>
    </row>
    <row r="493">
      <c r="A493" s="26" t="s">
        <v>698</v>
      </c>
      <c r="B493" s="27">
        <v>0.95</v>
      </c>
      <c r="C493" s="27">
        <v>1.79</v>
      </c>
    </row>
    <row r="494">
      <c r="A494" s="26" t="s">
        <v>699</v>
      </c>
      <c r="B494" s="27">
        <v>0.92</v>
      </c>
      <c r="C494" s="27">
        <v>1.443</v>
      </c>
    </row>
    <row r="495">
      <c r="A495" s="26" t="s">
        <v>700</v>
      </c>
      <c r="B495" s="27">
        <v>2.75</v>
      </c>
      <c r="C495" s="27">
        <v>1.415</v>
      </c>
    </row>
    <row r="496">
      <c r="A496" s="26" t="s">
        <v>701</v>
      </c>
      <c r="B496" s="27">
        <v>1.31</v>
      </c>
      <c r="C496" s="27">
        <v>1.525</v>
      </c>
    </row>
    <row r="497">
      <c r="A497" s="26" t="s">
        <v>703</v>
      </c>
      <c r="B497" s="27">
        <v>1.176</v>
      </c>
      <c r="C497" s="27">
        <v>1.568</v>
      </c>
    </row>
    <row r="498">
      <c r="A498" s="26" t="s">
        <v>704</v>
      </c>
      <c r="B498" s="27">
        <v>4.07</v>
      </c>
      <c r="C498" s="27">
        <v>1.91</v>
      </c>
    </row>
    <row r="499">
      <c r="A499" s="26" t="s">
        <v>705</v>
      </c>
      <c r="B499" s="27">
        <v>3.518</v>
      </c>
      <c r="C499" s="27">
        <v>1.83</v>
      </c>
    </row>
    <row r="500">
      <c r="A500" s="26" t="s">
        <v>706</v>
      </c>
      <c r="B500" s="27">
        <v>3.88</v>
      </c>
      <c r="C500" s="27">
        <v>1.584</v>
      </c>
    </row>
    <row r="501">
      <c r="A501" s="26" t="s">
        <v>707</v>
      </c>
      <c r="B501" s="27">
        <v>3.69</v>
      </c>
      <c r="C501" s="27">
        <v>1.2</v>
      </c>
    </row>
    <row r="502">
      <c r="A502" s="26" t="s">
        <v>708</v>
      </c>
      <c r="B502" s="27">
        <v>0.937</v>
      </c>
      <c r="C502" s="27">
        <v>1.29</v>
      </c>
    </row>
    <row r="503">
      <c r="A503" s="26" t="s">
        <v>709</v>
      </c>
      <c r="B503" s="27">
        <v>1.486</v>
      </c>
      <c r="C503" s="27">
        <v>1.306</v>
      </c>
    </row>
    <row r="504">
      <c r="A504" s="26" t="s">
        <v>710</v>
      </c>
      <c r="B504" s="27">
        <v>1.47</v>
      </c>
      <c r="C504" s="27">
        <v>1.35</v>
      </c>
    </row>
    <row r="505">
      <c r="A505" s="26" t="s">
        <v>711</v>
      </c>
      <c r="B505" s="27">
        <v>0.9</v>
      </c>
      <c r="C505" s="27">
        <v>1.7</v>
      </c>
    </row>
    <row r="506">
      <c r="A506" s="26" t="s">
        <v>712</v>
      </c>
      <c r="B506" s="27">
        <v>0.44</v>
      </c>
      <c r="C506" s="27">
        <v>1.13</v>
      </c>
    </row>
    <row r="507">
      <c r="A507" s="26" t="s">
        <v>713</v>
      </c>
      <c r="B507" s="27">
        <v>1.24</v>
      </c>
      <c r="C507" s="27">
        <v>1.293</v>
      </c>
    </row>
    <row r="508">
      <c r="A508" s="26" t="s">
        <v>714</v>
      </c>
      <c r="B508" s="27">
        <v>0.874</v>
      </c>
      <c r="C508" s="27">
        <v>1.86</v>
      </c>
    </row>
    <row r="509">
      <c r="A509" s="26" t="s">
        <v>715</v>
      </c>
      <c r="B509" s="27">
        <v>2.88</v>
      </c>
      <c r="C509" s="27">
        <v>1.936</v>
      </c>
    </row>
    <row r="510">
      <c r="A510" s="26" t="s">
        <v>716</v>
      </c>
      <c r="B510" s="27">
        <v>0.023</v>
      </c>
      <c r="C510" s="27">
        <v>0.118</v>
      </c>
    </row>
    <row r="511">
      <c r="A511" s="26" t="s">
        <v>717</v>
      </c>
      <c r="B511" s="27">
        <v>0.02218</v>
      </c>
      <c r="C511" s="27">
        <v>0.196</v>
      </c>
    </row>
    <row r="512">
      <c r="A512" s="26" t="s">
        <v>718</v>
      </c>
      <c r="B512" s="27">
        <v>0.00944</v>
      </c>
      <c r="C512" s="27">
        <v>0.144</v>
      </c>
    </row>
    <row r="513">
      <c r="A513" s="26" t="s">
        <v>719</v>
      </c>
      <c r="B513" s="27">
        <v>0.16</v>
      </c>
      <c r="C513" s="27">
        <v>0.51</v>
      </c>
    </row>
    <row r="514">
      <c r="A514" s="26" t="s">
        <v>720</v>
      </c>
      <c r="B514" s="27">
        <v>0.01</v>
      </c>
      <c r="C514" s="27">
        <v>0.112</v>
      </c>
    </row>
    <row r="515">
      <c r="A515" s="26" t="s">
        <v>722</v>
      </c>
      <c r="B515" s="27">
        <v>0.01353</v>
      </c>
      <c r="C515" s="27">
        <v>0.042</v>
      </c>
    </row>
    <row r="516">
      <c r="A516" s="26" t="s">
        <v>723</v>
      </c>
      <c r="B516" s="27">
        <v>0.00944</v>
      </c>
      <c r="C516" s="27">
        <v>0.052</v>
      </c>
    </row>
    <row r="517">
      <c r="A517" s="26" t="s">
        <v>724</v>
      </c>
      <c r="B517" s="27">
        <v>0.012</v>
      </c>
      <c r="C517" s="27">
        <v>0.105</v>
      </c>
    </row>
    <row r="518">
      <c r="A518" s="26" t="s">
        <v>725</v>
      </c>
      <c r="B518" s="27">
        <v>0.028</v>
      </c>
      <c r="C518" s="27">
        <v>0.198</v>
      </c>
    </row>
    <row r="519">
      <c r="A519" s="26" t="s">
        <v>726</v>
      </c>
      <c r="B519" s="27">
        <v>0.01636</v>
      </c>
      <c r="C519" s="27">
        <v>0.079</v>
      </c>
    </row>
    <row r="520">
      <c r="A520" s="26" t="s">
        <v>728</v>
      </c>
      <c r="B520" s="27">
        <v>0.031</v>
      </c>
      <c r="C520" s="27">
        <v>0.301</v>
      </c>
    </row>
    <row r="521">
      <c r="A521" s="26" t="s">
        <v>729</v>
      </c>
      <c r="B521" s="27">
        <v>0.114</v>
      </c>
      <c r="C521" s="27">
        <v>0.459</v>
      </c>
    </row>
    <row r="522">
      <c r="A522" s="26" t="s">
        <v>730</v>
      </c>
      <c r="B522" s="27">
        <v>0.031314</v>
      </c>
      <c r="C522" s="27">
        <v>0.2123</v>
      </c>
    </row>
    <row r="523">
      <c r="A523" s="26" t="s">
        <v>731</v>
      </c>
      <c r="B523" s="27">
        <v>0.0224785</v>
      </c>
      <c r="C523" s="27">
        <v>0.2105</v>
      </c>
    </row>
    <row r="524">
      <c r="A524" s="26" t="s">
        <v>732</v>
      </c>
      <c r="B524" s="27">
        <v>5.54</v>
      </c>
      <c r="C524" s="27">
        <v>0.23508</v>
      </c>
    </row>
    <row r="525">
      <c r="A525" s="26" t="s">
        <v>733</v>
      </c>
      <c r="B525" s="27">
        <v>0.016</v>
      </c>
      <c r="C525" s="27">
        <v>0.429</v>
      </c>
    </row>
    <row r="526">
      <c r="A526" s="26" t="s">
        <v>734</v>
      </c>
      <c r="B526" s="27">
        <v>0.01447</v>
      </c>
      <c r="C526" s="27">
        <v>0.117</v>
      </c>
    </row>
    <row r="527">
      <c r="A527" s="26" t="s">
        <v>735</v>
      </c>
      <c r="B527" s="27">
        <v>0.01668</v>
      </c>
      <c r="C527" s="27">
        <v>0.073</v>
      </c>
    </row>
    <row r="528">
      <c r="A528" s="26" t="s">
        <v>736</v>
      </c>
      <c r="B528" s="27">
        <v>0.033</v>
      </c>
      <c r="C528" s="27">
        <v>0.223</v>
      </c>
    </row>
    <row r="529">
      <c r="A529" s="26" t="s">
        <v>737</v>
      </c>
      <c r="B529" s="27">
        <v>0.02549</v>
      </c>
      <c r="C529" s="27">
        <v>0.085</v>
      </c>
    </row>
    <row r="530">
      <c r="A530" s="26" t="s">
        <v>738</v>
      </c>
      <c r="B530" s="27">
        <v>0.035</v>
      </c>
      <c r="C530" s="27">
        <v>0.228</v>
      </c>
    </row>
    <row r="531">
      <c r="A531" s="26" t="s">
        <v>739</v>
      </c>
      <c r="B531" s="27">
        <v>0.01104</v>
      </c>
      <c r="C531" s="27">
        <v>0.137</v>
      </c>
    </row>
    <row r="532">
      <c r="A532" s="26" t="s">
        <v>740</v>
      </c>
      <c r="B532" s="27">
        <v>0.02954</v>
      </c>
      <c r="C532" s="27">
        <v>0.142</v>
      </c>
    </row>
    <row r="533">
      <c r="A533" s="26" t="s">
        <v>741</v>
      </c>
      <c r="B533" s="27">
        <v>0.01196</v>
      </c>
      <c r="C533" s="27">
        <v>0.077</v>
      </c>
    </row>
    <row r="534">
      <c r="A534" s="26" t="s">
        <v>742</v>
      </c>
      <c r="B534" s="27">
        <v>0.02706</v>
      </c>
      <c r="C534" s="27">
        <v>0.259</v>
      </c>
    </row>
    <row r="535">
      <c r="A535" s="26" t="s">
        <v>743</v>
      </c>
      <c r="B535" s="27">
        <v>0.02297</v>
      </c>
      <c r="C535" s="27">
        <v>0.211</v>
      </c>
    </row>
    <row r="536">
      <c r="A536" s="26" t="s">
        <v>744</v>
      </c>
      <c r="B536" s="27">
        <v>0.06859</v>
      </c>
      <c r="C536" s="27">
        <v>0.225</v>
      </c>
    </row>
    <row r="537">
      <c r="A537" s="26" t="s">
        <v>746</v>
      </c>
      <c r="B537" s="27">
        <v>0.01019</v>
      </c>
      <c r="C537" s="27">
        <v>0.1311</v>
      </c>
    </row>
    <row r="538">
      <c r="A538" s="26" t="s">
        <v>747</v>
      </c>
      <c r="B538" s="27">
        <v>0.03552</v>
      </c>
      <c r="C538" s="27">
        <v>0.2101</v>
      </c>
    </row>
    <row r="539">
      <c r="A539" s="26" t="s">
        <v>748</v>
      </c>
      <c r="B539" s="27">
        <v>0.037</v>
      </c>
      <c r="C539" s="27">
        <v>0.162</v>
      </c>
    </row>
    <row r="540">
      <c r="A540" s="26" t="s">
        <v>749</v>
      </c>
      <c r="B540" s="27">
        <v>0.02737</v>
      </c>
      <c r="C540" s="27">
        <v>0.194</v>
      </c>
    </row>
    <row r="541">
      <c r="A541" s="26" t="s">
        <v>750</v>
      </c>
      <c r="B541" s="27">
        <v>0.022</v>
      </c>
      <c r="C541" s="27">
        <v>0.112</v>
      </c>
    </row>
    <row r="542">
      <c r="A542" s="26" t="s">
        <v>752</v>
      </c>
      <c r="B542" s="27">
        <v>0.009</v>
      </c>
      <c r="C542" s="27">
        <v>0.143</v>
      </c>
    </row>
    <row r="543">
      <c r="A543" s="26" t="s">
        <v>753</v>
      </c>
      <c r="B543" s="27">
        <v>0.012</v>
      </c>
      <c r="C543" s="27">
        <v>0.226</v>
      </c>
    </row>
    <row r="544">
      <c r="A544" s="26" t="s">
        <v>754</v>
      </c>
      <c r="B544" s="27">
        <v>0.094</v>
      </c>
      <c r="C544" s="27">
        <v>0.719</v>
      </c>
    </row>
    <row r="545">
      <c r="A545" s="26" t="s">
        <v>755</v>
      </c>
      <c r="B545" s="27">
        <v>1.84</v>
      </c>
      <c r="C545" s="27">
        <v>1.101</v>
      </c>
    </row>
    <row r="546">
      <c r="A546" s="26" t="s">
        <v>756</v>
      </c>
      <c r="B546" s="27">
        <v>0.006</v>
      </c>
      <c r="C546" s="27">
        <v>0.161</v>
      </c>
    </row>
    <row r="547">
      <c r="A547" s="26" t="s">
        <v>757</v>
      </c>
      <c r="B547" s="27">
        <v>0.009</v>
      </c>
      <c r="C547" s="27">
        <v>0.256</v>
      </c>
    </row>
    <row r="548">
      <c r="A548" s="26" t="s">
        <v>759</v>
      </c>
      <c r="B548" s="27">
        <v>0.023</v>
      </c>
      <c r="C548" s="27">
        <v>0.278</v>
      </c>
    </row>
    <row r="549">
      <c r="A549" s="26" t="s">
        <v>760</v>
      </c>
      <c r="B549" s="27">
        <v>0.025</v>
      </c>
      <c r="C549" s="27">
        <v>0.374</v>
      </c>
    </row>
    <row r="550">
      <c r="A550" s="26" t="s">
        <v>761</v>
      </c>
      <c r="B550" s="27">
        <v>0.006</v>
      </c>
      <c r="C550" s="27">
        <v>0.222</v>
      </c>
    </row>
    <row r="551">
      <c r="A551" s="26" t="s">
        <v>762</v>
      </c>
      <c r="B551" s="27">
        <v>0.079</v>
      </c>
      <c r="C551" s="27">
        <v>0.297</v>
      </c>
    </row>
    <row r="552">
      <c r="A552" s="26" t="s">
        <v>763</v>
      </c>
      <c r="B552" s="27">
        <v>0.113</v>
      </c>
      <c r="C552" s="27">
        <v>0.156</v>
      </c>
    </row>
    <row r="553">
      <c r="A553" s="26" t="s">
        <v>765</v>
      </c>
      <c r="B553" s="27">
        <v>0.00242</v>
      </c>
      <c r="C553" s="27">
        <v>0.128</v>
      </c>
    </row>
    <row r="554">
      <c r="A554" s="26" t="s">
        <v>766</v>
      </c>
      <c r="B554" s="27">
        <v>0.00283</v>
      </c>
      <c r="C554" s="27">
        <v>0.12</v>
      </c>
    </row>
    <row r="555">
      <c r="A555" s="26" t="s">
        <v>767</v>
      </c>
      <c r="B555" s="27">
        <v>0.432</v>
      </c>
      <c r="C555" s="27">
        <v>1.754</v>
      </c>
    </row>
    <row r="556">
      <c r="A556" s="26" t="s">
        <v>768</v>
      </c>
      <c r="B556" s="27">
        <v>0.051</v>
      </c>
      <c r="C556" s="27">
        <v>0.215</v>
      </c>
    </row>
    <row r="557">
      <c r="A557" s="26" t="s">
        <v>770</v>
      </c>
      <c r="B557" s="27">
        <v>0.026</v>
      </c>
      <c r="C557" s="27">
        <v>0.075</v>
      </c>
    </row>
    <row r="558">
      <c r="A558" s="26" t="s">
        <v>771</v>
      </c>
      <c r="B558" s="27">
        <v>2.1E-4</v>
      </c>
      <c r="C558" s="27">
        <v>0.047</v>
      </c>
    </row>
    <row r="559">
      <c r="A559" s="26" t="s">
        <v>772</v>
      </c>
      <c r="B559" s="27">
        <v>0.0062</v>
      </c>
      <c r="C559" s="27">
        <v>0.107</v>
      </c>
    </row>
    <row r="560">
      <c r="A560" s="26" t="s">
        <v>773</v>
      </c>
      <c r="B560" s="27">
        <v>0.00201</v>
      </c>
      <c r="C560" s="27">
        <v>0.108</v>
      </c>
    </row>
    <row r="561">
      <c r="A561" s="26" t="s">
        <v>774</v>
      </c>
      <c r="B561" s="27">
        <v>0.01466</v>
      </c>
      <c r="C561" s="27">
        <v>1.695</v>
      </c>
    </row>
    <row r="562">
      <c r="A562" s="26" t="s">
        <v>775</v>
      </c>
      <c r="B562" s="27">
        <v>9.28</v>
      </c>
      <c r="C562" s="27">
        <v>1.512</v>
      </c>
    </row>
    <row r="563">
      <c r="A563" s="26" t="s">
        <v>777</v>
      </c>
      <c r="B563" s="27">
        <v>0.117</v>
      </c>
      <c r="C563" s="27">
        <v>0.236</v>
      </c>
    </row>
    <row r="564">
      <c r="A564" s="26" t="s">
        <v>778</v>
      </c>
      <c r="B564" s="27">
        <v>0.25</v>
      </c>
      <c r="C564" s="27">
        <v>0.385</v>
      </c>
    </row>
    <row r="565">
      <c r="A565" s="26" t="s">
        <v>779</v>
      </c>
      <c r="B565" s="27">
        <v>8.4</v>
      </c>
      <c r="C565" s="27">
        <v>1.136</v>
      </c>
    </row>
    <row r="566">
      <c r="A566" s="26" t="s">
        <v>780</v>
      </c>
      <c r="B566" s="27">
        <v>0.0283</v>
      </c>
      <c r="C566" s="27">
        <v>0.325</v>
      </c>
    </row>
    <row r="567">
      <c r="A567" s="26" t="s">
        <v>781</v>
      </c>
      <c r="B567" s="27">
        <v>0.152</v>
      </c>
      <c r="C567" s="27">
        <v>0.76671</v>
      </c>
    </row>
    <row r="568">
      <c r="A568" s="26" t="s">
        <v>783</v>
      </c>
      <c r="B568" s="27">
        <v>5.28</v>
      </c>
      <c r="C568" s="27">
        <v>1.108</v>
      </c>
    </row>
    <row r="569">
      <c r="A569" s="26" t="s">
        <v>784</v>
      </c>
      <c r="B569" s="27">
        <v>0.66</v>
      </c>
      <c r="C569" s="27">
        <v>0.96</v>
      </c>
    </row>
    <row r="570">
      <c r="A570" s="26" t="s">
        <v>178</v>
      </c>
      <c r="B570" s="27">
        <v>11.6</v>
      </c>
      <c r="C570" s="27">
        <v>0.541</v>
      </c>
    </row>
    <row r="571">
      <c r="A571" s="26" t="s">
        <v>785</v>
      </c>
      <c r="B571" s="27">
        <v>1.52</v>
      </c>
      <c r="C571" s="27">
        <v>1.06</v>
      </c>
    </row>
    <row r="572">
      <c r="A572" s="26" t="s">
        <v>786</v>
      </c>
      <c r="B572" s="27">
        <v>0.5</v>
      </c>
      <c r="C572" s="27">
        <v>0.819</v>
      </c>
    </row>
    <row r="573">
      <c r="A573" s="26" t="s">
        <v>787</v>
      </c>
      <c r="B573" s="27">
        <v>0.01573</v>
      </c>
      <c r="C573" s="27">
        <v>0.197</v>
      </c>
    </row>
    <row r="574">
      <c r="A574" s="26" t="s">
        <v>788</v>
      </c>
      <c r="B574" s="27">
        <v>0.1504</v>
      </c>
      <c r="C574" s="27">
        <v>0.448</v>
      </c>
    </row>
    <row r="575">
      <c r="A575" s="26" t="s">
        <v>789</v>
      </c>
      <c r="B575" s="27">
        <v>1.93</v>
      </c>
      <c r="C575" s="27">
        <v>0.99</v>
      </c>
    </row>
    <row r="576">
      <c r="A576" s="26" t="s">
        <v>790</v>
      </c>
      <c r="B576" s="27">
        <v>5.88</v>
      </c>
      <c r="C576" s="27">
        <v>1.07</v>
      </c>
    </row>
    <row r="577">
      <c r="A577" s="26" t="s">
        <v>792</v>
      </c>
      <c r="B577" s="27">
        <v>0.02832</v>
      </c>
      <c r="C577" s="27">
        <v>0.17</v>
      </c>
    </row>
    <row r="578">
      <c r="A578" s="26" t="s">
        <v>793</v>
      </c>
      <c r="B578" s="27">
        <v>0.01447</v>
      </c>
      <c r="C578" s="27">
        <v>0.17</v>
      </c>
    </row>
    <row r="579">
      <c r="A579" s="26" t="s">
        <v>794</v>
      </c>
      <c r="B579" s="27">
        <v>0.2234</v>
      </c>
      <c r="C579" s="27">
        <v>0.7904</v>
      </c>
    </row>
    <row r="580">
      <c r="A580" s="26" t="s">
        <v>795</v>
      </c>
      <c r="B580" s="27">
        <v>0.0472</v>
      </c>
      <c r="C580" s="27">
        <v>0.4853</v>
      </c>
    </row>
    <row r="581">
      <c r="A581" s="26" t="s">
        <v>796</v>
      </c>
      <c r="B581" s="27">
        <v>4.0</v>
      </c>
      <c r="C581" s="27">
        <v>0.9064</v>
      </c>
    </row>
    <row r="582">
      <c r="A582" s="26" t="s">
        <v>797</v>
      </c>
      <c r="B582" s="27">
        <v>0.333</v>
      </c>
      <c r="C582" s="27">
        <v>0.7538</v>
      </c>
    </row>
    <row r="583">
      <c r="A583" s="26" t="s">
        <v>799</v>
      </c>
      <c r="B583" s="27">
        <v>4.16</v>
      </c>
      <c r="C583" s="27">
        <v>1.066</v>
      </c>
    </row>
    <row r="584">
      <c r="A584" s="26" t="s">
        <v>800</v>
      </c>
      <c r="B584" s="27">
        <v>0.01406</v>
      </c>
      <c r="C584" s="27">
        <v>0.1811</v>
      </c>
    </row>
    <row r="585">
      <c r="A585" s="26" t="s">
        <v>801</v>
      </c>
      <c r="B585" s="27">
        <v>0.01705</v>
      </c>
      <c r="C585" s="27">
        <v>0.1829</v>
      </c>
    </row>
    <row r="586">
      <c r="A586" s="26" t="s">
        <v>802</v>
      </c>
      <c r="B586" s="27">
        <v>4.6</v>
      </c>
      <c r="C586" s="27">
        <v>0.8886</v>
      </c>
    </row>
    <row r="587">
      <c r="A587" s="26" t="s">
        <v>803</v>
      </c>
      <c r="B587" s="27">
        <v>0.010997</v>
      </c>
      <c r="C587" s="27">
        <v>0.2308</v>
      </c>
    </row>
    <row r="588">
      <c r="A588" s="26" t="s">
        <v>805</v>
      </c>
      <c r="B588" s="27">
        <v>0.01837</v>
      </c>
      <c r="C588" s="27">
        <v>0.312</v>
      </c>
    </row>
    <row r="589">
      <c r="A589" s="26" t="s">
        <v>806</v>
      </c>
      <c r="B589" s="27">
        <v>0.04625</v>
      </c>
      <c r="C589" s="27">
        <v>0.779</v>
      </c>
    </row>
    <row r="590">
      <c r="A590" s="26" t="s">
        <v>807</v>
      </c>
      <c r="B590" s="27">
        <v>2.45</v>
      </c>
      <c r="C590" s="27">
        <v>1.31</v>
      </c>
    </row>
    <row r="591">
      <c r="A591" s="26" t="s">
        <v>809</v>
      </c>
      <c r="B591" s="27">
        <v>0.0076</v>
      </c>
      <c r="C591" s="27">
        <v>0.0761</v>
      </c>
    </row>
    <row r="592">
      <c r="A592" s="26" t="s">
        <v>810</v>
      </c>
      <c r="B592" s="27">
        <v>0.022</v>
      </c>
      <c r="C592" s="27">
        <v>0.178</v>
      </c>
    </row>
    <row r="593">
      <c r="A593" s="26" t="s">
        <v>811</v>
      </c>
      <c r="B593" s="27">
        <v>0.054</v>
      </c>
      <c r="C593" s="27">
        <v>0.49</v>
      </c>
    </row>
    <row r="594">
      <c r="A594" s="26" t="s">
        <v>812</v>
      </c>
      <c r="B594" s="27">
        <v>0.052</v>
      </c>
      <c r="C594" s="27">
        <v>0.623</v>
      </c>
    </row>
    <row r="595">
      <c r="A595" s="26" t="s">
        <v>813</v>
      </c>
      <c r="B595" s="27">
        <v>0.00107</v>
      </c>
      <c r="C595" s="27">
        <v>0.0455</v>
      </c>
    </row>
    <row r="596">
      <c r="A596" s="26" t="s">
        <v>814</v>
      </c>
      <c r="B596" s="27">
        <v>0.00636</v>
      </c>
      <c r="C596" s="27">
        <v>0.07155</v>
      </c>
    </row>
    <row r="597">
      <c r="A597" s="26" t="s">
        <v>816</v>
      </c>
      <c r="B597" s="27">
        <v>0.00664</v>
      </c>
      <c r="C597" s="27">
        <v>0.07744</v>
      </c>
    </row>
    <row r="598">
      <c r="A598" s="26" t="s">
        <v>817</v>
      </c>
      <c r="B598" s="27">
        <v>0.0544</v>
      </c>
      <c r="C598" s="27">
        <v>0.384</v>
      </c>
    </row>
    <row r="599">
      <c r="A599" s="26" t="s">
        <v>818</v>
      </c>
      <c r="B599" s="27">
        <v>0.017</v>
      </c>
      <c r="C599" s="27">
        <v>0.11669</v>
      </c>
    </row>
    <row r="600">
      <c r="A600" s="26" t="s">
        <v>819</v>
      </c>
      <c r="B600" s="27">
        <v>0.02643</v>
      </c>
      <c r="C600" s="27">
        <v>0.198</v>
      </c>
    </row>
    <row r="601">
      <c r="A601" s="26" t="s">
        <v>820</v>
      </c>
      <c r="B601" s="27">
        <v>0.029963</v>
      </c>
      <c r="C601" s="27">
        <v>0.17905</v>
      </c>
    </row>
    <row r="602">
      <c r="A602" s="26" t="s">
        <v>822</v>
      </c>
      <c r="B602" s="27">
        <v>0.0349</v>
      </c>
      <c r="C602" s="27">
        <v>0.2569</v>
      </c>
    </row>
    <row r="603">
      <c r="A603" s="26" t="s">
        <v>823</v>
      </c>
      <c r="B603" s="27">
        <v>0.040733</v>
      </c>
      <c r="C603" s="27">
        <v>0.22232</v>
      </c>
    </row>
    <row r="604">
      <c r="A604" s="26" t="s">
        <v>824</v>
      </c>
      <c r="B604" s="27">
        <v>0.0097</v>
      </c>
      <c r="C604" s="27">
        <v>0.06994</v>
      </c>
    </row>
    <row r="605">
      <c r="A605" s="26" t="s">
        <v>825</v>
      </c>
      <c r="B605" s="27">
        <v>0.045</v>
      </c>
      <c r="C605" s="27">
        <v>0.08404</v>
      </c>
    </row>
    <row r="606">
      <c r="A606" s="26" t="s">
        <v>826</v>
      </c>
      <c r="B606" s="27">
        <v>0.02102</v>
      </c>
      <c r="C606" s="27">
        <v>0.1472</v>
      </c>
    </row>
    <row r="607">
      <c r="A607" s="26" t="s">
        <v>827</v>
      </c>
      <c r="B607" s="27">
        <v>0.02328</v>
      </c>
      <c r="C607" s="27">
        <v>0.267</v>
      </c>
    </row>
    <row r="608">
      <c r="A608" s="26" t="s">
        <v>829</v>
      </c>
      <c r="B608" s="27">
        <v>0.01605</v>
      </c>
      <c r="C608" s="27">
        <v>0.307</v>
      </c>
    </row>
    <row r="609">
      <c r="A609" s="26" t="s">
        <v>830</v>
      </c>
      <c r="B609" s="27">
        <v>0.02517</v>
      </c>
      <c r="C609" s="27">
        <v>0.467</v>
      </c>
    </row>
    <row r="610">
      <c r="A610" s="26" t="s">
        <v>831</v>
      </c>
      <c r="B610" s="27">
        <v>0.0151</v>
      </c>
      <c r="C610" s="27">
        <v>0.41</v>
      </c>
    </row>
    <row r="611">
      <c r="A611" s="26" t="s">
        <v>832</v>
      </c>
      <c r="B611" s="27">
        <v>0.0286</v>
      </c>
      <c r="C611" s="27">
        <v>0.187</v>
      </c>
    </row>
    <row r="612">
      <c r="A612" s="26" t="s">
        <v>833</v>
      </c>
      <c r="B612" s="27">
        <v>0.534</v>
      </c>
      <c r="C612" s="27">
        <v>0.5</v>
      </c>
    </row>
    <row r="613">
      <c r="A613" s="26" t="s">
        <v>835</v>
      </c>
      <c r="B613" s="27">
        <v>0.042</v>
      </c>
      <c r="C613" s="27">
        <v>0.178</v>
      </c>
    </row>
    <row r="614">
      <c r="A614" s="26" t="s">
        <v>836</v>
      </c>
      <c r="B614" s="27">
        <v>0.8</v>
      </c>
      <c r="C614" s="27">
        <v>0.17</v>
      </c>
    </row>
    <row r="615">
      <c r="A615" s="26" t="s">
        <v>837</v>
      </c>
      <c r="B615" s="27">
        <v>2.7</v>
      </c>
      <c r="C615" s="27">
        <v>0.285</v>
      </c>
    </row>
    <row r="616">
      <c r="A616" s="26" t="s">
        <v>838</v>
      </c>
      <c r="B616" s="27">
        <v>0.055</v>
      </c>
      <c r="C616" s="27">
        <v>0.196</v>
      </c>
    </row>
    <row r="617">
      <c r="A617" s="26" t="s">
        <v>839</v>
      </c>
      <c r="B617" s="27">
        <v>1.6</v>
      </c>
      <c r="C617" s="27">
        <v>0.214</v>
      </c>
    </row>
    <row r="618">
      <c r="A618" s="26" t="s">
        <v>840</v>
      </c>
      <c r="B618" s="27">
        <v>1.6</v>
      </c>
      <c r="C618" s="27">
        <v>0.25</v>
      </c>
    </row>
    <row r="619">
      <c r="A619" s="26" t="s">
        <v>842</v>
      </c>
      <c r="B619" s="27">
        <v>0.034013</v>
      </c>
      <c r="C619" s="27">
        <v>0.24124</v>
      </c>
    </row>
    <row r="620">
      <c r="A620" s="26" t="s">
        <v>843</v>
      </c>
      <c r="B620" s="27">
        <v>0.075805</v>
      </c>
      <c r="C620" s="27">
        <v>0.4128</v>
      </c>
    </row>
    <row r="621">
      <c r="A621" s="26" t="s">
        <v>844</v>
      </c>
      <c r="B621" s="27">
        <v>0.01611</v>
      </c>
      <c r="C621" s="27">
        <v>0.248</v>
      </c>
    </row>
    <row r="622">
      <c r="A622" s="26" t="s">
        <v>845</v>
      </c>
      <c r="B622" s="27">
        <v>0.01951</v>
      </c>
      <c r="C622" s="27">
        <v>0.243</v>
      </c>
    </row>
    <row r="623">
      <c r="A623" s="26" t="s">
        <v>846</v>
      </c>
      <c r="B623" s="27">
        <v>0.052</v>
      </c>
      <c r="C623" s="27">
        <v>0.259</v>
      </c>
    </row>
    <row r="624">
      <c r="A624" s="26" t="s">
        <v>847</v>
      </c>
      <c r="B624" s="27">
        <v>0.051</v>
      </c>
      <c r="C624" s="27">
        <v>0.25</v>
      </c>
    </row>
    <row r="625">
      <c r="A625" s="26" t="s">
        <v>849</v>
      </c>
      <c r="B625" s="27">
        <v>0.275</v>
      </c>
      <c r="C625" s="27">
        <v>0.261</v>
      </c>
    </row>
    <row r="626">
      <c r="A626" s="26" t="s">
        <v>850</v>
      </c>
      <c r="B626" s="27">
        <v>0.202</v>
      </c>
      <c r="C626" s="27">
        <v>0.3</v>
      </c>
    </row>
    <row r="627">
      <c r="A627" s="26" t="s">
        <v>851</v>
      </c>
      <c r="B627" s="27">
        <v>0.176</v>
      </c>
      <c r="C627" s="27">
        <v>0.363</v>
      </c>
    </row>
    <row r="628">
      <c r="A628" s="26" t="s">
        <v>852</v>
      </c>
      <c r="B628" s="27">
        <v>0.1098</v>
      </c>
      <c r="C628" s="27">
        <v>0.32</v>
      </c>
    </row>
    <row r="629">
      <c r="A629" s="26" t="s">
        <v>853</v>
      </c>
      <c r="B629" s="27">
        <v>0.155</v>
      </c>
      <c r="C629" s="27">
        <v>0.384</v>
      </c>
    </row>
    <row r="630">
      <c r="A630" s="26" t="s">
        <v>854</v>
      </c>
      <c r="B630" s="27">
        <v>0.118</v>
      </c>
      <c r="C630" s="27">
        <v>0.277</v>
      </c>
    </row>
    <row r="631">
      <c r="A631" s="26" t="s">
        <v>856</v>
      </c>
      <c r="B631" s="27">
        <v>0.132</v>
      </c>
      <c r="C631" s="27">
        <v>0.357</v>
      </c>
    </row>
    <row r="632">
      <c r="A632" s="26" t="s">
        <v>857</v>
      </c>
      <c r="B632" s="27">
        <v>0.067</v>
      </c>
      <c r="C632" s="27">
        <v>0.437</v>
      </c>
    </row>
    <row r="633">
      <c r="A633" s="26" t="s">
        <v>858</v>
      </c>
      <c r="B633" s="27">
        <v>0.025</v>
      </c>
      <c r="C633" s="27">
        <v>0.45</v>
      </c>
    </row>
    <row r="634">
      <c r="A634" s="26" t="s">
        <v>859</v>
      </c>
      <c r="B634" s="27">
        <v>0.192</v>
      </c>
      <c r="C634" s="27">
        <v>0.219</v>
      </c>
    </row>
    <row r="635">
      <c r="A635" s="26" t="s">
        <v>860</v>
      </c>
      <c r="B635" s="27">
        <v>0.177</v>
      </c>
      <c r="C635" s="27">
        <v>0.277</v>
      </c>
    </row>
    <row r="636">
      <c r="A636" s="26" t="s">
        <v>862</v>
      </c>
      <c r="B636" s="27">
        <v>0.023</v>
      </c>
      <c r="C636" s="27">
        <v>0.192</v>
      </c>
    </row>
    <row r="637">
      <c r="A637" s="26" t="s">
        <v>863</v>
      </c>
      <c r="B637" s="27">
        <v>0.42</v>
      </c>
      <c r="C637" s="27">
        <v>1.034</v>
      </c>
    </row>
    <row r="638">
      <c r="A638" s="26" t="s">
        <v>864</v>
      </c>
      <c r="B638" s="27">
        <v>0.013</v>
      </c>
      <c r="C638" s="27">
        <v>0.239</v>
      </c>
    </row>
    <row r="639">
      <c r="A639" s="26" t="s">
        <v>865</v>
      </c>
      <c r="B639" s="27">
        <v>1.51</v>
      </c>
      <c r="C639" s="27">
        <v>0.321</v>
      </c>
    </row>
    <row r="640">
      <c r="A640" s="26" t="s">
        <v>866</v>
      </c>
      <c r="B640" s="27">
        <v>1.36</v>
      </c>
      <c r="C640" s="27">
        <v>0.303</v>
      </c>
    </row>
    <row r="641">
      <c r="A641" s="26" t="s">
        <v>867</v>
      </c>
      <c r="B641" s="27">
        <v>0.01573</v>
      </c>
      <c r="C641" s="27">
        <v>0.227</v>
      </c>
    </row>
    <row r="642">
      <c r="A642" s="26" t="s">
        <v>869</v>
      </c>
      <c r="B642" s="27">
        <v>0.01416</v>
      </c>
      <c r="C642" s="27">
        <v>0.209</v>
      </c>
    </row>
    <row r="643">
      <c r="A643" s="26" t="s">
        <v>870</v>
      </c>
      <c r="B643" s="27">
        <v>0.033</v>
      </c>
      <c r="C643" s="27">
        <v>0.321</v>
      </c>
    </row>
    <row r="644">
      <c r="A644" s="26" t="s">
        <v>871</v>
      </c>
      <c r="B644" s="27">
        <v>0.019</v>
      </c>
      <c r="C644" s="27">
        <v>0.294</v>
      </c>
    </row>
    <row r="645">
      <c r="A645" s="26" t="s">
        <v>872</v>
      </c>
      <c r="B645" s="27">
        <v>0.02341</v>
      </c>
      <c r="C645" s="27">
        <v>0.217</v>
      </c>
    </row>
    <row r="646">
      <c r="A646" s="26" t="s">
        <v>873</v>
      </c>
      <c r="B646" s="27">
        <v>0.01145</v>
      </c>
      <c r="C646" s="27">
        <v>0.196</v>
      </c>
    </row>
    <row r="647">
      <c r="A647" s="26" t="s">
        <v>875</v>
      </c>
      <c r="B647" s="27">
        <v>0.036</v>
      </c>
      <c r="C647" s="27">
        <v>0.348</v>
      </c>
    </row>
    <row r="648">
      <c r="A648" s="26" t="s">
        <v>876</v>
      </c>
      <c r="B648" s="27">
        <v>2.01</v>
      </c>
      <c r="C648" s="27">
        <v>1.097</v>
      </c>
    </row>
    <row r="649">
      <c r="A649" s="26" t="s">
        <v>877</v>
      </c>
      <c r="B649" s="27">
        <v>0.073</v>
      </c>
      <c r="C649" s="27">
        <v>0.785</v>
      </c>
    </row>
    <row r="650">
      <c r="A650" s="26" t="s">
        <v>878</v>
      </c>
      <c r="B650" s="27">
        <v>4.7</v>
      </c>
      <c r="C650" s="27">
        <v>0.473</v>
      </c>
    </row>
    <row r="651">
      <c r="A651" s="26" t="s">
        <v>879</v>
      </c>
      <c r="B651" s="27">
        <v>6.8</v>
      </c>
      <c r="C651" s="27">
        <v>0.348</v>
      </c>
    </row>
    <row r="652">
      <c r="A652" s="26" t="s">
        <v>881</v>
      </c>
      <c r="B652" s="27">
        <v>0.00702</v>
      </c>
      <c r="C652" s="27">
        <v>0.1008</v>
      </c>
    </row>
    <row r="653">
      <c r="A653" s="26" t="s">
        <v>882</v>
      </c>
      <c r="B653" s="27">
        <v>0.09</v>
      </c>
      <c r="C653" s="27">
        <v>0.205</v>
      </c>
    </row>
    <row r="654">
      <c r="A654" s="26" t="s">
        <v>883</v>
      </c>
      <c r="B654" s="27">
        <v>0.124</v>
      </c>
      <c r="C654" s="27">
        <v>0.482</v>
      </c>
    </row>
    <row r="655">
      <c r="A655" s="26" t="s">
        <v>884</v>
      </c>
      <c r="B655" s="27">
        <v>4.1</v>
      </c>
      <c r="C655" s="27">
        <v>0.196</v>
      </c>
    </row>
    <row r="656">
      <c r="A656" s="26" t="s">
        <v>885</v>
      </c>
      <c r="B656" s="27">
        <v>0.5</v>
      </c>
      <c r="C656" s="27">
        <v>0.178</v>
      </c>
    </row>
    <row r="657">
      <c r="A657" s="26" t="s">
        <v>886</v>
      </c>
      <c r="B657" s="27">
        <v>0.0963</v>
      </c>
      <c r="C657" s="27">
        <v>0.218</v>
      </c>
    </row>
    <row r="658">
      <c r="A658" s="26" t="s">
        <v>888</v>
      </c>
      <c r="B658" s="27">
        <v>0.027</v>
      </c>
      <c r="C658" s="27">
        <v>0.139</v>
      </c>
    </row>
    <row r="659">
      <c r="A659" s="26" t="s">
        <v>889</v>
      </c>
      <c r="B659" s="27">
        <v>0.22</v>
      </c>
      <c r="C659" s="27">
        <v>0.7637</v>
      </c>
    </row>
    <row r="660">
      <c r="A660" s="26" t="s">
        <v>890</v>
      </c>
      <c r="B660" s="27">
        <v>0.019</v>
      </c>
      <c r="C660" s="27">
        <v>0.277</v>
      </c>
    </row>
    <row r="661">
      <c r="A661" s="26" t="s">
        <v>891</v>
      </c>
      <c r="B661" s="27">
        <v>0.047</v>
      </c>
      <c r="C661" s="27">
        <v>0.25</v>
      </c>
    </row>
    <row r="662">
      <c r="A662" s="26" t="s">
        <v>892</v>
      </c>
      <c r="B662" s="27">
        <v>0.1268</v>
      </c>
      <c r="C662" s="27">
        <v>0.728</v>
      </c>
    </row>
    <row r="663">
      <c r="A663" s="26" t="s">
        <v>894</v>
      </c>
      <c r="B663" s="27">
        <v>0.01205</v>
      </c>
      <c r="C663" s="27">
        <v>0.134</v>
      </c>
    </row>
    <row r="664">
      <c r="A664" s="26" t="s">
        <v>895</v>
      </c>
      <c r="B664" s="27">
        <v>0.02243</v>
      </c>
      <c r="C664" s="27">
        <v>0.328</v>
      </c>
    </row>
    <row r="665">
      <c r="A665" s="26" t="s">
        <v>896</v>
      </c>
      <c r="B665" s="27">
        <v>0.01</v>
      </c>
      <c r="C665" s="27">
        <v>0.026</v>
      </c>
    </row>
    <row r="666">
      <c r="A666" s="26" t="s">
        <v>897</v>
      </c>
      <c r="B666" s="27">
        <v>0.03776</v>
      </c>
      <c r="C666" s="27">
        <v>0.067</v>
      </c>
    </row>
    <row r="667">
      <c r="A667" s="26" t="s">
        <v>898</v>
      </c>
      <c r="B667" s="27">
        <v>0.017</v>
      </c>
      <c r="C667" s="27">
        <v>0.173</v>
      </c>
    </row>
    <row r="668">
      <c r="A668" s="26" t="s">
        <v>899</v>
      </c>
      <c r="B668" s="27">
        <v>0.38</v>
      </c>
      <c r="C668" s="27">
        <v>0.39</v>
      </c>
    </row>
    <row r="669">
      <c r="A669" s="26" t="s">
        <v>901</v>
      </c>
      <c r="B669" s="27">
        <v>1.416</v>
      </c>
      <c r="C669" s="27">
        <v>0.316</v>
      </c>
    </row>
    <row r="670">
      <c r="A670" s="26" t="s">
        <v>902</v>
      </c>
      <c r="B670" s="27">
        <v>0.238</v>
      </c>
      <c r="C670" s="27">
        <v>0.312</v>
      </c>
    </row>
    <row r="671">
      <c r="A671" s="26" t="s">
        <v>903</v>
      </c>
      <c r="B671" s="27">
        <v>0.056</v>
      </c>
      <c r="C671" s="27">
        <v>0.473</v>
      </c>
    </row>
    <row r="672">
      <c r="A672" s="26" t="s">
        <v>904</v>
      </c>
      <c r="B672" s="27">
        <v>0.02</v>
      </c>
      <c r="C672" s="27">
        <v>0.128</v>
      </c>
    </row>
    <row r="673">
      <c r="A673" s="26" t="s">
        <v>905</v>
      </c>
      <c r="B673" s="27">
        <v>0.009</v>
      </c>
      <c r="C673" s="27">
        <v>0.076</v>
      </c>
    </row>
    <row r="674">
      <c r="A674" s="26" t="s">
        <v>906</v>
      </c>
      <c r="B674" s="27">
        <v>0.005251</v>
      </c>
      <c r="C674" s="27">
        <v>0.10358</v>
      </c>
    </row>
    <row r="675">
      <c r="A675" s="26" t="s">
        <v>907</v>
      </c>
      <c r="B675" s="27">
        <v>0.01573</v>
      </c>
      <c r="C675" s="27">
        <v>0.073</v>
      </c>
    </row>
    <row r="676">
      <c r="A676" s="26" t="s">
        <v>908</v>
      </c>
      <c r="B676" s="27">
        <v>0.06922</v>
      </c>
      <c r="C676" s="27">
        <v>0.106</v>
      </c>
    </row>
    <row r="677">
      <c r="A677" s="26" t="s">
        <v>909</v>
      </c>
      <c r="B677" s="27">
        <v>2.2</v>
      </c>
      <c r="C677" s="27">
        <v>1.17</v>
      </c>
    </row>
    <row r="678">
      <c r="A678" s="26" t="s">
        <v>910</v>
      </c>
      <c r="B678" s="27">
        <v>0.0805</v>
      </c>
      <c r="C678" s="27">
        <v>0.16647</v>
      </c>
    </row>
    <row r="679">
      <c r="A679" s="26" t="s">
        <v>911</v>
      </c>
      <c r="B679" s="27">
        <v>0.0831</v>
      </c>
      <c r="C679" s="27">
        <v>0.28888</v>
      </c>
    </row>
    <row r="680">
      <c r="A680" s="26" t="s">
        <v>913</v>
      </c>
      <c r="B680" s="27">
        <v>0.04782</v>
      </c>
      <c r="C680" s="27">
        <v>0.30119</v>
      </c>
    </row>
    <row r="681">
      <c r="A681" s="26" t="s">
        <v>914</v>
      </c>
      <c r="B681" s="27">
        <v>0.941</v>
      </c>
      <c r="C681" s="27">
        <v>1.341</v>
      </c>
    </row>
    <row r="682">
      <c r="A682" s="26" t="s">
        <v>915</v>
      </c>
      <c r="B682" s="27">
        <v>0.211</v>
      </c>
      <c r="C682" s="27">
        <v>0.3881</v>
      </c>
    </row>
    <row r="683">
      <c r="A683" s="26" t="s">
        <v>916</v>
      </c>
      <c r="B683" s="27">
        <v>0.011</v>
      </c>
      <c r="C683" s="27">
        <v>0.153</v>
      </c>
    </row>
    <row r="684">
      <c r="A684" s="26" t="s">
        <v>917</v>
      </c>
      <c r="B684" s="27">
        <v>0.094</v>
      </c>
      <c r="C684" s="27">
        <v>0.269</v>
      </c>
    </row>
    <row r="685">
      <c r="A685" s="26" t="s">
        <v>918</v>
      </c>
      <c r="B685" s="27">
        <v>0.377</v>
      </c>
      <c r="C685" s="27">
        <v>0.108</v>
      </c>
    </row>
    <row r="686">
      <c r="A686" s="26" t="s">
        <v>920</v>
      </c>
      <c r="B686" s="27">
        <v>0.183</v>
      </c>
      <c r="C686" s="27">
        <v>0.221</v>
      </c>
    </row>
    <row r="687">
      <c r="A687" s="26" t="s">
        <v>921</v>
      </c>
      <c r="B687" s="27">
        <v>0.035</v>
      </c>
      <c r="C687" s="27">
        <v>0.206</v>
      </c>
    </row>
    <row r="688">
      <c r="A688" s="26" t="s">
        <v>922</v>
      </c>
      <c r="B688" s="27">
        <v>1.1</v>
      </c>
      <c r="C688" s="27">
        <v>1.2</v>
      </c>
    </row>
    <row r="689">
      <c r="A689" s="26" t="s">
        <v>923</v>
      </c>
      <c r="B689" s="27">
        <v>2.5</v>
      </c>
      <c r="C689" s="27">
        <v>0.96</v>
      </c>
    </row>
    <row r="690">
      <c r="A690" s="26" t="s">
        <v>924</v>
      </c>
      <c r="B690" s="27">
        <v>0.56</v>
      </c>
      <c r="C690" s="27">
        <v>1.29</v>
      </c>
    </row>
    <row r="691">
      <c r="A691" s="26" t="s">
        <v>926</v>
      </c>
      <c r="B691" s="27">
        <v>1.45</v>
      </c>
      <c r="C691" s="27">
        <v>0.94</v>
      </c>
    </row>
    <row r="692">
      <c r="A692" s="26" t="s">
        <v>927</v>
      </c>
      <c r="B692" s="27">
        <v>0.43</v>
      </c>
      <c r="C692" s="27">
        <v>1.15</v>
      </c>
    </row>
    <row r="693">
      <c r="A693" s="26" t="s">
        <v>928</v>
      </c>
      <c r="B693" s="27">
        <v>0.595</v>
      </c>
      <c r="C693" s="27">
        <v>1.192</v>
      </c>
    </row>
    <row r="694">
      <c r="A694" s="26" t="s">
        <v>929</v>
      </c>
      <c r="B694" s="27">
        <v>1.03</v>
      </c>
      <c r="C694" s="27">
        <v>0.89</v>
      </c>
    </row>
    <row r="695">
      <c r="A695" s="26" t="s">
        <v>930</v>
      </c>
      <c r="B695" s="27">
        <v>0.25</v>
      </c>
      <c r="C695" s="27">
        <v>0.978</v>
      </c>
    </row>
    <row r="696">
      <c r="A696" s="26" t="s">
        <v>932</v>
      </c>
      <c r="B696" s="27">
        <v>0.34</v>
      </c>
      <c r="C696" s="27">
        <v>1.09</v>
      </c>
    </row>
    <row r="697">
      <c r="A697" s="26" t="s">
        <v>933</v>
      </c>
      <c r="B697" s="27">
        <v>0.29</v>
      </c>
      <c r="C697" s="27">
        <v>1.23</v>
      </c>
    </row>
    <row r="698">
      <c r="A698" s="26" t="s">
        <v>934</v>
      </c>
      <c r="B698" s="27">
        <v>1.27</v>
      </c>
      <c r="C698" s="27">
        <v>1.08</v>
      </c>
    </row>
    <row r="699">
      <c r="A699" s="26" t="s">
        <v>935</v>
      </c>
      <c r="B699" s="27">
        <v>0.009</v>
      </c>
      <c r="C699" s="27">
        <v>0.07</v>
      </c>
    </row>
    <row r="700">
      <c r="A700" s="26" t="s">
        <v>936</v>
      </c>
      <c r="B700" s="27">
        <v>0.006</v>
      </c>
      <c r="C700" s="27">
        <v>0.065</v>
      </c>
    </row>
    <row r="701">
      <c r="A701" s="26" t="s">
        <v>938</v>
      </c>
      <c r="B701" s="27">
        <v>0.003</v>
      </c>
      <c r="C701" s="27">
        <v>0.051</v>
      </c>
    </row>
    <row r="702">
      <c r="A702" s="26" t="s">
        <v>939</v>
      </c>
      <c r="B702" s="27">
        <v>5.41</v>
      </c>
      <c r="C702" s="27">
        <v>1.145</v>
      </c>
    </row>
    <row r="703">
      <c r="A703" s="26" t="s">
        <v>940</v>
      </c>
      <c r="B703" s="27">
        <v>2.82</v>
      </c>
      <c r="C703" s="27">
        <v>1.45</v>
      </c>
    </row>
    <row r="704">
      <c r="A704" s="26" t="s">
        <v>941</v>
      </c>
      <c r="B704" s="27">
        <v>2.86</v>
      </c>
      <c r="C704" s="27">
        <v>1.13</v>
      </c>
    </row>
    <row r="705">
      <c r="A705" s="26" t="s">
        <v>942</v>
      </c>
      <c r="B705" s="27">
        <v>0.84</v>
      </c>
      <c r="C705" s="27">
        <v>1.99</v>
      </c>
    </row>
    <row r="706">
      <c r="A706" s="26" t="s">
        <v>943</v>
      </c>
      <c r="B706" s="27">
        <v>3.23</v>
      </c>
      <c r="C706" s="27">
        <v>1.219</v>
      </c>
    </row>
    <row r="707">
      <c r="A707" s="26" t="s">
        <v>945</v>
      </c>
      <c r="B707" s="27">
        <v>0.02</v>
      </c>
      <c r="C707" s="27">
        <v>0.14</v>
      </c>
    </row>
    <row r="708">
      <c r="A708" s="26" t="s">
        <v>946</v>
      </c>
      <c r="B708" s="27">
        <v>0.027</v>
      </c>
      <c r="C708" s="27">
        <v>0.22</v>
      </c>
    </row>
    <row r="709">
      <c r="A709" s="26" t="s">
        <v>947</v>
      </c>
      <c r="B709" s="27">
        <v>0.011</v>
      </c>
      <c r="C709" s="27">
        <v>0.11</v>
      </c>
    </row>
    <row r="710">
      <c r="A710" s="26" t="s">
        <v>948</v>
      </c>
      <c r="B710" s="27">
        <v>0.014</v>
      </c>
      <c r="C710" s="27">
        <v>0.13</v>
      </c>
    </row>
    <row r="711">
      <c r="A711" s="26" t="s">
        <v>949</v>
      </c>
      <c r="B711" s="27">
        <v>0.009</v>
      </c>
      <c r="C711" s="27">
        <v>0.1</v>
      </c>
    </row>
    <row r="712">
      <c r="A712" s="26" t="s">
        <v>951</v>
      </c>
      <c r="B712" s="27">
        <v>0.01</v>
      </c>
      <c r="C712" s="27">
        <v>0.12</v>
      </c>
    </row>
    <row r="713">
      <c r="A713" s="26" t="s">
        <v>952</v>
      </c>
      <c r="B713" s="27">
        <v>1.37</v>
      </c>
      <c r="C713" s="27">
        <v>1.65</v>
      </c>
    </row>
    <row r="714">
      <c r="A714" s="26" t="s">
        <v>953</v>
      </c>
      <c r="B714" s="27">
        <v>1.1</v>
      </c>
      <c r="C714" s="27">
        <v>1.23</v>
      </c>
    </row>
    <row r="715">
      <c r="A715" s="26" t="s">
        <v>954</v>
      </c>
      <c r="B715" s="27">
        <v>1.0</v>
      </c>
      <c r="C715" s="27">
        <v>1.09</v>
      </c>
    </row>
    <row r="716">
      <c r="A716" s="26" t="s">
        <v>955</v>
      </c>
      <c r="B716" s="27">
        <v>0.03</v>
      </c>
      <c r="C716" s="27">
        <v>0.55</v>
      </c>
    </row>
    <row r="717">
      <c r="A717" s="26" t="s">
        <v>957</v>
      </c>
      <c r="B717" s="27">
        <v>0.017</v>
      </c>
      <c r="C717" s="27">
        <v>0.2114</v>
      </c>
    </row>
    <row r="718">
      <c r="A718" s="26" t="s">
        <v>958</v>
      </c>
      <c r="B718" s="27">
        <v>0.505</v>
      </c>
      <c r="C718" s="27">
        <v>0.96</v>
      </c>
    </row>
    <row r="719">
      <c r="A719" s="26" t="s">
        <v>959</v>
      </c>
      <c r="B719" s="27">
        <v>0.16959</v>
      </c>
      <c r="C719" s="27">
        <v>0.268</v>
      </c>
    </row>
    <row r="720">
      <c r="A720" s="26" t="s">
        <v>960</v>
      </c>
      <c r="B720" s="27">
        <v>0.01888</v>
      </c>
      <c r="C720" s="27">
        <v>0.357</v>
      </c>
    </row>
    <row r="721">
      <c r="A721" s="26" t="s">
        <v>961</v>
      </c>
      <c r="B721" s="27">
        <v>6.0</v>
      </c>
      <c r="C721" s="27">
        <v>0.808</v>
      </c>
    </row>
    <row r="722">
      <c r="A722" s="26" t="s">
        <v>962</v>
      </c>
      <c r="B722" s="27">
        <v>0.05984</v>
      </c>
      <c r="C722" s="27">
        <v>0.6281</v>
      </c>
    </row>
    <row r="723">
      <c r="A723" s="26" t="s">
        <v>964</v>
      </c>
      <c r="B723" s="27">
        <v>0.0124</v>
      </c>
      <c r="C723" s="27">
        <v>0.168</v>
      </c>
    </row>
    <row r="724">
      <c r="A724" s="26" t="s">
        <v>965</v>
      </c>
      <c r="B724" s="27">
        <v>0.04597</v>
      </c>
      <c r="C724" s="27">
        <v>0.242</v>
      </c>
    </row>
    <row r="725">
      <c r="A725" s="26" t="s">
        <v>967</v>
      </c>
      <c r="B725" s="27">
        <v>0.025</v>
      </c>
      <c r="C725" s="27">
        <v>0.182</v>
      </c>
    </row>
    <row r="726">
      <c r="A726" s="26" t="s">
        <v>968</v>
      </c>
      <c r="B726" s="27">
        <v>0.98</v>
      </c>
      <c r="C726" s="27">
        <v>0.243</v>
      </c>
    </row>
    <row r="727">
      <c r="A727" s="26" t="s">
        <v>969</v>
      </c>
      <c r="B727" s="27">
        <v>0.72</v>
      </c>
      <c r="C727" s="27">
        <v>0.227</v>
      </c>
    </row>
    <row r="728">
      <c r="A728" s="26" t="s">
        <v>970</v>
      </c>
      <c r="B728" s="27">
        <v>0.077</v>
      </c>
      <c r="C728" s="27">
        <v>0.357</v>
      </c>
    </row>
    <row r="729">
      <c r="A729" s="26" t="s">
        <v>971</v>
      </c>
      <c r="B729" s="27">
        <v>0.1</v>
      </c>
      <c r="C729" s="27">
        <v>0.153</v>
      </c>
    </row>
    <row r="730">
      <c r="A730" s="26" t="s">
        <v>972</v>
      </c>
      <c r="B730" s="27">
        <v>0.11</v>
      </c>
      <c r="C730" s="27">
        <v>0.194</v>
      </c>
    </row>
    <row r="731">
      <c r="A731" s="26" t="s">
        <v>973</v>
      </c>
      <c r="B731" s="27">
        <v>0.007</v>
      </c>
      <c r="C731" s="27">
        <v>0.633</v>
      </c>
    </row>
    <row r="732">
      <c r="A732" s="26" t="s">
        <v>974</v>
      </c>
      <c r="B732" s="27">
        <v>0.013</v>
      </c>
      <c r="C732" s="27">
        <v>0.803</v>
      </c>
    </row>
    <row r="733">
      <c r="A733" s="26" t="s">
        <v>975</v>
      </c>
      <c r="B733" s="27">
        <v>0.024</v>
      </c>
      <c r="C733" s="27">
        <v>0.865</v>
      </c>
    </row>
    <row r="734">
      <c r="A734" s="26" t="s">
        <v>976</v>
      </c>
      <c r="B734" s="27">
        <v>0.25</v>
      </c>
      <c r="C734" s="27">
        <v>0.187</v>
      </c>
    </row>
    <row r="735">
      <c r="A735" s="26" t="s">
        <v>978</v>
      </c>
      <c r="B735" s="27">
        <v>0.198</v>
      </c>
      <c r="C735" s="27">
        <v>0.164</v>
      </c>
    </row>
    <row r="736">
      <c r="A736" s="26" t="s">
        <v>979</v>
      </c>
      <c r="B736" s="27">
        <v>0.03335</v>
      </c>
      <c r="C736" s="27">
        <v>0.198</v>
      </c>
    </row>
    <row r="737">
      <c r="A737" s="26" t="s">
        <v>980</v>
      </c>
      <c r="B737" s="27">
        <v>0.97</v>
      </c>
      <c r="C737" s="27">
        <v>0.747</v>
      </c>
    </row>
    <row r="738">
      <c r="A738" s="26" t="s">
        <v>981</v>
      </c>
      <c r="B738" s="27">
        <v>0.11</v>
      </c>
      <c r="C738" s="27">
        <v>0.283</v>
      </c>
    </row>
    <row r="739">
      <c r="A739" s="26" t="s">
        <v>982</v>
      </c>
      <c r="B739" s="27">
        <v>0.92</v>
      </c>
      <c r="C739" s="27">
        <v>0.187</v>
      </c>
    </row>
    <row r="740">
      <c r="A740" s="26" t="s">
        <v>984</v>
      </c>
      <c r="B740" s="27">
        <v>0.37</v>
      </c>
      <c r="C740" s="27">
        <v>0.11</v>
      </c>
    </row>
    <row r="741">
      <c r="A741" s="26" t="s">
        <v>985</v>
      </c>
      <c r="B741" s="27">
        <v>0.1353</v>
      </c>
      <c r="C741" s="27">
        <v>0.17</v>
      </c>
    </row>
    <row r="742">
      <c r="A742" s="26" t="s">
        <v>986</v>
      </c>
      <c r="B742" s="27">
        <v>0.2196</v>
      </c>
      <c r="C742" s="27">
        <v>0.165</v>
      </c>
    </row>
    <row r="743">
      <c r="A743" s="26" t="s">
        <v>987</v>
      </c>
      <c r="B743" s="27">
        <v>0.07</v>
      </c>
      <c r="C743" s="27">
        <v>0.581</v>
      </c>
    </row>
    <row r="744">
      <c r="A744" s="26" t="s">
        <v>988</v>
      </c>
      <c r="B744" s="27">
        <v>0.57</v>
      </c>
      <c r="C744" s="27">
        <v>0.874</v>
      </c>
    </row>
    <row r="745">
      <c r="A745" s="26" t="s">
        <v>989</v>
      </c>
      <c r="B745" s="27">
        <v>0.372</v>
      </c>
      <c r="C745" s="27">
        <v>0.21</v>
      </c>
    </row>
    <row r="746">
      <c r="A746" s="26" t="s">
        <v>991</v>
      </c>
      <c r="B746" s="27">
        <v>0.0233</v>
      </c>
      <c r="C746" s="27">
        <v>0.15</v>
      </c>
    </row>
    <row r="747">
      <c r="A747" s="26" t="s">
        <v>992</v>
      </c>
      <c r="B747" s="27">
        <v>1.39</v>
      </c>
      <c r="C747" s="27">
        <v>0.248</v>
      </c>
    </row>
    <row r="748">
      <c r="A748" s="26" t="s">
        <v>993</v>
      </c>
      <c r="B748" s="27">
        <v>2.19</v>
      </c>
      <c r="C748" s="27">
        <v>0.255</v>
      </c>
    </row>
    <row r="749">
      <c r="A749" s="26" t="s">
        <v>994</v>
      </c>
      <c r="B749" s="27">
        <v>0.05475</v>
      </c>
      <c r="C749" s="27">
        <v>0.331</v>
      </c>
    </row>
    <row r="750">
      <c r="A750" s="26" t="s">
        <v>995</v>
      </c>
      <c r="B750" s="27">
        <v>0.01038</v>
      </c>
      <c r="C750" s="27">
        <v>0.09</v>
      </c>
    </row>
    <row r="751">
      <c r="A751" s="26" t="s">
        <v>996</v>
      </c>
      <c r="B751" s="27">
        <v>2.05</v>
      </c>
      <c r="C751" s="27">
        <v>0.098</v>
      </c>
    </row>
    <row r="752">
      <c r="A752" s="26" t="s">
        <v>998</v>
      </c>
      <c r="B752" s="27">
        <v>1.37</v>
      </c>
      <c r="C752" s="27">
        <v>0.177</v>
      </c>
    </row>
    <row r="753">
      <c r="A753" s="26" t="s">
        <v>999</v>
      </c>
      <c r="B753" s="27">
        <v>2.111</v>
      </c>
      <c r="C753" s="27">
        <v>1.426</v>
      </c>
    </row>
    <row r="754">
      <c r="A754" s="26" t="s">
        <v>1000</v>
      </c>
      <c r="B754" s="27">
        <v>0.01318</v>
      </c>
      <c r="C754" s="27">
        <v>0.153</v>
      </c>
    </row>
    <row r="755">
      <c r="A755" s="26" t="s">
        <v>1001</v>
      </c>
      <c r="B755" s="27">
        <v>0.01211</v>
      </c>
      <c r="C755" s="27">
        <v>0.17</v>
      </c>
    </row>
    <row r="756">
      <c r="A756" s="26" t="s">
        <v>1002</v>
      </c>
      <c r="B756" s="27">
        <v>0.01309</v>
      </c>
      <c r="C756" s="27">
        <v>0.178</v>
      </c>
    </row>
    <row r="757">
      <c r="A757" s="26" t="s">
        <v>1003</v>
      </c>
      <c r="B757" s="27">
        <v>0.03</v>
      </c>
      <c r="C757" s="27">
        <v>0.117</v>
      </c>
    </row>
    <row r="758">
      <c r="A758" s="26" t="s">
        <v>1005</v>
      </c>
      <c r="B758" s="27">
        <v>0.013</v>
      </c>
      <c r="C758" s="27">
        <v>0.048</v>
      </c>
    </row>
    <row r="759">
      <c r="A759" s="26" t="s">
        <v>1006</v>
      </c>
      <c r="B759" s="27">
        <v>0.044</v>
      </c>
      <c r="C759" s="27">
        <v>0.174</v>
      </c>
    </row>
    <row r="760">
      <c r="A760" s="26" t="s">
        <v>1007</v>
      </c>
      <c r="B760" s="27">
        <v>0.113</v>
      </c>
      <c r="C760" s="27">
        <v>0.144</v>
      </c>
    </row>
    <row r="761">
      <c r="A761" s="26" t="s">
        <v>1008</v>
      </c>
      <c r="B761" s="27">
        <v>0.11</v>
      </c>
      <c r="C761" s="27">
        <v>0.126</v>
      </c>
    </row>
    <row r="762">
      <c r="A762" s="26" t="s">
        <v>1009</v>
      </c>
      <c r="B762" s="27">
        <v>0.378</v>
      </c>
      <c r="C762" s="27">
        <v>0.545</v>
      </c>
    </row>
    <row r="763">
      <c r="A763" s="26" t="s">
        <v>1011</v>
      </c>
      <c r="B763" s="27">
        <v>0.53</v>
      </c>
      <c r="C763" s="27">
        <v>0.553</v>
      </c>
    </row>
    <row r="764">
      <c r="A764" s="26" t="s">
        <v>1012</v>
      </c>
      <c r="B764" s="27">
        <v>0.034</v>
      </c>
      <c r="C764" s="27">
        <v>0.136</v>
      </c>
    </row>
    <row r="765">
      <c r="A765" s="26" t="s">
        <v>1013</v>
      </c>
      <c r="B765" s="27">
        <v>0.047</v>
      </c>
      <c r="C765" s="27">
        <v>0.25</v>
      </c>
    </row>
    <row r="766">
      <c r="A766" s="26" t="s">
        <v>1014</v>
      </c>
      <c r="B766" s="27">
        <v>0.047</v>
      </c>
      <c r="C766" s="27">
        <v>0.262</v>
      </c>
    </row>
    <row r="767">
      <c r="A767" s="26" t="s">
        <v>1015</v>
      </c>
      <c r="B767" s="27">
        <v>0.02407</v>
      </c>
      <c r="C767" s="27">
        <v>0.206</v>
      </c>
    </row>
    <row r="768">
      <c r="A768" s="26" t="s">
        <v>1016</v>
      </c>
      <c r="B768" s="27">
        <v>0.00642</v>
      </c>
      <c r="C768" s="27">
        <v>0.0827</v>
      </c>
    </row>
    <row r="769">
      <c r="A769" s="26" t="s">
        <v>1017</v>
      </c>
      <c r="B769" s="27">
        <v>0.668</v>
      </c>
      <c r="C769" s="27">
        <v>1.304</v>
      </c>
    </row>
    <row r="770">
      <c r="A770" s="26" t="s">
        <v>1018</v>
      </c>
      <c r="B770" s="27">
        <v>0.0014</v>
      </c>
      <c r="C770" s="27">
        <v>0.068</v>
      </c>
    </row>
    <row r="771">
      <c r="A771" s="26" t="s">
        <v>1019</v>
      </c>
      <c r="B771" s="27">
        <v>0.0021</v>
      </c>
      <c r="C771" s="27">
        <v>0.077</v>
      </c>
    </row>
    <row r="772">
      <c r="A772" s="26" t="s">
        <v>1020</v>
      </c>
      <c r="B772" s="27">
        <v>0.63</v>
      </c>
      <c r="C772" s="27">
        <v>0.96</v>
      </c>
    </row>
    <row r="773">
      <c r="A773" s="26" t="s">
        <v>1021</v>
      </c>
      <c r="B773" s="27">
        <v>10.1</v>
      </c>
      <c r="C773" s="27">
        <v>1.05</v>
      </c>
    </row>
    <row r="774">
      <c r="A774" s="26" t="s">
        <v>1022</v>
      </c>
      <c r="B774" s="27">
        <v>2.01</v>
      </c>
      <c r="C774" s="27">
        <v>1.36</v>
      </c>
    </row>
    <row r="775">
      <c r="A775" s="26" t="s">
        <v>1023</v>
      </c>
      <c r="B775" s="27">
        <v>0.43</v>
      </c>
      <c r="C775" s="27">
        <v>0.96</v>
      </c>
    </row>
    <row r="776">
      <c r="A776" s="26" t="s">
        <v>1024</v>
      </c>
      <c r="B776" s="27">
        <v>0.00619</v>
      </c>
      <c r="C776" s="27">
        <v>0.1</v>
      </c>
    </row>
    <row r="777">
      <c r="A777" s="26" t="s">
        <v>1025</v>
      </c>
      <c r="B777" s="27">
        <v>0.0343</v>
      </c>
      <c r="C777" s="27">
        <v>0.31</v>
      </c>
    </row>
    <row r="778">
      <c r="A778" s="26" t="s">
        <v>1026</v>
      </c>
      <c r="B778" s="27">
        <v>0.019</v>
      </c>
      <c r="C778" s="27">
        <v>0.332</v>
      </c>
    </row>
    <row r="779">
      <c r="A779" s="26" t="s">
        <v>1027</v>
      </c>
      <c r="B779" s="27">
        <v>0.019</v>
      </c>
      <c r="C779" s="27">
        <v>0.639</v>
      </c>
    </row>
    <row r="780">
      <c r="A780" s="26" t="s">
        <v>1028</v>
      </c>
      <c r="B780" s="27">
        <v>0.013</v>
      </c>
      <c r="C780" s="27">
        <v>0.311</v>
      </c>
    </row>
    <row r="781">
      <c r="A781" s="26" t="s">
        <v>1029</v>
      </c>
      <c r="B781" s="27">
        <v>0.441</v>
      </c>
      <c r="C781" s="27">
        <v>1.622</v>
      </c>
    </row>
    <row r="782">
      <c r="A782" s="26" t="s">
        <v>1030</v>
      </c>
      <c r="B782" s="27">
        <v>0.0218</v>
      </c>
      <c r="C782" s="27">
        <v>0.238</v>
      </c>
    </row>
    <row r="783">
      <c r="A783" s="26" t="s">
        <v>1031</v>
      </c>
      <c r="B783" s="27">
        <v>0.02121</v>
      </c>
      <c r="C783" s="27">
        <v>0.244</v>
      </c>
    </row>
    <row r="784">
      <c r="A784" s="26" t="s">
        <v>1032</v>
      </c>
      <c r="B784" s="27">
        <v>0.02124</v>
      </c>
      <c r="C784" s="27">
        <v>0.136</v>
      </c>
    </row>
    <row r="785">
      <c r="A785" s="26" t="s">
        <v>1033</v>
      </c>
      <c r="B785" s="27">
        <v>0.01299</v>
      </c>
      <c r="C785" s="27">
        <v>0.143</v>
      </c>
    </row>
    <row r="786">
      <c r="A786" s="26" t="s">
        <v>1034</v>
      </c>
      <c r="B786" s="27">
        <v>0.03823</v>
      </c>
      <c r="C786" s="27">
        <v>0.363</v>
      </c>
    </row>
    <row r="787">
      <c r="A787" s="26" t="s">
        <v>1035</v>
      </c>
      <c r="B787" s="27">
        <v>0.04373</v>
      </c>
      <c r="C787" s="27">
        <v>0.476</v>
      </c>
    </row>
    <row r="788">
      <c r="A788" s="26" t="s">
        <v>1037</v>
      </c>
      <c r="B788" s="27">
        <v>0.0636</v>
      </c>
      <c r="C788" s="27">
        <v>0.281</v>
      </c>
    </row>
    <row r="789">
      <c r="A789" s="26" t="s">
        <v>1038</v>
      </c>
      <c r="B789" s="27">
        <v>0.0465</v>
      </c>
      <c r="C789" s="27">
        <v>0.176</v>
      </c>
    </row>
    <row r="790">
      <c r="A790" s="26" t="s">
        <v>1039</v>
      </c>
      <c r="B790" s="27">
        <v>0.059</v>
      </c>
      <c r="C790" s="27">
        <v>0.194</v>
      </c>
    </row>
    <row r="791">
      <c r="A791" s="26" t="s">
        <v>1040</v>
      </c>
      <c r="B791" s="27">
        <v>0.34235</v>
      </c>
      <c r="C791" s="27">
        <v>0.8466</v>
      </c>
    </row>
    <row r="792">
      <c r="A792" s="26" t="s">
        <v>1041</v>
      </c>
      <c r="B792" s="27">
        <v>1.02</v>
      </c>
      <c r="C792" s="27">
        <v>1.204</v>
      </c>
    </row>
    <row r="793">
      <c r="A793" s="26" t="s">
        <v>1043</v>
      </c>
      <c r="B793" s="27">
        <v>0.02</v>
      </c>
      <c r="C793" s="27">
        <v>0.548</v>
      </c>
    </row>
    <row r="794">
      <c r="A794" s="26" t="s">
        <v>1044</v>
      </c>
      <c r="B794" s="27">
        <v>0.03</v>
      </c>
      <c r="C794" s="27">
        <v>0.307</v>
      </c>
    </row>
    <row r="795">
      <c r="A795" s="26" t="s">
        <v>1045</v>
      </c>
      <c r="B795" s="27">
        <v>0.018115</v>
      </c>
      <c r="C795" s="27">
        <v>0.14613</v>
      </c>
    </row>
    <row r="796">
      <c r="A796" s="26" t="s">
        <v>1046</v>
      </c>
      <c r="B796" s="27">
        <v>0.019528</v>
      </c>
      <c r="C796" s="27">
        <v>0.34473</v>
      </c>
    </row>
    <row r="797">
      <c r="A797" s="26" t="s">
        <v>1047</v>
      </c>
      <c r="B797" s="27">
        <v>0.2504561</v>
      </c>
      <c r="C797" s="27">
        <v>0.91989</v>
      </c>
    </row>
    <row r="798">
      <c r="A798" s="26" t="s">
        <v>1049</v>
      </c>
      <c r="B798" s="27">
        <v>0.0254662</v>
      </c>
      <c r="C798" s="27">
        <v>0.54564</v>
      </c>
    </row>
    <row r="799">
      <c r="A799" s="26" t="s">
        <v>1050</v>
      </c>
      <c r="B799" s="27">
        <v>0.59</v>
      </c>
      <c r="C799" s="27">
        <v>1.416</v>
      </c>
    </row>
    <row r="800">
      <c r="A800" s="26" t="s">
        <v>1051</v>
      </c>
      <c r="B800" s="27">
        <v>0.81</v>
      </c>
      <c r="C800" s="27">
        <v>1.367</v>
      </c>
    </row>
    <row r="801">
      <c r="A801" s="26" t="s">
        <v>1052</v>
      </c>
      <c r="B801" s="27">
        <v>0.202</v>
      </c>
      <c r="C801" s="27">
        <v>0.313</v>
      </c>
    </row>
    <row r="802">
      <c r="A802" s="26" t="s">
        <v>1053</v>
      </c>
      <c r="B802" s="27">
        <v>0.019</v>
      </c>
      <c r="C802" s="27">
        <v>0.232</v>
      </c>
    </row>
    <row r="803">
      <c r="A803" s="26" t="s">
        <v>1054</v>
      </c>
      <c r="B803" s="27">
        <v>0.0143</v>
      </c>
      <c r="C803" s="27">
        <v>0.14</v>
      </c>
    </row>
    <row r="804">
      <c r="A804" s="26" t="s">
        <v>1055</v>
      </c>
      <c r="B804" s="27">
        <v>0.034</v>
      </c>
      <c r="C804" s="27">
        <v>0.313</v>
      </c>
    </row>
    <row r="805">
      <c r="A805" s="26" t="s">
        <v>1056</v>
      </c>
      <c r="B805" s="27">
        <v>0.041</v>
      </c>
      <c r="C805" s="27">
        <v>0.305</v>
      </c>
    </row>
    <row r="806">
      <c r="A806" s="26" t="s">
        <v>1057</v>
      </c>
      <c r="B806" s="27">
        <v>0.027</v>
      </c>
      <c r="C806" s="27">
        <v>0.238</v>
      </c>
    </row>
    <row r="807">
      <c r="A807" s="26" t="s">
        <v>1058</v>
      </c>
      <c r="B807" s="27">
        <v>0.011</v>
      </c>
      <c r="C807" s="27">
        <v>0.132</v>
      </c>
    </row>
    <row r="808">
      <c r="A808" s="26" t="s">
        <v>1060</v>
      </c>
      <c r="B808" s="27">
        <v>0.011</v>
      </c>
      <c r="C808" s="27">
        <v>0.178</v>
      </c>
    </row>
    <row r="809">
      <c r="A809" s="26" t="s">
        <v>1061</v>
      </c>
      <c r="B809" s="27">
        <v>0.0119971</v>
      </c>
      <c r="C809" s="27">
        <v>0.16166</v>
      </c>
    </row>
    <row r="810">
      <c r="A810" s="26" t="s">
        <v>1062</v>
      </c>
      <c r="B810" s="27">
        <v>0.13655</v>
      </c>
      <c r="C810" s="27">
        <v>0.74</v>
      </c>
    </row>
    <row r="811">
      <c r="A811" s="26" t="s">
        <v>1063</v>
      </c>
      <c r="B811" s="27">
        <v>0.09408</v>
      </c>
      <c r="C811" s="27">
        <v>0.721</v>
      </c>
    </row>
    <row r="812">
      <c r="A812" s="26" t="s">
        <v>1064</v>
      </c>
      <c r="B812" s="27">
        <v>0.016518264</v>
      </c>
      <c r="C812" s="27">
        <v>0.146</v>
      </c>
    </row>
    <row r="813">
      <c r="A813" s="26" t="s">
        <v>1065</v>
      </c>
      <c r="B813" s="27">
        <v>0.00271</v>
      </c>
      <c r="C813" s="27">
        <v>0.0946</v>
      </c>
    </row>
    <row r="814">
      <c r="A814" s="26" t="s">
        <v>1067</v>
      </c>
      <c r="B814" s="27">
        <v>1.09</v>
      </c>
      <c r="C814" s="27">
        <v>1.03</v>
      </c>
    </row>
    <row r="815">
      <c r="A815" s="26" t="s">
        <v>1068</v>
      </c>
      <c r="B815" s="27">
        <v>0.01265</v>
      </c>
      <c r="C815" s="27">
        <v>0.1392</v>
      </c>
    </row>
    <row r="816">
      <c r="A816" s="26" t="s">
        <v>1069</v>
      </c>
      <c r="B816" s="27">
        <v>0.0013</v>
      </c>
      <c r="C816" s="27">
        <v>0.0758</v>
      </c>
    </row>
    <row r="817">
      <c r="A817" s="26" t="s">
        <v>1070</v>
      </c>
      <c r="B817" s="27">
        <v>0.00698</v>
      </c>
      <c r="C817" s="27">
        <v>0.12356</v>
      </c>
    </row>
    <row r="818">
      <c r="A818" s="26" t="s">
        <v>1071</v>
      </c>
      <c r="B818" s="27">
        <v>0.0061</v>
      </c>
      <c r="C818" s="27">
        <v>0.1357</v>
      </c>
    </row>
    <row r="819">
      <c r="A819" s="26" t="s">
        <v>1072</v>
      </c>
      <c r="B819" s="27">
        <v>0.02196</v>
      </c>
      <c r="C819" s="27">
        <v>0.15407</v>
      </c>
    </row>
    <row r="820">
      <c r="A820" s="26" t="s">
        <v>1073</v>
      </c>
      <c r="B820" s="27">
        <v>0.00569</v>
      </c>
      <c r="C820" s="27">
        <v>0.11437</v>
      </c>
    </row>
    <row r="821">
      <c r="A821" s="26" t="s">
        <v>1075</v>
      </c>
      <c r="B821" s="27">
        <v>0.00733</v>
      </c>
      <c r="C821" s="27">
        <v>0.1106</v>
      </c>
    </row>
    <row r="822">
      <c r="A822" s="26" t="s">
        <v>1076</v>
      </c>
      <c r="B822" s="27">
        <v>1.9E-4</v>
      </c>
      <c r="C822" s="27">
        <v>0.06111</v>
      </c>
    </row>
    <row r="823">
      <c r="A823" s="26" t="s">
        <v>1077</v>
      </c>
      <c r="B823" s="27">
        <v>0.00123</v>
      </c>
      <c r="C823" s="27">
        <v>0.08395</v>
      </c>
    </row>
    <row r="824">
      <c r="A824" s="26" t="s">
        <v>1078</v>
      </c>
      <c r="B824" s="27">
        <v>0.00289</v>
      </c>
      <c r="C824" s="27">
        <v>0.08752</v>
      </c>
    </row>
    <row r="825">
      <c r="A825" s="26" t="s">
        <v>1079</v>
      </c>
      <c r="B825" s="27">
        <v>0.0132</v>
      </c>
      <c r="C825" s="27">
        <v>0.09707</v>
      </c>
    </row>
    <row r="826">
      <c r="A826" s="26" t="s">
        <v>1080</v>
      </c>
      <c r="B826" s="27">
        <v>0.00308</v>
      </c>
      <c r="C826" s="27">
        <v>0.0883</v>
      </c>
    </row>
    <row r="827">
      <c r="A827" s="26" t="s">
        <v>1081</v>
      </c>
      <c r="B827" s="27">
        <v>0.0969</v>
      </c>
      <c r="C827" s="27">
        <v>0.419</v>
      </c>
    </row>
    <row r="828">
      <c r="A828" s="26" t="s">
        <v>1082</v>
      </c>
      <c r="B828" s="27">
        <v>0.0223</v>
      </c>
      <c r="C828" s="27">
        <v>0.2061</v>
      </c>
    </row>
    <row r="829">
      <c r="A829" s="26" t="s">
        <v>1083</v>
      </c>
      <c r="B829" s="27">
        <v>0.0028</v>
      </c>
      <c r="C829" s="27">
        <v>0.0919</v>
      </c>
    </row>
    <row r="830">
      <c r="A830" s="26" t="s">
        <v>1084</v>
      </c>
      <c r="B830" s="27">
        <v>0.0415</v>
      </c>
      <c r="C830" s="27">
        <v>0.1178</v>
      </c>
    </row>
    <row r="831">
      <c r="A831" s="26" t="s">
        <v>1085</v>
      </c>
      <c r="B831" s="27">
        <v>0.0796</v>
      </c>
      <c r="C831" s="27">
        <v>0.12196</v>
      </c>
    </row>
    <row r="832">
      <c r="A832" s="26" t="s">
        <v>1086</v>
      </c>
      <c r="B832" s="27">
        <v>0.009</v>
      </c>
      <c r="C832" s="27">
        <v>0.116</v>
      </c>
    </row>
    <row r="833">
      <c r="A833" s="26" t="s">
        <v>1087</v>
      </c>
      <c r="B833" s="27">
        <v>0.00485</v>
      </c>
      <c r="C833" s="27">
        <v>0.10233</v>
      </c>
    </row>
    <row r="834">
      <c r="A834" s="26" t="s">
        <v>1088</v>
      </c>
      <c r="B834" s="27">
        <v>0.09225</v>
      </c>
      <c r="C834" s="27">
        <v>0.4211</v>
      </c>
    </row>
    <row r="835">
      <c r="A835" s="26" t="s">
        <v>1089</v>
      </c>
      <c r="B835" s="27">
        <v>0.81</v>
      </c>
      <c r="C835" s="27">
        <v>0.89</v>
      </c>
    </row>
    <row r="836">
      <c r="A836" s="26" t="s">
        <v>1090</v>
      </c>
      <c r="B836" s="27">
        <v>3.7</v>
      </c>
      <c r="C836" s="27">
        <v>1.5</v>
      </c>
    </row>
    <row r="837">
      <c r="A837" s="26" t="s">
        <v>1091</v>
      </c>
      <c r="B837" s="27">
        <v>5.18</v>
      </c>
      <c r="C837" s="27">
        <v>1.272</v>
      </c>
    </row>
    <row r="838">
      <c r="A838" s="26" t="s">
        <v>1093</v>
      </c>
      <c r="B838" s="27">
        <v>1.675</v>
      </c>
      <c r="C838" s="27">
        <v>1.53</v>
      </c>
    </row>
    <row r="839">
      <c r="A839" s="26" t="s">
        <v>1094</v>
      </c>
      <c r="B839" s="27">
        <v>2.162</v>
      </c>
      <c r="C839" s="27">
        <v>1.205</v>
      </c>
    </row>
    <row r="840">
      <c r="A840" s="26" t="s">
        <v>1095</v>
      </c>
      <c r="B840" s="27">
        <v>0.37</v>
      </c>
      <c r="C840" s="27">
        <v>0.823</v>
      </c>
    </row>
    <row r="841">
      <c r="A841" s="26" t="s">
        <v>1096</v>
      </c>
      <c r="B841" s="27">
        <v>0.208</v>
      </c>
      <c r="C841" s="27">
        <v>1.048</v>
      </c>
    </row>
    <row r="842">
      <c r="A842" s="26" t="s">
        <v>1097</v>
      </c>
      <c r="B842" s="27">
        <v>4.84</v>
      </c>
      <c r="C842" s="27">
        <v>1.142</v>
      </c>
    </row>
    <row r="843">
      <c r="A843" s="26" t="s">
        <v>1098</v>
      </c>
      <c r="B843" s="27">
        <v>0.092</v>
      </c>
      <c r="C843" s="27">
        <v>0.44</v>
      </c>
    </row>
    <row r="844">
      <c r="A844" s="26" t="s">
        <v>1100</v>
      </c>
      <c r="B844" s="27">
        <v>0.751</v>
      </c>
      <c r="C844" s="27">
        <v>1.1</v>
      </c>
    </row>
    <row r="845">
      <c r="A845" s="26" t="s">
        <v>1101</v>
      </c>
      <c r="B845" s="27">
        <v>0.667</v>
      </c>
      <c r="C845" s="27">
        <v>1.3</v>
      </c>
    </row>
    <row r="846">
      <c r="A846" s="26" t="s">
        <v>1102</v>
      </c>
      <c r="B846" s="27">
        <v>0.764</v>
      </c>
      <c r="C846" s="27">
        <v>1.24</v>
      </c>
    </row>
    <row r="847">
      <c r="A847" s="26" t="s">
        <v>1103</v>
      </c>
      <c r="B847" s="27">
        <v>0.409</v>
      </c>
      <c r="C847" s="27">
        <v>1.21</v>
      </c>
    </row>
    <row r="848">
      <c r="A848" s="26" t="s">
        <v>1104</v>
      </c>
      <c r="B848" s="27">
        <v>0.812</v>
      </c>
      <c r="C848" s="27">
        <v>1.33</v>
      </c>
    </row>
    <row r="849">
      <c r="A849" s="26" t="s">
        <v>1106</v>
      </c>
      <c r="B849" s="27">
        <v>2.98</v>
      </c>
      <c r="C849" s="27">
        <v>1.07</v>
      </c>
    </row>
    <row r="850">
      <c r="A850" s="26" t="s">
        <v>1107</v>
      </c>
      <c r="B850" s="27">
        <v>2.36</v>
      </c>
      <c r="C850" s="27">
        <v>1.33</v>
      </c>
    </row>
    <row r="851">
      <c r="A851" s="26" t="s">
        <v>1108</v>
      </c>
      <c r="B851" s="27">
        <v>0.613</v>
      </c>
      <c r="C851" s="27">
        <v>1.267</v>
      </c>
    </row>
    <row r="852">
      <c r="A852" s="26" t="s">
        <v>1109</v>
      </c>
      <c r="B852" s="27">
        <v>0.52</v>
      </c>
      <c r="C852" s="27">
        <v>1.214</v>
      </c>
    </row>
    <row r="853">
      <c r="A853" s="26" t="s">
        <v>1110</v>
      </c>
      <c r="B853" s="27">
        <v>0.639</v>
      </c>
      <c r="C853" s="27">
        <v>1.023</v>
      </c>
    </row>
    <row r="854">
      <c r="A854" s="26" t="s">
        <v>1111</v>
      </c>
      <c r="B854" s="27">
        <v>0.29</v>
      </c>
      <c r="C854" s="27">
        <v>1.33</v>
      </c>
    </row>
    <row r="855">
      <c r="A855" s="26" t="s">
        <v>1112</v>
      </c>
      <c r="B855" s="27">
        <v>0.593</v>
      </c>
      <c r="C855" s="27">
        <v>1.396</v>
      </c>
    </row>
    <row r="856">
      <c r="A856" s="26" t="s">
        <v>1113</v>
      </c>
      <c r="B856" s="27">
        <v>0.39</v>
      </c>
      <c r="C856" s="27">
        <v>0.857</v>
      </c>
    </row>
    <row r="857">
      <c r="A857" s="26" t="s">
        <v>1114</v>
      </c>
      <c r="B857" s="27">
        <v>0.67</v>
      </c>
      <c r="C857" s="27">
        <v>1.536</v>
      </c>
    </row>
    <row r="858">
      <c r="A858" s="26" t="s">
        <v>1115</v>
      </c>
      <c r="B858" s="27">
        <v>0.96</v>
      </c>
      <c r="C858" s="27">
        <v>0.93</v>
      </c>
    </row>
    <row r="859">
      <c r="A859" s="26" t="s">
        <v>1116</v>
      </c>
      <c r="B859" s="27">
        <v>1.12</v>
      </c>
      <c r="C859" s="27">
        <v>1.61</v>
      </c>
    </row>
    <row r="860">
      <c r="A860" s="26" t="s">
        <v>1117</v>
      </c>
      <c r="B860" s="27">
        <v>0.57</v>
      </c>
      <c r="C860" s="27">
        <v>1.42</v>
      </c>
    </row>
    <row r="861">
      <c r="A861" s="26" t="s">
        <v>1118</v>
      </c>
      <c r="B861" s="27">
        <v>3.63</v>
      </c>
      <c r="C861" s="27">
        <v>1.64</v>
      </c>
    </row>
    <row r="862">
      <c r="A862" s="26" t="s">
        <v>1120</v>
      </c>
      <c r="B862" s="27">
        <v>2.38</v>
      </c>
      <c r="C862" s="27">
        <v>1.48</v>
      </c>
    </row>
    <row r="863">
      <c r="A863" s="26" t="s">
        <v>1121</v>
      </c>
      <c r="B863" s="27">
        <v>0.0648</v>
      </c>
      <c r="C863" s="27">
        <v>0.2837</v>
      </c>
    </row>
    <row r="864">
      <c r="A864" s="26" t="s">
        <v>1122</v>
      </c>
      <c r="B864" s="27">
        <v>0.229</v>
      </c>
      <c r="C864" s="27">
        <v>1.136</v>
      </c>
    </row>
    <row r="865">
      <c r="A865" s="26" t="s">
        <v>1123</v>
      </c>
      <c r="B865" s="27">
        <v>1.33</v>
      </c>
      <c r="C865" s="27">
        <v>1.271</v>
      </c>
    </row>
    <row r="866">
      <c r="A866" s="26" t="s">
        <v>1125</v>
      </c>
      <c r="B866" s="27">
        <v>0.93</v>
      </c>
      <c r="C866" s="27">
        <v>1.09</v>
      </c>
    </row>
    <row r="867">
      <c r="A867" s="26" t="s">
        <v>1126</v>
      </c>
      <c r="B867" s="27">
        <v>2.9</v>
      </c>
      <c r="C867" s="27">
        <v>1.07</v>
      </c>
    </row>
    <row r="868">
      <c r="A868" s="26" t="s">
        <v>1127</v>
      </c>
      <c r="B868" s="27">
        <v>0.01472</v>
      </c>
      <c r="C868" s="27">
        <v>0.14658</v>
      </c>
    </row>
    <row r="869">
      <c r="A869" s="26" t="s">
        <v>1128</v>
      </c>
      <c r="B869" s="27">
        <v>0.0353</v>
      </c>
      <c r="C869" s="27">
        <v>0.25489</v>
      </c>
    </row>
    <row r="870">
      <c r="A870" s="26" t="s">
        <v>1129</v>
      </c>
      <c r="B870" s="27">
        <v>0.02725</v>
      </c>
      <c r="C870" s="27">
        <v>0.22366</v>
      </c>
    </row>
    <row r="871">
      <c r="A871" s="26" t="s">
        <v>1131</v>
      </c>
      <c r="B871" s="27">
        <v>4.34</v>
      </c>
      <c r="C871" s="27">
        <v>1.614</v>
      </c>
    </row>
    <row r="872">
      <c r="A872" s="26" t="s">
        <v>1132</v>
      </c>
      <c r="B872" s="27">
        <v>0.68</v>
      </c>
      <c r="C872" s="27">
        <v>1.72</v>
      </c>
    </row>
    <row r="873">
      <c r="A873" s="26" t="s">
        <v>1133</v>
      </c>
      <c r="B873" s="27">
        <v>0.54</v>
      </c>
      <c r="C873" s="27">
        <v>1.077</v>
      </c>
    </row>
    <row r="874">
      <c r="A874" s="26" t="s">
        <v>1134</v>
      </c>
      <c r="B874" s="27">
        <v>1.24</v>
      </c>
      <c r="C874" s="27">
        <v>1.11</v>
      </c>
    </row>
    <row r="875">
      <c r="A875" s="26" t="s">
        <v>1135</v>
      </c>
      <c r="B875" s="27">
        <v>1.17</v>
      </c>
      <c r="C875" s="27">
        <v>1.23</v>
      </c>
    </row>
    <row r="876">
      <c r="A876" s="26" t="s">
        <v>1136</v>
      </c>
      <c r="B876" s="27">
        <v>1.06</v>
      </c>
      <c r="C876" s="27">
        <v>1.47</v>
      </c>
    </row>
    <row r="877">
      <c r="A877" s="26" t="s">
        <v>1138</v>
      </c>
      <c r="B877" s="27">
        <v>0.75</v>
      </c>
      <c r="C877" s="27">
        <v>1.26</v>
      </c>
    </row>
    <row r="878">
      <c r="A878" s="26" t="s">
        <v>1139</v>
      </c>
      <c r="B878" s="27">
        <v>1.3</v>
      </c>
      <c r="C878" s="27">
        <v>1.2</v>
      </c>
    </row>
    <row r="879">
      <c r="A879" s="26" t="s">
        <v>1140</v>
      </c>
      <c r="B879" s="27">
        <v>0.01142</v>
      </c>
      <c r="C879" s="27">
        <v>0.16719</v>
      </c>
    </row>
    <row r="880">
      <c r="A880" s="26" t="s">
        <v>1141</v>
      </c>
      <c r="B880" s="27">
        <v>2.31</v>
      </c>
      <c r="C880" s="27">
        <v>0.941</v>
      </c>
    </row>
    <row r="881">
      <c r="A881" s="26" t="s">
        <v>1142</v>
      </c>
      <c r="B881" s="27">
        <v>1.0</v>
      </c>
      <c r="C881" s="27">
        <v>0.4</v>
      </c>
    </row>
    <row r="882">
      <c r="A882" s="26" t="s">
        <v>1144</v>
      </c>
      <c r="B882" s="27">
        <v>8.5</v>
      </c>
      <c r="C882" s="27">
        <v>0.74</v>
      </c>
    </row>
    <row r="883">
      <c r="A883" s="26" t="s">
        <v>1145</v>
      </c>
      <c r="B883" s="27">
        <v>0.736</v>
      </c>
      <c r="C883" s="27">
        <v>1.534</v>
      </c>
    </row>
    <row r="884">
      <c r="A884" s="26" t="s">
        <v>1146</v>
      </c>
      <c r="B884" s="27">
        <v>1.294</v>
      </c>
      <c r="C884" s="27">
        <v>1.143</v>
      </c>
    </row>
    <row r="885">
      <c r="A885" s="26" t="s">
        <v>1147</v>
      </c>
      <c r="B885" s="27">
        <v>2.494</v>
      </c>
      <c r="C885" s="27">
        <v>1.254</v>
      </c>
    </row>
    <row r="886">
      <c r="A886" s="26" t="s">
        <v>1148</v>
      </c>
      <c r="B886" s="27">
        <v>4.31</v>
      </c>
      <c r="C886" s="27">
        <v>1.096</v>
      </c>
    </row>
    <row r="887">
      <c r="A887" s="26" t="s">
        <v>1150</v>
      </c>
      <c r="B887" s="27">
        <v>5.85</v>
      </c>
      <c r="C887" s="27">
        <v>1.552</v>
      </c>
    </row>
    <row r="888">
      <c r="A888" s="26" t="s">
        <v>1151</v>
      </c>
      <c r="B888" s="27">
        <v>4.32</v>
      </c>
      <c r="C888" s="27">
        <v>1.107</v>
      </c>
    </row>
    <row r="889">
      <c r="A889" s="26" t="s">
        <v>1152</v>
      </c>
      <c r="B889" s="27">
        <v>0.668</v>
      </c>
      <c r="C889" s="27">
        <v>1.062</v>
      </c>
    </row>
    <row r="890">
      <c r="A890" s="26" t="s">
        <v>1153</v>
      </c>
      <c r="B890" s="27">
        <v>1.88</v>
      </c>
      <c r="C890" s="27">
        <v>1.7</v>
      </c>
    </row>
    <row r="891">
      <c r="A891" s="26" t="s">
        <v>1154</v>
      </c>
      <c r="B891" s="27">
        <v>0.371</v>
      </c>
      <c r="C891" s="27">
        <v>1.285</v>
      </c>
    </row>
    <row r="892">
      <c r="A892" s="26" t="s">
        <v>1156</v>
      </c>
      <c r="B892" s="27">
        <v>1.19</v>
      </c>
      <c r="C892" s="27">
        <v>1.009</v>
      </c>
    </row>
    <row r="893">
      <c r="A893" s="26" t="s">
        <v>181</v>
      </c>
      <c r="B893" s="27">
        <v>11.3</v>
      </c>
      <c r="C893" s="27">
        <v>1.07</v>
      </c>
    </row>
    <row r="894">
      <c r="A894" s="26" t="s">
        <v>1157</v>
      </c>
      <c r="B894" s="27">
        <v>9.0</v>
      </c>
      <c r="C894" s="27">
        <v>2.5</v>
      </c>
    </row>
    <row r="895">
      <c r="A895" s="26" t="s">
        <v>1158</v>
      </c>
      <c r="B895" s="27">
        <v>3.8</v>
      </c>
      <c r="C895" s="27">
        <v>0.81</v>
      </c>
    </row>
    <row r="896">
      <c r="A896" s="26" t="s">
        <v>1159</v>
      </c>
      <c r="B896" s="27">
        <v>9.7</v>
      </c>
      <c r="C896" s="27">
        <v>1.13</v>
      </c>
    </row>
    <row r="897">
      <c r="A897" s="26" t="s">
        <v>1160</v>
      </c>
      <c r="B897" s="27">
        <v>5.78</v>
      </c>
      <c r="C897" s="27">
        <v>1.06</v>
      </c>
    </row>
    <row r="898">
      <c r="A898" s="26" t="s">
        <v>1162</v>
      </c>
      <c r="B898" s="27">
        <v>0.463</v>
      </c>
      <c r="C898" s="27">
        <v>0.645</v>
      </c>
    </row>
    <row r="899">
      <c r="A899" s="26" t="s">
        <v>1163</v>
      </c>
      <c r="B899" s="27">
        <v>2.84</v>
      </c>
      <c r="C899" s="27">
        <v>0.9876</v>
      </c>
    </row>
    <row r="900">
      <c r="A900" s="26" t="s">
        <v>1164</v>
      </c>
      <c r="B900" s="27">
        <v>1.942</v>
      </c>
      <c r="C900" s="27">
        <v>1.117</v>
      </c>
    </row>
    <row r="901">
      <c r="A901" s="26" t="s">
        <v>1165</v>
      </c>
      <c r="B901" s="27">
        <v>4.98</v>
      </c>
      <c r="C901" s="27">
        <v>1.19</v>
      </c>
    </row>
    <row r="902">
      <c r="A902" s="26" t="s">
        <v>1166</v>
      </c>
      <c r="B902" s="27">
        <v>6.14</v>
      </c>
      <c r="C902" s="27">
        <v>1.0</v>
      </c>
    </row>
    <row r="903">
      <c r="A903" s="26" t="s">
        <v>1167</v>
      </c>
      <c r="B903" s="27">
        <v>0.0604</v>
      </c>
      <c r="C903" s="27">
        <v>0.554</v>
      </c>
    </row>
    <row r="904">
      <c r="A904" s="26" t="s">
        <v>1169</v>
      </c>
      <c r="B904" s="27">
        <v>0.0208</v>
      </c>
      <c r="C904" s="27">
        <v>0.3131</v>
      </c>
    </row>
    <row r="905">
      <c r="A905" s="26" t="s">
        <v>1170</v>
      </c>
      <c r="B905" s="27">
        <v>0.0227</v>
      </c>
      <c r="C905" s="27">
        <v>0.5023</v>
      </c>
    </row>
    <row r="906">
      <c r="A906" s="26" t="s">
        <v>1171</v>
      </c>
      <c r="B906" s="27">
        <v>3.2</v>
      </c>
      <c r="C906" s="27">
        <v>1.188</v>
      </c>
    </row>
    <row r="907">
      <c r="A907" s="26" t="s">
        <v>167</v>
      </c>
      <c r="B907" s="27">
        <v>12.74</v>
      </c>
      <c r="C907" s="27">
        <v>1.026</v>
      </c>
    </row>
    <row r="908">
      <c r="A908" s="26" t="s">
        <v>1172</v>
      </c>
      <c r="B908" s="27">
        <v>0.01271</v>
      </c>
      <c r="C908" s="27">
        <v>0.1294</v>
      </c>
    </row>
    <row r="909">
      <c r="A909" s="26" t="s">
        <v>1173</v>
      </c>
      <c r="B909" s="27">
        <v>0.0532</v>
      </c>
      <c r="C909" s="27">
        <v>0.256</v>
      </c>
    </row>
    <row r="910">
      <c r="A910" s="26" t="s">
        <v>1174</v>
      </c>
      <c r="B910" s="27">
        <v>0.032</v>
      </c>
      <c r="C910" s="27">
        <v>0.20198</v>
      </c>
    </row>
    <row r="911">
      <c r="A911" s="26" t="s">
        <v>1175</v>
      </c>
      <c r="B911" s="27">
        <v>0.0425</v>
      </c>
      <c r="C911" s="27">
        <v>0.2308</v>
      </c>
    </row>
    <row r="912">
      <c r="A912" s="26" t="s">
        <v>1176</v>
      </c>
      <c r="B912" s="27">
        <v>0.0079</v>
      </c>
      <c r="C912" s="27">
        <v>0.23651</v>
      </c>
    </row>
    <row r="913">
      <c r="A913" s="26" t="s">
        <v>1178</v>
      </c>
      <c r="B913" s="27">
        <v>0.03131</v>
      </c>
      <c r="C913" s="27">
        <v>0.15978</v>
      </c>
    </row>
    <row r="914">
      <c r="A914" s="26" t="s">
        <v>1179</v>
      </c>
      <c r="B914" s="27">
        <v>3.35</v>
      </c>
      <c r="C914" s="27">
        <v>1.3</v>
      </c>
    </row>
    <row r="915">
      <c r="A915" s="26" t="s">
        <v>1180</v>
      </c>
      <c r="B915" s="27">
        <v>0.028</v>
      </c>
      <c r="C915" s="27">
        <v>0.2195</v>
      </c>
    </row>
    <row r="916">
      <c r="A916" s="26" t="s">
        <v>1181</v>
      </c>
      <c r="B916" s="27">
        <v>0.0623</v>
      </c>
      <c r="C916" s="27">
        <v>0.3265</v>
      </c>
    </row>
    <row r="917">
      <c r="A917" s="26" t="s">
        <v>1182</v>
      </c>
      <c r="B917" s="27">
        <v>1.057</v>
      </c>
      <c r="C917" s="27">
        <v>1.16</v>
      </c>
    </row>
    <row r="918">
      <c r="A918" s="26" t="s">
        <v>1184</v>
      </c>
      <c r="B918" s="27">
        <v>0.06428</v>
      </c>
      <c r="C918" s="27">
        <v>0.8</v>
      </c>
    </row>
    <row r="919">
      <c r="A919" s="26" t="s">
        <v>1185</v>
      </c>
      <c r="B919" s="27">
        <v>0.011</v>
      </c>
      <c r="C919" s="27">
        <v>0.17</v>
      </c>
    </row>
    <row r="920">
      <c r="A920" s="26" t="s">
        <v>1186</v>
      </c>
      <c r="B920" s="27">
        <v>0.01988</v>
      </c>
      <c r="C920" s="27">
        <v>0.25685</v>
      </c>
    </row>
    <row r="921">
      <c r="A921" s="26" t="s">
        <v>1187</v>
      </c>
      <c r="B921" s="27">
        <v>0.02627</v>
      </c>
      <c r="C921" s="27">
        <v>0.4128</v>
      </c>
    </row>
    <row r="922">
      <c r="A922" s="26" t="s">
        <v>1188</v>
      </c>
      <c r="B922" s="27">
        <v>0.0191</v>
      </c>
      <c r="C922" s="27">
        <v>0.23544</v>
      </c>
    </row>
    <row r="923">
      <c r="A923" s="26" t="s">
        <v>1189</v>
      </c>
      <c r="B923" s="27">
        <v>0.02586</v>
      </c>
      <c r="C923" s="27">
        <v>0.3462</v>
      </c>
    </row>
    <row r="924">
      <c r="A924" s="26" t="s">
        <v>1191</v>
      </c>
      <c r="B924" s="27">
        <v>0.038</v>
      </c>
      <c r="C924" s="27">
        <v>0.2257</v>
      </c>
    </row>
    <row r="925">
      <c r="A925" s="26" t="s">
        <v>1192</v>
      </c>
      <c r="B925" s="27">
        <v>0.0821</v>
      </c>
      <c r="C925" s="27">
        <v>0.723</v>
      </c>
    </row>
    <row r="926">
      <c r="A926" s="26" t="s">
        <v>1193</v>
      </c>
      <c r="B926" s="27">
        <v>0.101</v>
      </c>
      <c r="C926" s="27">
        <v>0.2105</v>
      </c>
    </row>
    <row r="927">
      <c r="A927" s="26" t="s">
        <v>1194</v>
      </c>
      <c r="B927" s="27">
        <v>1.18</v>
      </c>
      <c r="C927" s="27">
        <v>1.3</v>
      </c>
    </row>
    <row r="928">
      <c r="A928" s="26" t="s">
        <v>1195</v>
      </c>
      <c r="B928" s="27">
        <v>0.0214</v>
      </c>
      <c r="C928" s="27">
        <v>0.215</v>
      </c>
    </row>
    <row r="929">
      <c r="A929" s="26" t="s">
        <v>1196</v>
      </c>
      <c r="B929" s="27">
        <v>0.456</v>
      </c>
      <c r="C929" s="27">
        <v>0.767</v>
      </c>
    </row>
    <row r="930">
      <c r="A930" s="26" t="s">
        <v>1197</v>
      </c>
      <c r="B930" s="27">
        <v>0.239</v>
      </c>
      <c r="C930" s="27">
        <v>0.938</v>
      </c>
    </row>
    <row r="931">
      <c r="A931" s="26" t="s">
        <v>1198</v>
      </c>
      <c r="B931" s="27">
        <v>0.01976</v>
      </c>
      <c r="C931" s="27">
        <v>0.21545</v>
      </c>
    </row>
    <row r="932">
      <c r="A932" s="26" t="s">
        <v>1199</v>
      </c>
      <c r="B932" s="27">
        <v>3.5</v>
      </c>
      <c r="C932" s="27">
        <v>0.2596</v>
      </c>
    </row>
    <row r="933">
      <c r="A933" s="26" t="s">
        <v>1200</v>
      </c>
      <c r="B933" s="27">
        <v>0.0277</v>
      </c>
      <c r="C933" s="27">
        <v>0.2427</v>
      </c>
    </row>
    <row r="934">
      <c r="A934" s="26" t="s">
        <v>1201</v>
      </c>
      <c r="B934" s="27">
        <v>0.0485</v>
      </c>
      <c r="C934" s="27">
        <v>0.3256</v>
      </c>
    </row>
    <row r="935">
      <c r="A935" s="26" t="s">
        <v>1202</v>
      </c>
      <c r="B935" s="27">
        <v>0.0186</v>
      </c>
      <c r="C935" s="27">
        <v>0.15113</v>
      </c>
    </row>
    <row r="936">
      <c r="A936" s="26" t="s">
        <v>1203</v>
      </c>
      <c r="B936" s="27">
        <v>0.01183</v>
      </c>
      <c r="C936" s="27">
        <v>0.1079</v>
      </c>
    </row>
    <row r="937">
      <c r="A937" s="26" t="s">
        <v>1204</v>
      </c>
      <c r="B937" s="27">
        <v>0.02618</v>
      </c>
      <c r="C937" s="27">
        <v>0.1882</v>
      </c>
    </row>
    <row r="938">
      <c r="A938" s="26" t="s">
        <v>1205</v>
      </c>
      <c r="B938" s="27">
        <v>0.0208</v>
      </c>
      <c r="C938" s="27">
        <v>0.2025</v>
      </c>
    </row>
    <row r="939">
      <c r="A939" s="26" t="s">
        <v>1206</v>
      </c>
      <c r="B939" s="27">
        <v>0.0255</v>
      </c>
      <c r="C939" s="27">
        <v>0.2685</v>
      </c>
    </row>
    <row r="940">
      <c r="A940" s="26" t="s">
        <v>1207</v>
      </c>
      <c r="B940" s="27">
        <v>0.0277</v>
      </c>
      <c r="C940" s="27">
        <v>0.2239</v>
      </c>
    </row>
    <row r="941">
      <c r="A941" s="26" t="s">
        <v>1208</v>
      </c>
      <c r="B941" s="27">
        <v>0.0167</v>
      </c>
      <c r="C941" s="27">
        <v>0.3131</v>
      </c>
    </row>
    <row r="942">
      <c r="A942" s="26" t="s">
        <v>1209</v>
      </c>
      <c r="B942" s="27">
        <v>0.0466</v>
      </c>
      <c r="C942" s="27">
        <v>0.3372</v>
      </c>
    </row>
    <row r="943">
      <c r="A943" s="26" t="s">
        <v>1210</v>
      </c>
      <c r="B943" s="27">
        <v>0.0179</v>
      </c>
      <c r="C943" s="27">
        <v>0.2239</v>
      </c>
    </row>
    <row r="944">
      <c r="A944" s="26" t="s">
        <v>1211</v>
      </c>
      <c r="B944" s="27">
        <v>0.0862</v>
      </c>
      <c r="C944" s="27">
        <v>0.607</v>
      </c>
    </row>
    <row r="945">
      <c r="A945" s="26" t="s">
        <v>1213</v>
      </c>
      <c r="B945" s="27">
        <v>0.0374</v>
      </c>
      <c r="C945" s="27">
        <v>0.2899</v>
      </c>
    </row>
    <row r="946">
      <c r="A946" s="26" t="s">
        <v>1214</v>
      </c>
      <c r="B946" s="27">
        <v>0.441</v>
      </c>
      <c r="C946" s="27">
        <v>1.022</v>
      </c>
    </row>
    <row r="947">
      <c r="A947" s="26" t="s">
        <v>1215</v>
      </c>
      <c r="B947" s="27">
        <v>0.0299</v>
      </c>
      <c r="C947" s="27">
        <v>0.2432</v>
      </c>
    </row>
    <row r="948">
      <c r="A948" s="26" t="s">
        <v>1216</v>
      </c>
      <c r="B948" s="27">
        <v>0.02086</v>
      </c>
      <c r="C948" s="27">
        <v>0.24614</v>
      </c>
    </row>
    <row r="949">
      <c r="A949" s="26" t="s">
        <v>1217</v>
      </c>
      <c r="B949" s="27">
        <v>0.0428</v>
      </c>
      <c r="C949" s="27">
        <v>0.2614</v>
      </c>
    </row>
    <row r="950">
      <c r="A950" s="26" t="s">
        <v>1218</v>
      </c>
      <c r="B950" s="27">
        <v>0.02693</v>
      </c>
      <c r="C950" s="27">
        <v>0.215</v>
      </c>
    </row>
    <row r="951">
      <c r="A951" s="26" t="s">
        <v>1220</v>
      </c>
      <c r="B951" s="27">
        <v>0.0415</v>
      </c>
      <c r="C951" s="27">
        <v>0.2462</v>
      </c>
    </row>
    <row r="952">
      <c r="A952" s="26" t="s">
        <v>1221</v>
      </c>
      <c r="B952" s="27">
        <v>0.03725</v>
      </c>
      <c r="C952" s="27">
        <v>0.2783</v>
      </c>
    </row>
    <row r="953">
      <c r="A953" s="26" t="s">
        <v>1222</v>
      </c>
      <c r="B953" s="27">
        <v>0.01381</v>
      </c>
      <c r="C953" s="27">
        <v>0.2337</v>
      </c>
    </row>
    <row r="954">
      <c r="A954" s="26" t="s">
        <v>1223</v>
      </c>
      <c r="B954" s="27">
        <v>0.00934</v>
      </c>
      <c r="C954" s="27">
        <v>0.19</v>
      </c>
    </row>
    <row r="955">
      <c r="A955" s="26" t="s">
        <v>1224</v>
      </c>
      <c r="B955" s="27">
        <v>0.29</v>
      </c>
      <c r="C955" s="27">
        <v>0.82</v>
      </c>
    </row>
    <row r="956">
      <c r="A956" s="26" t="s">
        <v>1225</v>
      </c>
      <c r="B956" s="27">
        <v>0.0201</v>
      </c>
      <c r="C956" s="27">
        <v>0.2025</v>
      </c>
    </row>
    <row r="957">
      <c r="A957" s="26" t="s">
        <v>1226</v>
      </c>
      <c r="B957" s="27">
        <v>0.0774</v>
      </c>
      <c r="C957" s="27">
        <v>0.3693</v>
      </c>
    </row>
    <row r="958">
      <c r="A958" s="26" t="s">
        <v>1227</v>
      </c>
      <c r="B958" s="27">
        <v>0.222</v>
      </c>
      <c r="C958" s="27">
        <v>0.99</v>
      </c>
    </row>
    <row r="959">
      <c r="A959" s="26" t="s">
        <v>1228</v>
      </c>
      <c r="B959" s="27">
        <v>0.0334</v>
      </c>
      <c r="C959" s="27">
        <v>0.2373</v>
      </c>
    </row>
    <row r="960">
      <c r="A960" s="26" t="s">
        <v>1229</v>
      </c>
      <c r="B960" s="27">
        <v>0.132</v>
      </c>
      <c r="C960" s="27">
        <v>0.4675</v>
      </c>
    </row>
    <row r="961">
      <c r="A961" s="26" t="s">
        <v>1230</v>
      </c>
      <c r="B961" s="27">
        <v>0.1957</v>
      </c>
      <c r="C961" s="27">
        <v>0.8199</v>
      </c>
    </row>
    <row r="962">
      <c r="A962" s="26" t="s">
        <v>1232</v>
      </c>
      <c r="B962" s="27">
        <v>1.42</v>
      </c>
      <c r="C962" s="27">
        <v>1.4</v>
      </c>
    </row>
    <row r="963">
      <c r="A963" s="26" t="s">
        <v>1233</v>
      </c>
      <c r="B963" s="27">
        <v>0.356</v>
      </c>
      <c r="C963" s="27">
        <v>0.841</v>
      </c>
    </row>
    <row r="964">
      <c r="A964" s="26" t="s">
        <v>1234</v>
      </c>
      <c r="B964" s="27">
        <v>0.0705</v>
      </c>
      <c r="C964" s="27">
        <v>0.3051</v>
      </c>
    </row>
    <row r="965">
      <c r="A965" s="26" t="s">
        <v>1235</v>
      </c>
      <c r="B965" s="27">
        <v>2.37</v>
      </c>
      <c r="C965" s="27">
        <v>1.396</v>
      </c>
    </row>
    <row r="966">
      <c r="A966" s="26" t="s">
        <v>1236</v>
      </c>
      <c r="B966" s="27">
        <v>0.069</v>
      </c>
      <c r="C966" s="27">
        <v>0.5986</v>
      </c>
    </row>
    <row r="967">
      <c r="A967" s="26" t="s">
        <v>1237</v>
      </c>
      <c r="B967" s="27">
        <v>0.0384</v>
      </c>
      <c r="C967" s="27">
        <v>0.161</v>
      </c>
    </row>
    <row r="968">
      <c r="A968" s="26" t="s">
        <v>1239</v>
      </c>
      <c r="B968" s="27">
        <v>0.0088</v>
      </c>
      <c r="C968" s="27">
        <v>0.143</v>
      </c>
    </row>
    <row r="969">
      <c r="A969" s="26" t="s">
        <v>1240</v>
      </c>
      <c r="B969" s="27">
        <v>0.148</v>
      </c>
      <c r="C969" s="27">
        <v>0.54</v>
      </c>
    </row>
    <row r="970">
      <c r="A970" s="26" t="s">
        <v>1241</v>
      </c>
      <c r="B970" s="27">
        <v>6.6119</v>
      </c>
      <c r="C970" s="27">
        <v>0.2192</v>
      </c>
    </row>
    <row r="971">
      <c r="A971" s="26" t="s">
        <v>1242</v>
      </c>
      <c r="B971" s="27">
        <v>1.69</v>
      </c>
      <c r="C971" s="27">
        <v>1.5</v>
      </c>
    </row>
    <row r="972">
      <c r="A972" s="26" t="s">
        <v>1243</v>
      </c>
      <c r="B972" s="27">
        <v>0.0239</v>
      </c>
      <c r="C972" s="27">
        <v>0.1981</v>
      </c>
    </row>
    <row r="973">
      <c r="A973" s="26" t="s">
        <v>1244</v>
      </c>
      <c r="B973" s="27">
        <v>0.03338</v>
      </c>
      <c r="C973" s="27">
        <v>0.289359</v>
      </c>
    </row>
    <row r="974">
      <c r="A974" s="26" t="s">
        <v>1246</v>
      </c>
      <c r="B974" s="27">
        <v>0.0063</v>
      </c>
      <c r="C974" s="27">
        <v>0.1213</v>
      </c>
    </row>
    <row r="975">
      <c r="A975" s="26" t="s">
        <v>1247</v>
      </c>
      <c r="B975" s="27">
        <v>0.01095</v>
      </c>
      <c r="C975" s="27">
        <v>0.1445</v>
      </c>
    </row>
    <row r="976">
      <c r="A976" s="26" t="s">
        <v>1248</v>
      </c>
      <c r="B976" s="27">
        <v>0.079</v>
      </c>
      <c r="C976" s="27">
        <v>1.0608</v>
      </c>
    </row>
    <row r="977">
      <c r="A977" s="26" t="s">
        <v>1249</v>
      </c>
      <c r="B977" s="27">
        <v>0.028</v>
      </c>
      <c r="C977" s="27">
        <v>0.3533</v>
      </c>
    </row>
    <row r="978">
      <c r="A978" s="26" t="s">
        <v>1250</v>
      </c>
      <c r="B978" s="27">
        <v>0.01306</v>
      </c>
      <c r="C978" s="27">
        <v>0.1766</v>
      </c>
    </row>
    <row r="979">
      <c r="A979" s="26" t="s">
        <v>1251</v>
      </c>
      <c r="B979" s="27">
        <v>3.14</v>
      </c>
      <c r="C979" s="27">
        <v>1.508</v>
      </c>
    </row>
    <row r="980">
      <c r="A980" s="26" t="s">
        <v>1252</v>
      </c>
      <c r="B980" s="27">
        <v>0.0302</v>
      </c>
      <c r="C980" s="27">
        <v>0.1998</v>
      </c>
    </row>
    <row r="981">
      <c r="A981" s="26" t="s">
        <v>1253</v>
      </c>
      <c r="B981" s="27">
        <v>0.1211</v>
      </c>
      <c r="C981" s="27">
        <v>0.3256</v>
      </c>
    </row>
    <row r="982">
      <c r="A982" s="26" t="s">
        <v>1254</v>
      </c>
      <c r="B982" s="27">
        <v>0.005</v>
      </c>
      <c r="C982" s="27">
        <v>0.1044</v>
      </c>
    </row>
    <row r="983">
      <c r="A983" s="26" t="s">
        <v>1255</v>
      </c>
      <c r="B983" s="27">
        <v>0.094</v>
      </c>
      <c r="C983" s="27">
        <v>0.196</v>
      </c>
    </row>
    <row r="984">
      <c r="A984" s="26" t="s">
        <v>1256</v>
      </c>
      <c r="B984" s="27">
        <v>0.01218</v>
      </c>
      <c r="C984" s="27">
        <v>0.12463</v>
      </c>
    </row>
    <row r="985">
      <c r="A985" s="26" t="s">
        <v>1257</v>
      </c>
      <c r="B985" s="27">
        <v>0.0614</v>
      </c>
      <c r="C985" s="27">
        <v>0.2453</v>
      </c>
    </row>
    <row r="986">
      <c r="A986" s="26" t="s">
        <v>1258</v>
      </c>
      <c r="B986" s="27">
        <v>0.00396</v>
      </c>
      <c r="C986" s="27">
        <v>0.1008</v>
      </c>
    </row>
    <row r="987">
      <c r="A987" s="26" t="s">
        <v>1259</v>
      </c>
      <c r="B987" s="27">
        <v>0.0478</v>
      </c>
      <c r="C987" s="27">
        <v>0.2329</v>
      </c>
    </row>
    <row r="988">
      <c r="A988" s="26" t="s">
        <v>1260</v>
      </c>
      <c r="B988" s="27">
        <v>0.01517</v>
      </c>
      <c r="C988" s="27">
        <v>0.14917</v>
      </c>
    </row>
    <row r="989">
      <c r="A989" s="26" t="s">
        <v>1261</v>
      </c>
      <c r="B989" s="27">
        <v>0.0039</v>
      </c>
      <c r="C989" s="27">
        <v>0.1044</v>
      </c>
    </row>
    <row r="990">
      <c r="A990" s="26" t="s">
        <v>1262</v>
      </c>
      <c r="B990" s="27">
        <v>0.00928</v>
      </c>
      <c r="C990" s="27">
        <v>0.1981</v>
      </c>
    </row>
    <row r="991">
      <c r="A991" s="26" t="s">
        <v>1263</v>
      </c>
      <c r="B991" s="27">
        <v>0.028</v>
      </c>
      <c r="C991" s="27">
        <v>0.1633</v>
      </c>
    </row>
    <row r="992">
      <c r="A992" s="26" t="s">
        <v>1265</v>
      </c>
      <c r="B992" s="27">
        <v>0.0101</v>
      </c>
      <c r="C992" s="27">
        <v>0.1142</v>
      </c>
    </row>
    <row r="993">
      <c r="A993" s="26" t="s">
        <v>1266</v>
      </c>
      <c r="B993" s="27">
        <v>0.02089</v>
      </c>
      <c r="C993" s="27">
        <v>0.18414</v>
      </c>
    </row>
    <row r="994">
      <c r="A994" s="26" t="s">
        <v>1267</v>
      </c>
      <c r="B994" s="27">
        <v>0.02303</v>
      </c>
      <c r="C994" s="27">
        <v>0.1945</v>
      </c>
    </row>
    <row r="995">
      <c r="A995" s="26" t="s">
        <v>1268</v>
      </c>
      <c r="B995" s="27">
        <v>0.02278</v>
      </c>
      <c r="C995" s="27">
        <v>0.2204</v>
      </c>
    </row>
    <row r="996">
      <c r="A996" s="26" t="s">
        <v>1269</v>
      </c>
      <c r="B996" s="27">
        <v>0.031</v>
      </c>
      <c r="C996" s="27">
        <v>0.348</v>
      </c>
    </row>
    <row r="997">
      <c r="A997" s="26" t="s">
        <v>1270</v>
      </c>
      <c r="B997" s="27">
        <v>0.0576</v>
      </c>
      <c r="C997" s="27">
        <v>0.29824</v>
      </c>
    </row>
    <row r="998">
      <c r="A998" s="26" t="s">
        <v>1272</v>
      </c>
      <c r="B998" s="27">
        <v>0.0519</v>
      </c>
      <c r="C998" s="27">
        <v>0.3711</v>
      </c>
    </row>
    <row r="999">
      <c r="A999" s="26" t="s">
        <v>1273</v>
      </c>
      <c r="B999" s="27">
        <v>0.034</v>
      </c>
      <c r="C999" s="27">
        <v>0.2186</v>
      </c>
    </row>
    <row r="1000">
      <c r="A1000" s="26" t="s">
        <v>1274</v>
      </c>
      <c r="B1000" s="27">
        <v>0.847</v>
      </c>
      <c r="C1000" s="27">
        <v>1.06</v>
      </c>
    </row>
    <row r="1001">
      <c r="A1001" s="26" t="s">
        <v>1275</v>
      </c>
      <c r="B1001" s="27">
        <v>2.51</v>
      </c>
      <c r="C1001" s="27">
        <v>1.255</v>
      </c>
    </row>
    <row r="1002">
      <c r="A1002" s="26" t="s">
        <v>1276</v>
      </c>
      <c r="B1002" s="27">
        <v>3.16</v>
      </c>
      <c r="C1002" s="27">
        <v>1.36</v>
      </c>
    </row>
    <row r="1003">
      <c r="A1003" s="26" t="s">
        <v>1277</v>
      </c>
      <c r="B1003" s="27">
        <v>1.83</v>
      </c>
      <c r="C1003" s="27">
        <v>1.878</v>
      </c>
    </row>
    <row r="1004">
      <c r="A1004" s="26" t="s">
        <v>1279</v>
      </c>
      <c r="B1004" s="27">
        <v>1.18</v>
      </c>
      <c r="C1004" s="27">
        <v>1.286</v>
      </c>
    </row>
    <row r="1005">
      <c r="A1005" s="26" t="s">
        <v>1280</v>
      </c>
      <c r="B1005" s="27">
        <v>0.99</v>
      </c>
      <c r="C1005" s="27">
        <v>1.239</v>
      </c>
    </row>
    <row r="1006">
      <c r="A1006" s="26" t="s">
        <v>1281</v>
      </c>
      <c r="B1006" s="27">
        <v>0.6963</v>
      </c>
      <c r="C1006" s="27">
        <v>0.9225</v>
      </c>
    </row>
    <row r="1007">
      <c r="A1007" s="26" t="s">
        <v>1282</v>
      </c>
      <c r="B1007" s="27">
        <v>0.01545</v>
      </c>
      <c r="C1007" s="27">
        <v>0.1597</v>
      </c>
    </row>
    <row r="1008">
      <c r="A1008" s="26" t="s">
        <v>1283</v>
      </c>
      <c r="B1008" s="27">
        <v>1.22</v>
      </c>
      <c r="C1008" s="27">
        <v>1.489</v>
      </c>
    </row>
    <row r="1009">
      <c r="A1009" s="26" t="s">
        <v>1284</v>
      </c>
      <c r="B1009" s="27">
        <v>0.0132</v>
      </c>
      <c r="C1009" s="27">
        <v>0.214</v>
      </c>
    </row>
    <row r="1010">
      <c r="A1010" s="26" t="s">
        <v>1286</v>
      </c>
      <c r="B1010" s="27">
        <v>0.0434</v>
      </c>
      <c r="C1010" s="27">
        <v>0.1838</v>
      </c>
    </row>
    <row r="1011">
      <c r="A1011" s="26" t="s">
        <v>1287</v>
      </c>
      <c r="B1011" s="27">
        <v>0.58</v>
      </c>
      <c r="C1011" s="27">
        <v>0.97</v>
      </c>
    </row>
    <row r="1012">
      <c r="A1012" s="26" t="s">
        <v>1288</v>
      </c>
      <c r="B1012" s="27">
        <v>0.01001</v>
      </c>
      <c r="C1012" s="27">
        <v>0.13079</v>
      </c>
    </row>
    <row r="1013">
      <c r="A1013" s="26" t="s">
        <v>1289</v>
      </c>
      <c r="B1013" s="27">
        <v>0.025</v>
      </c>
      <c r="C1013" s="27">
        <v>0.232</v>
      </c>
    </row>
    <row r="1014">
      <c r="A1014" s="26" t="s">
        <v>1290</v>
      </c>
      <c r="B1014" s="27">
        <v>0.00966</v>
      </c>
      <c r="C1014" s="27">
        <v>0.1267</v>
      </c>
    </row>
    <row r="1015">
      <c r="A1015" s="26" t="s">
        <v>1291</v>
      </c>
      <c r="B1015" s="27">
        <v>0.0459</v>
      </c>
      <c r="C1015" s="27">
        <v>0.2614</v>
      </c>
    </row>
    <row r="1016">
      <c r="A1016" s="26" t="s">
        <v>1293</v>
      </c>
      <c r="B1016" s="27">
        <v>0.0088</v>
      </c>
      <c r="C1016" s="27">
        <v>0.1258</v>
      </c>
    </row>
    <row r="1017">
      <c r="A1017" s="26" t="s">
        <v>1294</v>
      </c>
      <c r="B1017" s="27">
        <v>0.0809</v>
      </c>
      <c r="C1017" s="27">
        <v>0.48702</v>
      </c>
    </row>
    <row r="1018">
      <c r="A1018" s="26" t="s">
        <v>1295</v>
      </c>
      <c r="B1018" s="27">
        <v>0.0182</v>
      </c>
      <c r="C1018" s="27">
        <v>0.17</v>
      </c>
    </row>
    <row r="1019">
      <c r="A1019" s="26" t="s">
        <v>1296</v>
      </c>
      <c r="B1019" s="27">
        <v>0.1787</v>
      </c>
      <c r="C1019" s="27">
        <v>0.2891</v>
      </c>
    </row>
    <row r="1020">
      <c r="A1020" s="26" t="s">
        <v>1297</v>
      </c>
      <c r="B1020" s="27">
        <v>0.791</v>
      </c>
      <c r="C1020" s="27">
        <v>1.086</v>
      </c>
    </row>
    <row r="1021">
      <c r="A1021" s="26" t="s">
        <v>1299</v>
      </c>
      <c r="B1021" s="27">
        <v>0.0579</v>
      </c>
      <c r="C1021" s="27">
        <v>0.4595</v>
      </c>
    </row>
    <row r="1022">
      <c r="A1022" s="26" t="s">
        <v>1300</v>
      </c>
      <c r="B1022" s="27">
        <v>0.0151</v>
      </c>
      <c r="C1022" s="27">
        <v>0.2471</v>
      </c>
    </row>
    <row r="1023">
      <c r="A1023" s="26" t="s">
        <v>1301</v>
      </c>
      <c r="B1023" s="27">
        <v>0.0327</v>
      </c>
      <c r="C1023" s="27">
        <v>0.27</v>
      </c>
    </row>
    <row r="1024">
      <c r="A1024" s="26" t="s">
        <v>1302</v>
      </c>
      <c r="B1024" s="27">
        <v>0.08426</v>
      </c>
      <c r="C1024" s="27">
        <v>0.4505</v>
      </c>
    </row>
    <row r="1025">
      <c r="A1025" s="26" t="s">
        <v>1303</v>
      </c>
      <c r="B1025" s="27">
        <v>5.41</v>
      </c>
      <c r="C1025" s="27">
        <v>0.965</v>
      </c>
    </row>
    <row r="1026">
      <c r="A1026" s="26" t="s">
        <v>1305</v>
      </c>
      <c r="B1026" s="27">
        <v>0.0374</v>
      </c>
      <c r="C1026" s="27">
        <v>0.2721</v>
      </c>
    </row>
    <row r="1027">
      <c r="A1027" s="26" t="s">
        <v>1306</v>
      </c>
      <c r="B1027" s="27">
        <v>0.013</v>
      </c>
      <c r="C1027" s="27">
        <v>0.15122</v>
      </c>
    </row>
    <row r="1028">
      <c r="A1028" s="26" t="s">
        <v>1307</v>
      </c>
      <c r="B1028" s="27">
        <v>0.0305</v>
      </c>
      <c r="C1028" s="27">
        <v>0.2114</v>
      </c>
    </row>
    <row r="1029">
      <c r="A1029" s="26" t="s">
        <v>1308</v>
      </c>
      <c r="B1029" s="27">
        <v>0.06</v>
      </c>
      <c r="C1029" s="27">
        <v>0.124</v>
      </c>
    </row>
    <row r="1030">
      <c r="A1030" s="26" t="s">
        <v>1309</v>
      </c>
      <c r="B1030" s="27">
        <v>0.0066</v>
      </c>
      <c r="C1030" s="27">
        <v>0.1891</v>
      </c>
    </row>
    <row r="1031">
      <c r="A1031" s="26" t="s">
        <v>1310</v>
      </c>
      <c r="B1031" s="27">
        <v>0.0135</v>
      </c>
      <c r="C1031" s="27">
        <v>0.2248</v>
      </c>
    </row>
    <row r="1032">
      <c r="A1032" s="26" t="s">
        <v>1312</v>
      </c>
      <c r="B1032" s="27">
        <v>0.0538</v>
      </c>
      <c r="C1032" s="27">
        <v>0.2489</v>
      </c>
    </row>
    <row r="1033">
      <c r="A1033" s="26" t="s">
        <v>1313</v>
      </c>
      <c r="B1033" s="27">
        <v>0.0522</v>
      </c>
      <c r="C1033" s="27">
        <v>0.2088</v>
      </c>
    </row>
    <row r="1034">
      <c r="A1034" s="26" t="s">
        <v>1314</v>
      </c>
      <c r="B1034" s="27">
        <v>0.0217</v>
      </c>
      <c r="C1034" s="27">
        <v>0.303</v>
      </c>
    </row>
    <row r="1035">
      <c r="A1035" s="26" t="s">
        <v>1315</v>
      </c>
      <c r="B1035" s="27">
        <v>0.0214</v>
      </c>
      <c r="C1035" s="27">
        <v>0.273</v>
      </c>
    </row>
    <row r="1036">
      <c r="A1036" s="26" t="s">
        <v>1316</v>
      </c>
      <c r="B1036" s="27">
        <v>0.302</v>
      </c>
      <c r="C1036" s="27">
        <v>0.776</v>
      </c>
    </row>
    <row r="1037">
      <c r="A1037" s="26" t="s">
        <v>1318</v>
      </c>
      <c r="B1037" s="27">
        <v>0.0044</v>
      </c>
      <c r="C1037" s="27">
        <v>0.125</v>
      </c>
    </row>
    <row r="1038">
      <c r="A1038" s="26" t="s">
        <v>1319</v>
      </c>
      <c r="B1038" s="27">
        <v>0.02637</v>
      </c>
      <c r="C1038" s="27">
        <v>0.24133</v>
      </c>
    </row>
    <row r="1039">
      <c r="A1039" s="26" t="s">
        <v>1320</v>
      </c>
      <c r="B1039" s="27">
        <v>0.7</v>
      </c>
      <c r="C1039" s="27">
        <v>1.4</v>
      </c>
    </row>
    <row r="1040">
      <c r="A1040" s="26" t="s">
        <v>1321</v>
      </c>
      <c r="B1040" s="27">
        <v>0.00472</v>
      </c>
      <c r="C1040" s="27">
        <v>0.10278</v>
      </c>
    </row>
    <row r="1041">
      <c r="A1041" s="26" t="s">
        <v>1322</v>
      </c>
      <c r="B1041" s="27">
        <v>0.01501</v>
      </c>
      <c r="C1041" s="27">
        <v>0.1489</v>
      </c>
    </row>
    <row r="1042">
      <c r="A1042" s="26" t="s">
        <v>1323</v>
      </c>
      <c r="B1042" s="27">
        <v>0.00947</v>
      </c>
      <c r="C1042" s="27">
        <v>0.22946</v>
      </c>
    </row>
    <row r="1043">
      <c r="A1043" s="26" t="s">
        <v>1325</v>
      </c>
      <c r="B1043" s="27">
        <v>0.01214</v>
      </c>
      <c r="C1043" s="27">
        <v>0.1969</v>
      </c>
    </row>
    <row r="1044">
      <c r="A1044" s="26" t="s">
        <v>1326</v>
      </c>
      <c r="B1044" s="27">
        <v>0.02429</v>
      </c>
      <c r="C1044" s="27">
        <v>0.20403</v>
      </c>
    </row>
    <row r="1045">
      <c r="A1045" s="26" t="s">
        <v>1327</v>
      </c>
      <c r="B1045" s="27">
        <v>0.0124</v>
      </c>
      <c r="C1045" s="27">
        <v>0.256</v>
      </c>
    </row>
    <row r="1046">
      <c r="A1046" s="26" t="s">
        <v>1328</v>
      </c>
      <c r="B1046" s="27">
        <v>0.0274</v>
      </c>
      <c r="C1046" s="27">
        <v>0.27</v>
      </c>
    </row>
    <row r="1047">
      <c r="A1047" s="26" t="s">
        <v>1330</v>
      </c>
      <c r="B1047" s="27">
        <v>0.0205</v>
      </c>
      <c r="C1047" s="27">
        <v>0.2462</v>
      </c>
    </row>
    <row r="1048">
      <c r="A1048" s="26" t="s">
        <v>1331</v>
      </c>
      <c r="B1048" s="27">
        <v>0.0176</v>
      </c>
      <c r="C1048" s="27">
        <v>0.125</v>
      </c>
    </row>
    <row r="1049">
      <c r="A1049" s="26" t="s">
        <v>1332</v>
      </c>
      <c r="B1049" s="27">
        <v>0.013</v>
      </c>
      <c r="C1049" s="27">
        <v>0.1445</v>
      </c>
    </row>
    <row r="1050">
      <c r="A1050" s="26" t="s">
        <v>1333</v>
      </c>
      <c r="B1050" s="27">
        <v>0.0758</v>
      </c>
      <c r="C1050" s="27">
        <v>0.2436</v>
      </c>
    </row>
    <row r="1051">
      <c r="A1051" s="26" t="s">
        <v>1334</v>
      </c>
      <c r="B1051" s="27">
        <v>0.018214</v>
      </c>
      <c r="C1051" s="27">
        <v>0.1865</v>
      </c>
    </row>
    <row r="1052">
      <c r="A1052" s="26" t="s">
        <v>1336</v>
      </c>
      <c r="B1052" s="27">
        <v>0.0324</v>
      </c>
      <c r="C1052" s="27">
        <v>0.2668</v>
      </c>
    </row>
    <row r="1053">
      <c r="A1053" s="26" t="s">
        <v>1337</v>
      </c>
      <c r="B1053" s="27">
        <v>0.019</v>
      </c>
      <c r="C1053" s="27">
        <v>0.3827</v>
      </c>
    </row>
    <row r="1054">
      <c r="A1054" s="26" t="s">
        <v>1338</v>
      </c>
      <c r="B1054" s="27">
        <v>0.00809</v>
      </c>
      <c r="C1054" s="27">
        <v>0.1222</v>
      </c>
    </row>
    <row r="1055">
      <c r="A1055" s="26" t="s">
        <v>1339</v>
      </c>
      <c r="B1055" s="27">
        <v>0.974</v>
      </c>
      <c r="C1055" s="27">
        <v>1.0</v>
      </c>
    </row>
    <row r="1056">
      <c r="A1056" s="26" t="s">
        <v>1340</v>
      </c>
      <c r="B1056" s="27">
        <v>0.13</v>
      </c>
      <c r="C1056" s="27">
        <v>0.6183</v>
      </c>
    </row>
    <row r="1057">
      <c r="A1057" s="26" t="s">
        <v>1341</v>
      </c>
      <c r="B1057" s="27">
        <v>2.3</v>
      </c>
      <c r="C1057" s="27">
        <v>1.12</v>
      </c>
    </row>
    <row r="1058">
      <c r="A1058" s="26" t="s">
        <v>1343</v>
      </c>
      <c r="B1058" s="27">
        <v>0.2121</v>
      </c>
      <c r="C1058" s="27">
        <v>0.6727</v>
      </c>
    </row>
    <row r="1059">
      <c r="A1059" s="26" t="s">
        <v>1344</v>
      </c>
      <c r="B1059" s="27">
        <v>0.0582</v>
      </c>
      <c r="C1059" s="27">
        <v>0.2346</v>
      </c>
    </row>
    <row r="1060">
      <c r="A1060" s="26" t="s">
        <v>1345</v>
      </c>
      <c r="B1060" s="27">
        <v>0.1841</v>
      </c>
      <c r="C1060" s="27">
        <v>0.769</v>
      </c>
    </row>
    <row r="1061">
      <c r="A1061" s="26" t="s">
        <v>1346</v>
      </c>
      <c r="B1061" s="27">
        <v>0.092</v>
      </c>
      <c r="C1061" s="27">
        <v>0.78188</v>
      </c>
    </row>
    <row r="1062">
      <c r="A1062" s="26" t="s">
        <v>1347</v>
      </c>
      <c r="B1062" s="27">
        <v>0.025</v>
      </c>
      <c r="C1062" s="27">
        <v>0.232</v>
      </c>
    </row>
    <row r="1063">
      <c r="A1063" s="26" t="s">
        <v>1349</v>
      </c>
      <c r="B1063" s="27">
        <v>0.214</v>
      </c>
      <c r="C1063" s="27">
        <v>1.04</v>
      </c>
    </row>
    <row r="1064">
      <c r="A1064" s="26" t="s">
        <v>1350</v>
      </c>
      <c r="B1064" s="27">
        <v>0.040571</v>
      </c>
      <c r="C1064" s="27">
        <v>0.324465</v>
      </c>
    </row>
    <row r="1065">
      <c r="A1065" s="26" t="s">
        <v>1351</v>
      </c>
      <c r="B1065" s="27">
        <v>1.133</v>
      </c>
      <c r="C1065" s="27">
        <v>1.65</v>
      </c>
    </row>
    <row r="1066">
      <c r="A1066" s="26" t="s">
        <v>1352</v>
      </c>
      <c r="B1066" s="27">
        <v>0.0069</v>
      </c>
      <c r="C1066" s="27">
        <v>0.1169</v>
      </c>
    </row>
    <row r="1067">
      <c r="A1067" s="26" t="s">
        <v>1353</v>
      </c>
      <c r="B1067" s="27">
        <v>1.6248</v>
      </c>
      <c r="C1067" s="27">
        <v>1.2187</v>
      </c>
    </row>
    <row r="1068">
      <c r="A1068" s="26" t="s">
        <v>1354</v>
      </c>
      <c r="B1068" s="27">
        <v>0.67</v>
      </c>
      <c r="C1068" s="27">
        <v>0.99</v>
      </c>
    </row>
    <row r="1069">
      <c r="A1069" s="26" t="s">
        <v>1355</v>
      </c>
      <c r="B1069" s="27">
        <v>2.01</v>
      </c>
      <c r="C1069" s="27">
        <v>1.247</v>
      </c>
    </row>
    <row r="1070">
      <c r="A1070" s="26" t="s">
        <v>1356</v>
      </c>
      <c r="B1070" s="27">
        <v>0.17</v>
      </c>
      <c r="C1070" s="27">
        <v>0.81</v>
      </c>
    </row>
    <row r="1071">
      <c r="A1071" s="26" t="s">
        <v>1357</v>
      </c>
      <c r="B1071" s="27">
        <v>0.0324</v>
      </c>
      <c r="C1071" s="27">
        <v>0.2355</v>
      </c>
    </row>
    <row r="1072">
      <c r="A1072" s="26" t="s">
        <v>1359</v>
      </c>
      <c r="B1072" s="27">
        <v>0.2382</v>
      </c>
      <c r="C1072" s="27">
        <v>0.711</v>
      </c>
    </row>
    <row r="1073">
      <c r="A1073" s="26" t="s">
        <v>1360</v>
      </c>
      <c r="B1073" s="27">
        <v>6.4</v>
      </c>
      <c r="C1073" s="27">
        <v>1.07</v>
      </c>
    </row>
    <row r="1074">
      <c r="A1074" s="26" t="s">
        <v>1361</v>
      </c>
      <c r="B1074" s="27">
        <v>1.286</v>
      </c>
      <c r="C1074" s="27">
        <v>1.054</v>
      </c>
    </row>
    <row r="1075">
      <c r="A1075" s="26" t="s">
        <v>1362</v>
      </c>
      <c r="B1075" s="27">
        <v>0.0289</v>
      </c>
      <c r="C1075" s="27">
        <v>0.2953</v>
      </c>
    </row>
    <row r="1076">
      <c r="A1076" s="26" t="s">
        <v>1363</v>
      </c>
      <c r="B1076" s="27">
        <v>0.0289</v>
      </c>
      <c r="C1076" s="27">
        <v>0.2025</v>
      </c>
    </row>
    <row r="1077">
      <c r="A1077" s="26" t="s">
        <v>1365</v>
      </c>
      <c r="B1077" s="27">
        <v>0.0113</v>
      </c>
      <c r="C1077" s="27">
        <v>0.1374</v>
      </c>
    </row>
    <row r="1078">
      <c r="A1078" s="26" t="s">
        <v>1366</v>
      </c>
      <c r="B1078" s="27">
        <v>0.1089</v>
      </c>
      <c r="C1078" s="27">
        <v>0.505</v>
      </c>
    </row>
    <row r="1079">
      <c r="A1079" s="26" t="s">
        <v>1367</v>
      </c>
      <c r="B1079" s="27">
        <v>0.42</v>
      </c>
      <c r="C1079" s="27">
        <v>1.0</v>
      </c>
    </row>
    <row r="1080">
      <c r="A1080" s="26" t="s">
        <v>1368</v>
      </c>
      <c r="B1080" s="27">
        <v>4.4</v>
      </c>
      <c r="C1080" s="27">
        <v>1.12</v>
      </c>
    </row>
    <row r="1081">
      <c r="A1081" s="26" t="s">
        <v>1369</v>
      </c>
      <c r="B1081" s="27">
        <v>0.6639</v>
      </c>
      <c r="C1081" s="27">
        <v>1.1316</v>
      </c>
    </row>
    <row r="1082">
      <c r="A1082" s="26" t="s">
        <v>1371</v>
      </c>
      <c r="B1082" s="27">
        <v>2.3</v>
      </c>
      <c r="C1082" s="27">
        <v>1.44</v>
      </c>
    </row>
    <row r="1083">
      <c r="A1083" s="26" t="s">
        <v>1372</v>
      </c>
      <c r="B1083" s="27">
        <v>0.0138</v>
      </c>
      <c r="C1083" s="27">
        <v>0.1624</v>
      </c>
    </row>
    <row r="1084">
      <c r="A1084" s="26" t="s">
        <v>1373</v>
      </c>
      <c r="B1084" s="27">
        <v>0.0069</v>
      </c>
      <c r="C1084" s="27">
        <v>0.116</v>
      </c>
    </row>
    <row r="1085">
      <c r="A1085" s="26" t="s">
        <v>1374</v>
      </c>
      <c r="B1085" s="27">
        <v>0.0107</v>
      </c>
      <c r="C1085" s="27">
        <v>0.2266</v>
      </c>
    </row>
    <row r="1086">
      <c r="A1086" s="26" t="s">
        <v>1375</v>
      </c>
      <c r="B1086" s="27">
        <v>0.0145</v>
      </c>
      <c r="C1086" s="27">
        <v>0.2989</v>
      </c>
    </row>
    <row r="1087">
      <c r="A1087" s="26" t="s">
        <v>1376</v>
      </c>
      <c r="B1087" s="27">
        <v>0.023</v>
      </c>
      <c r="C1087" s="27">
        <v>0.2935</v>
      </c>
    </row>
    <row r="1088">
      <c r="A1088" s="26" t="s">
        <v>1378</v>
      </c>
      <c r="B1088" s="27">
        <v>0.016</v>
      </c>
      <c r="C1088" s="27">
        <v>0.182</v>
      </c>
    </row>
    <row r="1089">
      <c r="A1089" s="26" t="s">
        <v>1379</v>
      </c>
      <c r="B1089" s="27">
        <v>0.02121</v>
      </c>
      <c r="C1089" s="27">
        <v>0.2204</v>
      </c>
    </row>
    <row r="1090">
      <c r="A1090" s="26" t="s">
        <v>1380</v>
      </c>
      <c r="B1090" s="27">
        <v>0.116</v>
      </c>
      <c r="C1090" s="27">
        <v>0.3283</v>
      </c>
    </row>
    <row r="1091">
      <c r="A1091" s="26" t="s">
        <v>1381</v>
      </c>
      <c r="B1091" s="27">
        <v>0.0129</v>
      </c>
      <c r="C1091" s="27">
        <v>0.1115</v>
      </c>
    </row>
    <row r="1092">
      <c r="A1092" s="26" t="s">
        <v>1382</v>
      </c>
      <c r="B1092" s="27">
        <v>0.0233</v>
      </c>
      <c r="C1092" s="27">
        <v>0.1187</v>
      </c>
    </row>
    <row r="1093">
      <c r="A1093" s="26" t="s">
        <v>1384</v>
      </c>
      <c r="B1093" s="27">
        <v>0.006</v>
      </c>
      <c r="C1093" s="27">
        <v>0.11089</v>
      </c>
    </row>
    <row r="1094">
      <c r="A1094" s="26" t="s">
        <v>1385</v>
      </c>
      <c r="B1094" s="27">
        <v>0.0145</v>
      </c>
      <c r="C1094" s="27">
        <v>0.17076</v>
      </c>
    </row>
    <row r="1095">
      <c r="A1095" s="26" t="s">
        <v>1386</v>
      </c>
      <c r="B1095" s="27">
        <v>0.83</v>
      </c>
      <c r="C1095" s="27">
        <v>1.211</v>
      </c>
    </row>
    <row r="1096">
      <c r="A1096" s="26" t="s">
        <v>1387</v>
      </c>
      <c r="B1096" s="27">
        <v>5.02</v>
      </c>
      <c r="C1096" s="27">
        <v>1.347</v>
      </c>
    </row>
    <row r="1097">
      <c r="A1097" s="26" t="s">
        <v>1388</v>
      </c>
      <c r="B1097" s="27">
        <v>0.0214</v>
      </c>
      <c r="C1097" s="27">
        <v>0.18931</v>
      </c>
    </row>
    <row r="1098">
      <c r="A1098" s="26" t="s">
        <v>1389</v>
      </c>
      <c r="B1098" s="27">
        <v>0.0142</v>
      </c>
      <c r="C1098" s="27">
        <v>0.2346</v>
      </c>
    </row>
    <row r="1099">
      <c r="A1099" s="26" t="s">
        <v>1391</v>
      </c>
      <c r="B1099" s="27">
        <v>0.02873</v>
      </c>
      <c r="C1099" s="27">
        <v>0.24</v>
      </c>
    </row>
    <row r="1100">
      <c r="A1100" s="26" t="s">
        <v>1392</v>
      </c>
      <c r="B1100" s="27">
        <v>0.1318</v>
      </c>
      <c r="C1100" s="27">
        <v>0.6486</v>
      </c>
    </row>
    <row r="1101">
      <c r="A1101" s="26" t="s">
        <v>1393</v>
      </c>
      <c r="B1101" s="27">
        <v>0.0148</v>
      </c>
      <c r="C1101" s="27">
        <v>0.1865</v>
      </c>
    </row>
    <row r="1102">
      <c r="A1102" s="26" t="s">
        <v>1394</v>
      </c>
      <c r="B1102" s="27">
        <v>0.076</v>
      </c>
      <c r="C1102" s="27">
        <v>0.2721</v>
      </c>
    </row>
    <row r="1103">
      <c r="A1103" s="26" t="s">
        <v>1395</v>
      </c>
      <c r="B1103" s="27">
        <v>5.52</v>
      </c>
      <c r="C1103" s="27">
        <v>1.098</v>
      </c>
    </row>
    <row r="1104">
      <c r="A1104" s="26" t="s">
        <v>1397</v>
      </c>
      <c r="B1104" s="27">
        <v>2.83</v>
      </c>
      <c r="C1104" s="27">
        <v>1.281</v>
      </c>
    </row>
    <row r="1105">
      <c r="A1105" s="26" t="s">
        <v>1398</v>
      </c>
      <c r="B1105" s="27">
        <v>0.92</v>
      </c>
      <c r="C1105" s="27">
        <v>1.453</v>
      </c>
    </row>
    <row r="1106">
      <c r="A1106" s="26" t="s">
        <v>1399</v>
      </c>
      <c r="B1106" s="27">
        <v>0.82</v>
      </c>
      <c r="C1106" s="27">
        <v>0.96</v>
      </c>
    </row>
    <row r="1107">
      <c r="A1107" s="26" t="s">
        <v>1400</v>
      </c>
      <c r="B1107" s="27">
        <v>0.0558</v>
      </c>
      <c r="C1107" s="27">
        <v>0.6861</v>
      </c>
    </row>
    <row r="1108">
      <c r="A1108" s="26" t="s">
        <v>1401</v>
      </c>
      <c r="B1108" s="27">
        <v>0.528</v>
      </c>
      <c r="C1108" s="27">
        <v>0.901</v>
      </c>
    </row>
    <row r="1109">
      <c r="A1109" s="26" t="s">
        <v>1402</v>
      </c>
      <c r="B1109" s="27">
        <v>2.755</v>
      </c>
      <c r="C1109" s="27">
        <v>1.01</v>
      </c>
    </row>
    <row r="1110">
      <c r="A1110" s="26" t="s">
        <v>1404</v>
      </c>
      <c r="B1110" s="27">
        <v>0.65</v>
      </c>
      <c r="C1110" s="27">
        <v>1.017</v>
      </c>
    </row>
    <row r="1111">
      <c r="A1111" s="26" t="s">
        <v>1405</v>
      </c>
      <c r="B1111" s="27">
        <v>0.94</v>
      </c>
      <c r="C1111" s="27">
        <v>1.77</v>
      </c>
    </row>
    <row r="1112">
      <c r="A1112" s="26" t="s">
        <v>1406</v>
      </c>
      <c r="B1112" s="27">
        <v>0.0145456</v>
      </c>
      <c r="C1112" s="27">
        <v>0.177466</v>
      </c>
    </row>
    <row r="1113">
      <c r="A1113" s="26" t="s">
        <v>1407</v>
      </c>
      <c r="B1113" s="27">
        <v>0.082</v>
      </c>
      <c r="C1113" s="27">
        <v>0.3131</v>
      </c>
    </row>
    <row r="1114">
      <c r="A1114" s="26" t="s">
        <v>1409</v>
      </c>
      <c r="B1114" s="27">
        <v>0.978</v>
      </c>
      <c r="C1114" s="27">
        <v>1.0</v>
      </c>
    </row>
    <row r="1115">
      <c r="A1115" s="26" t="s">
        <v>1410</v>
      </c>
      <c r="B1115" s="27">
        <v>0.64</v>
      </c>
      <c r="C1115" s="27">
        <v>0.995</v>
      </c>
    </row>
    <row r="1116">
      <c r="A1116" s="26" t="s">
        <v>1411</v>
      </c>
      <c r="B1116" s="27">
        <v>0.0428</v>
      </c>
      <c r="C1116" s="27">
        <v>0.2694</v>
      </c>
    </row>
    <row r="1117">
      <c r="A1117" s="26" t="s">
        <v>1412</v>
      </c>
      <c r="B1117" s="27">
        <v>1.58</v>
      </c>
      <c r="C1117" s="27">
        <v>1.282</v>
      </c>
    </row>
    <row r="1118">
      <c r="A1118" s="26" t="s">
        <v>1413</v>
      </c>
      <c r="B1118" s="27">
        <v>0.0179</v>
      </c>
      <c r="C1118" s="27">
        <v>0.19574</v>
      </c>
    </row>
    <row r="1119">
      <c r="A1119" s="26" t="s">
        <v>1414</v>
      </c>
      <c r="B1119" s="27">
        <v>0.011</v>
      </c>
      <c r="C1119" s="27">
        <v>0.1445</v>
      </c>
    </row>
    <row r="1120">
      <c r="A1120" s="26" t="s">
        <v>1416</v>
      </c>
      <c r="B1120" s="27">
        <v>0.0614</v>
      </c>
      <c r="C1120" s="27">
        <v>0.1552</v>
      </c>
    </row>
    <row r="1121">
      <c r="A1121" s="26" t="s">
        <v>1417</v>
      </c>
      <c r="B1121" s="27">
        <v>0.005</v>
      </c>
      <c r="C1121" s="27">
        <v>0.1044</v>
      </c>
    </row>
    <row r="1122">
      <c r="A1122" s="26" t="s">
        <v>1418</v>
      </c>
      <c r="B1122" s="27">
        <v>0.875</v>
      </c>
      <c r="C1122" s="27">
        <v>1.47</v>
      </c>
    </row>
    <row r="1123">
      <c r="A1123" s="26" t="s">
        <v>1419</v>
      </c>
      <c r="B1123" s="27">
        <v>0.16</v>
      </c>
      <c r="C1123" s="27">
        <v>0.89</v>
      </c>
    </row>
    <row r="1124">
      <c r="A1124" s="26" t="s">
        <v>1420</v>
      </c>
      <c r="B1124" s="27">
        <v>1.0</v>
      </c>
      <c r="C1124" s="27">
        <v>0.9</v>
      </c>
    </row>
    <row r="1125">
      <c r="A1125" s="26" t="s">
        <v>1421</v>
      </c>
      <c r="B1125" s="27">
        <v>5.98</v>
      </c>
      <c r="C1125" s="27">
        <v>1.0</v>
      </c>
    </row>
    <row r="1126">
      <c r="A1126" s="26" t="s">
        <v>1423</v>
      </c>
      <c r="B1126" s="27">
        <v>0.225</v>
      </c>
      <c r="C1126" s="27">
        <v>0.768</v>
      </c>
    </row>
    <row r="1127">
      <c r="A1127" s="26" t="s">
        <v>1424</v>
      </c>
      <c r="B1127" s="27">
        <v>0.65</v>
      </c>
      <c r="C1127" s="27">
        <v>0.967</v>
      </c>
    </row>
    <row r="1128">
      <c r="A1128" s="26" t="s">
        <v>1425</v>
      </c>
      <c r="B1128" s="27">
        <v>9.3</v>
      </c>
      <c r="C1128" s="27">
        <v>0.93</v>
      </c>
    </row>
    <row r="1129">
      <c r="A1129" s="26" t="s">
        <v>1426</v>
      </c>
      <c r="B1129" s="27">
        <v>0.17821</v>
      </c>
      <c r="C1129" s="27">
        <v>0.607</v>
      </c>
    </row>
    <row r="1130">
      <c r="A1130" s="26" t="s">
        <v>1427</v>
      </c>
      <c r="B1130" s="27">
        <v>5.76</v>
      </c>
      <c r="C1130" s="27">
        <v>1.046</v>
      </c>
    </row>
    <row r="1131">
      <c r="A1131" s="26" t="s">
        <v>1429</v>
      </c>
      <c r="B1131" s="27">
        <v>0.009</v>
      </c>
      <c r="C1131" s="27">
        <v>0.1285</v>
      </c>
    </row>
    <row r="1132">
      <c r="A1132" s="26" t="s">
        <v>1430</v>
      </c>
      <c r="B1132" s="27">
        <v>1.966</v>
      </c>
      <c r="C1132" s="27">
        <v>1.025</v>
      </c>
    </row>
    <row r="1133">
      <c r="A1133" s="26" t="s">
        <v>1431</v>
      </c>
      <c r="B1133" s="27">
        <v>0.0106</v>
      </c>
      <c r="C1133" s="27">
        <v>0.13909</v>
      </c>
    </row>
    <row r="1134">
      <c r="A1134" s="26" t="s">
        <v>1432</v>
      </c>
      <c r="B1134" s="27">
        <v>0.0211</v>
      </c>
      <c r="C1134" s="27">
        <v>0.1945</v>
      </c>
    </row>
    <row r="1135">
      <c r="A1135" s="26" t="s">
        <v>1433</v>
      </c>
      <c r="B1135" s="27">
        <v>0.0286</v>
      </c>
      <c r="C1135" s="27">
        <v>0.2623</v>
      </c>
    </row>
    <row r="1136">
      <c r="A1136" s="26" t="s">
        <v>1434</v>
      </c>
      <c r="B1136" s="27">
        <v>0.053</v>
      </c>
      <c r="C1136" s="27">
        <v>0.3801</v>
      </c>
    </row>
    <row r="1137">
      <c r="A1137" s="26" t="s">
        <v>1435</v>
      </c>
      <c r="B1137" s="27">
        <v>0.0123</v>
      </c>
      <c r="C1137" s="27">
        <v>0.1499</v>
      </c>
    </row>
    <row r="1138">
      <c r="A1138" s="26" t="s">
        <v>1437</v>
      </c>
      <c r="B1138" s="27">
        <v>3.0</v>
      </c>
      <c r="C1138" s="27">
        <v>0.88</v>
      </c>
    </row>
    <row r="1139">
      <c r="A1139" s="26" t="s">
        <v>1438</v>
      </c>
      <c r="B1139" s="27">
        <v>0.93</v>
      </c>
      <c r="C1139" s="27">
        <v>1.34</v>
      </c>
    </row>
    <row r="1140">
      <c r="A1140" s="26" t="s">
        <v>1439</v>
      </c>
      <c r="B1140" s="27">
        <v>0.333</v>
      </c>
      <c r="C1140" s="27">
        <v>0.925</v>
      </c>
    </row>
    <row r="1141">
      <c r="A1141" s="26" t="s">
        <v>1440</v>
      </c>
      <c r="B1141" s="27">
        <v>0.0179</v>
      </c>
      <c r="C1141" s="27">
        <v>0.1463</v>
      </c>
    </row>
    <row r="1142">
      <c r="A1142" s="26" t="s">
        <v>1441</v>
      </c>
      <c r="B1142" s="27">
        <v>0.01284</v>
      </c>
      <c r="C1142" s="27">
        <v>0.2105</v>
      </c>
    </row>
    <row r="1143">
      <c r="A1143" s="26" t="s">
        <v>1442</v>
      </c>
      <c r="B1143" s="27">
        <v>0.006</v>
      </c>
      <c r="C1143" s="27">
        <v>0.12267</v>
      </c>
    </row>
    <row r="1144">
      <c r="A1144" s="26" t="s">
        <v>1444</v>
      </c>
      <c r="B1144" s="27">
        <v>0.04188</v>
      </c>
      <c r="C1144" s="27">
        <v>0.2525</v>
      </c>
    </row>
    <row r="1145">
      <c r="A1145" s="26" t="s">
        <v>1445</v>
      </c>
      <c r="B1145" s="27">
        <v>0.02847</v>
      </c>
      <c r="C1145" s="27">
        <v>0.2632</v>
      </c>
    </row>
    <row r="1146">
      <c r="A1146" s="26" t="s">
        <v>1446</v>
      </c>
      <c r="B1146" s="27">
        <v>2.41</v>
      </c>
      <c r="C1146" s="27">
        <v>1.08</v>
      </c>
    </row>
    <row r="1147">
      <c r="A1147" s="26" t="s">
        <v>1447</v>
      </c>
      <c r="B1147" s="27">
        <v>5.21</v>
      </c>
      <c r="C1147" s="27">
        <v>1.0</v>
      </c>
    </row>
    <row r="1148">
      <c r="A1148" s="26" t="s">
        <v>1448</v>
      </c>
      <c r="B1148" s="27">
        <v>0.10893</v>
      </c>
      <c r="C1148" s="27">
        <v>0.5406</v>
      </c>
    </row>
    <row r="1149">
      <c r="A1149" s="26" t="s">
        <v>1450</v>
      </c>
      <c r="B1149" s="27">
        <v>1.0</v>
      </c>
      <c r="C1149" s="27">
        <v>0.2444</v>
      </c>
    </row>
    <row r="1150">
      <c r="A1150" s="26" t="s">
        <v>1451</v>
      </c>
      <c r="B1150" s="27">
        <v>0.64</v>
      </c>
      <c r="C1150" s="27">
        <v>1.0</v>
      </c>
    </row>
    <row r="1151">
      <c r="A1151" s="26" t="s">
        <v>1452</v>
      </c>
      <c r="B1151" s="27">
        <v>0.084</v>
      </c>
      <c r="C1151" s="27">
        <v>0.774</v>
      </c>
    </row>
    <row r="1152">
      <c r="A1152" s="26" t="s">
        <v>1453</v>
      </c>
      <c r="B1152" s="27">
        <v>0.657</v>
      </c>
      <c r="C1152" s="27">
        <v>0.904</v>
      </c>
    </row>
    <row r="1153">
      <c r="A1153" s="26" t="s">
        <v>1454</v>
      </c>
      <c r="B1153" s="27">
        <v>2.34</v>
      </c>
      <c r="C1153" s="27">
        <v>1.03</v>
      </c>
    </row>
    <row r="1154">
      <c r="A1154" s="26" t="s">
        <v>1455</v>
      </c>
      <c r="B1154" s="27">
        <v>1.3</v>
      </c>
      <c r="C1154" s="27">
        <v>1.0</v>
      </c>
    </row>
    <row r="1155">
      <c r="A1155" s="26" t="s">
        <v>1457</v>
      </c>
      <c r="B1155" s="27">
        <v>0.201</v>
      </c>
      <c r="C1155" s="27">
        <v>0.975</v>
      </c>
    </row>
    <row r="1156">
      <c r="A1156" s="26" t="s">
        <v>1458</v>
      </c>
      <c r="B1156" s="27">
        <v>0.82</v>
      </c>
      <c r="C1156" s="27">
        <v>1.217</v>
      </c>
    </row>
    <row r="1157">
      <c r="A1157" s="26" t="s">
        <v>1459</v>
      </c>
      <c r="B1157" s="27">
        <v>0.134</v>
      </c>
      <c r="C1157" s="27">
        <v>0.626</v>
      </c>
    </row>
    <row r="1158">
      <c r="A1158" s="26" t="s">
        <v>1460</v>
      </c>
      <c r="B1158" s="27">
        <v>0.63</v>
      </c>
      <c r="C1158" s="27">
        <v>1.55</v>
      </c>
    </row>
    <row r="1159">
      <c r="A1159" s="26" t="s">
        <v>1461</v>
      </c>
      <c r="B1159" s="27">
        <v>0.25</v>
      </c>
      <c r="C1159" s="27">
        <v>1.29</v>
      </c>
    </row>
    <row r="1160">
      <c r="A1160" s="26" t="s">
        <v>1462</v>
      </c>
      <c r="B1160" s="27">
        <v>0.218</v>
      </c>
      <c r="C1160" s="27">
        <v>1.077</v>
      </c>
    </row>
    <row r="1161">
      <c r="A1161" s="26" t="s">
        <v>1463</v>
      </c>
      <c r="B1161" s="27">
        <v>3.5</v>
      </c>
      <c r="C1161" s="27">
        <v>1.08</v>
      </c>
    </row>
    <row r="1162">
      <c r="A1162" s="26" t="s">
        <v>1465</v>
      </c>
      <c r="B1162" s="27">
        <v>0.02961</v>
      </c>
      <c r="C1162" s="27">
        <v>0.1454</v>
      </c>
    </row>
    <row r="1163">
      <c r="A1163" s="26" t="s">
        <v>1466</v>
      </c>
      <c r="B1163" s="27">
        <v>0.366</v>
      </c>
      <c r="C1163" s="27">
        <v>1.615</v>
      </c>
    </row>
    <row r="1164">
      <c r="A1164" s="26" t="s">
        <v>1467</v>
      </c>
      <c r="B1164" s="27">
        <v>0.61</v>
      </c>
      <c r="C1164" s="27">
        <v>1.76</v>
      </c>
    </row>
    <row r="1165">
      <c r="A1165" s="26" t="s">
        <v>1468</v>
      </c>
      <c r="B1165" s="27">
        <v>0.028</v>
      </c>
      <c r="C1165" s="27">
        <v>0.2284</v>
      </c>
    </row>
    <row r="1166">
      <c r="A1166" s="26" t="s">
        <v>1469</v>
      </c>
      <c r="B1166" s="27">
        <v>0.0337</v>
      </c>
      <c r="C1166" s="27">
        <v>0.2213</v>
      </c>
    </row>
    <row r="1167">
      <c r="A1167" s="26" t="s">
        <v>1470</v>
      </c>
      <c r="B1167" s="27">
        <v>0.0277</v>
      </c>
      <c r="C1167" s="27">
        <v>0.2471</v>
      </c>
    </row>
    <row r="1168">
      <c r="A1168" s="26" t="s">
        <v>1472</v>
      </c>
      <c r="B1168" s="27">
        <v>0.00466</v>
      </c>
      <c r="C1168" s="27">
        <v>0.11125</v>
      </c>
    </row>
    <row r="1169">
      <c r="A1169" s="26" t="s">
        <v>1473</v>
      </c>
      <c r="B1169" s="27">
        <v>0.0195</v>
      </c>
      <c r="C1169" s="27">
        <v>0.2079</v>
      </c>
    </row>
    <row r="1170">
      <c r="A1170" s="26" t="s">
        <v>1474</v>
      </c>
      <c r="B1170" s="27">
        <v>0.0132</v>
      </c>
      <c r="C1170" s="27">
        <v>0.19</v>
      </c>
    </row>
    <row r="1171">
      <c r="A1171" s="26" t="s">
        <v>1475</v>
      </c>
      <c r="B1171" s="27">
        <v>0.717</v>
      </c>
      <c r="C1171" s="27">
        <v>1.224</v>
      </c>
    </row>
    <row r="1172">
      <c r="A1172" s="26" t="s">
        <v>1476</v>
      </c>
      <c r="B1172" s="27">
        <v>0.0308</v>
      </c>
      <c r="C1172" s="27">
        <v>0.27612</v>
      </c>
    </row>
    <row r="1173">
      <c r="A1173" s="26" t="s">
        <v>1478</v>
      </c>
      <c r="B1173" s="27">
        <v>0.44</v>
      </c>
      <c r="C1173" s="27">
        <v>1.59</v>
      </c>
    </row>
    <row r="1174">
      <c r="A1174" s="26" t="s">
        <v>1479</v>
      </c>
      <c r="B1174" s="27">
        <v>0.975</v>
      </c>
      <c r="C1174" s="27">
        <v>1.616</v>
      </c>
    </row>
    <row r="1175">
      <c r="A1175" s="26" t="s">
        <v>1480</v>
      </c>
      <c r="B1175" s="27">
        <v>0.71</v>
      </c>
      <c r="C1175" s="27">
        <v>1.363</v>
      </c>
    </row>
    <row r="1176">
      <c r="A1176" s="26" t="s">
        <v>1481</v>
      </c>
      <c r="B1176" s="27">
        <v>0.37</v>
      </c>
      <c r="C1176" s="27">
        <v>1.146</v>
      </c>
    </row>
    <row r="1177">
      <c r="A1177" s="26" t="s">
        <v>1482</v>
      </c>
      <c r="B1177" s="27">
        <v>0.01425</v>
      </c>
      <c r="C1177" s="27">
        <v>0.1267</v>
      </c>
    </row>
    <row r="1178">
      <c r="A1178" s="26" t="s">
        <v>1484</v>
      </c>
      <c r="B1178" s="27">
        <v>0.0117</v>
      </c>
      <c r="C1178" s="27">
        <v>0.1677</v>
      </c>
    </row>
    <row r="1179">
      <c r="A1179" s="26" t="s">
        <v>1485</v>
      </c>
      <c r="B1179" s="27">
        <v>1.16</v>
      </c>
      <c r="C1179" s="27">
        <v>1.1</v>
      </c>
    </row>
    <row r="1180">
      <c r="A1180" s="26" t="s">
        <v>1486</v>
      </c>
      <c r="B1180" s="27">
        <v>1.68</v>
      </c>
      <c r="C1180" s="27">
        <v>1.174</v>
      </c>
    </row>
    <row r="1181">
      <c r="A1181" s="26" t="s">
        <v>1487</v>
      </c>
      <c r="B1181" s="27">
        <v>2.007</v>
      </c>
      <c r="C1181" s="27">
        <v>1.195</v>
      </c>
    </row>
    <row r="1182">
      <c r="A1182" s="26" t="s">
        <v>1488</v>
      </c>
      <c r="B1182" s="27">
        <v>3.0</v>
      </c>
      <c r="C1182" s="27">
        <v>1.12</v>
      </c>
    </row>
    <row r="1183">
      <c r="A1183" s="26" t="s">
        <v>1489</v>
      </c>
      <c r="B1183" s="27">
        <v>0.62</v>
      </c>
      <c r="C1183" s="27">
        <v>1.466</v>
      </c>
    </row>
    <row r="1184">
      <c r="A1184" s="26" t="s">
        <v>1491</v>
      </c>
      <c r="B1184" s="27">
        <v>0.2146</v>
      </c>
      <c r="C1184" s="27">
        <v>0.6388</v>
      </c>
    </row>
    <row r="1185">
      <c r="A1185" s="26" t="s">
        <v>1492</v>
      </c>
      <c r="B1185" s="27">
        <v>0.0410483</v>
      </c>
      <c r="C1185" s="27">
        <v>0.326713</v>
      </c>
    </row>
    <row r="1186">
      <c r="A1186" s="26" t="s">
        <v>1493</v>
      </c>
      <c r="B1186" s="27">
        <v>0.665</v>
      </c>
      <c r="C1186" s="27">
        <v>1.017</v>
      </c>
    </row>
    <row r="1187">
      <c r="A1187" s="26" t="s">
        <v>1494</v>
      </c>
      <c r="B1187" s="27">
        <v>0.0953</v>
      </c>
      <c r="C1187" s="27">
        <v>0.3408</v>
      </c>
    </row>
    <row r="1188">
      <c r="A1188" s="26" t="s">
        <v>1495</v>
      </c>
      <c r="B1188" s="27">
        <v>0.1271</v>
      </c>
      <c r="C1188" s="27">
        <v>0.4211</v>
      </c>
    </row>
    <row r="1189">
      <c r="A1189" s="26" t="s">
        <v>1497</v>
      </c>
      <c r="B1189" s="27">
        <v>0.554</v>
      </c>
      <c r="C1189" s="27">
        <v>1.39</v>
      </c>
    </row>
    <row r="1190">
      <c r="A1190" s="26" t="s">
        <v>1498</v>
      </c>
      <c r="B1190" s="27">
        <v>0.18</v>
      </c>
      <c r="C1190" s="27">
        <v>0.285</v>
      </c>
    </row>
    <row r="1191">
      <c r="A1191" s="26" t="s">
        <v>1499</v>
      </c>
      <c r="B1191" s="27">
        <v>2.27</v>
      </c>
      <c r="C1191" s="27">
        <v>1.158</v>
      </c>
    </row>
    <row r="1192">
      <c r="A1192" s="26" t="s">
        <v>1500</v>
      </c>
      <c r="B1192" s="27">
        <v>4.0</v>
      </c>
      <c r="C1192" s="27">
        <v>1.2</v>
      </c>
    </row>
    <row r="1193">
      <c r="A1193" s="26" t="s">
        <v>1501</v>
      </c>
      <c r="B1193" s="27">
        <v>1.67</v>
      </c>
      <c r="C1193" s="27">
        <v>1.091</v>
      </c>
    </row>
    <row r="1194">
      <c r="A1194" s="26" t="s">
        <v>1502</v>
      </c>
      <c r="B1194" s="27">
        <v>0.02822</v>
      </c>
      <c r="C1194" s="27">
        <v>0.2873</v>
      </c>
    </row>
    <row r="1195">
      <c r="A1195" s="26" t="s">
        <v>1504</v>
      </c>
      <c r="B1195" s="27">
        <v>1.18</v>
      </c>
      <c r="C1195" s="27">
        <v>2.1</v>
      </c>
    </row>
    <row r="1196">
      <c r="A1196" s="26" t="s">
        <v>1505</v>
      </c>
      <c r="B1196" s="27">
        <v>0.083</v>
      </c>
      <c r="C1196" s="27">
        <v>0.473</v>
      </c>
    </row>
    <row r="1197">
      <c r="A1197" s="26" t="s">
        <v>1506</v>
      </c>
      <c r="B1197" s="27">
        <v>0.26</v>
      </c>
      <c r="C1197" s="27">
        <v>0.74</v>
      </c>
    </row>
    <row r="1198">
      <c r="A1198" s="26" t="s">
        <v>1507</v>
      </c>
      <c r="B1198" s="27">
        <v>0.98</v>
      </c>
      <c r="C1198" s="27">
        <v>1.167</v>
      </c>
    </row>
    <row r="1199">
      <c r="A1199" s="26" t="s">
        <v>1508</v>
      </c>
      <c r="B1199" s="27">
        <v>1.02</v>
      </c>
      <c r="C1199" s="27">
        <v>1.124</v>
      </c>
    </row>
    <row r="1200">
      <c r="A1200" s="26" t="s">
        <v>1510</v>
      </c>
      <c r="B1200" s="27">
        <v>0.689</v>
      </c>
      <c r="C1200" s="27">
        <v>0.994</v>
      </c>
    </row>
    <row r="1201">
      <c r="A1201" s="26" t="s">
        <v>1511</v>
      </c>
      <c r="B1201" s="27">
        <v>0.2684</v>
      </c>
      <c r="C1201" s="27">
        <v>1.07</v>
      </c>
    </row>
    <row r="1202">
      <c r="A1202" s="26" t="s">
        <v>1512</v>
      </c>
      <c r="B1202" s="27">
        <v>0.04704</v>
      </c>
      <c r="C1202" s="27">
        <v>0.4586</v>
      </c>
    </row>
    <row r="1203">
      <c r="A1203" s="26" t="s">
        <v>1513</v>
      </c>
      <c r="B1203" s="27">
        <v>1.04</v>
      </c>
      <c r="C1203" s="27">
        <v>2.0</v>
      </c>
    </row>
    <row r="1204">
      <c r="A1204" s="26" t="s">
        <v>1514</v>
      </c>
      <c r="B1204" s="27">
        <v>1.11</v>
      </c>
      <c r="C1204" s="27">
        <v>1.172</v>
      </c>
    </row>
    <row r="1205">
      <c r="A1205" s="26" t="s">
        <v>1515</v>
      </c>
      <c r="B1205" s="27">
        <v>0.59</v>
      </c>
      <c r="C1205" s="27">
        <v>0.96</v>
      </c>
    </row>
    <row r="1206">
      <c r="A1206" s="26" t="s">
        <v>1517</v>
      </c>
      <c r="B1206" s="27">
        <v>0.0519</v>
      </c>
      <c r="C1206" s="27">
        <v>0.5629</v>
      </c>
    </row>
    <row r="1207">
      <c r="A1207" s="26" t="s">
        <v>1518</v>
      </c>
      <c r="B1207" s="27">
        <v>0.85</v>
      </c>
      <c r="C1207" s="27">
        <v>1.36</v>
      </c>
    </row>
    <row r="1208">
      <c r="A1208" s="26" t="s">
        <v>1519</v>
      </c>
      <c r="B1208" s="27">
        <v>0.406</v>
      </c>
      <c r="C1208" s="27">
        <v>1.274</v>
      </c>
    </row>
    <row r="1209">
      <c r="A1209" s="26" t="s">
        <v>1520</v>
      </c>
      <c r="B1209" s="27">
        <v>3.88</v>
      </c>
      <c r="C1209" s="27">
        <v>1.1</v>
      </c>
    </row>
    <row r="1210">
      <c r="A1210" s="26" t="s">
        <v>1521</v>
      </c>
      <c r="B1210" s="27">
        <v>0.01117</v>
      </c>
      <c r="C1210" s="27">
        <v>0.178</v>
      </c>
    </row>
    <row r="1211">
      <c r="A1211" s="26" t="s">
        <v>1522</v>
      </c>
      <c r="B1211" s="27">
        <v>0.0028</v>
      </c>
      <c r="C1211" s="27">
        <v>0.1766</v>
      </c>
    </row>
    <row r="1212">
      <c r="A1212" s="26" t="s">
        <v>1524</v>
      </c>
      <c r="B1212" s="27">
        <v>0.0223</v>
      </c>
      <c r="C1212" s="27">
        <v>0.18</v>
      </c>
    </row>
    <row r="1213">
      <c r="A1213" s="26" t="s">
        <v>1525</v>
      </c>
      <c r="B1213" s="27">
        <v>0.175</v>
      </c>
      <c r="C1213" s="27">
        <v>1.095</v>
      </c>
    </row>
    <row r="1214">
      <c r="A1214" s="26" t="s">
        <v>1526</v>
      </c>
      <c r="B1214" s="27">
        <v>0.138</v>
      </c>
      <c r="C1214" s="27">
        <v>0.71</v>
      </c>
    </row>
    <row r="1215">
      <c r="A1215" s="26" t="s">
        <v>1527</v>
      </c>
      <c r="B1215" s="27">
        <v>0.035</v>
      </c>
      <c r="C1215" s="27">
        <v>0.2694</v>
      </c>
    </row>
    <row r="1216">
      <c r="A1216" s="26" t="s">
        <v>1528</v>
      </c>
      <c r="B1216" s="27">
        <v>0.0639</v>
      </c>
      <c r="C1216" s="27">
        <v>0.529</v>
      </c>
    </row>
    <row r="1217">
      <c r="A1217" s="26" t="s">
        <v>1530</v>
      </c>
      <c r="B1217" s="27">
        <v>0.12003</v>
      </c>
      <c r="C1217" s="27">
        <v>0.5513</v>
      </c>
    </row>
    <row r="1218">
      <c r="A1218" s="26" t="s">
        <v>1531</v>
      </c>
      <c r="B1218" s="27">
        <v>0.02051</v>
      </c>
      <c r="C1218" s="27">
        <v>0.1579</v>
      </c>
    </row>
    <row r="1219">
      <c r="A1219" s="26" t="s">
        <v>1532</v>
      </c>
      <c r="B1219" s="27">
        <v>0.02136</v>
      </c>
      <c r="C1219" s="27">
        <v>0.22536</v>
      </c>
    </row>
    <row r="1220">
      <c r="A1220" s="26" t="s">
        <v>1533</v>
      </c>
      <c r="B1220" s="27">
        <v>0.00654</v>
      </c>
      <c r="C1220" s="27">
        <v>0.1178</v>
      </c>
    </row>
    <row r="1221">
      <c r="A1221" s="26" t="s">
        <v>1534</v>
      </c>
      <c r="B1221" s="27">
        <v>0.02067</v>
      </c>
      <c r="C1221" s="27">
        <v>0.1856</v>
      </c>
    </row>
    <row r="1222">
      <c r="A1222" s="26" t="s">
        <v>1535</v>
      </c>
      <c r="B1222" s="27">
        <v>0.73</v>
      </c>
      <c r="C1222" s="27">
        <v>1.164</v>
      </c>
    </row>
    <row r="1223">
      <c r="A1223" s="26" t="s">
        <v>1537</v>
      </c>
      <c r="B1223" s="27">
        <v>2.3</v>
      </c>
      <c r="C1223" s="27">
        <v>1.096</v>
      </c>
    </row>
    <row r="1224">
      <c r="A1224" s="26" t="s">
        <v>1538</v>
      </c>
      <c r="B1224" s="27">
        <v>1.01</v>
      </c>
      <c r="C1224" s="27">
        <v>1.211</v>
      </c>
    </row>
    <row r="1225">
      <c r="A1225" s="26" t="s">
        <v>1539</v>
      </c>
      <c r="B1225" s="27">
        <v>0.67</v>
      </c>
      <c r="C1225" s="27">
        <v>1.49</v>
      </c>
    </row>
    <row r="1226">
      <c r="A1226" s="26" t="s">
        <v>1540</v>
      </c>
      <c r="B1226" s="27">
        <v>0.43</v>
      </c>
      <c r="C1226" s="27">
        <v>1.187</v>
      </c>
    </row>
    <row r="1227">
      <c r="A1227" s="26" t="s">
        <v>1541</v>
      </c>
      <c r="B1227" s="27">
        <v>1.15</v>
      </c>
      <c r="C1227" s="27">
        <v>1.438</v>
      </c>
    </row>
    <row r="1228">
      <c r="A1228" s="26" t="s">
        <v>1543</v>
      </c>
      <c r="B1228" s="27">
        <v>6.6</v>
      </c>
      <c r="C1228" s="27">
        <v>0.2168</v>
      </c>
    </row>
    <row r="1229">
      <c r="A1229" s="26" t="s">
        <v>1544</v>
      </c>
      <c r="B1229" s="27">
        <v>2.589</v>
      </c>
      <c r="C1229" s="27">
        <v>1.133</v>
      </c>
    </row>
    <row r="1230">
      <c r="A1230" s="26" t="s">
        <v>1545</v>
      </c>
      <c r="B1230" s="27">
        <v>0.0444</v>
      </c>
      <c r="C1230" s="27">
        <v>0.4541</v>
      </c>
    </row>
    <row r="1231">
      <c r="A1231" s="26" t="s">
        <v>1546</v>
      </c>
      <c r="B1231" s="27">
        <v>0.8</v>
      </c>
      <c r="C1231" s="27">
        <v>0.8</v>
      </c>
    </row>
    <row r="1232">
      <c r="A1232" s="26" t="s">
        <v>1547</v>
      </c>
      <c r="B1232" s="27">
        <v>0.02029</v>
      </c>
      <c r="C1232" s="27">
        <v>0.2159</v>
      </c>
    </row>
    <row r="1233">
      <c r="A1233" s="26" t="s">
        <v>1549</v>
      </c>
      <c r="B1233" s="27">
        <v>0.00966</v>
      </c>
      <c r="C1233" s="27">
        <v>0.1142</v>
      </c>
    </row>
    <row r="1234">
      <c r="A1234" s="26" t="s">
        <v>1550</v>
      </c>
      <c r="B1234" s="27">
        <v>0.0311</v>
      </c>
      <c r="C1234" s="27">
        <v>0.2935</v>
      </c>
    </row>
    <row r="1235">
      <c r="A1235" s="26" t="s">
        <v>1551</v>
      </c>
      <c r="B1235" s="27">
        <v>0.45</v>
      </c>
      <c r="C1235" s="27">
        <v>1.5</v>
      </c>
    </row>
    <row r="1236">
      <c r="A1236" s="26" t="s">
        <v>1552</v>
      </c>
      <c r="B1236" s="27">
        <v>0.957</v>
      </c>
      <c r="C1236" s="27">
        <v>1.35</v>
      </c>
    </row>
    <row r="1237">
      <c r="A1237" s="26" t="s">
        <v>1553</v>
      </c>
      <c r="B1237" s="27">
        <v>1.113</v>
      </c>
      <c r="C1237" s="27">
        <v>1.489</v>
      </c>
    </row>
    <row r="1238">
      <c r="A1238" s="26" t="s">
        <v>1555</v>
      </c>
      <c r="B1238" s="27">
        <v>0.3</v>
      </c>
      <c r="C1238" s="27">
        <v>1.0</v>
      </c>
    </row>
    <row r="1239">
      <c r="A1239" s="26" t="s">
        <v>1556</v>
      </c>
      <c r="B1239" s="27">
        <v>0.017</v>
      </c>
      <c r="C1239" s="27">
        <v>0.2248</v>
      </c>
    </row>
    <row r="1240">
      <c r="A1240" s="26" t="s">
        <v>1557</v>
      </c>
      <c r="B1240" s="27">
        <v>0.794</v>
      </c>
      <c r="C1240" s="27">
        <v>1.183</v>
      </c>
    </row>
    <row r="1241">
      <c r="A1241" s="26" t="s">
        <v>1558</v>
      </c>
      <c r="B1241" s="27">
        <v>5.9</v>
      </c>
      <c r="C1241" s="27">
        <v>1.2</v>
      </c>
    </row>
    <row r="1242">
      <c r="A1242" s="26" t="s">
        <v>1559</v>
      </c>
      <c r="B1242" s="27">
        <v>0.0261</v>
      </c>
      <c r="C1242" s="27">
        <v>0.2516</v>
      </c>
    </row>
    <row r="1243">
      <c r="A1243" s="26" t="s">
        <v>1560</v>
      </c>
      <c r="B1243" s="27">
        <v>0.006</v>
      </c>
      <c r="C1243" s="27">
        <v>0.11874</v>
      </c>
    </row>
    <row r="1244">
      <c r="A1244" s="26" t="s">
        <v>1561</v>
      </c>
      <c r="B1244" s="27">
        <v>2.0</v>
      </c>
      <c r="C1244" s="27">
        <v>1.09</v>
      </c>
    </row>
    <row r="1245">
      <c r="A1245" s="26" t="s">
        <v>1563</v>
      </c>
      <c r="B1245" s="27">
        <v>1.49</v>
      </c>
      <c r="C1245" s="27">
        <v>1.06</v>
      </c>
    </row>
    <row r="1246">
      <c r="A1246" s="26" t="s">
        <v>1564</v>
      </c>
      <c r="B1246" s="27">
        <v>0.0085</v>
      </c>
      <c r="C1246" s="27">
        <v>0.12624</v>
      </c>
    </row>
    <row r="1247">
      <c r="A1247" s="26" t="s">
        <v>1565</v>
      </c>
      <c r="B1247" s="27">
        <v>3.29</v>
      </c>
      <c r="C1247" s="27">
        <v>1.072</v>
      </c>
    </row>
    <row r="1248">
      <c r="A1248" s="26" t="s">
        <v>1566</v>
      </c>
      <c r="B1248" s="27">
        <v>0.53</v>
      </c>
      <c r="C1248" s="27">
        <v>0.94</v>
      </c>
    </row>
    <row r="1249">
      <c r="A1249" s="26" t="s">
        <v>166</v>
      </c>
      <c r="B1249" s="27">
        <v>12.89</v>
      </c>
      <c r="C1249" s="27">
        <v>1.042</v>
      </c>
    </row>
    <row r="1250">
      <c r="A1250" s="26" t="s">
        <v>1567</v>
      </c>
      <c r="B1250" s="27">
        <v>0.1504</v>
      </c>
      <c r="C1250" s="27">
        <v>0.285</v>
      </c>
    </row>
    <row r="1251">
      <c r="A1251" s="26" t="s">
        <v>1568</v>
      </c>
      <c r="B1251" s="27">
        <v>3.87</v>
      </c>
      <c r="C1251" s="27">
        <v>0.73</v>
      </c>
    </row>
    <row r="1252">
      <c r="A1252" s="26" t="s">
        <v>1569</v>
      </c>
      <c r="B1252" s="27">
        <v>0.0186</v>
      </c>
      <c r="C1252" s="27">
        <v>0.3105</v>
      </c>
    </row>
    <row r="1253">
      <c r="A1253" s="26" t="s">
        <v>1570</v>
      </c>
      <c r="B1253" s="27">
        <v>0.0142</v>
      </c>
      <c r="C1253" s="27">
        <v>0.141</v>
      </c>
    </row>
    <row r="1254">
      <c r="A1254" s="26" t="s">
        <v>1571</v>
      </c>
      <c r="B1254" s="27">
        <v>0.016</v>
      </c>
      <c r="C1254" s="27">
        <v>0.1222</v>
      </c>
    </row>
    <row r="1255">
      <c r="A1255" s="26" t="s">
        <v>1572</v>
      </c>
      <c r="B1255" s="27">
        <v>2.31</v>
      </c>
      <c r="C1255" s="27">
        <v>1.11</v>
      </c>
    </row>
    <row r="1256">
      <c r="A1256" s="26" t="s">
        <v>1573</v>
      </c>
      <c r="B1256" s="27">
        <v>0.0654</v>
      </c>
      <c r="C1256" s="27">
        <v>0.24</v>
      </c>
    </row>
    <row r="1257">
      <c r="A1257" s="26" t="s">
        <v>1574</v>
      </c>
      <c r="B1257" s="27">
        <v>1.53</v>
      </c>
      <c r="C1257" s="27">
        <v>0.99</v>
      </c>
    </row>
    <row r="1258">
      <c r="A1258" s="26" t="s">
        <v>1575</v>
      </c>
      <c r="B1258" s="27">
        <v>0.67</v>
      </c>
      <c r="C1258" s="27">
        <v>0.756</v>
      </c>
    </row>
    <row r="1259">
      <c r="A1259" s="26" t="s">
        <v>1576</v>
      </c>
      <c r="B1259" s="27">
        <v>0.714</v>
      </c>
      <c r="C1259" s="27">
        <v>1.1482</v>
      </c>
    </row>
    <row r="1260">
      <c r="A1260" s="26" t="s">
        <v>168</v>
      </c>
      <c r="B1260" s="27">
        <v>12.37</v>
      </c>
      <c r="C1260" s="27">
        <v>1.93</v>
      </c>
    </row>
    <row r="1261">
      <c r="A1261" s="26" t="s">
        <v>1577</v>
      </c>
      <c r="B1261" s="27">
        <v>0.28</v>
      </c>
      <c r="C1261" s="27">
        <v>0.762</v>
      </c>
    </row>
    <row r="1262">
      <c r="A1262" s="26" t="s">
        <v>1578</v>
      </c>
      <c r="B1262" s="27">
        <v>0.1029</v>
      </c>
      <c r="C1262" s="27">
        <v>0.5576</v>
      </c>
    </row>
    <row r="1263">
      <c r="A1263" s="26" t="s">
        <v>1579</v>
      </c>
      <c r="B1263" s="27">
        <v>0.005</v>
      </c>
      <c r="C1263" s="27">
        <v>0.1035</v>
      </c>
    </row>
    <row r="1264">
      <c r="A1264" s="26" t="s">
        <v>1580</v>
      </c>
      <c r="B1264" s="27">
        <v>2.0</v>
      </c>
      <c r="C1264" s="27">
        <v>0.99</v>
      </c>
    </row>
    <row r="1265">
      <c r="A1265" s="26" t="s">
        <v>1581</v>
      </c>
      <c r="B1265" s="27">
        <v>0.05</v>
      </c>
      <c r="C1265" s="27">
        <v>0.285</v>
      </c>
    </row>
    <row r="1266">
      <c r="A1266" s="26" t="s">
        <v>1582</v>
      </c>
      <c r="B1266" s="27">
        <v>0.101</v>
      </c>
      <c r="C1266" s="27">
        <v>0.589</v>
      </c>
    </row>
    <row r="1267">
      <c r="A1267" s="26" t="s">
        <v>1583</v>
      </c>
      <c r="B1267" s="27">
        <v>2.9</v>
      </c>
      <c r="C1267" s="27">
        <v>1.069</v>
      </c>
    </row>
    <row r="1268">
      <c r="A1268" s="26" t="s">
        <v>1584</v>
      </c>
      <c r="B1268" s="27">
        <v>0.01123</v>
      </c>
      <c r="C1268" s="27">
        <v>0.1374</v>
      </c>
    </row>
    <row r="1269">
      <c r="A1269" s="26" t="s">
        <v>1585</v>
      </c>
      <c r="B1269" s="27">
        <v>3.26</v>
      </c>
      <c r="C1269" s="27">
        <v>1.06</v>
      </c>
    </row>
    <row r="1270">
      <c r="A1270" s="26" t="s">
        <v>1586</v>
      </c>
      <c r="B1270" s="27">
        <v>0.525</v>
      </c>
      <c r="C1270" s="27">
        <v>1.059</v>
      </c>
    </row>
    <row r="1271">
      <c r="A1271" s="26" t="s">
        <v>1587</v>
      </c>
      <c r="B1271" s="27">
        <v>1.08</v>
      </c>
      <c r="C1271" s="27">
        <v>0.94</v>
      </c>
    </row>
    <row r="1272">
      <c r="A1272" s="26" t="s">
        <v>1589</v>
      </c>
      <c r="B1272" s="27">
        <v>0.799</v>
      </c>
      <c r="C1272" s="27">
        <v>0.879</v>
      </c>
    </row>
    <row r="1273">
      <c r="A1273" s="26" t="s">
        <v>1590</v>
      </c>
      <c r="B1273" s="27">
        <v>2.34</v>
      </c>
      <c r="C1273" s="27">
        <v>1.14</v>
      </c>
    </row>
    <row r="1274">
      <c r="A1274" s="26" t="s">
        <v>1591</v>
      </c>
      <c r="B1274" s="27">
        <v>0.54</v>
      </c>
      <c r="C1274" s="27">
        <v>1.06</v>
      </c>
    </row>
    <row r="1275">
      <c r="A1275" s="26" t="s">
        <v>1592</v>
      </c>
      <c r="B1275" s="27">
        <v>0.6</v>
      </c>
      <c r="C1275" s="27">
        <v>0.88</v>
      </c>
    </row>
    <row r="1276">
      <c r="A1276" s="26" t="s">
        <v>1593</v>
      </c>
      <c r="B1276" s="27">
        <v>3.65</v>
      </c>
      <c r="C1276" s="27">
        <v>1.18</v>
      </c>
    </row>
    <row r="1277">
      <c r="A1277" s="26" t="s">
        <v>1594</v>
      </c>
      <c r="B1277" s="27">
        <v>0.4</v>
      </c>
      <c r="C1277" s="27">
        <v>0.83</v>
      </c>
    </row>
    <row r="1278">
      <c r="A1278" s="26" t="s">
        <v>1595</v>
      </c>
      <c r="B1278" s="27">
        <v>0.1935</v>
      </c>
      <c r="C1278" s="27">
        <v>0.5192</v>
      </c>
    </row>
    <row r="1279">
      <c r="A1279" s="26" t="s">
        <v>1597</v>
      </c>
      <c r="B1279" s="27">
        <v>0.42</v>
      </c>
      <c r="C1279" s="27">
        <v>0.87</v>
      </c>
    </row>
    <row r="1280">
      <c r="A1280" s="26" t="s">
        <v>1598</v>
      </c>
      <c r="B1280" s="27">
        <v>0.1847</v>
      </c>
      <c r="C1280" s="27">
        <v>1.008</v>
      </c>
    </row>
    <row r="1281">
      <c r="A1281" s="26" t="s">
        <v>1599</v>
      </c>
      <c r="B1281" s="27">
        <v>0.0371</v>
      </c>
      <c r="C1281" s="27">
        <v>0.314</v>
      </c>
    </row>
    <row r="1282">
      <c r="A1282" s="26" t="s">
        <v>1600</v>
      </c>
      <c r="B1282" s="27">
        <v>0.00909</v>
      </c>
      <c r="C1282" s="27">
        <v>0.1802</v>
      </c>
    </row>
    <row r="1283">
      <c r="A1283" s="26" t="s">
        <v>1601</v>
      </c>
      <c r="B1283" s="27">
        <v>1.32</v>
      </c>
      <c r="C1283" s="27">
        <v>1.009</v>
      </c>
    </row>
    <row r="1284">
      <c r="A1284" s="26" t="s">
        <v>1603</v>
      </c>
      <c r="B1284" s="27">
        <v>0.0274</v>
      </c>
      <c r="C1284" s="27">
        <v>0.2337</v>
      </c>
    </row>
    <row r="1285">
      <c r="A1285" s="26" t="s">
        <v>1604</v>
      </c>
      <c r="B1285" s="27">
        <v>0.0135</v>
      </c>
      <c r="C1285" s="27">
        <v>0.134</v>
      </c>
    </row>
    <row r="1286">
      <c r="A1286" s="26" t="s">
        <v>1605</v>
      </c>
      <c r="B1286" s="27">
        <v>0.35</v>
      </c>
      <c r="C1286" s="27">
        <v>0.87</v>
      </c>
    </row>
    <row r="1287">
      <c r="A1287" s="26" t="s">
        <v>1606</v>
      </c>
      <c r="B1287" s="27">
        <v>3.61</v>
      </c>
      <c r="C1287" s="27">
        <v>1.086</v>
      </c>
    </row>
    <row r="1288">
      <c r="A1288" s="26" t="s">
        <v>1607</v>
      </c>
      <c r="B1288" s="27">
        <v>6.01</v>
      </c>
      <c r="C1288" s="27">
        <v>1.091</v>
      </c>
    </row>
    <row r="1289">
      <c r="A1289" s="26" t="s">
        <v>1608</v>
      </c>
      <c r="B1289" s="27">
        <v>0.802</v>
      </c>
      <c r="C1289" s="27">
        <v>0.961</v>
      </c>
    </row>
    <row r="1290">
      <c r="A1290" s="26" t="s">
        <v>1610</v>
      </c>
      <c r="B1290" s="27">
        <v>0.00636</v>
      </c>
      <c r="C1290" s="27">
        <v>0.12463</v>
      </c>
    </row>
    <row r="1291">
      <c r="A1291" s="26" t="s">
        <v>1611</v>
      </c>
      <c r="B1291" s="27">
        <v>0.01866</v>
      </c>
      <c r="C1291" s="27">
        <v>0.2556</v>
      </c>
    </row>
    <row r="1292">
      <c r="A1292" s="26" t="s">
        <v>1612</v>
      </c>
      <c r="B1292" s="27">
        <v>0.04194</v>
      </c>
      <c r="C1292" s="27">
        <v>0.2333</v>
      </c>
    </row>
    <row r="1293">
      <c r="A1293" s="26" t="s">
        <v>1613</v>
      </c>
      <c r="B1293" s="27">
        <v>0.039</v>
      </c>
      <c r="C1293" s="27">
        <v>0.22455</v>
      </c>
    </row>
    <row r="1294">
      <c r="A1294" s="26" t="s">
        <v>1614</v>
      </c>
      <c r="B1294" s="27">
        <v>0.0601</v>
      </c>
      <c r="C1294" s="27">
        <v>0.207</v>
      </c>
    </row>
    <row r="1295">
      <c r="A1295" s="26" t="s">
        <v>1615</v>
      </c>
      <c r="B1295" s="27">
        <v>0.576</v>
      </c>
      <c r="C1295" s="27">
        <v>0.923</v>
      </c>
    </row>
    <row r="1296">
      <c r="A1296" s="26" t="s">
        <v>1616</v>
      </c>
      <c r="B1296" s="27">
        <v>1.463</v>
      </c>
      <c r="C1296" s="27">
        <v>1.02</v>
      </c>
    </row>
    <row r="1297">
      <c r="A1297" s="26" t="s">
        <v>1618</v>
      </c>
      <c r="B1297" s="27">
        <v>0.063</v>
      </c>
      <c r="C1297" s="27">
        <v>0.438</v>
      </c>
    </row>
    <row r="1298">
      <c r="A1298" s="26" t="s">
        <v>1619</v>
      </c>
      <c r="B1298" s="27">
        <v>0.39</v>
      </c>
      <c r="C1298" s="27">
        <v>0.919</v>
      </c>
    </row>
    <row r="1299">
      <c r="A1299" s="26" t="s">
        <v>1620</v>
      </c>
      <c r="B1299" s="27">
        <v>0.0135</v>
      </c>
      <c r="C1299" s="27">
        <v>0.1579</v>
      </c>
    </row>
    <row r="1300">
      <c r="A1300" s="26" t="s">
        <v>1621</v>
      </c>
      <c r="B1300" s="27">
        <v>0.00415</v>
      </c>
      <c r="C1300" s="27">
        <v>0.0972</v>
      </c>
    </row>
    <row r="1301">
      <c r="A1301" s="26" t="s">
        <v>1622</v>
      </c>
      <c r="B1301" s="27">
        <v>0.23</v>
      </c>
      <c r="C1301" s="27">
        <v>0.7708</v>
      </c>
    </row>
    <row r="1302">
      <c r="A1302" s="26" t="s">
        <v>1623</v>
      </c>
      <c r="B1302" s="27">
        <v>0.0116</v>
      </c>
      <c r="C1302" s="27">
        <v>0.14497</v>
      </c>
    </row>
    <row r="1303">
      <c r="A1303" s="26" t="s">
        <v>1624</v>
      </c>
      <c r="B1303" s="27">
        <v>0.034</v>
      </c>
      <c r="C1303" s="27">
        <v>0.2391</v>
      </c>
    </row>
    <row r="1304">
      <c r="A1304" s="26" t="s">
        <v>1625</v>
      </c>
      <c r="B1304" s="27">
        <v>0.03392</v>
      </c>
      <c r="C1304" s="27">
        <v>0.292018</v>
      </c>
    </row>
    <row r="1305">
      <c r="A1305" s="26" t="s">
        <v>1626</v>
      </c>
      <c r="B1305" s="27">
        <v>0.0324</v>
      </c>
      <c r="C1305" s="27">
        <v>0.2748</v>
      </c>
    </row>
    <row r="1306">
      <c r="A1306" s="26" t="s">
        <v>1627</v>
      </c>
      <c r="B1306" s="27">
        <v>0.012</v>
      </c>
      <c r="C1306" s="27">
        <v>0.1472</v>
      </c>
    </row>
    <row r="1307">
      <c r="A1307" s="26" t="s">
        <v>1628</v>
      </c>
      <c r="B1307" s="27">
        <v>0.0035</v>
      </c>
      <c r="C1307" s="27">
        <v>0.0919</v>
      </c>
    </row>
    <row r="1308">
      <c r="A1308" s="26" t="s">
        <v>1629</v>
      </c>
      <c r="B1308" s="27">
        <v>1.17</v>
      </c>
      <c r="C1308" s="27">
        <v>1.22</v>
      </c>
    </row>
    <row r="1309">
      <c r="A1309" s="26" t="s">
        <v>1630</v>
      </c>
      <c r="B1309" s="27">
        <v>1.635</v>
      </c>
      <c r="C1309" s="27">
        <v>1.284</v>
      </c>
    </row>
    <row r="1310">
      <c r="A1310" s="26" t="s">
        <v>1631</v>
      </c>
      <c r="B1310" s="27">
        <v>0.798</v>
      </c>
      <c r="C1310" s="27">
        <v>1.063</v>
      </c>
    </row>
    <row r="1311">
      <c r="A1311" s="26" t="s">
        <v>1632</v>
      </c>
      <c r="B1311" s="27">
        <v>0.247</v>
      </c>
      <c r="C1311" s="27">
        <v>0.5719</v>
      </c>
    </row>
    <row r="1312">
      <c r="A1312" s="26" t="s">
        <v>1633</v>
      </c>
      <c r="B1312" s="27">
        <v>0.1495</v>
      </c>
      <c r="C1312" s="27">
        <v>0.7075</v>
      </c>
    </row>
    <row r="1313">
      <c r="A1313" s="26" t="s">
        <v>1634</v>
      </c>
      <c r="B1313" s="27">
        <v>0.039</v>
      </c>
      <c r="C1313" s="27">
        <v>0.2364</v>
      </c>
    </row>
    <row r="1314">
      <c r="A1314" s="26" t="s">
        <v>1635</v>
      </c>
      <c r="B1314" s="27">
        <v>0.0289</v>
      </c>
      <c r="C1314" s="27">
        <v>0.25</v>
      </c>
    </row>
    <row r="1315">
      <c r="A1315" s="26" t="s">
        <v>1636</v>
      </c>
      <c r="B1315" s="27">
        <v>0.00529</v>
      </c>
      <c r="C1315" s="27">
        <v>0.1053</v>
      </c>
    </row>
    <row r="1316">
      <c r="A1316" s="26" t="s">
        <v>1637</v>
      </c>
      <c r="B1316" s="27">
        <v>1.05</v>
      </c>
      <c r="C1316" s="27">
        <v>1.28</v>
      </c>
    </row>
    <row r="1317">
      <c r="A1317" s="26" t="s">
        <v>1639</v>
      </c>
      <c r="B1317" s="27">
        <v>0.435</v>
      </c>
      <c r="C1317" s="27">
        <v>1.693</v>
      </c>
    </row>
    <row r="1318">
      <c r="A1318" s="26" t="s">
        <v>1640</v>
      </c>
      <c r="B1318" s="27">
        <v>0.0485</v>
      </c>
      <c r="C1318" s="27">
        <v>0.3354</v>
      </c>
    </row>
    <row r="1319">
      <c r="A1319" s="26" t="s">
        <v>1641</v>
      </c>
      <c r="B1319" s="27">
        <v>0.303</v>
      </c>
      <c r="C1319" s="27">
        <v>0.824</v>
      </c>
    </row>
    <row r="1320">
      <c r="A1320" s="26" t="s">
        <v>1642</v>
      </c>
      <c r="B1320" s="27">
        <v>0.00453</v>
      </c>
      <c r="C1320" s="27">
        <v>0.09626</v>
      </c>
    </row>
    <row r="1321">
      <c r="A1321" s="26" t="s">
        <v>1643</v>
      </c>
      <c r="B1321" s="27">
        <v>6.33</v>
      </c>
      <c r="C1321" s="27">
        <v>1.06</v>
      </c>
    </row>
    <row r="1322">
      <c r="A1322" s="26" t="s">
        <v>1644</v>
      </c>
      <c r="B1322" s="27">
        <v>7.84</v>
      </c>
      <c r="C1322" s="27">
        <v>1.03</v>
      </c>
    </row>
    <row r="1323">
      <c r="A1323" s="26" t="s">
        <v>1645</v>
      </c>
      <c r="B1323" s="27">
        <v>0.00368</v>
      </c>
      <c r="C1323" s="27">
        <v>0.09448</v>
      </c>
    </row>
    <row r="1324">
      <c r="A1324" s="26" t="s">
        <v>1646</v>
      </c>
      <c r="B1324" s="27">
        <v>10.0</v>
      </c>
      <c r="C1324" s="27">
        <v>0.97</v>
      </c>
    </row>
    <row r="1325">
      <c r="A1325" s="26" t="s">
        <v>1647</v>
      </c>
      <c r="B1325" s="27">
        <v>1.04</v>
      </c>
      <c r="C1325" s="27">
        <v>1.0072</v>
      </c>
    </row>
    <row r="1326">
      <c r="A1326" s="26" t="s">
        <v>1648</v>
      </c>
      <c r="B1326" s="27">
        <v>0.88</v>
      </c>
      <c r="C1326" s="27">
        <v>1.771</v>
      </c>
    </row>
    <row r="1327">
      <c r="A1327" s="26" t="s">
        <v>1649</v>
      </c>
      <c r="B1327" s="27">
        <v>0.75</v>
      </c>
      <c r="C1327" s="27">
        <v>0.98</v>
      </c>
    </row>
    <row r="1328">
      <c r="A1328" s="26" t="s">
        <v>1650</v>
      </c>
      <c r="B1328" s="27">
        <v>0.014</v>
      </c>
      <c r="C1328" s="27">
        <v>0.2025</v>
      </c>
    </row>
    <row r="1329">
      <c r="A1329" s="26" t="s">
        <v>1651</v>
      </c>
      <c r="B1329" s="27">
        <v>0.01148</v>
      </c>
      <c r="C1329" s="27">
        <v>0.2016</v>
      </c>
    </row>
    <row r="1330">
      <c r="A1330" s="26" t="s">
        <v>1652</v>
      </c>
      <c r="B1330" s="27">
        <v>0.0164</v>
      </c>
      <c r="C1330" s="27">
        <v>0.1713</v>
      </c>
    </row>
    <row r="1331">
      <c r="A1331" s="26" t="s">
        <v>1653</v>
      </c>
      <c r="B1331" s="27">
        <v>0.192</v>
      </c>
      <c r="C1331" s="27">
        <v>0.4541</v>
      </c>
    </row>
    <row r="1332">
      <c r="A1332" s="26" t="s">
        <v>1654</v>
      </c>
      <c r="B1332" s="27">
        <v>0.21</v>
      </c>
      <c r="C1332" s="27">
        <v>0.85</v>
      </c>
    </row>
    <row r="1333">
      <c r="A1333" s="26" t="s">
        <v>1655</v>
      </c>
      <c r="B1333" s="27">
        <v>0.0759785</v>
      </c>
      <c r="C1333" s="27">
        <v>0.469305</v>
      </c>
    </row>
    <row r="1334">
      <c r="A1334" s="26" t="s">
        <v>1656</v>
      </c>
      <c r="B1334" s="27">
        <v>0.0739</v>
      </c>
      <c r="C1334" s="27">
        <v>0.4693</v>
      </c>
    </row>
    <row r="1335">
      <c r="A1335" s="26" t="s">
        <v>1657</v>
      </c>
      <c r="B1335" s="27">
        <v>1.234</v>
      </c>
      <c r="C1335" s="27">
        <v>1.17</v>
      </c>
    </row>
    <row r="1336">
      <c r="A1336" s="26" t="s">
        <v>1658</v>
      </c>
      <c r="B1336" s="27">
        <v>0.0387</v>
      </c>
      <c r="C1336" s="27">
        <v>0.339</v>
      </c>
    </row>
    <row r="1337">
      <c r="A1337" s="26" t="s">
        <v>1659</v>
      </c>
      <c r="B1337" s="27">
        <v>4.34</v>
      </c>
      <c r="C1337" s="27">
        <v>1.087</v>
      </c>
    </row>
    <row r="1338">
      <c r="A1338" s="26" t="s">
        <v>1660</v>
      </c>
      <c r="B1338" s="27">
        <v>0.357</v>
      </c>
      <c r="C1338" s="27">
        <v>0.792</v>
      </c>
    </row>
    <row r="1339">
      <c r="A1339" s="26" t="s">
        <v>1661</v>
      </c>
      <c r="B1339" s="27">
        <v>0.168</v>
      </c>
      <c r="C1339" s="27">
        <v>0.855</v>
      </c>
    </row>
    <row r="1340">
      <c r="A1340" s="26" t="s">
        <v>1662</v>
      </c>
      <c r="B1340" s="27">
        <v>0.00406</v>
      </c>
      <c r="C1340" s="27">
        <v>0.08154</v>
      </c>
    </row>
    <row r="1341">
      <c r="A1341" s="26" t="s">
        <v>1663</v>
      </c>
      <c r="B1341" s="27">
        <v>0.0249</v>
      </c>
      <c r="C1341" s="27">
        <v>0.232</v>
      </c>
    </row>
    <row r="1342">
      <c r="A1342" s="26" t="s">
        <v>1664</v>
      </c>
      <c r="B1342" s="27">
        <v>0.00711</v>
      </c>
      <c r="C1342" s="27">
        <v>0.09573</v>
      </c>
    </row>
    <row r="1343">
      <c r="A1343" s="26" t="s">
        <v>1666</v>
      </c>
      <c r="B1343" s="27">
        <v>0.36</v>
      </c>
      <c r="C1343" s="27">
        <v>1.02</v>
      </c>
    </row>
    <row r="1344">
      <c r="A1344" s="26" t="s">
        <v>1667</v>
      </c>
      <c r="B1344" s="27">
        <v>0.0176</v>
      </c>
      <c r="C1344" s="27">
        <v>0.1828</v>
      </c>
    </row>
    <row r="1345">
      <c r="A1345" s="26" t="s">
        <v>1668</v>
      </c>
      <c r="B1345" s="27">
        <v>0.0274</v>
      </c>
      <c r="C1345" s="27">
        <v>0.241</v>
      </c>
    </row>
    <row r="1346">
      <c r="A1346" s="26" t="s">
        <v>1669</v>
      </c>
      <c r="B1346" s="27">
        <v>0.0236</v>
      </c>
      <c r="C1346" s="27">
        <v>0.22072</v>
      </c>
    </row>
    <row r="1347">
      <c r="A1347" s="26" t="s">
        <v>1670</v>
      </c>
      <c r="B1347" s="27">
        <v>0.00774</v>
      </c>
      <c r="C1347" s="27">
        <v>0.11821</v>
      </c>
    </row>
    <row r="1348">
      <c r="A1348" s="26" t="s">
        <v>1671</v>
      </c>
      <c r="B1348" s="27">
        <v>0.0253</v>
      </c>
      <c r="C1348" s="27">
        <v>0.2132</v>
      </c>
    </row>
    <row r="1349">
      <c r="A1349" s="26" t="s">
        <v>1672</v>
      </c>
      <c r="B1349" s="27">
        <v>0.018</v>
      </c>
      <c r="C1349" s="27">
        <v>0.1775</v>
      </c>
    </row>
    <row r="1350">
      <c r="A1350" s="26" t="s">
        <v>1673</v>
      </c>
      <c r="B1350" s="27">
        <v>0.033</v>
      </c>
      <c r="C1350" s="27">
        <v>0.223</v>
      </c>
    </row>
    <row r="1351">
      <c r="A1351" s="26" t="s">
        <v>1674</v>
      </c>
      <c r="B1351" s="27">
        <v>0.251</v>
      </c>
      <c r="C1351" s="27">
        <v>0.744</v>
      </c>
    </row>
    <row r="1352">
      <c r="A1352" s="26" t="s">
        <v>1675</v>
      </c>
      <c r="B1352" s="27">
        <v>0.0308</v>
      </c>
      <c r="C1352" s="27">
        <v>0.2034</v>
      </c>
    </row>
    <row r="1353">
      <c r="A1353" s="26" t="s">
        <v>1676</v>
      </c>
      <c r="B1353" s="27">
        <v>0.02932</v>
      </c>
      <c r="C1353" s="27">
        <v>0.2346</v>
      </c>
    </row>
    <row r="1354">
      <c r="A1354" s="26" t="s">
        <v>1677</v>
      </c>
      <c r="B1354" s="27">
        <v>0.00777</v>
      </c>
      <c r="C1354" s="27">
        <v>0.1213</v>
      </c>
    </row>
    <row r="1355">
      <c r="A1355" s="26" t="s">
        <v>1678</v>
      </c>
      <c r="B1355" s="27">
        <v>0.01466</v>
      </c>
      <c r="C1355" s="27">
        <v>0.165</v>
      </c>
    </row>
    <row r="1356">
      <c r="A1356" s="26" t="s">
        <v>1679</v>
      </c>
      <c r="B1356" s="27">
        <v>0.0217</v>
      </c>
      <c r="C1356" s="27">
        <v>0.1829</v>
      </c>
    </row>
    <row r="1357">
      <c r="A1357" s="26" t="s">
        <v>1680</v>
      </c>
      <c r="B1357" s="27">
        <v>2.8</v>
      </c>
      <c r="C1357" s="27">
        <v>1.374</v>
      </c>
    </row>
    <row r="1358">
      <c r="A1358" s="26" t="s">
        <v>1681</v>
      </c>
      <c r="B1358" s="27">
        <v>0.0601</v>
      </c>
      <c r="C1358" s="27">
        <v>0.24391</v>
      </c>
    </row>
    <row r="1359">
      <c r="A1359" s="26" t="s">
        <v>1682</v>
      </c>
      <c r="B1359" s="27">
        <v>0.03043</v>
      </c>
      <c r="C1359" s="27">
        <v>0.1722</v>
      </c>
    </row>
    <row r="1360">
      <c r="A1360" s="26" t="s">
        <v>1683</v>
      </c>
      <c r="B1360" s="27">
        <v>0.0239</v>
      </c>
      <c r="C1360" s="27">
        <v>0.2623</v>
      </c>
    </row>
    <row r="1361">
      <c r="A1361" s="26" t="s">
        <v>1684</v>
      </c>
      <c r="B1361" s="27">
        <v>0.0739</v>
      </c>
      <c r="C1361" s="27">
        <v>0.2337</v>
      </c>
    </row>
    <row r="1362">
      <c r="A1362" s="26" t="s">
        <v>1685</v>
      </c>
      <c r="B1362" s="27">
        <v>0.058104</v>
      </c>
      <c r="C1362" s="27">
        <v>0.26104</v>
      </c>
    </row>
    <row r="1363">
      <c r="A1363" s="26" t="s">
        <v>1686</v>
      </c>
      <c r="B1363" s="27">
        <v>0.006</v>
      </c>
      <c r="C1363" s="27">
        <v>0.1133</v>
      </c>
    </row>
    <row r="1364">
      <c r="A1364" s="26" t="s">
        <v>1687</v>
      </c>
      <c r="B1364" s="27">
        <v>0.01425</v>
      </c>
      <c r="C1364" s="27">
        <v>0.15202</v>
      </c>
    </row>
    <row r="1365">
      <c r="A1365" s="26" t="s">
        <v>1688</v>
      </c>
      <c r="B1365" s="27">
        <v>0.0302</v>
      </c>
      <c r="C1365" s="27">
        <v>0.2308</v>
      </c>
    </row>
    <row r="1366">
      <c r="A1366" s="26" t="s">
        <v>1689</v>
      </c>
      <c r="B1366" s="27">
        <v>0.395</v>
      </c>
      <c r="C1366" s="27">
        <v>0.817</v>
      </c>
    </row>
    <row r="1367">
      <c r="A1367" s="26" t="s">
        <v>1690</v>
      </c>
      <c r="B1367" s="27">
        <v>0.1315</v>
      </c>
      <c r="C1367" s="27">
        <v>0.30726</v>
      </c>
    </row>
    <row r="1368">
      <c r="A1368" s="26" t="s">
        <v>1691</v>
      </c>
      <c r="B1368" s="27">
        <v>1.1</v>
      </c>
      <c r="C1368" s="27">
        <v>1.255</v>
      </c>
    </row>
    <row r="1369">
      <c r="A1369" s="26" t="s">
        <v>1692</v>
      </c>
      <c r="B1369" s="27">
        <v>0.012</v>
      </c>
      <c r="C1369" s="27">
        <v>0.1481</v>
      </c>
    </row>
    <row r="1370">
      <c r="A1370" s="26" t="s">
        <v>1693</v>
      </c>
      <c r="B1370" s="27">
        <v>0.95</v>
      </c>
      <c r="C1370" s="27">
        <v>1.07</v>
      </c>
    </row>
    <row r="1371">
      <c r="A1371" s="26" t="s">
        <v>1694</v>
      </c>
      <c r="B1371" s="27">
        <v>0.667</v>
      </c>
      <c r="C1371" s="27">
        <v>1.171</v>
      </c>
    </row>
    <row r="1372">
      <c r="A1372" s="26" t="s">
        <v>1695</v>
      </c>
      <c r="B1372" s="27">
        <v>0.050773</v>
      </c>
      <c r="C1372" s="27">
        <v>0.28424</v>
      </c>
    </row>
    <row r="1373">
      <c r="A1373" s="26" t="s">
        <v>1696</v>
      </c>
      <c r="B1373" s="27">
        <v>0.0208</v>
      </c>
      <c r="C1373" s="27">
        <v>0.2192</v>
      </c>
    </row>
    <row r="1374">
      <c r="A1374" s="26" t="s">
        <v>1697</v>
      </c>
      <c r="B1374" s="27">
        <v>2.599</v>
      </c>
      <c r="C1374" s="27">
        <v>0.4291</v>
      </c>
    </row>
    <row r="1375">
      <c r="A1375" s="26" t="s">
        <v>1698</v>
      </c>
      <c r="B1375" s="27">
        <v>2.501</v>
      </c>
      <c r="C1375" s="27">
        <v>0.5166</v>
      </c>
    </row>
    <row r="1376">
      <c r="A1376" s="26" t="s">
        <v>1699</v>
      </c>
      <c r="B1376" s="27">
        <v>0.174</v>
      </c>
      <c r="C1376" s="27">
        <v>0.852</v>
      </c>
    </row>
    <row r="1377">
      <c r="A1377" s="26" t="s">
        <v>1700</v>
      </c>
      <c r="B1377" s="27">
        <v>0.0286</v>
      </c>
      <c r="C1377" s="27">
        <v>0.24668</v>
      </c>
    </row>
    <row r="1378">
      <c r="A1378" s="26" t="s">
        <v>1701</v>
      </c>
      <c r="B1378" s="27">
        <v>0.0027</v>
      </c>
      <c r="C1378" s="27">
        <v>0.09689</v>
      </c>
    </row>
    <row r="1379">
      <c r="A1379" s="26" t="s">
        <v>1702</v>
      </c>
      <c r="B1379" s="27">
        <v>0.00434</v>
      </c>
      <c r="C1379" s="27">
        <v>0.09421</v>
      </c>
    </row>
    <row r="1380">
      <c r="A1380" s="26" t="s">
        <v>1703</v>
      </c>
      <c r="B1380" s="27">
        <v>0.0013</v>
      </c>
      <c r="C1380" s="27">
        <v>0.0689</v>
      </c>
    </row>
    <row r="1381">
      <c r="A1381" s="26" t="s">
        <v>1704</v>
      </c>
      <c r="B1381" s="27">
        <v>0.002</v>
      </c>
      <c r="C1381" s="27">
        <v>0.0819</v>
      </c>
    </row>
    <row r="1382">
      <c r="A1382" s="26" t="s">
        <v>1705</v>
      </c>
      <c r="B1382" s="27">
        <v>0.0021</v>
      </c>
      <c r="C1382" s="27">
        <v>0.09323</v>
      </c>
    </row>
    <row r="1383">
      <c r="A1383" s="26" t="s">
        <v>1706</v>
      </c>
      <c r="B1383" s="27">
        <v>0.00422</v>
      </c>
      <c r="C1383" s="27">
        <v>0.1005</v>
      </c>
    </row>
    <row r="1384">
      <c r="A1384" s="26" t="s">
        <v>1707</v>
      </c>
      <c r="B1384" s="27">
        <v>0.001041</v>
      </c>
      <c r="C1384" s="27">
        <v>0.0674</v>
      </c>
    </row>
    <row r="1385">
      <c r="A1385" s="26" t="s">
        <v>1708</v>
      </c>
      <c r="B1385" s="27">
        <v>0.761</v>
      </c>
      <c r="C1385" s="27">
        <v>1.099</v>
      </c>
    </row>
    <row r="1386">
      <c r="A1386" s="26" t="s">
        <v>1709</v>
      </c>
      <c r="B1386" s="27">
        <v>1.253</v>
      </c>
      <c r="C1386" s="27">
        <v>1.189</v>
      </c>
    </row>
    <row r="1387">
      <c r="A1387" s="26" t="s">
        <v>1710</v>
      </c>
      <c r="B1387" s="27">
        <v>1.91</v>
      </c>
      <c r="C1387" s="27">
        <v>1.305</v>
      </c>
    </row>
    <row r="1388">
      <c r="A1388" s="26" t="s">
        <v>1711</v>
      </c>
      <c r="B1388" s="27">
        <v>0.917</v>
      </c>
      <c r="C1388" s="27">
        <v>1.706</v>
      </c>
    </row>
    <row r="1389">
      <c r="A1389" s="26" t="s">
        <v>1712</v>
      </c>
      <c r="B1389" s="27">
        <v>1.778</v>
      </c>
      <c r="C1389" s="27">
        <v>1.209</v>
      </c>
    </row>
    <row r="1390">
      <c r="A1390" s="26" t="s">
        <v>1713</v>
      </c>
      <c r="B1390" s="27">
        <v>2.03</v>
      </c>
      <c r="C1390" s="27">
        <v>1.69</v>
      </c>
    </row>
    <row r="1391">
      <c r="A1391" s="26" t="s">
        <v>1714</v>
      </c>
      <c r="B1391" s="27">
        <v>0.5</v>
      </c>
      <c r="C1391" s="27">
        <v>1.36</v>
      </c>
    </row>
    <row r="1392">
      <c r="A1392" s="26" t="s">
        <v>1715</v>
      </c>
      <c r="B1392" s="27">
        <v>0.621</v>
      </c>
      <c r="C1392" s="27">
        <v>1.33</v>
      </c>
    </row>
    <row r="1393">
      <c r="A1393" s="26" t="s">
        <v>1716</v>
      </c>
      <c r="B1393" s="27">
        <v>1.49</v>
      </c>
      <c r="C1393" s="27">
        <v>1.528</v>
      </c>
    </row>
    <row r="1394">
      <c r="A1394" s="26" t="s">
        <v>1718</v>
      </c>
      <c r="B1394" s="27">
        <v>1.272</v>
      </c>
      <c r="C1394" s="27">
        <v>1.137</v>
      </c>
    </row>
    <row r="1395">
      <c r="A1395" s="26" t="s">
        <v>1719</v>
      </c>
      <c r="B1395" s="27">
        <v>1.8</v>
      </c>
      <c r="C1395" s="27">
        <v>0.96</v>
      </c>
    </row>
    <row r="1396">
      <c r="A1396" s="26" t="s">
        <v>1720</v>
      </c>
      <c r="B1396" s="27">
        <v>1.925</v>
      </c>
      <c r="C1396" s="27">
        <v>1.085</v>
      </c>
    </row>
    <row r="1397">
      <c r="A1397" s="26" t="s">
        <v>1721</v>
      </c>
      <c r="B1397" s="27">
        <v>0.12</v>
      </c>
      <c r="C1397" s="27">
        <v>0.94</v>
      </c>
    </row>
    <row r="1398">
      <c r="A1398" s="26" t="s">
        <v>1722</v>
      </c>
      <c r="B1398" s="27">
        <v>1.167</v>
      </c>
      <c r="C1398" s="27">
        <v>1.215</v>
      </c>
    </row>
    <row r="1399">
      <c r="A1399" s="26" t="s">
        <v>1723</v>
      </c>
      <c r="B1399" s="27">
        <v>0.91</v>
      </c>
      <c r="C1399" s="27">
        <v>1.443</v>
      </c>
    </row>
    <row r="1400">
      <c r="A1400" s="26" t="s">
        <v>1724</v>
      </c>
      <c r="B1400" s="27">
        <v>3.16</v>
      </c>
      <c r="C1400" s="27">
        <v>1.08</v>
      </c>
    </row>
    <row r="1401">
      <c r="A1401" s="26" t="s">
        <v>1725</v>
      </c>
      <c r="B1401" s="27">
        <v>0.515</v>
      </c>
      <c r="C1401" s="27">
        <v>1.238</v>
      </c>
    </row>
    <row r="1402">
      <c r="A1402" s="26" t="s">
        <v>1726</v>
      </c>
      <c r="B1402" s="27">
        <v>1.85</v>
      </c>
      <c r="C1402" s="27">
        <v>1.442</v>
      </c>
    </row>
    <row r="1403">
      <c r="A1403" s="26" t="s">
        <v>1727</v>
      </c>
      <c r="B1403" s="27">
        <v>0.88</v>
      </c>
      <c r="C1403" s="27">
        <v>1.191</v>
      </c>
    </row>
    <row r="1404">
      <c r="A1404" s="26" t="s">
        <v>1728</v>
      </c>
      <c r="B1404" s="27">
        <v>0.475</v>
      </c>
      <c r="C1404" s="27">
        <v>1.409</v>
      </c>
    </row>
    <row r="1405">
      <c r="A1405" s="26" t="s">
        <v>1729</v>
      </c>
      <c r="B1405" s="27">
        <v>1.769</v>
      </c>
      <c r="C1405" s="27">
        <v>1.339</v>
      </c>
    </row>
    <row r="1406">
      <c r="A1406" s="26" t="s">
        <v>1730</v>
      </c>
      <c r="B1406" s="27">
        <v>0.64</v>
      </c>
      <c r="C1406" s="27">
        <v>1.22</v>
      </c>
    </row>
    <row r="1407">
      <c r="A1407" s="26" t="s">
        <v>1731</v>
      </c>
      <c r="B1407" s="27">
        <v>0.3</v>
      </c>
      <c r="C1407" s="27">
        <v>0.98</v>
      </c>
    </row>
    <row r="1408">
      <c r="A1408" s="26" t="s">
        <v>1732</v>
      </c>
      <c r="B1408" s="27">
        <v>0.514</v>
      </c>
      <c r="C1408" s="27">
        <v>1.44</v>
      </c>
    </row>
    <row r="1409">
      <c r="A1409" s="26" t="s">
        <v>1733</v>
      </c>
      <c r="B1409" s="27">
        <v>1.23</v>
      </c>
      <c r="C1409" s="27">
        <v>1.4</v>
      </c>
    </row>
    <row r="1410">
      <c r="A1410" s="26" t="s">
        <v>1734</v>
      </c>
      <c r="B1410" s="27">
        <v>5.06</v>
      </c>
      <c r="C1410" s="27">
        <v>1.515</v>
      </c>
    </row>
    <row r="1411">
      <c r="A1411" s="26" t="s">
        <v>1735</v>
      </c>
      <c r="B1411" s="27">
        <v>1.184</v>
      </c>
      <c r="C1411" s="27">
        <v>1.865</v>
      </c>
    </row>
    <row r="1412">
      <c r="A1412" s="26" t="s">
        <v>1736</v>
      </c>
      <c r="B1412" s="27">
        <v>1.401</v>
      </c>
      <c r="C1412" s="27">
        <v>1.792</v>
      </c>
    </row>
    <row r="1413">
      <c r="A1413" s="26" t="s">
        <v>1737</v>
      </c>
      <c r="B1413" s="27">
        <v>0.92</v>
      </c>
      <c r="C1413" s="27">
        <v>1.327</v>
      </c>
    </row>
    <row r="1414">
      <c r="A1414" s="26" t="s">
        <v>1738</v>
      </c>
      <c r="B1414" s="27">
        <v>0.6</v>
      </c>
      <c r="C1414" s="27">
        <v>1.24</v>
      </c>
    </row>
    <row r="1415">
      <c r="A1415" s="26" t="s">
        <v>1739</v>
      </c>
      <c r="B1415" s="27">
        <v>0.2841</v>
      </c>
      <c r="C1415" s="27">
        <v>0.96</v>
      </c>
    </row>
    <row r="1416">
      <c r="A1416" s="26" t="s">
        <v>1740</v>
      </c>
      <c r="B1416" s="27">
        <v>0.17</v>
      </c>
      <c r="C1416" s="27">
        <v>1.293</v>
      </c>
    </row>
    <row r="1417">
      <c r="A1417" s="26" t="s">
        <v>1741</v>
      </c>
      <c r="B1417" s="27">
        <v>1.0</v>
      </c>
      <c r="C1417" s="27">
        <v>0.93</v>
      </c>
    </row>
    <row r="1418">
      <c r="A1418" s="26" t="s">
        <v>1742</v>
      </c>
      <c r="B1418" s="27">
        <v>1.47</v>
      </c>
      <c r="C1418" s="27">
        <v>1.9</v>
      </c>
    </row>
    <row r="1419">
      <c r="A1419" s="26" t="s">
        <v>1743</v>
      </c>
      <c r="B1419" s="27">
        <v>1.23</v>
      </c>
      <c r="C1419" s="27">
        <v>0.89</v>
      </c>
    </row>
    <row r="1420">
      <c r="A1420" s="26" t="s">
        <v>1744</v>
      </c>
      <c r="B1420" s="27">
        <v>0.27</v>
      </c>
      <c r="C1420" s="27">
        <v>1.19</v>
      </c>
    </row>
    <row r="1421">
      <c r="A1421" s="26" t="s">
        <v>1745</v>
      </c>
      <c r="B1421" s="27">
        <v>0.428</v>
      </c>
      <c r="C1421" s="27">
        <v>0.901</v>
      </c>
    </row>
    <row r="1422">
      <c r="A1422" s="26" t="s">
        <v>1746</v>
      </c>
      <c r="B1422" s="27">
        <v>0.0197</v>
      </c>
      <c r="C1422" s="27">
        <v>0.16424</v>
      </c>
    </row>
    <row r="1423">
      <c r="A1423" s="26" t="s">
        <v>1747</v>
      </c>
      <c r="B1423" s="27">
        <v>1.16</v>
      </c>
      <c r="C1423" s="27">
        <v>1.21</v>
      </c>
    </row>
    <row r="1424">
      <c r="A1424" s="26" t="s">
        <v>1748</v>
      </c>
      <c r="B1424" s="27">
        <v>1.412</v>
      </c>
      <c r="C1424" s="27">
        <v>0.988</v>
      </c>
    </row>
    <row r="1425">
      <c r="A1425" s="26" t="s">
        <v>1749</v>
      </c>
      <c r="B1425" s="27">
        <v>1.9</v>
      </c>
      <c r="C1425" s="27">
        <v>1.3</v>
      </c>
    </row>
    <row r="1426">
      <c r="A1426" s="26" t="s">
        <v>1750</v>
      </c>
      <c r="B1426" s="27">
        <v>1.51</v>
      </c>
      <c r="C1426" s="27">
        <v>1.38</v>
      </c>
    </row>
    <row r="1427">
      <c r="A1427" s="26" t="s">
        <v>1751</v>
      </c>
      <c r="B1427" s="27">
        <v>0.681</v>
      </c>
      <c r="C1427" s="27">
        <v>1.27</v>
      </c>
    </row>
    <row r="1428">
      <c r="A1428" s="26" t="s">
        <v>1752</v>
      </c>
      <c r="B1428" s="27">
        <v>0.117</v>
      </c>
      <c r="C1428" s="27">
        <v>0.8</v>
      </c>
    </row>
    <row r="1429">
      <c r="A1429" s="26" t="s">
        <v>1753</v>
      </c>
      <c r="B1429" s="27">
        <v>0.52</v>
      </c>
      <c r="C1429" s="27">
        <v>1.32</v>
      </c>
    </row>
    <row r="1430">
      <c r="A1430" s="26" t="s">
        <v>1754</v>
      </c>
      <c r="B1430" s="27">
        <v>2.44</v>
      </c>
      <c r="C1430" s="27">
        <v>1.44</v>
      </c>
    </row>
    <row r="1431">
      <c r="A1431" s="26" t="s">
        <v>1755</v>
      </c>
      <c r="B1431" s="27">
        <v>2.69</v>
      </c>
      <c r="C1431" s="27">
        <v>1.21</v>
      </c>
    </row>
    <row r="1432">
      <c r="A1432" s="26" t="s">
        <v>1756</v>
      </c>
      <c r="B1432" s="27">
        <v>0.84</v>
      </c>
      <c r="C1432" s="27">
        <v>1.53</v>
      </c>
    </row>
    <row r="1433">
      <c r="A1433" s="26" t="s">
        <v>1757</v>
      </c>
      <c r="B1433" s="27">
        <v>0.725</v>
      </c>
      <c r="C1433" s="27">
        <v>1.234</v>
      </c>
    </row>
    <row r="1434">
      <c r="A1434" s="26" t="s">
        <v>1758</v>
      </c>
      <c r="B1434" s="27">
        <v>0.44</v>
      </c>
      <c r="C1434" s="27">
        <v>0.85</v>
      </c>
    </row>
    <row r="1435">
      <c r="A1435" s="26" t="s">
        <v>1759</v>
      </c>
      <c r="B1435" s="27">
        <v>0.89</v>
      </c>
      <c r="C1435" s="27">
        <v>0.9</v>
      </c>
    </row>
    <row r="1436">
      <c r="A1436" s="26" t="s">
        <v>1760</v>
      </c>
      <c r="B1436" s="27">
        <v>1.11</v>
      </c>
      <c r="C1436" s="27">
        <v>1.228</v>
      </c>
    </row>
    <row r="1437">
      <c r="A1437" s="26" t="s">
        <v>1761</v>
      </c>
      <c r="B1437" s="27">
        <v>0.275</v>
      </c>
      <c r="C1437" s="27">
        <v>1.115</v>
      </c>
    </row>
    <row r="1438">
      <c r="A1438" s="26" t="s">
        <v>1762</v>
      </c>
      <c r="B1438" s="27">
        <v>0.287</v>
      </c>
      <c r="C1438" s="27">
        <v>0.756</v>
      </c>
    </row>
    <row r="1439">
      <c r="A1439" s="26" t="s">
        <v>1763</v>
      </c>
      <c r="B1439" s="27">
        <v>0.991</v>
      </c>
      <c r="C1439" s="27">
        <v>1.36</v>
      </c>
    </row>
    <row r="1440">
      <c r="A1440" s="26" t="s">
        <v>1764</v>
      </c>
      <c r="B1440" s="27">
        <v>7.341</v>
      </c>
      <c r="C1440" s="27">
        <v>1.281</v>
      </c>
    </row>
    <row r="1441">
      <c r="A1441" s="26" t="s">
        <v>1765</v>
      </c>
      <c r="B1441" s="27">
        <v>8.46</v>
      </c>
      <c r="C1441" s="27">
        <v>1.07</v>
      </c>
    </row>
    <row r="1442">
      <c r="A1442" s="26" t="s">
        <v>1766</v>
      </c>
      <c r="B1442" s="27">
        <v>0.31</v>
      </c>
      <c r="C1442" s="27">
        <v>1.13</v>
      </c>
    </row>
    <row r="1443">
      <c r="A1443" s="26" t="s">
        <v>1767</v>
      </c>
      <c r="B1443" s="27">
        <v>0.0211</v>
      </c>
      <c r="C1443" s="27">
        <v>0.2355</v>
      </c>
    </row>
    <row r="1444">
      <c r="A1444" s="26" t="s">
        <v>1768</v>
      </c>
      <c r="B1444" s="27">
        <v>0.39</v>
      </c>
      <c r="C1444" s="27">
        <v>1.55</v>
      </c>
    </row>
    <row r="1445">
      <c r="A1445" s="26" t="s">
        <v>1769</v>
      </c>
      <c r="B1445" s="27">
        <v>0.626</v>
      </c>
      <c r="C1445" s="27">
        <v>0.96</v>
      </c>
    </row>
    <row r="1446">
      <c r="A1446" s="26" t="s">
        <v>1770</v>
      </c>
      <c r="B1446" s="27">
        <v>0.871</v>
      </c>
      <c r="C1446" s="27">
        <v>1.2</v>
      </c>
    </row>
    <row r="1447">
      <c r="A1447" s="26" t="s">
        <v>1771</v>
      </c>
      <c r="B1447" s="27">
        <v>0.1303</v>
      </c>
      <c r="C1447" s="27">
        <v>0.554</v>
      </c>
    </row>
    <row r="1448">
      <c r="A1448" s="26" t="s">
        <v>1772</v>
      </c>
      <c r="B1448" s="27">
        <v>0.576</v>
      </c>
      <c r="C1448" s="27">
        <v>0.998</v>
      </c>
    </row>
    <row r="1449">
      <c r="A1449" s="26" t="s">
        <v>1773</v>
      </c>
      <c r="B1449" s="27">
        <v>2.79</v>
      </c>
      <c r="C1449" s="27">
        <v>1.07</v>
      </c>
    </row>
    <row r="1450">
      <c r="A1450" s="26" t="s">
        <v>1774</v>
      </c>
      <c r="B1450" s="27">
        <v>0.55</v>
      </c>
      <c r="C1450" s="27">
        <v>1.38</v>
      </c>
    </row>
    <row r="1451">
      <c r="A1451" s="26" t="s">
        <v>1775</v>
      </c>
      <c r="B1451" s="27">
        <v>0.542</v>
      </c>
      <c r="C1451" s="27">
        <v>1.428</v>
      </c>
    </row>
    <row r="1452">
      <c r="A1452" s="26" t="s">
        <v>1776</v>
      </c>
      <c r="B1452" s="27">
        <v>0.281</v>
      </c>
      <c r="C1452" s="27">
        <v>1.093</v>
      </c>
    </row>
    <row r="1453">
      <c r="A1453" s="26" t="s">
        <v>1777</v>
      </c>
      <c r="B1453" s="27">
        <v>2.49</v>
      </c>
      <c r="C1453" s="27">
        <v>1.143</v>
      </c>
    </row>
    <row r="1454">
      <c r="A1454" s="26" t="s">
        <v>1778</v>
      </c>
      <c r="B1454" s="27">
        <v>5.2</v>
      </c>
      <c r="C1454" s="27">
        <v>1.0</v>
      </c>
    </row>
    <row r="1455">
      <c r="A1455" s="26" t="s">
        <v>1779</v>
      </c>
      <c r="B1455" s="27">
        <v>1.87</v>
      </c>
      <c r="C1455" s="27">
        <v>1.202</v>
      </c>
    </row>
    <row r="1456">
      <c r="A1456" s="26" t="s">
        <v>1780</v>
      </c>
      <c r="B1456" s="27">
        <v>2.13</v>
      </c>
      <c r="C1456" s="27">
        <v>1.128</v>
      </c>
    </row>
    <row r="1457">
      <c r="A1457" s="26" t="s">
        <v>1781</v>
      </c>
      <c r="B1457" s="27">
        <v>0.658</v>
      </c>
      <c r="C1457" s="27">
        <v>1.26</v>
      </c>
    </row>
    <row r="1458">
      <c r="A1458" s="26" t="s">
        <v>1782</v>
      </c>
      <c r="B1458" s="27">
        <v>0.102</v>
      </c>
      <c r="C1458" s="27">
        <v>0.6155</v>
      </c>
    </row>
    <row r="1459">
      <c r="A1459" s="26" t="s">
        <v>1783</v>
      </c>
      <c r="B1459" s="27">
        <v>0.37</v>
      </c>
      <c r="C1459" s="27">
        <v>1.62</v>
      </c>
    </row>
    <row r="1460">
      <c r="A1460" s="26" t="s">
        <v>1784</v>
      </c>
      <c r="B1460" s="27">
        <v>0.42</v>
      </c>
      <c r="C1460" s="27">
        <v>1.5</v>
      </c>
    </row>
    <row r="1461">
      <c r="A1461" s="26" t="s">
        <v>1785</v>
      </c>
      <c r="B1461" s="27">
        <v>0.561</v>
      </c>
      <c r="C1461" s="27">
        <v>1.304</v>
      </c>
    </row>
    <row r="1462">
      <c r="A1462" s="26" t="s">
        <v>1786</v>
      </c>
      <c r="B1462" s="27">
        <v>0.855</v>
      </c>
      <c r="C1462" s="27">
        <v>1.008</v>
      </c>
    </row>
    <row r="1463">
      <c r="A1463" s="26" t="s">
        <v>1787</v>
      </c>
      <c r="B1463" s="27">
        <v>1.6</v>
      </c>
      <c r="C1463" s="27">
        <v>1.096</v>
      </c>
    </row>
    <row r="1464">
      <c r="A1464" s="26" t="s">
        <v>1788</v>
      </c>
      <c r="B1464" s="27">
        <v>1.084</v>
      </c>
      <c r="C1464" s="27">
        <v>0.988</v>
      </c>
    </row>
    <row r="1465">
      <c r="A1465" s="26" t="s">
        <v>1789</v>
      </c>
      <c r="B1465" s="27">
        <v>0.47</v>
      </c>
      <c r="C1465" s="27">
        <v>1.57</v>
      </c>
    </row>
    <row r="1466">
      <c r="A1466" s="26" t="s">
        <v>1790</v>
      </c>
      <c r="B1466" s="27">
        <v>0.33</v>
      </c>
      <c r="C1466" s="27">
        <v>1.437</v>
      </c>
    </row>
    <row r="1467">
      <c r="A1467" s="26" t="s">
        <v>1791</v>
      </c>
      <c r="B1467" s="27">
        <v>0.99</v>
      </c>
      <c r="C1467" s="27">
        <v>1.208</v>
      </c>
    </row>
    <row r="1468">
      <c r="A1468" s="26" t="s">
        <v>1792</v>
      </c>
      <c r="B1468" s="27">
        <v>0.855</v>
      </c>
      <c r="C1468" s="27">
        <v>1.505</v>
      </c>
    </row>
    <row r="1469">
      <c r="A1469" s="26" t="s">
        <v>1793</v>
      </c>
      <c r="B1469" s="27">
        <v>0.508</v>
      </c>
      <c r="C1469" s="27">
        <v>1.58</v>
      </c>
    </row>
    <row r="1470">
      <c r="A1470" s="26" t="s">
        <v>1794</v>
      </c>
      <c r="B1470" s="27">
        <v>1.41</v>
      </c>
      <c r="C1470" s="27">
        <v>1.94</v>
      </c>
    </row>
    <row r="1471">
      <c r="A1471" s="26" t="s">
        <v>1795</v>
      </c>
      <c r="B1471" s="27">
        <v>0.486</v>
      </c>
      <c r="C1471" s="27">
        <v>1.991</v>
      </c>
    </row>
    <row r="1472">
      <c r="A1472" s="26" t="s">
        <v>1796</v>
      </c>
      <c r="B1472" s="27">
        <v>0.8</v>
      </c>
      <c r="C1472" s="27">
        <v>1.29</v>
      </c>
    </row>
    <row r="1473">
      <c r="A1473" s="26" t="s">
        <v>1797</v>
      </c>
      <c r="B1473" s="27">
        <v>0.299</v>
      </c>
      <c r="C1473" s="27">
        <v>1.184</v>
      </c>
    </row>
    <row r="1474">
      <c r="A1474" s="26" t="s">
        <v>1798</v>
      </c>
      <c r="B1474" s="27">
        <v>0.148</v>
      </c>
      <c r="C1474" s="27">
        <v>0.85</v>
      </c>
    </row>
    <row r="1475">
      <c r="A1475" s="26" t="s">
        <v>1799</v>
      </c>
      <c r="B1475" s="27">
        <v>0.502</v>
      </c>
      <c r="C1475" s="27">
        <v>1.47</v>
      </c>
    </row>
    <row r="1476">
      <c r="A1476" s="26" t="s">
        <v>1801</v>
      </c>
      <c r="B1476" s="27">
        <v>0.57</v>
      </c>
      <c r="C1476" s="27">
        <v>1.33</v>
      </c>
    </row>
    <row r="1477">
      <c r="A1477" s="26" t="s">
        <v>1802</v>
      </c>
      <c r="B1477" s="27">
        <v>0.98</v>
      </c>
      <c r="C1477" s="27">
        <v>1.25</v>
      </c>
    </row>
    <row r="1478">
      <c r="A1478" s="26" t="s">
        <v>1803</v>
      </c>
      <c r="B1478" s="27">
        <v>4.22</v>
      </c>
      <c r="C1478" s="27">
        <v>1.11</v>
      </c>
    </row>
    <row r="1479">
      <c r="A1479" s="26" t="s">
        <v>1804</v>
      </c>
      <c r="B1479" s="27">
        <v>0.8</v>
      </c>
      <c r="C1479" s="27">
        <v>1.766</v>
      </c>
    </row>
    <row r="1480">
      <c r="A1480" s="26" t="s">
        <v>1805</v>
      </c>
      <c r="B1480" s="27">
        <v>1.443</v>
      </c>
      <c r="C1480" s="27">
        <v>1.322</v>
      </c>
    </row>
    <row r="1481">
      <c r="A1481" s="26" t="s">
        <v>1806</v>
      </c>
      <c r="B1481" s="27">
        <v>1.99</v>
      </c>
      <c r="C1481" s="27">
        <v>1.619</v>
      </c>
    </row>
    <row r="1482">
      <c r="A1482" s="26" t="s">
        <v>1807</v>
      </c>
      <c r="B1482" s="27">
        <v>10.4296</v>
      </c>
      <c r="C1482" s="27">
        <v>1.165</v>
      </c>
    </row>
    <row r="1483">
      <c r="A1483" s="26" t="s">
        <v>1808</v>
      </c>
      <c r="B1483" s="27">
        <v>1.0</v>
      </c>
      <c r="C1483" s="27">
        <v>1.15</v>
      </c>
    </row>
    <row r="1484">
      <c r="A1484" s="26" t="s">
        <v>1809</v>
      </c>
      <c r="B1484" s="27">
        <v>2.3</v>
      </c>
      <c r="C1484" s="27">
        <v>1.23</v>
      </c>
    </row>
    <row r="1485">
      <c r="A1485" s="26" t="s">
        <v>1810</v>
      </c>
      <c r="B1485" s="27">
        <v>0.139</v>
      </c>
      <c r="C1485" s="27">
        <v>1.464</v>
      </c>
    </row>
    <row r="1486">
      <c r="A1486" s="26" t="s">
        <v>1811</v>
      </c>
      <c r="B1486" s="27">
        <v>1.174</v>
      </c>
      <c r="C1486" s="27">
        <v>1.381</v>
      </c>
    </row>
    <row r="1487">
      <c r="A1487" s="26" t="s">
        <v>1812</v>
      </c>
      <c r="B1487" s="27">
        <v>0.104</v>
      </c>
      <c r="C1487" s="27">
        <v>0.92</v>
      </c>
    </row>
    <row r="1488">
      <c r="A1488" s="26" t="s">
        <v>1813</v>
      </c>
      <c r="B1488" s="27">
        <v>1.269</v>
      </c>
      <c r="C1488" s="27">
        <v>1.289</v>
      </c>
    </row>
    <row r="1489">
      <c r="A1489" s="26" t="s">
        <v>1815</v>
      </c>
      <c r="B1489" s="27">
        <v>1.139</v>
      </c>
      <c r="C1489" s="27">
        <v>1.41</v>
      </c>
    </row>
    <row r="1490">
      <c r="A1490" s="26" t="s">
        <v>1816</v>
      </c>
      <c r="B1490" s="27">
        <v>0.947</v>
      </c>
      <c r="C1490" s="27">
        <v>1.514</v>
      </c>
    </row>
    <row r="1491">
      <c r="A1491" s="26" t="s">
        <v>1817</v>
      </c>
      <c r="B1491" s="27">
        <v>0.313</v>
      </c>
      <c r="C1491" s="27">
        <v>1.459</v>
      </c>
    </row>
    <row r="1492">
      <c r="A1492" s="26" t="s">
        <v>1818</v>
      </c>
      <c r="B1492" s="27">
        <v>0.3</v>
      </c>
      <c r="C1492" s="27">
        <v>1.21</v>
      </c>
    </row>
    <row r="1493">
      <c r="A1493" s="26" t="s">
        <v>1819</v>
      </c>
      <c r="B1493" s="27">
        <v>0.617</v>
      </c>
      <c r="C1493" s="27">
        <v>1.199</v>
      </c>
    </row>
    <row r="1494">
      <c r="A1494" s="26" t="s">
        <v>1820</v>
      </c>
      <c r="B1494" s="27">
        <v>0.884</v>
      </c>
      <c r="C1494" s="27">
        <v>0.962</v>
      </c>
    </row>
    <row r="1495">
      <c r="A1495" s="26" t="s">
        <v>1821</v>
      </c>
      <c r="B1495" s="27">
        <v>1.071</v>
      </c>
      <c r="C1495" s="27">
        <v>1.3</v>
      </c>
    </row>
    <row r="1496">
      <c r="A1496" s="26" t="s">
        <v>1822</v>
      </c>
      <c r="B1496" s="27">
        <v>0.58</v>
      </c>
      <c r="C1496" s="27">
        <v>1.26</v>
      </c>
    </row>
    <row r="1497">
      <c r="A1497" s="26" t="s">
        <v>1823</v>
      </c>
      <c r="B1497" s="27">
        <v>1.028</v>
      </c>
      <c r="C1497" s="27">
        <v>1.281</v>
      </c>
    </row>
    <row r="1498">
      <c r="A1498" s="26" t="s">
        <v>1824</v>
      </c>
      <c r="B1498" s="27">
        <v>0.907</v>
      </c>
      <c r="C1498" s="27">
        <v>1.213</v>
      </c>
    </row>
    <row r="1499">
      <c r="A1499" s="26" t="s">
        <v>1825</v>
      </c>
      <c r="B1499" s="27">
        <v>0.243</v>
      </c>
      <c r="C1499" s="27">
        <v>0.775</v>
      </c>
    </row>
    <row r="1500">
      <c r="A1500" s="26" t="s">
        <v>1826</v>
      </c>
      <c r="B1500" s="27">
        <v>0.847</v>
      </c>
      <c r="C1500" s="27">
        <v>1.079</v>
      </c>
    </row>
    <row r="1501">
      <c r="A1501" s="26" t="s">
        <v>1827</v>
      </c>
      <c r="B1501" s="27">
        <v>0.478</v>
      </c>
      <c r="C1501" s="27">
        <v>1.537</v>
      </c>
    </row>
    <row r="1502">
      <c r="A1502" s="26" t="s">
        <v>1828</v>
      </c>
      <c r="B1502" s="27">
        <v>3.6</v>
      </c>
      <c r="C1502" s="27">
        <v>1.18</v>
      </c>
    </row>
    <row r="1503">
      <c r="A1503" s="26" t="s">
        <v>1829</v>
      </c>
      <c r="B1503" s="27">
        <v>2.8</v>
      </c>
      <c r="C1503" s="27">
        <v>1.603</v>
      </c>
    </row>
    <row r="1504">
      <c r="A1504" s="26" t="s">
        <v>1830</v>
      </c>
      <c r="B1504" s="27">
        <v>0.58</v>
      </c>
      <c r="C1504" s="27">
        <v>1.26</v>
      </c>
    </row>
    <row r="1505">
      <c r="A1505" s="26" t="s">
        <v>1831</v>
      </c>
      <c r="B1505" s="27">
        <v>0.72</v>
      </c>
      <c r="C1505" s="27">
        <v>1.32</v>
      </c>
    </row>
    <row r="1506">
      <c r="A1506" s="26" t="s">
        <v>1832</v>
      </c>
      <c r="B1506" s="27">
        <v>2.279</v>
      </c>
      <c r="C1506" s="27">
        <v>1.269</v>
      </c>
    </row>
    <row r="1507">
      <c r="A1507" s="26" t="s">
        <v>1833</v>
      </c>
      <c r="B1507" s="27">
        <v>1.8</v>
      </c>
      <c r="C1507" s="27">
        <v>1.16</v>
      </c>
    </row>
    <row r="1508">
      <c r="A1508" s="26" t="s">
        <v>1834</v>
      </c>
      <c r="B1508" s="27">
        <v>2.712</v>
      </c>
      <c r="C1508" s="27">
        <v>1.079</v>
      </c>
    </row>
    <row r="1509">
      <c r="A1509" s="26" t="s">
        <v>1835</v>
      </c>
      <c r="B1509" s="27">
        <v>0.28</v>
      </c>
      <c r="C1509" s="27">
        <v>1.27</v>
      </c>
    </row>
    <row r="1510">
      <c r="A1510" s="26" t="s">
        <v>1836</v>
      </c>
      <c r="B1510" s="27">
        <v>1.81</v>
      </c>
      <c r="C1510" s="27">
        <v>1.392</v>
      </c>
    </row>
    <row r="1511">
      <c r="A1511" s="26" t="s">
        <v>1837</v>
      </c>
      <c r="B1511" s="27">
        <v>0.94</v>
      </c>
      <c r="C1511" s="27">
        <v>1.18</v>
      </c>
    </row>
    <row r="1512">
      <c r="A1512" s="26" t="s">
        <v>1838</v>
      </c>
      <c r="B1512" s="27">
        <v>0.5</v>
      </c>
      <c r="C1512" s="27">
        <v>1.08</v>
      </c>
    </row>
    <row r="1513">
      <c r="A1513" s="26" t="s">
        <v>1839</v>
      </c>
      <c r="B1513" s="27">
        <v>2.052</v>
      </c>
      <c r="C1513" s="27">
        <v>1.036</v>
      </c>
    </row>
    <row r="1514">
      <c r="A1514" s="26" t="s">
        <v>1840</v>
      </c>
      <c r="B1514" s="27">
        <v>0.889</v>
      </c>
      <c r="C1514" s="27">
        <v>1.14</v>
      </c>
    </row>
    <row r="1515">
      <c r="A1515" s="26" t="s">
        <v>1841</v>
      </c>
      <c r="B1515" s="27">
        <v>1.007</v>
      </c>
      <c r="C1515" s="27">
        <v>1.16</v>
      </c>
    </row>
    <row r="1516">
      <c r="A1516" s="26" t="s">
        <v>1842</v>
      </c>
      <c r="B1516" s="27">
        <v>2.101</v>
      </c>
      <c r="C1516" s="27">
        <v>1.31</v>
      </c>
    </row>
    <row r="1517">
      <c r="A1517" s="26" t="s">
        <v>1843</v>
      </c>
      <c r="B1517" s="27">
        <v>1.14243</v>
      </c>
      <c r="C1517" s="27">
        <v>1.127</v>
      </c>
    </row>
    <row r="1518">
      <c r="A1518" s="26" t="s">
        <v>1844</v>
      </c>
      <c r="B1518" s="27">
        <v>0.04122</v>
      </c>
      <c r="C1518" s="27">
        <v>0.319</v>
      </c>
    </row>
    <row r="1519">
      <c r="A1519" s="26" t="s">
        <v>1846</v>
      </c>
      <c r="B1519" s="27">
        <v>0.02149</v>
      </c>
      <c r="C1519" s="27">
        <v>0.161</v>
      </c>
    </row>
    <row r="1520">
      <c r="A1520" s="26" t="s">
        <v>1847</v>
      </c>
      <c r="B1520" s="27">
        <v>0.98</v>
      </c>
      <c r="C1520" s="27">
        <v>1.67</v>
      </c>
    </row>
    <row r="1521">
      <c r="A1521" s="26" t="s">
        <v>1848</v>
      </c>
      <c r="B1521" s="27">
        <v>0.399</v>
      </c>
      <c r="C1521" s="27">
        <v>1.198</v>
      </c>
    </row>
    <row r="1522">
      <c r="A1522" s="26" t="s">
        <v>1849</v>
      </c>
      <c r="B1522" s="27">
        <v>1.1974</v>
      </c>
      <c r="C1522" s="27">
        <v>1.3846</v>
      </c>
    </row>
    <row r="1523">
      <c r="A1523" s="26" t="s">
        <v>1850</v>
      </c>
      <c r="B1523" s="27">
        <v>1.437</v>
      </c>
      <c r="C1523" s="27">
        <v>1.138</v>
      </c>
    </row>
    <row r="1524">
      <c r="A1524" s="26" t="s">
        <v>1851</v>
      </c>
      <c r="B1524" s="27">
        <v>0.46</v>
      </c>
      <c r="C1524" s="27">
        <v>1.27</v>
      </c>
    </row>
    <row r="1525">
      <c r="A1525" s="26" t="s">
        <v>1852</v>
      </c>
      <c r="B1525" s="27">
        <v>2.132</v>
      </c>
      <c r="C1525" s="27">
        <v>1.074</v>
      </c>
    </row>
    <row r="1526">
      <c r="A1526" s="26" t="s">
        <v>1853</v>
      </c>
      <c r="B1526" s="27">
        <v>0.63</v>
      </c>
      <c r="C1526" s="27">
        <v>1.57</v>
      </c>
    </row>
    <row r="1527">
      <c r="A1527" s="26" t="s">
        <v>1854</v>
      </c>
      <c r="B1527" s="27">
        <v>0.61</v>
      </c>
      <c r="C1527" s="27">
        <v>1.33</v>
      </c>
    </row>
    <row r="1528">
      <c r="A1528" s="26" t="s">
        <v>1855</v>
      </c>
      <c r="B1528" s="27">
        <v>0.599</v>
      </c>
      <c r="C1528" s="27">
        <v>1.092</v>
      </c>
    </row>
    <row r="1529">
      <c r="A1529" s="26" t="s">
        <v>1856</v>
      </c>
      <c r="B1529" s="27">
        <v>0.8</v>
      </c>
      <c r="C1529" s="27">
        <v>1.1</v>
      </c>
    </row>
    <row r="1530">
      <c r="A1530" s="26" t="s">
        <v>1857</v>
      </c>
      <c r="B1530" s="27">
        <v>0.89</v>
      </c>
      <c r="C1530" s="27">
        <v>1.37</v>
      </c>
    </row>
    <row r="1531">
      <c r="A1531" s="26" t="s">
        <v>1858</v>
      </c>
      <c r="B1531" s="27">
        <v>0.863</v>
      </c>
      <c r="C1531" s="27">
        <v>0.775</v>
      </c>
    </row>
    <row r="1532">
      <c r="A1532" s="26" t="s">
        <v>1859</v>
      </c>
      <c r="B1532" s="27">
        <v>1.637</v>
      </c>
      <c r="C1532" s="27">
        <v>1.171</v>
      </c>
    </row>
    <row r="1533">
      <c r="A1533" s="26" t="s">
        <v>1860</v>
      </c>
      <c r="B1533" s="27">
        <v>0.514</v>
      </c>
      <c r="C1533" s="27">
        <v>0.86</v>
      </c>
    </row>
    <row r="1534">
      <c r="A1534" s="26" t="s">
        <v>1861</v>
      </c>
      <c r="B1534" s="27">
        <v>2.06</v>
      </c>
      <c r="C1534" s="27">
        <v>1.24</v>
      </c>
    </row>
    <row r="1535">
      <c r="A1535" s="26" t="s">
        <v>1862</v>
      </c>
      <c r="B1535" s="27">
        <v>0.58</v>
      </c>
      <c r="C1535" s="27">
        <v>1.39</v>
      </c>
    </row>
    <row r="1536">
      <c r="A1536" s="26" t="s">
        <v>1863</v>
      </c>
      <c r="B1536" s="27">
        <v>0.38</v>
      </c>
      <c r="C1536" s="27">
        <v>1.43</v>
      </c>
    </row>
    <row r="1537">
      <c r="A1537" s="26" t="s">
        <v>1864</v>
      </c>
      <c r="B1537" s="27">
        <v>1.221</v>
      </c>
      <c r="C1537" s="27">
        <v>1.271</v>
      </c>
    </row>
    <row r="1538">
      <c r="A1538" s="26" t="s">
        <v>1865</v>
      </c>
      <c r="B1538" s="27">
        <v>1.55</v>
      </c>
      <c r="C1538" s="27">
        <v>1.112</v>
      </c>
    </row>
    <row r="1539">
      <c r="A1539" s="26" t="s">
        <v>1866</v>
      </c>
      <c r="B1539" s="27">
        <v>2.32</v>
      </c>
      <c r="C1539" s="27">
        <v>1.39</v>
      </c>
    </row>
    <row r="1540">
      <c r="A1540" s="26" t="s">
        <v>1867</v>
      </c>
      <c r="B1540" s="27">
        <v>0.42</v>
      </c>
      <c r="C1540" s="27">
        <v>1.4</v>
      </c>
    </row>
    <row r="1541">
      <c r="A1541" s="26" t="s">
        <v>1868</v>
      </c>
      <c r="B1541" s="27">
        <v>0.95</v>
      </c>
      <c r="C1541" s="27">
        <v>1.24</v>
      </c>
    </row>
    <row r="1542">
      <c r="A1542" s="26" t="s">
        <v>1869</v>
      </c>
      <c r="B1542" s="27">
        <v>0.26</v>
      </c>
      <c r="C1542" s="27">
        <v>1.057</v>
      </c>
    </row>
    <row r="1543">
      <c r="A1543" s="26" t="s">
        <v>1870</v>
      </c>
      <c r="B1543" s="27">
        <v>0.503</v>
      </c>
      <c r="C1543" s="27">
        <v>1.224</v>
      </c>
    </row>
    <row r="1544">
      <c r="A1544" s="26" t="s">
        <v>1871</v>
      </c>
      <c r="B1544" s="27">
        <v>0.59</v>
      </c>
      <c r="C1544" s="27">
        <v>1.164</v>
      </c>
    </row>
    <row r="1545">
      <c r="A1545" s="26" t="s">
        <v>1872</v>
      </c>
      <c r="B1545" s="27">
        <v>2.258</v>
      </c>
      <c r="C1545" s="27">
        <v>1.5</v>
      </c>
    </row>
    <row r="1546">
      <c r="A1546" s="26" t="s">
        <v>1873</v>
      </c>
      <c r="B1546" s="27">
        <v>1.446</v>
      </c>
      <c r="C1546" s="27">
        <v>1.27</v>
      </c>
    </row>
    <row r="1547">
      <c r="A1547" s="26" t="s">
        <v>1874</v>
      </c>
      <c r="B1547" s="27">
        <v>1.89</v>
      </c>
      <c r="C1547" s="27">
        <v>1.17</v>
      </c>
    </row>
    <row r="1548">
      <c r="A1548" s="26" t="s">
        <v>1875</v>
      </c>
      <c r="B1548" s="27">
        <v>0.826</v>
      </c>
      <c r="C1548" s="27">
        <v>1.248</v>
      </c>
    </row>
    <row r="1549">
      <c r="A1549" s="26" t="s">
        <v>1876</v>
      </c>
      <c r="B1549" s="27">
        <v>1.07</v>
      </c>
      <c r="C1549" s="27">
        <v>1.27</v>
      </c>
    </row>
    <row r="1550">
      <c r="A1550" s="26" t="s">
        <v>1877</v>
      </c>
      <c r="B1550" s="27">
        <v>0.92</v>
      </c>
      <c r="C1550" s="27">
        <v>1.83</v>
      </c>
    </row>
    <row r="1551">
      <c r="A1551" s="26" t="s">
        <v>1878</v>
      </c>
      <c r="B1551" s="27">
        <v>1.759</v>
      </c>
      <c r="C1551" s="27">
        <v>1.21</v>
      </c>
    </row>
    <row r="1552">
      <c r="A1552" s="26" t="s">
        <v>1879</v>
      </c>
      <c r="B1552" s="27">
        <v>0.89</v>
      </c>
      <c r="C1552" s="27">
        <v>1.7</v>
      </c>
    </row>
    <row r="1553">
      <c r="A1553" s="26" t="s">
        <v>1880</v>
      </c>
      <c r="B1553" s="27">
        <v>0.835</v>
      </c>
      <c r="C1553" s="27">
        <v>1.58</v>
      </c>
    </row>
    <row r="1554">
      <c r="A1554" s="26" t="s">
        <v>1881</v>
      </c>
      <c r="B1554" s="27">
        <v>0.96</v>
      </c>
      <c r="C1554" s="27">
        <v>1.33</v>
      </c>
    </row>
    <row r="1555">
      <c r="A1555" s="26" t="s">
        <v>1882</v>
      </c>
      <c r="B1555" s="27">
        <v>0.554</v>
      </c>
      <c r="C1555" s="27">
        <v>0.952</v>
      </c>
    </row>
    <row r="1556">
      <c r="A1556" s="26" t="s">
        <v>1883</v>
      </c>
      <c r="B1556" s="27">
        <v>0.729</v>
      </c>
      <c r="C1556" s="27">
        <v>1.429</v>
      </c>
    </row>
    <row r="1557">
      <c r="A1557" s="26" t="s">
        <v>1884</v>
      </c>
      <c r="B1557" s="27">
        <v>1.24</v>
      </c>
      <c r="C1557" s="27">
        <v>1.63</v>
      </c>
    </row>
    <row r="1558">
      <c r="A1558" s="26" t="s">
        <v>1885</v>
      </c>
      <c r="B1558" s="27">
        <v>0.3</v>
      </c>
      <c r="C1558" s="27">
        <v>1.04</v>
      </c>
    </row>
    <row r="1559">
      <c r="A1559" s="26" t="s">
        <v>1886</v>
      </c>
      <c r="B1559" s="27">
        <v>0.692</v>
      </c>
      <c r="C1559" s="27">
        <v>0.9564</v>
      </c>
    </row>
    <row r="1560">
      <c r="A1560" s="26" t="s">
        <v>1887</v>
      </c>
      <c r="B1560" s="27">
        <v>0.0478</v>
      </c>
      <c r="C1560" s="27">
        <v>0.174</v>
      </c>
    </row>
    <row r="1561">
      <c r="A1561" s="26" t="s">
        <v>1888</v>
      </c>
      <c r="B1561" s="27">
        <v>1.265</v>
      </c>
      <c r="C1561" s="27">
        <v>1.24</v>
      </c>
    </row>
    <row r="1562">
      <c r="A1562" s="26" t="s">
        <v>1889</v>
      </c>
      <c r="B1562" s="27">
        <v>2.21</v>
      </c>
      <c r="C1562" s="27">
        <v>1.385</v>
      </c>
    </row>
    <row r="1563">
      <c r="A1563" s="26" t="s">
        <v>1890</v>
      </c>
      <c r="B1563" s="27">
        <v>0.56</v>
      </c>
      <c r="C1563" s="27">
        <v>1.7</v>
      </c>
    </row>
    <row r="1564">
      <c r="A1564" s="26" t="s">
        <v>1891</v>
      </c>
      <c r="B1564" s="27">
        <v>5.9</v>
      </c>
      <c r="C1564" s="27">
        <v>1.04</v>
      </c>
    </row>
    <row r="1565">
      <c r="A1565" s="26" t="s">
        <v>1892</v>
      </c>
      <c r="B1565" s="27">
        <v>2.244</v>
      </c>
      <c r="C1565" s="27">
        <v>1.038</v>
      </c>
    </row>
    <row r="1566">
      <c r="A1566" s="26" t="s">
        <v>1893</v>
      </c>
      <c r="B1566" s="27">
        <v>0.63</v>
      </c>
      <c r="C1566" s="27">
        <v>1.63</v>
      </c>
    </row>
    <row r="1567">
      <c r="A1567" s="26" t="s">
        <v>1894</v>
      </c>
      <c r="B1567" s="27">
        <v>1.34</v>
      </c>
      <c r="C1567" s="27">
        <v>1.03</v>
      </c>
    </row>
    <row r="1568">
      <c r="A1568" s="26" t="s">
        <v>1895</v>
      </c>
      <c r="B1568" s="27">
        <v>0.805</v>
      </c>
      <c r="C1568" s="27">
        <v>1.461</v>
      </c>
    </row>
    <row r="1569">
      <c r="A1569" s="26" t="s">
        <v>1896</v>
      </c>
      <c r="B1569" s="27">
        <v>1.47</v>
      </c>
      <c r="C1569" s="27">
        <v>1.597</v>
      </c>
    </row>
    <row r="1570">
      <c r="A1570" s="26" t="s">
        <v>1897</v>
      </c>
      <c r="B1570" s="27">
        <v>0.452</v>
      </c>
      <c r="C1570" s="27">
        <v>1.665</v>
      </c>
    </row>
    <row r="1571">
      <c r="A1571" s="26" t="s">
        <v>1898</v>
      </c>
      <c r="B1571" s="27">
        <v>1.206</v>
      </c>
      <c r="C1571" s="27">
        <v>1.098</v>
      </c>
    </row>
    <row r="1572">
      <c r="A1572" s="26" t="s">
        <v>1899</v>
      </c>
      <c r="B1572" s="27">
        <v>0.48</v>
      </c>
      <c r="C1572" s="27">
        <v>1.2</v>
      </c>
    </row>
    <row r="1573">
      <c r="A1573" s="26" t="s">
        <v>1900</v>
      </c>
      <c r="B1573" s="27">
        <v>1.32</v>
      </c>
      <c r="C1573" s="27">
        <v>1.13</v>
      </c>
    </row>
    <row r="1574">
      <c r="A1574" s="26" t="s">
        <v>1901</v>
      </c>
      <c r="B1574" s="27">
        <v>0.83</v>
      </c>
      <c r="C1574" s="27">
        <v>1.1</v>
      </c>
    </row>
    <row r="1575">
      <c r="A1575" s="26" t="s">
        <v>1902</v>
      </c>
      <c r="B1575" s="27">
        <v>2.78</v>
      </c>
      <c r="C1575" s="27">
        <v>1.1</v>
      </c>
    </row>
    <row r="1576">
      <c r="A1576" s="26" t="s">
        <v>1903</v>
      </c>
      <c r="B1576" s="27">
        <v>3.0</v>
      </c>
      <c r="C1576" s="27">
        <v>1.03</v>
      </c>
    </row>
    <row r="1577">
      <c r="A1577" s="26" t="s">
        <v>1904</v>
      </c>
      <c r="B1577" s="27">
        <v>0.59</v>
      </c>
      <c r="C1577" s="27">
        <v>1.0</v>
      </c>
    </row>
    <row r="1578">
      <c r="A1578" s="26" t="s">
        <v>1905</v>
      </c>
      <c r="B1578" s="27">
        <v>0.73</v>
      </c>
      <c r="C1578" s="27">
        <v>1.0</v>
      </c>
    </row>
    <row r="1579">
      <c r="A1579" s="26" t="s">
        <v>1906</v>
      </c>
      <c r="B1579" s="27">
        <v>2.53</v>
      </c>
      <c r="C1579" s="27">
        <v>0.1106</v>
      </c>
    </row>
    <row r="1580">
      <c r="A1580" s="26" t="s">
        <v>1907</v>
      </c>
      <c r="B1580" s="27">
        <v>0.0197</v>
      </c>
      <c r="C1580" s="27">
        <v>0.18227</v>
      </c>
    </row>
    <row r="1581">
      <c r="A1581" s="26" t="s">
        <v>1908</v>
      </c>
      <c r="B1581" s="27">
        <v>4.01</v>
      </c>
      <c r="C1581" s="27">
        <v>1.49</v>
      </c>
    </row>
    <row r="1582">
      <c r="A1582" s="26" t="s">
        <v>1909</v>
      </c>
      <c r="B1582" s="27">
        <v>1.12</v>
      </c>
      <c r="C1582" s="27">
        <v>1.3</v>
      </c>
    </row>
    <row r="1583">
      <c r="A1583" s="26" t="s">
        <v>1910</v>
      </c>
      <c r="B1583" s="27">
        <v>0.9</v>
      </c>
      <c r="C1583" s="27">
        <v>1.184</v>
      </c>
    </row>
    <row r="1584">
      <c r="A1584" s="26" t="s">
        <v>1911</v>
      </c>
      <c r="B1584" s="27">
        <v>0.62</v>
      </c>
      <c r="C1584" s="27">
        <v>0.973</v>
      </c>
    </row>
    <row r="1585">
      <c r="A1585" s="26" t="s">
        <v>175</v>
      </c>
      <c r="B1585" s="27">
        <v>11.79</v>
      </c>
      <c r="C1585" s="27">
        <v>1.217</v>
      </c>
    </row>
    <row r="1586">
      <c r="A1586" s="26" t="s">
        <v>1912</v>
      </c>
      <c r="B1586" s="27">
        <v>1.616</v>
      </c>
      <c r="C1586" s="27">
        <v>1.317</v>
      </c>
    </row>
    <row r="1587">
      <c r="A1587" s="26" t="s">
        <v>1913</v>
      </c>
      <c r="B1587" s="27">
        <v>1.077</v>
      </c>
      <c r="C1587" s="27">
        <v>1.03</v>
      </c>
    </row>
    <row r="1588">
      <c r="A1588" s="26" t="s">
        <v>1914</v>
      </c>
      <c r="B1588" s="27">
        <v>4.47</v>
      </c>
      <c r="C1588" s="27">
        <v>2.17</v>
      </c>
    </row>
    <row r="1589">
      <c r="A1589" s="26" t="s">
        <v>1915</v>
      </c>
      <c r="B1589" s="27">
        <v>0.726</v>
      </c>
      <c r="C1589" s="27">
        <v>1.346</v>
      </c>
    </row>
  </sheetData>
  <drawing r:id="rId1"/>
</worksheet>
</file>